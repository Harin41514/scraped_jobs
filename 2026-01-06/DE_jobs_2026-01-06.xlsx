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9"/>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in-364d4b2f57514d6c</t>
        </is>
      </c>
      <c r="B2" t="inlineStr">
        <is>
          <t>Lead Data Engineer</t>
        </is>
      </c>
      <c r="C2" t="inlineStr">
        <is>
          <t>Tiger Analytics</t>
        </is>
      </c>
      <c r="D2" t="inlineStr">
        <is>
          <t>indeed</t>
        </is>
      </c>
      <c r="E2" t="inlineStr"/>
      <c r="F2" t="inlineStr"/>
      <c r="G2" t="inlineStr">
        <is>
          <t>McLean, VA, US</t>
        </is>
      </c>
      <c r="H2" s="2" t="n">
        <v>46027</v>
      </c>
      <c r="I2" t="inlineStr">
        <is>
          <t>Tiger Analytics is a fast\-growing advanced analytics consulting firm. Our consultants bring deep expertise in Data Science, Machine Learning and AI. We are the trusted analytics partner for several Fortune 100 companies, enabling them to generate business value from data. Our business value and leadership has been recognized by various market research firms, including Forrester and Gartner. We are looking for top\-notch talent as we continue to build the best analytics global consulting team in the world.
We are seeking an experienced Data Engineer to join our data team. As a Data Engineer, you will be responsible for designing, building, and maintaining data pipelines, data integration processes, and data infrastructure using Dataiku. You will collaborate closely with data scientists, analysts, and other stakeholders to ensure efficient data flow and support data\-driven decision making across the organization.
**Requirements**
What You’ll Do:
*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 Optimize data pipelines for performance, reliability, and cost\-effectiveness, leveraging AWS best practices and cloud\-native technologies.
	+ Collaborate with data scientists, analysts, and business stakeholders to understand data requirements and deliver scalable data solutions.
	+ Strong problem\-solving skills and attention to detail.
Preferred Qualifications:
* + 8\+ years of experience building and deploying large\-scale data processing pipelines in a production environment.
	+ Hands\-on experience in designing and building data pipelines
	+ 4\+ years of experience with a public cloud (AWS, Microsoft Azure, Google Cloud)
	+ 4\+ years experience with Distributed data/computing tools (MapReduce, Hadoop, Hive, EMR, Kafka, Spark, Gurobi, or MySQL)
	+ 4\+ year experience working on real\-time data and streaming applications
	+ 4\+ years of experience with NoSQL implementation (Mongo, Cassandra)
	+ 4\+ years of data warehousing experience (Redshift or Snowflake)
	+ 4\+ years of experience with UNIX/Linux including basic commands and shell scripting
	+ 2\+ years of experience with Agile engineering practices
**Benefits**
Significant career development opportunities exist as the company grows. The position offers a unique opportunity to be part of a small, challenging, and entrepreneurial environment, with a high degree of individual responsibility.
***Tiger Analytics provides equal employment opportunities to applicants and employees without regard to race, color, religion, age, sex, sexual orientation, gender identity/expression, pregnancy, national origin, ancestry, marital status, protected veteran status, disability status, or any other basis as protected by federal, state, or local law.***</t>
        </is>
      </c>
    </row>
    <row r="3">
      <c r="A3" t="inlineStr">
        <is>
          <t>in-a4e5e932d76c42d5</t>
        </is>
      </c>
      <c r="B3" t="inlineStr">
        <is>
          <t>Senior Data Engineer (Spark, Python, SQL, CI/CD Pipeline)</t>
        </is>
      </c>
      <c r="C3" t="inlineStr">
        <is>
          <t>Capital One</t>
        </is>
      </c>
      <c r="D3" t="inlineStr">
        <is>
          <t>indeed</t>
        </is>
      </c>
      <c r="E3" t="inlineStr"/>
      <c r="F3" t="inlineStr"/>
      <c r="G3" t="inlineStr">
        <is>
          <t>McLean, VA, US</t>
        </is>
      </c>
      <c r="H3" s="2" t="n">
        <v>46026</v>
      </c>
      <c r="I3" t="inlineStr">
        <is>
          <t>Senior Data Engineer (Spark, Python, SQL, CI/CD Pipeline)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Data Engineer  
Richmond, VA: $147,100 \- $167,900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4">
      <c r="A4" t="inlineStr">
        <is>
          <t>in-889dfb0322080391</t>
        </is>
      </c>
      <c r="B4" t="inlineStr">
        <is>
          <t>Senior Data Engineer</t>
        </is>
      </c>
      <c r="C4" t="inlineStr">
        <is>
          <t>Capital One</t>
        </is>
      </c>
      <c r="D4" t="inlineStr">
        <is>
          <t>indeed</t>
        </is>
      </c>
      <c r="E4" t="inlineStr"/>
      <c r="F4" t="inlineStr"/>
      <c r="G4" t="inlineStr">
        <is>
          <t>McLean, VA, US</t>
        </is>
      </c>
      <c r="H4" s="2" t="n">
        <v>46026</v>
      </c>
      <c r="I4" t="inlineStr">
        <is>
          <t>Senior Data Engineer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Data Engineer  
New York, NY: $176,500 \- $201,400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5">
      <c r="A5" t="inlineStr">
        <is>
          <t>in-ce52b13a7a3d7458</t>
        </is>
      </c>
      <c r="B5" t="inlineStr">
        <is>
          <t>Senior Data Engineer</t>
        </is>
      </c>
      <c r="C5" t="inlineStr">
        <is>
          <t>Microsoft</t>
        </is>
      </c>
      <c r="D5" t="inlineStr">
        <is>
          <t>indeed</t>
        </is>
      </c>
      <c r="E5" t="inlineStr"/>
      <c r="F5" t="inlineStr"/>
      <c r="G5" t="inlineStr">
        <is>
          <t>Redmond, WA, US</t>
        </is>
      </c>
      <c r="H5" s="2" t="n">
        <v>45963</v>
      </c>
      <c r="I5" t="inlineStr">
        <is>
          <t>**Overview**  
Join us at the forefront of innovation in Microsoft’s Copilot Studio Growth team within the Business Industry Copilot organization—where data and insights shape the future of customer experiences and business growth. As a Senior Data Engineer, you will play a pivotal role in building the next generation of copilots and intelligent data agents that empower key business decisions by Microsoft leadership through data\-driven insights and automation. We are looking for a Senior Data Engineer to join our team! Our mission is to revolutionize how data is engineered, analyzed, and activated—leveraging generative AI to deliver scalable, adaptive, and intuitive solutions that drive business and revenue growth. If you're interested about transforming raw data and building innovative data products while helping define the future of AI\-powered analytics, this is your opportunity to lead that change.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This role demands a blend of artificial intelligence expertise and data engineering development skills to contribute to all phases of our product lifecycle, from conception to deployment. \- Architect and build intelligent agents that automate data workflows, insights generation, and stakeholder interactions. \- Integrate generative AI into data engineering pipelines and analytics platforms to enable scalable and adaptive solutions. \- Collaborate with cross\-functional teams including product managers, data scientists, and engineering partners to deliver high\-impact outcomes. \- Implement agent\-based systems focused on data and insights. \- Ensure performance, reliability, and security of solutions across diverse data environments.  
**Qualifications**  
Required Qualifications: \- Master's Degree in Computer Science, Math, Software Engineering, Computer Engineering, or related field AND 3\+ years experience in business analytics, data science, software development, data modeling, or data engineering \- OR Bachelor's Degree in Computer Science, Math, Software Engineering, Computer Engineering, or related field AND 4\+ years experience in business analytics, data science, software development, data modeling, or data engineering \- OR equivalent experience. \- 1\+ year(s) with enterprise\-scale data governance, security, and compliance. \- 1\+ year(s) demonstrated success in delivering products that drive measurable business impact. \- 1\+ year(s) knowledge in data engineering and AI\-driven analytics. Other Requirements:Ability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Experience in Product led growth analytics. \- Experience in AI\-driven analytics. \- Master's Degree in Computer Science, Math, Software Engineering, Computer Engineering, or related field AND 6\+ years experience in business analytics, data science, software development, data modeling, or data engineering \- OR Bachelor's Degree in Computer Science, Math, Software Engineering, Computer Engineering, or related field AND 8\+ years experience in business analytics, data science, software development, data modeling, or data engineering \- OR equivalent experience."Microsoft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If you need assistance and/or a reasonable accommodation due to a disability during the application or the recruiting process, please send a request via the Accommodation request form. Benefits/perks listed below may vary depending on the nature of your employment with Microsoft and the country where you work. \#BICJobs \#MCSJobs
Data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6">
      <c r="A6" t="inlineStr">
        <is>
          <t>in-af2c8b53839f5582</t>
        </is>
      </c>
      <c r="B6" t="inlineStr">
        <is>
          <t>Network Data engineer</t>
        </is>
      </c>
      <c r="C6" t="inlineStr">
        <is>
          <t>Information Technologies</t>
        </is>
      </c>
      <c r="D6" t="inlineStr">
        <is>
          <t>indeed</t>
        </is>
      </c>
      <c r="E6" t="inlineStr"/>
      <c r="F6" t="inlineStr"/>
      <c r="G6" t="inlineStr">
        <is>
          <t>Columbus, OH, US</t>
        </is>
      </c>
      <c r="H6" s="2" t="n">
        <v>46028</v>
      </c>
      <c r="I6" t="inlineStr">
        <is>
          <t>**Network Data engineer**
**Location \- Columbus,OH or Merriville or Hammond, Indiana ( Onsite 5 Days)**
**Long Term**
JD
✓ Manage the product implementation of existing clients adding new business or modifying current business.
✓ Responsible for client outreach to "kick off" the product implementation/migration process.
✓ Set client expectations and define scope of product migration activities.
✓ Responsible to educate client on best practices and guide them through the product migration phase.
✓ Must be responsible for the coordination, communication and accurate reporting of all migration related activities under the supervision of Service deliver Manager.
✓ Ability to manage multiple BAU deliverables concurrently with aggressive timeframes.
✓ Complete projects within set timelines while mitigating risks that could cause the project to delay.
✓ Responsible for tracking and managing client product migration deliverables.
✓ Collaborate with internal departments to resolve client questions and issues during product migration.
✓ Responsible for developing resolutions working with the team and management, to meet productivity, quality and client\-satisfaction goal.
Required Technical Skills
✓ Relevant Experience should be 10 Years \+
✓ Must have hands on experience in core Cisco data network infrastructure.
✓ Routing Protocols: BGP, OSPF, EIGRP, Static Route.
✓ Switching Technologies: VLAN, STP, EtherChannel, Port Security.
✓ Apt in configuration and troubleshooting of VLANs, VTP on Cisco switches, PVST, RSTP, STP, HSRP.
✓ Knowledge on configuring Inter VLAN routing.
✓ Switch Configurations like Trunk/Access.
✓ Nexus VPC/VDC.
✓ Hands on Experience in Cisco Wireless.
✓ Experience in F5 load balancer \&amp; ISE.
✓ Experience in Cisco ACI and SDWAN.
✓ Upgrade of Cisco switches, routers, Nexus devices, Cisco WLC.
✓ IPam/Infoblox.
✓ Hardware: Cisco Catalyst Switch, Cisco ISR/ASR router, Cisco Wireless Controller, Cisco Nexus 9k/7k/3k.
Job Type: Contract
Pay: $42\.90 \- $50\.00 per hour
Expected hours: 40 per week
Benefits:
* Paid time off
Experience:
* Network Engineer: 8 years (Required)
* Cisco routers: 5 years (Required)
* Routing protocols: 1 year (Required)
Work Location: On the road</t>
        </is>
      </c>
    </row>
    <row r="7">
      <c r="A7" t="inlineStr">
        <is>
          <t>in-e87aab13c58545e5</t>
        </is>
      </c>
      <c r="B7" t="inlineStr">
        <is>
          <t>SAP BW/4HANA Data Engineer</t>
        </is>
      </c>
      <c r="C7" t="inlineStr">
        <is>
          <t>pro integrate solutions</t>
        </is>
      </c>
      <c r="D7" t="inlineStr">
        <is>
          <t>indeed</t>
        </is>
      </c>
      <c r="E7" t="inlineStr"/>
      <c r="F7" t="inlineStr"/>
      <c r="G7" t="inlineStr">
        <is>
          <t>McKinney, TX, US</t>
        </is>
      </c>
      <c r="H7" s="2" t="n">
        <v>46028</v>
      </c>
      <c r="I7" t="inlineStr">
        <is>
          <t>Job Title: SAP BW/4HANA Data Engineer
Location: McKinney, TX onsite
Salary: $120,000 per year \+ Benefits
Client\- CX Data Labs
Job Type: Full\-time
Job Summary
We are seeking an experienced SAP BW/4HANA Data Engineer to design, develop, and maintain scalable enterprise data solutions. The ideal candidate will have strong expertise in SAP BW/4HANA, SAP HANA, data integration, and performance optimization, and will collaborate closely with business and technical stakeholders.
Key Responsibilities
* Design scalable data models, schemas, and structures using LSA\+\+ architecture in SAP BW/4HANA and SAP HANA
* Develop, optimize, and maintain ETL/ELT data flows using SAP BW, BODS, SLT, and CPI\-DS
* Integrate data from multiple sources including S/4HANA, non\-SAP systems (SQL Server, APIs, Cloud Storage), and cloud platforms such as AWS and Azure
* Monitor, troubleshoot, and optimize data pipelines, queries, and overall BW/HANA system performance
* Build and manage process chains for automated data loading and orchestration
* Develop custom extraction logic and transformations using ABAP, including routines and BW/HANA enhancements
* Collaborate with business analysts and stakeholders to gather requirements and translate them into technical solutions
* Ensure data accuracy, integrity, consistency, and compliance with data governance policies
* Create and maintain technical documentation, user manuals, and training materials
* Provide ongoing production support, troubleshoot issues, and implement system enhancements
Required Qualifications
* Bachelor’s or Master’s degree in Computer Science, Information Technology, Data Science, or a related field
* Strong hands\-on experience with SAP BW/4HANA and SAP HANA
* Experience with ETL/ELT tools such as BODS, SLT, and CPI\-DS
* Proficiency in ABAP for data extraction and transformations
* Solid understanding of data modeling, performance tuning, and data integration concepts
* Strong analytical, problem\-solving, and communication skills
Preferred Qualifications
* Experience with SAP S/4HANA data sources
* Exposure to AWS and Azure cloud platforms
* Knowledge of SQL Server and API\-based integrations
Benefits
* Competitive salary of $120K/year
* Comprehensive benefits package
* Career growth and learning opportunities
* Collaborative and professional work environment
Job Type: Full\-time
Pay: $115,000\.00 \- $120,000\.00 per year
Work Location: On the road</t>
        </is>
      </c>
    </row>
    <row r="8">
      <c r="A8" t="inlineStr">
        <is>
          <t>in-e609995b3c20db25</t>
        </is>
      </c>
      <c r="B8" t="inlineStr">
        <is>
          <t>BI/Data Engineer</t>
        </is>
      </c>
      <c r="C8" t="inlineStr">
        <is>
          <t>Makeen Technologies</t>
        </is>
      </c>
      <c r="D8" t="inlineStr">
        <is>
          <t>indeed</t>
        </is>
      </c>
      <c r="E8" t="inlineStr"/>
      <c r="F8" t="inlineStr"/>
      <c r="G8" t="inlineStr">
        <is>
          <t>Remote, US</t>
        </is>
      </c>
      <c r="H8" s="2" t="n">
        <v>46028</v>
      </c>
      <c r="I8" t="inlineStr">
        <is>
          <t>**BI / Data Engineer – Instrumentation \&amp; Data Enablement**
**Location:** Remote (India or Dubai)
**Contract:** 6–12 months, extendable
**Time Zone:** Partial overlap with US teams
**Role Summary**
We are hiring a BI / Data Engineer to support major client teams with **data instrumentation, metric design, and analytics enablement**. The role focuses on building reliable data pipelines, defining KPIs, and enabling data\-driven decision\-making across product and business teams.
**Key Responsibilities**
* Design and implement **event\-level instrumentation** and metric definitions
* Build and maintain **ETL/ELT pipelines** on AWS
* Create **analytics\-ready datasets** and BI dashboards
* Ensure data quality, consistency, and documentation
* Partner with product, engineering, and business stakeholders
**Required Skills**
* 4\+ years in **Data Engineering / BI / Analytics Engineering**
* Strong **SQL** and **Python**
* AWS experience (Redshift, S3, Glue, Athena)
* BI tools (QuickSight, Tableau, Power BI, or similar)
* Experience with **metrics, KPIs, and instrumentation**
**Preferred**
* large\-scale tech experience
* Streaming data (Kafka/Kinesis)
* Experimentation or funnel analytics exposure
Job Types: Full\-time, Contract
Pay: $2,500\.00 \- $3,500\.00 per month
Work Location: Remote</t>
        </is>
      </c>
    </row>
    <row r="9">
      <c r="A9" t="inlineStr">
        <is>
          <t>in-7c4d66335feb2e22</t>
        </is>
      </c>
      <c r="B9" t="inlineStr">
        <is>
          <t>Data engineer</t>
        </is>
      </c>
      <c r="C9" t="inlineStr">
        <is>
          <t>Stacklogy</t>
        </is>
      </c>
      <c r="D9" t="inlineStr">
        <is>
          <t>indeed</t>
        </is>
      </c>
      <c r="E9" t="inlineStr"/>
      <c r="F9" t="inlineStr"/>
      <c r="G9" t="inlineStr">
        <is>
          <t>US</t>
        </is>
      </c>
      <c r="H9" s="2" t="n">
        <v>46027</v>
      </c>
      <c r="I9" t="inlineStr">
        <is>
          <t>**Qualification:**  
Master's Degree in Statistical Analytics, Data Science, or Bachelor's Degree in computer science engineering will be considered with at least three \- five years of applicable work experience
**Preferred Proficiency:**  
* Web development experience (AngularJS, D3\).
* Experience in a statistical programming language like R or Python; applied machine learning techniques including dimensionality reduction strategies, supervised/unsupervised classification and natural language processing frameworks.
* Experience in at least one data visualization tools (e.g. Tableau, QlikView) and data warehousing tools (e.g. Informatica) is preferred
**Huge Advantage:**  
* Building and scaling Machine Learning frameworks
* Hadoop (Hive, Spark, UDF's)
**Definite Plus:**  
* Web development experience (AngularJS, D3\).
**Experience:**  
* 5\+ years of relevant experience in one of the following areas: Data engineering, database engineering, business intelligence or business analytics.
* 5\+ years of hands\-on experience in writing complex, highly\-optimized SQL queries across large data sets.
* 2\+ years of experience in scripting languages like Python etc.
If you qualify for this position, please send your resume at hr@stacklogy.com Please bookmark this page to know more about job openings at Stacklogy.</t>
        </is>
      </c>
    </row>
    <row r="10">
      <c r="A10" t="inlineStr">
        <is>
          <t>in-f41cf770b2ae809e</t>
        </is>
      </c>
      <c r="B10" t="inlineStr">
        <is>
          <t>Senior Data Engineer</t>
        </is>
      </c>
      <c r="C10" t="inlineStr"/>
      <c r="D10" t="inlineStr">
        <is>
          <t>indeed</t>
        </is>
      </c>
      <c r="E10" t="inlineStr"/>
      <c r="F10" t="inlineStr"/>
      <c r="G10" t="inlineStr">
        <is>
          <t>Central, LA, US</t>
        </is>
      </c>
      <c r="H10" s="2" t="n">
        <v>46027</v>
      </c>
      <c r="I10" t="inlineStr">
        <is>
          <t>**About GTX Solutions:**
GTX Solutions is a consulting firm specializing in modern data architecture, Customer
Data Platforms (CDPs), and marketing technology enablement. We work with enterprise
clients across industries including Retail, Travel, Hospitality, and Financial Services to
design and implement scalable data ecosystems that connect, activate, and measure
customer data in real time.  
We are seeking a Senior Data Engineer to join our team on a near\-shore contract basis.
The initial engagement will focus on Snowflake implementation and optimization work
for one of our key clients. This role will be critical in building and operationalizing data
pipelines that support customer data and activation use cases across the marketing and
analytics stack.
### **Key Responsibilities**
* + Design, build, and maintain scalable data pipelines and workflows in Snowflake to support CDP and customer data initiatives.
	+ Integrate and ingest data from multiple systems (CRM, digital analytics, marketing platforms, APIs, flat files, etc.) into Snowflake.
	+ Develop and optimize SQL queries, views, and materialized datasets to support analytics, segmentation, and activation.
	+ Collaborate with data strategy and MarTech teams to translate business requirements into technical data models and pipelines.
	+ Support data standardization and transformation logic for customer profiles, identities, and behavioral data.
	+ Implement and maintain data validation and quality checks within pipelines to ensure data accuracy, consistency, and reliability across ingestion and transformation processes.
	+ Document workflows, schemas, and logic to maintain transparency and support scalability.
	+ Manage and optimize Snowflake environments for performance, cost efficiency, and reliability.
### **Qualifications**
* + 5\+ years of experience as a Data Engineer or similar role, with a focus on cloud based data warehousing.
	+ Expert\-level proficiency in Snowflake, including SQL development, data modeling, and performance optimization.
	+ Experience building ETL/ELT pipelines using tools such as Fivetran, Hevo, Airbyte, or similar.
	+ Strong SQL and Python skills for data processing, automation, and integration tasks.
	+ Familiarity with modern data architecture principles (ELT, schema design, data vault/star schema).
	+ Strong problem\-solving mindset with a focus on optimizing data flows and improving system efficiency.
	+ Experience integrating marketing, customer, or behavioral data (CRM, web events, CDP\-related pipelines) a strong plus.
	+ Solid understanding of cloud ecosystems (Azure, AWS, GCP).
	+ Excellent written and verbal communication skills in English.
	+ Ability to work autonomously and collaborate effectively with cross\-functional teams in a remote environment.
### **Preferred Experience**
* + Experience with Databricks for transformation, orchestration, or analytics workflows.
	+ Experience with activation tools (e.g., Hightouch, Rudderstack, or similar) to enable movement of data from Snowflake into downstream marketing and analytics platforms.
	+ Knowledge of data governance, identity resolution, or CDP architectures (e.g., Tealium, Segment, Hightouch).
	+ Exposure to data visualization or reporting layers (Power BI, Tableau, Looker).
	+ Familiarity with Git\-based version control and CI/CD for data pipelines
	+ Experience working with automotive data systems (CRM, DMS, website analytics, or marketing platforms supporting dealership or retail automotive use cases).
Interested candidates should submit a resume along with a short note describing
relevant platform experience and notable implementations or technical projects.
GTX Solutions is an equal opportunity employer. We encourage candidates from all
backgrounds to apply.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1">
      <c r="A11" t="inlineStr">
        <is>
          <t>in-bfa49d76decf3ebd</t>
        </is>
      </c>
      <c r="B11" t="inlineStr">
        <is>
          <t>Senior Distinguished Data Engineer</t>
        </is>
      </c>
      <c r="C11" t="inlineStr">
        <is>
          <t>Capital One</t>
        </is>
      </c>
      <c r="D11" t="inlineStr">
        <is>
          <t>indeed</t>
        </is>
      </c>
      <c r="E11" t="inlineStr"/>
      <c r="F11" t="inlineStr"/>
      <c r="G11" t="inlineStr">
        <is>
          <t>McLean, VA, US</t>
        </is>
      </c>
      <c r="H11" s="2" t="n">
        <v>46026</v>
      </c>
      <c r="I11" t="inlineStr">
        <is>
          <t>Senior Distinguished Data Engineer
Distinguished Data Engineers are individual contributors who strive to be diverse in thought so we visualize the problem space. At Capital One, we believe diversity of thought strengthens our ability to influence, collaborate and provide the most innovative solutions across organizational boundaries. Distinguished Engineers will significantly impact our trajectory and devise clear roadmaps to deliver next generation technology solutions.
**About the Team:**
You will join the Data Pipelines team within Enterprise Data, serving as a Senior Director\-level Individual Contributor (IC). This role demands a visionary and hands\-on leader to drive the technical strategy for data pipelines leveraged by all lines of business inclusive of both internal and external data availability. Your focus is on driving innovation, best practices, engineering / delivery acceleration, platform scalability, Operational Excellence, Performance, Resiliency, and being a beacon for other ICs. We require deep expertise in AWS infrastructure, Lakehouse architecture, Kafka, Flink, Spark, Snowflake, and Databricks mature these enterprise\-scale systems and execute technical strategy. You will be both visionary, influential, and hands\-on writing Python, SQL, Java, and/or Scala code.
**Our Sr. Distinguished Engineers Are:**
* Deep technical experts and thought leaders that help accelerate adoption of the very best engineering practices, while maintaining knowledge on industry innovations, trends and practices
* Visionaries, collaborating on Capital One’s toughest issues, to deliver on business needs that directly impact the lives of our customers and associates
* Role models and mentors, helping to coach and strengthen the technical expertise and know\-how of our engineering and product community
* Evangelists, both internally and externally, helping to elevate the Distinguished Engineering community and establish themselves as a go\-to resource on given technologies and technology\-enabled capabilities
**Responsibilities:**
* Build awareness, increase knowledge and drive adoption of modern technologies, sharing consumer and engineering benefits to gain buy\-in
* Strike the right balance between lending expertise and providing an inclusive environment where others’ ideas can be heard and championed; leverage expertise to grow skills in the broader Capital One team
* Promote a culture of engineering excellence, using opportunities to reuse and innersource solutions where possible
* Effectively communicate with and influence key stakeholders across the enterprise, at all levels of the organization
* Operate as a trusted advisor for a specific technology, platform or capability domain, helping to shape use cases and implementation in an unified manner
* Lead the way in creating next\-generation talent for Tech, mentoring internal talent and actively recruiting external talent to bolster Capital One’s Tech talent
**Basic Qualifications:**
* Bachelor’s Degree
* At least 9 years of experience in data engineering
* At least 5 years of experience in data architecture
* At least 3 years of experience in building applications in AWS
* At least 3 years of experience with Python, Scala, Java, or SQL
* At least 3 years of experience with Flink or Spark
* At least 3 years of experience with Kafka
* At least 3 years of experience with Delta Lake or Iceberg
* At least 3 years of experience building performant, resilient Big Data solutions
**Preferred Qualifications:**
* Masters’ Degree
* 10\+ years of experience in data engineering
* 3\+ years of data modeling experience
* 2\+ years of experience with ontology standards for defining a domain
* 3\+ years of experience deploying machine learning models
* 1\+ year of experience deploying Agentic AI solutions
* 3\+ years of experience implementing big data processing solutions on AWS or other cloud providers
* 3\+ years of experience with Snowflake or Databricks
* 3\+ years of experience with Data Observability tooling (lineage, data quality, monitoring or alerting)
***Capital One will consider sponsoring a new qualified applicant for employment authorization for this positio***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$314,800 \- $359,300 for Sr Distinguished Data Engineer  
New York, NY: $343,400 \- $392,000 for Sr Distinguished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2">
      <c r="A12" t="inlineStr">
        <is>
          <t>in-26950d7f225b9257</t>
        </is>
      </c>
      <c r="B12" t="inlineStr">
        <is>
          <t>Data Engineer</t>
        </is>
      </c>
      <c r="C12" t="inlineStr">
        <is>
          <t>BD</t>
        </is>
      </c>
      <c r="D12" t="inlineStr">
        <is>
          <t>indeed</t>
        </is>
      </c>
      <c r="E12" t="inlineStr"/>
      <c r="F12" t="inlineStr"/>
      <c r="G12" t="inlineStr">
        <is>
          <t>Franklin Lakes, NJ, US</t>
        </is>
      </c>
      <c r="H12" s="2" t="n">
        <v>46026</v>
      </c>
      <c r="I12" t="inlineStr">
        <is>
          <t>**Job Description Summary**
===========================
**Job Description**
===================
We are **the makers of possible**
BD is one of the largest global medical technology companies in the world. Advancing the world of health™ is our Purpose, and it’s no small feat. It takes the imagination and passion of all of us—from design and engineering to the manufacturing and marketing of our billions of MedTech products per year—to look at the impossible and find transformative solutions that turn dreams into possibilities.
We believe that the human element, across our global teams, is what allows us to continually evolve. Join us and discover an environment in which you’ll be supported to learn, grow and become your best self. Become a **maker of possible** with us.  
**Job Summary**  
As a Data Engineer at BD, you will be instrumental in designing, building, and maintaining scalable and robust data pipelines and infrastructure. You will work with diverse datasets to enable data\-driven insights and support critical business functions within our innovative healthcare technology environment.  
**Responsibilities**
* **Architect the Future of Data** \- Design, develop, and optimize ETL/ELT processes that transform raw data into valuable business intelligence from diverse sources
* **Build Powerful Pipelines** \- Create and maintain scalable, robust data pipelines leveraging cutting\-edge cloud technologies (particularly Azure).
* **Collaborate Across Teams** \- Work closely with data scientists, analysts, and fellow engineers to understand complex requirements and craft elegant technical solutions
* **Champion Data Quality** \- Implement and maintain rigorous data governance practices ensuring the highest standards of data integrity, quality, and security
* **Document with Precision** \- Develop comprehensive documentation for data models, flows, and architectures that empower the entire organization
* **Solve Complex Challenges** \- Troubleshoot and resolve data\-related issues with determination and creativity, ensuring reliable data availability
* **Drive Excellence** \- Participate actively in code reviews, champion methodological standards, and contribute to our continuous improvement culture
* **Pioneer Innovation** \- Stay at the forefront of emerging data technologies and trends, recommending and implementing cutting\-edge solutions
 **Required Qualifications:**
* Bachelor's degree in Computer Science, Engineering, Information Systems, or a related quantitative field.
* 1 year experience in data engineering, ETL development, or a similar role.
* Experience with data warehousing concepts, data modeling, and schema design.
**Knowledge and Skills:**
* Proficiency in at least one programming language commonly used for data engineering (e.g., Python, Scala, Java).
* Understanding of data governance principles and data security standard methodologies.
* Excellent problem\-solving skills and attention to detail.
* Strong communication and collaboration skills, with the ability to work effectively in cross\-functional teams.
At BD, we prioritize on\-site collaboration because we believe it fosters creativity, innovation, and effective problem\-solving, which are essential in the fast\-paced healthcare industry. For most roles, we require a minimum of 4 days of in\-office presence per week to maintain our culture of excellence and ensure smooth operations, while also recognizing the importance of flexibility and work\-life balance. Remote or field\-based positions will have different workplace arrangements which will be indicated in the job posting.
For certain roles at BD, employment is contingent upon the Company’s receipt of sufficient proof that you are fully vaccinated against COVID\-19\. In some locations, testing for COVID\-19 may be available and/or required. Consistent with BD’s Workplace Accommodations Policy, requests for accommodation will be considered pursuant to applicable law.
At BD, we are committed to supporting our associates’ well\-being, development, and success through a performance\-based culture. For this position, BD offers a competitive compensation package along with the following benefits specific to this role:
* Annual Bonus
* Potential Discretionary LTI Bonus
Health and Well\-being Benefits
* Medical coverage
* Health Savings Accounts
* Flexible Spending Accounts
* Dental coverage
* Vision coverage
* Hospital Care Insurance
* Critical Illness Insurance
* Accidental Injury Insurance
* Life and AD\&amp;D insurance
* Short\-term disability coverage
* Long\-term disability insurance
* Long\-term care with life insurance
Other Well\-being Resources
* Anxiety management program
* Wellness incentives
* Sleep improvement program
* Diabetes management program
* Virtual physical therapy
* Emotional/mental health support programs
* Weight management programs
* Gastrointestinal health program
* Substance use management program
* Musculoskeletal surgery, cancer treatment, and bariatric surgery benefit
Retirement and Financial Well\-being
* BD 401(k) Plan
* BD Deferred Compensation and Restoration Plan
* 529 College Savings Plan
* Financial counseling
* Baxter Credit Union (BCU)
* Daily Pay
* College financial aid and application guidance
Life Balance Programs
* Paid time off (PTO), including all required State leaves
* Educational assistance/tuition reimbursement
* MetLife Legal Plan
* Group auto and home insurance
* Pet insurance
* Commuter benefits
* Discounts on products and services
* Academic Achievement Scholarship
* Service Recognition Awards
* Employer matching donation
* Workplace accommodations
Other Life Balance Programs
* Adoption assistance
* Backup day care and eldercare
* Support for neurodivergent adults, children, and caregivers
* Caregiving assistance for elderly and special needs individuals
* Employee Assistance Program (EAP)
* Paid Parental Leave
* Support for fertility, birthing, postpartum, and age\-related hormonal changes
Leave Programs
* Bereavement leaves
* Military leave
* Personal leave
* Family and Medical Leave (FML)
* Jury and Witness Duty Leave
**Why Join Us?**
A career at BD means being part of a team that values your opinions and contributions and that encourages you to bring your authentic self to work. It’s also a place where we help each other be great, we do what’s right, we hold each other accountable, and learn and improve every day.
To find purpose in the possibilities, we need people who can see the bigger picture, who understand the human story that underpins everything we do. We welcome people with the imagination and drive to help us reinvent the future of health. At BD, you’ll discover a culture in which you can learn, grow, and thrive. And find satisfaction in doing your part to make the world a better place.
To learn more about BD visit https://bd.com/careers
Becton, Dickinson, and Company is an Equal Opportunity Employer. We evaluate applicants without regard to race, color, religion, age, sex, creed, national origin, ancestry, citizenship status, marital or domestic or civil union status, familial status, affectional or sexual orientation, gender identity or expression, genetics, disability, military eligibility or veteran status, and other legally\-protected characteristic
Salary Range:
$ 91,600\.00 \- 151,100\.00 USD Annual
Required Skills
Data Architecture, Data Engineering, Data Flows, Data Lakehouse Architecture, Data Mining, Data Modeling, Microsoft Azure Databricks
Optional Skills
Collaborating
.
**Primary Work Location**
=========================
USA NJ \- Franklin Lakes**Additional Locations**
========================
**Work Shift**
==============
At BD, we are strongly committed to investing in our associates—their well\-being and development, and in providing rewards and recognition opportunities that promote a performance\-based culture. We demonstrate this commitment by offering a valuable, competitive package of compensation and benefits programs which you can learn more about on our Careers Site under Our Commitment to You.
Salary or hourly rate ranges have been implemented to reward associates fairly and competitively, as well as to support recognition of associates’ progress, ranging from entry level to experts in their field, and talent mobility. There are many factors, such as location, that contribute to the range displayed. The salary or hourly rate offered to a successful candidate is based on experience, education, skills, and any step rate pay system of the actual work location, as applicable to the role or position. Salary or hourly pay ranges may vary for Field\-based and Remote roles.
**Salary Range Information**
$91,600\.00 \- $151,100\.00 USD Annual</t>
        </is>
      </c>
    </row>
    <row r="13">
      <c r="A13" t="inlineStr">
        <is>
          <t>in-6f61eaa24fc66e40</t>
        </is>
      </c>
      <c r="B13" t="inlineStr">
        <is>
          <t>Director, Data Engineering</t>
        </is>
      </c>
      <c r="C13" t="inlineStr">
        <is>
          <t>Travelers</t>
        </is>
      </c>
      <c r="D13" t="inlineStr">
        <is>
          <t>indeed</t>
        </is>
      </c>
      <c r="E13" t="inlineStr"/>
      <c r="F13" t="inlineStr"/>
      <c r="G13" t="inlineStr">
        <is>
          <t>Hartford, CT, US</t>
        </is>
      </c>
      <c r="H13" s="2" t="n">
        <v>46026</v>
      </c>
      <c r="I13" t="inlineStr">
        <is>
          <t>**Who Are We?**
Taking care of our customers, our communities and each other. That’s the Travelers Promise. By honoring this commitment, we have maintained our reputation as one of the best property casualty insurers in the industry for over 170 years. Join us to discover a culture that is rooted in innovation and thrives on collaboration. Imagine loving what you do and where you do it.
**Compensation Overview**
The annual base salary range provided for this position is a nationwide market range and represents a broad range of salaries for this role across the country. The actual salary for this position will be determined by a number of factors, including the scope, complexity and location of the role; the skills, education, training, credentials and experience of the candidate; and other conditions of employment. As part of our comprehensive compensation and benefits program, employees are also eligible for performance\-based cash incentive awards.
**Salary Range**
$139,400\.00 \- $230,000\.00**Target Openings**
1**What Is the Opportunity?**
Travelers Data Engineering team constructs pipelines that contextualize and provide easy access to data by the entire enterprise. As a Data Engineering Director you will accelerate growth and transformation of our analytics landscape. In this role, you will lead teams designing and building data solutions that capture, explore, transform and utilize data to support Artificial Intelligence, Machine Learning and business intelligence/insights. In addition to ingesting data from multiple sources and relaying information to relevant partners, you will also mentor and develop a team of data engineers.**What Will You Do?**
* Lead development of analytic data products, including pilots and proof of concepts.
* Execute data strategies with an understanding of enterprise architecture, consumption patterns, platforms and application infrastructure.
* Manage the operationalizing and automating of all capabilities to ensure secure, supported and scalable solutions.
* Present analysis and recommendations to help influence management decisions.
* Guide and coach team members to accelerate career development.
* Establish team processes and procedures.
* Maintain relationships with partner teams to ensure needs are met and impacted areas plan work accordingly.
* Perform other duties as assigned.
**What Will Our Ideal Candidate Have?**
* Bachelor’s Degree in STEM related field or equivalent.
* Extensive experience with a major cloud platform (AWS, Azure, or GCP), hands\-on expertise with cloud\-native data services like object storage and managed warehouses, and proficiency in open\-source, cloud\-enabled data technologies such as Spark, Kafka, Airflow, and dbt.
* Proficient in engineering languages like Python and PySpark, skilled in SQL and performance tuning, and knowledgeable in CI/CD, version control, and infrastructure\-as\-code practices.
* Proactively identifies opportunities to integrate AI/ML, automation, and intelligent tooling into data products and engineering workflows, while being comfortable with evaluating and adopting AI\-assisted development tools to enhance productivity and quality.
* Proven ability to develop team members, build a high\-performing culture, and manage change.
* Translate the organization’s data and AI vision into clear objectives, roadmaps, and deliverables for the team.
* Five or more years of related experience.
* Two or more years of management experience.
* Advanced knowledge of data tools, techniques, and manipulation including cloud platforms, programming languages, and technology platforms.
**What is a Must Have?**
* Bachelor’s degree in computer science, related STEM field, or its equivalent in education and/or work experience.
* 6 additional years of data engineering experience.
**What Is in It for You?**
* **Health Insurance**: Employees and their eligible family members – including spouses, domestic partners, and children – are eligible for coverage from the first day of employment.
* **Retirement:** Travelers matches your 401(k) contributions dollar\-for\-dollar up to your first 5% of eligible pay, subject to an annual maximum. If you have student loan debt, you can enroll in the Paying it Forward Savings Program. When you make a payment toward your student loan, Travelers will make an annual contribution into your 401(k) account. You are also eligible for a Pension Plan that is 100% funded by Travelers.
* **Paid Time Off:** Start your career at Travelers with a minimum of 20 days Paid Time Off annually, plus nine paid company Holidays.
* **Wellness Program:** The Travelers wellness program is comprised of tools, discounts and resources that empower you to achieve your wellness goals and caregiving needs. In addition, our mental health program provides access to free professional counseling services, health coaching and other resources to support your daily life needs.
* **Volunteer Encouragement:** We have a deep commitment to the communities we serve and encourage our employees to get involved. Travelers has a Matching Gift and Volunteer Rewards program that enables you to give back to the charity of your choice.
**Employment Practices**
Travelers is an equal opportunity employer. We value the unique abilities and talents each individual brings to our organization and recognize that we benefit in numerous ways from our differences.
In accordance with local law, candidates seeking employment in Colorado are not required to disclose dates of attendance at or graduation from educational institutions.
If you are a candidate and have specific questions regarding the physical requirements of this role, please send us an email so we may assist you.
Travelers reserves the right to fill this position at a level above or below the level included in this posting.
To learn more about our comprehensive benefit programs please visit http://careers.travelers.com/life\-at\-travelers/benefits/.</t>
        </is>
      </c>
    </row>
    <row r="14">
      <c r="A14" t="inlineStr">
        <is>
          <t>in-8c158324837d6b45</t>
        </is>
      </c>
      <c r="B14" t="inlineStr">
        <is>
          <t>Principal Data Engineer (CoreAI)</t>
        </is>
      </c>
      <c r="C14" t="inlineStr">
        <is>
          <t>Microsoft</t>
        </is>
      </c>
      <c r="D14" t="inlineStr">
        <is>
          <t>indeed</t>
        </is>
      </c>
      <c r="E14" t="inlineStr"/>
      <c r="F14" t="inlineStr"/>
      <c r="G14" t="inlineStr">
        <is>
          <t>Redmond, WA, US</t>
        </is>
      </c>
      <c r="H14" s="2" t="n">
        <v>45994</v>
      </c>
      <c r="I14" t="inlineStr">
        <is>
          <t>**Overview**  
Core AI is at the forefront of Microsoft’s mission to redefine how software is built and experienced. We are responsible for building the foundational platforms, services, programming models, and developer experiences that power the next generation of applications using Generative AI. Our work enables developers and enterprises to harness the full potential of AI to create intelligent, adaptive, and transformative software.
The EngThrive Insights team is responsible for understanding the developer experience. Our mission is to deliver insights that enable Microsoft to be the best place to work as an engineer, where it is fast and easy to do great work.
In this role, you will serve as one of the leads for the data platform that underpins EngThrive insights. Your responsibilities will include designing and maintaining data pipelines, curating high\-quality datasets, performing in\-depth data analysis, developing dashboards, and building the data and AI infrastructure that supports these capabilities and our missions.
Success in this position requires versatility across multiple domains, including software engineering and data analytics, as well as a strong passion for, and understanding of, the tools and processes that shape the engineering workflow.
At Microsoft, our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**Shape the Product Vision:** Define and influence the product roadmap by aligning technical strategy with business goals and customer needs.
 **Architect for Scale and Sustainability:** Design and evolve durable, scalable system architectures that balance long\-term maintainability with short\-term delivery needs, making thoughtful engineering trade\-offs.
 **Direct Impact:** Leads by example and mentor others to produce extensible and maintainable code used across the platform. Creates and applies metrics to drive the quality and stability of code, as well as appropriate coding patterns and best practices.
**Foster Engineering Alignment:** Build consensus across engineering teams and partner organizations by driving clarity, alignment, and shared ownership of technical direction.  
**Build Foundational Capabilities:** Contribute to and lead the development of core platform components and reusable building blocks that accelerate team velocity and product innovation.  
**Mentor and Grow Talent:** Support the growth of engineers through mentorship, knowledge sharing, and by enabling long\-term ownership of key systems.  
**Champion Customer\-Centric Development:** Engage directly with customers and product teams to capture feedback, understand demand signals, and refine product messaging—ensuring the voice of the customer shapes product evolution.  
**Operational Excellence:** Drive operational excellence in managing and operating large\-scale data systems with a high bar for data quality, stability, security and privacy. Set high standards for reliability and performance.
 **Qualifications** **Required Qualifications:**
* Master's Degree in Computer Science, Math, Software Engineering, Computer Engineering, or related field AND 4\+ years experience in business analytics, data science, software development, data modeling, or data engineering OR Bachelor's Degree in Computer Science, Math, Software Engineering, Computer Engineering, or related field AND 6\+ years experience in business analytics, data science, software development, data modeling, or data engineering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Demonstrated expertise in building, evolving and leading complex data platforms.
* Experience with data visualization technologies such as PowerBI, Tableau, Grafana, or similar.
* 4\+ years of experience working with complex data sets, data pipelines and solving challenging data problems at scale.
4\+ years of experience and expertise working with data products such as Microsoft Fabric, Databricks, or similar.  
* 
Data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5">
      <c r="A15" t="inlineStr">
        <is>
          <t>in-ea1c86c651b25e4d</t>
        </is>
      </c>
      <c r="B15" t="inlineStr">
        <is>
          <t>Technical Leader, Data Engineering &amp; ML Platform</t>
        </is>
      </c>
      <c r="C15" t="inlineStr">
        <is>
          <t>SoundThinking</t>
        </is>
      </c>
      <c r="D15" t="inlineStr">
        <is>
          <t>indeed</t>
        </is>
      </c>
      <c r="E15" t="inlineStr"/>
      <c r="F15" t="inlineStr"/>
      <c r="G15" t="inlineStr">
        <is>
          <t>Fremont, CA, US</t>
        </is>
      </c>
      <c r="H15" s="2" t="n">
        <v>46027</v>
      </c>
      <c r="I15" t="inlineStr">
        <is>
          <t>**Position Overview**
We're seeking a hands\-on technical leader with engineering velocity who owns end\-to\-end delivery of ML products from research to production—including edge deployment. You'll architect transformer models, optimize distributed training, build MLOps infrastructure, and leverage AI agents to automate workflows and accelerate productivity. Lead with an abundance mindset and "can\-do" attitude, writing code, debugging Ray clusters, fine\-tuning LLMs, and relentlessly removing friction.
**Essential Responsibilities/Duties**
Hands\-On Technical Leadership \&amp; Velocity
* Roll up your sleeves: Build models, debug distributed training, optimize transformer inference (cloud \&amp; edge), review ML code
* Architect self\-service ML platform on Databricks/MLflow that dramatically accelerates time\-to\-production
* Deploy AI agents for automation: code generation, pipeline optimization, testing, documentation, monitoring alerts
* Fine\-tune and deploy transformer models using Huggingface; optimize for latency, cost, and edge constraints
* Build fast iteration loops: automated training pipelines using Spark/Ray, one\-click deployments, instant rollbacks
* Design edge inference solutions: model quantization, TFLite/ONNX conversion, on\-device optimization
* Eliminate bottlenecks: use AI\-assisted tooling to automate manual processes, generate boilerplate, accelerate development
* Establish CI/CD for ML: automated testing, validation, deployment enabling continuous releases
AI\-Powered Productivity \&amp; Automation
* Leverage AI agents to multiply team productivity: automated code reviews, test generation, feature engineering suggestions
* Build AI\-powered developer tools: intelligent debugging assistants, automated documentation, performance optimization
* Use LLMs for workflow automation: data quality checks, model evaluation reports, incident triage
* Create AI copilots for common tasks: pipeline creation, model deployment, configuration management
* Experiment with agentic workflows for complex automation: multi\-step data processing, autonomous model tuning
End\-to\-End ML Product Delivery at Speed
Own delivery from experimentation* production (cloud \&amp; edge) with aggressive focus on cycle time reduction
* Ship MVPs quickly; iterate based on production feedback
* Remove blockers relentlessly through hands\-on problem solving
* Build MLOps infrastructure: automated retraining, A/B testing, monitoring, drift detection
* Measure and optimize velocity metrics: deployment frequency, lead time, automation coverage
Abundance Mindset \&amp; High\-Velocity Culture
* Build force\-multiplier platforms: enable data scientists to ship faster through automation and AI tooling
* Create reusable components, AI\-powered templates, and patterns eliminating repetitive work
* Share knowledge; reduce onboarding time through AI\-generated documentation and interactive guides
* Foster "ship and iterate" culture: bias toward action, fast feedback loops, AI\-assisted development
* Celebrate speed AND quality; make doing the right thing the fast thing
Team \&amp; Strategy
* Scale high\-velocity ML team shipping production impact continuously
* Drive platform strategy focused on AI\-powered developer productivity and automation
* Partner cross\-functionally to reduce dependencies and enable parallel workstreams
**Minimum Qualifications**
* Deep hands\-on ML/data science experience; proven track record leading technical teams
* Expert in Python, PyTorch/TensorFlow, transformers, Huggingface
* Production experience with Databricks, MLflow, Spark, Ray
* Deep expertise in LLMs: fine\-tuning (LoRA, PEFT), optimization, RAG, embeddings
* Edge inference experience: model compression, quantization, TFLite/ONNX, on\-device deployment
* Track record accelerating velocity: built platforms, automation, AI\-powered developer tools
* Experience deploying AI agents for workflow automation and productivity enhancement
* Strong MLOps and CI/CD experience; with reducing deployment friction
Travel: 10%
**Tech Stack**
Databricks • MLflow • Huggingface • Spark • Ray • PyTorch • TensorFlow Lite • ONNX • LangChain/LlamaIndex • AI Agents • Docker • Kubernetes • CI/CD • AWS/GCP/Azure
 **Note: The Company reserves exclusive right in its sole discretion to modify, adjust, delete, add or otherwise change the above at any time.**  
SoundThinking provides equal employment opportunities (EEO) to all employees and applicants for employment without regard to race, color, religion, sex, national origin, age, disability or genetics. In addition to federal law requirements, SoundThinking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SoundThinking maintains a drug\-free workplace policy.
SoundThinking expressly prohibits any form of workplace harassment based on race, color, religion, gender, sexual orientation, gender identity or expression, national origin, age, genetic information, disability, or veteran status. Improper interference with the ability of SoundThinking’s employees to perform their job duties may result in discipline up to and including discharge. If you are an individual with a disability and require a reasonable accommodation to complete any part of the application process, or are limited in the ability or unable to access or use this online application process and need an alternative method for applying, you may contact SoundThinking at careers@soundthinking.com for assistance.
The above salary is based on a good faith estimate made at the time of publication and may be modified in the future. The pay offered to a candidate may vary within this range depending on factors such as education, experience, and geographic location. **\#LI\-SSD**</t>
        </is>
      </c>
    </row>
    <row r="16">
      <c r="A16" t="inlineStr">
        <is>
          <t>in-ca807d607a41d359</t>
        </is>
      </c>
      <c r="B16" t="inlineStr">
        <is>
          <t>Morgan Health - Health Care Innovation - Vice President of Health Care Analytics Engineering</t>
        </is>
      </c>
      <c r="C16" t="inlineStr">
        <is>
          <t>JPMorganChase</t>
        </is>
      </c>
      <c r="D16" t="inlineStr">
        <is>
          <t>indeed</t>
        </is>
      </c>
      <c r="E16" t="inlineStr"/>
      <c r="F16" t="inlineStr"/>
      <c r="G16" t="inlineStr">
        <is>
          <t>New York, NY, US</t>
        </is>
      </c>
      <c r="H16" s="2" t="n">
        <v>46027</v>
      </c>
      <c r="I16" t="inlineStr">
        <is>
          <t>**JOB DESCRIPTION**  
In 2021, JPMorgan Chase launched Morgan Health, a new business unit focused on improving the quality, equity, and affordability of employer\-sponsored health care in the United States. Morgan Health pursues this strategy through investments, collaborations with the JPMC Benefits team, engagements with other market leaders, sophisticated data analytics and research, and policy advocacy. Morgan Health is headquartered in Washington, DC, with members of the team based in New York City and Boston. To learn more about our strategy and latest developments, please visit: www.morganhealth.com.  
As a Vice President of Health Care Analytics Engineering within Morgan Health, you will utilize their deep experience with data warehouses, transformations, and product design thinking to evolve and execute a scalable data warehouse for the Morgan Health team. In this role, you will leverage your expertise in health care data modeling – ideally across health care claims data, survey data, biometrics data and industry\-standard groupers – to propose and implement new data marts, logic, and measures for use by the team’s data scientists. You will lean into your skills as a motivated problem\-solver, team collaborator, and clear communicator to play a crucial role in progressing Morgan Health's mission to improve health care for JPMC health plan members and across employer\-sponsored insurance.
**Job Responsibilities:**
* Maintain a holistic view of the internal health care warehouse semantics layer and effectively prioritize improvements and expansions with an eye toward scalability
* Facilitate product design sessions with data scientists end users to comprehensively and effectively capture requirements related to their business cases
* Design and implement health care data modeling solutions such as data marts within Morgan Health’s analytics environment
* Develop and maintain robust testing framework and test code to ensure data products match established requirements as new data are delivered
* Become a subject matter expert on Morgan Health’s data sources: understand their context, limitations, and maintain data lineage documentation and data catalog to promote transparency for data scientist end users
* Leverage familiarity with health care data to proactively investigate, identify root causes, and address data quality issues to ensure Morgan Health produces accurate and reliable insights
* Scope and manage new data ingestions in collaboration with upstream data providers and engineering team to ensure data are accurately processed, cleaned, and integrated into the production warehouse through clear requirements
* Ensure Morgan Health’s data warehouse adheres to all data privacy standards, regulations and industry standard data governance practices
Participate in code reviews with both engineers and data scientists, advising on and adhering to coding standards and best practices  
* 
**Required Qualifications, Capabilities, and Skills**
* Bachelor’s degree in a quantitative field such as computer science, information systems, engineering, or a related discipline
* 7\+ years of professional experience (or 5\+ years of professional experience \+ related graduate degree) in data engineering, analytics engineering or product design thinking with a strong emphasis on health care data
* Proven track record of creating and maintaining data models, data marts, and ETL processes to deliver creative solutions that meet competing business needs
* Strong understanding of health care data warehousing concepts, data modeling techniques, and data quality principles
* Hands\-on experience with dbt and common coding languages such as Python, R, and SQL
* Experience developing technical documentation and requirements for data or software engineering teams to implement
Team\-oriented attitude with excellent communication skills and the ability to collaborate effectively with cross\-functional teams  
* 
**Preferred Qualifications, Capabilities, and Skills**
* Master's degree or PhD in a quantitative field such as Computer Science, Information Systems, Engineering, or a related discipline
* Subject matter expertise in medical and pharmaceutical claims data, including familiarity with common coding standards and standardizations, groupers, data transformations (e.g., TUVA) and logic (e.g., HEDIS rules)
* Hands\-on experience with Databricks or similar technologies
* Proven experience in developing and managing health care claims warehouses in a payer or care delivery setting
* Background in creating data infrastructure and transformations that support value\-based care contracting and reconciliation processes
* Proven ability to successfully multitask effectively, balance competing priorities, and design creative solutions
* Expertise in implementing AI solutions, including LLM and Copilot, modernizing technology stacks, and enabling reporting through business intelligence and data visualization tools
* Ability to work directly with non\-technical business stakeholders to effectively communicate strategy and understand their needs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17">
      <c r="A17" t="inlineStr">
        <is>
          <t>in-8028a96726cb1b9f</t>
        </is>
      </c>
      <c r="B17" t="inlineStr">
        <is>
          <t>Senior Data Engineer | Corporate Real Estate PMO</t>
        </is>
      </c>
      <c r="C17" t="inlineStr">
        <is>
          <t>Mace Group</t>
        </is>
      </c>
      <c r="D17" t="inlineStr">
        <is>
          <t>indeed</t>
        </is>
      </c>
      <c r="E17" t="inlineStr"/>
      <c r="F17" t="inlineStr"/>
      <c r="G17" t="inlineStr">
        <is>
          <t>New York, NY, US</t>
        </is>
      </c>
      <c r="H17" s="2" t="n">
        <v>46027</v>
      </c>
      <c r="I17" t="inlineStr">
        <is>
          <t>At Mace, our purpose is to redefine the boundaries of ambition. We believe in creating places that are responsible, bringing transformative impact to our people, communities and societies across the globe. To learn more about our purpose, culture, and priorities, visit our strategy site.
Within our business we harness our unique combination of leading\-edge practical expertise and project delivery to unlock the potential in every project.
Our values shape the way we consult, and define the people we want to join us on our journey, they are:* Safety First \-
 Going Home Safe And Well
* Client Focus \-
 Deliver On Our Promise
* Integrity \-
 Always Do The Right Thing
* Create Opportunity \-
 For Our People To Excel
Data Engineer responsible for extending the data lake and data warehouse that underpins the reporting and analytics solutions within the corporate Digital team by ingesting, egressing and transforming data from multiple sources. Manages, mentors and coaches team members to help improve team skills and gain experience. Deputises for Head of Data and Analytics when necessary.
You’ll Be Responsible For:* Overall technical design of data lake/data warehouse working alongside data architecture team.
* Ensuring best practice and governance are adhered to.
* Providing comprehensive use of services and tools to ingest, egress and transform data from multiple sources.
* Managing and securing the flow of structured and unstructured data from multiple sources.
* Building and optimizing data flows for use across the organisation.
* Building robust end\-to\-end systems with long\-term maintenance and support in mind.
* Maintaining expert knowledge of technology platforms and looking to implement new innovations and features.
* Collaborating with the data architecture team to scope out changes to data and information architecture.
* Building strong relationships and engagement with IT Service management software engineering partners to successfully transition deliverables into service.
* Working collaboratively towards the common goal of net zero carbon transition and share responsibility for the proactive identification and management of the associated carbon emissions and reductions during the delivery of work.
You’ll Need To Have:* Strong data engineering experience using Python and SQL core Microsoft Azure technologies including Data Factory, Databricks, Data Lake, Azure SQL, LogicApps, PowerShell.
* Strong technical communication skills.
* Ability to understand and clarify ambiguous requirements from business stakeholders.
* Initiative to persistently engage stakeholders and find solutions to execute complex technical projects.
* Ability to quickly synthesize and apply new information in a rapidly changing and highly specialized environment.
* Strong attention to detail.
* Experience with Power BI.
* Experience managing a delivery team that is fully responsible for the quality of the solutions they build and deploy.
* Self\-motivated and able to work independently yet open and collaborative.
* Manages and influences Key/Senior stakeholders.
* Track record of delivering well\-engineered solutions using best practices such as TDD CI/CD, Peer review.
* Experience of working in a similar role on a large programme.
* Full project lifecycle experience across a number of large projects.
* Knowledge of IT Service management based on ITIL practices.
You’ll Also Have:* Experience building ML models and pipelines.
* Experience in real estate, architecture, or construction industry.
* Experience building data analytics and business intelligence solutions.
* Experience working with common enterprise software platforms including HRMS, ERP, CRM, PLM, Finance.
* Oracle and experience advantageous.
* Experience of implementing big data/analytics services.
* Previous experience in the construction sector is advantageous but not essential.
* Microsoft cloud and data platform\-related certifications.
* Personal effectiveness e.g. stakeholder management, effective communicator
* Direct line management experience.
* Experience in managing a team of technical IT specialists.
* Experience with offshore delivery models.
Please Note: The estimated salary for this position is $125K. Starting salary may vary based on permissible, non\-discriminatory factors such as experience, skills and qualifications.”
Mace is an inclusive employer and welcomes interest from a diverse range of candidates. Even if you feel you do not fulfil all of the criteria, please apply as you may still be the best candidate for this role or another role within our organization.
We are also open to discussing part time, flexible, and hybrid working options if suitable within the role.
\#LI\-On\-site</t>
        </is>
      </c>
    </row>
    <row r="18">
      <c r="A18" t="inlineStr">
        <is>
          <t>in-e237cf78abd0d42b</t>
        </is>
      </c>
      <c r="B18" t="inlineStr">
        <is>
          <t>Senior Data Engineering Lead</t>
        </is>
      </c>
      <c r="C18" t="inlineStr">
        <is>
          <t>Citi</t>
        </is>
      </c>
      <c r="D18" t="inlineStr">
        <is>
          <t>indeed</t>
        </is>
      </c>
      <c r="E18" t="inlineStr"/>
      <c r="F18" t="inlineStr"/>
      <c r="G18" t="inlineStr">
        <is>
          <t>Jersey City, NJ, US</t>
        </is>
      </c>
      <c r="H18" s="2" t="n">
        <v>46027</v>
      </c>
      <c r="I18" t="inlineStr">
        <is>
          <t>**Discover your future at Citi**
--------------------------------
Working at Citi is far more than just a job. A career with us means joining a team of more than 230,000 dedicated people from around the globe. At Citi, you’ll have the opportunity to grow your career, give back to your community and make a real impact.
**Job Overview**
----------------
Citi, the leading global bank, has approximately 200 million customer accounts and does business in more than 160 countries and jurisdictions. Our core activities are safeguarding assets, lending money, making payments and accessing the capital markets on behalf of our clients.
Citi’s Mission and Value Proposition explain what we do and Strategy explain how we do it. Our mission is to serve as a trusted partner to our clients by responsibly providing financial services that enable growth and economic progress. We strive to earn and maintain our clients’ and the public’s trust by constantly adhering to the highest ethical standards and making a positive impact on the communities we serve.
Investor Services, a leading business line in the Citi Services and offers the full spectrum of capabilities to clients including Custody, Fund Accounting, Investment Accounting, Fund Administration, Middle Office Services, Performance and Risk Analytics, Transfer Agency and Securities lending across multiple jurisdictions.
Investor Services has embarked on significant business growth through digital transformation and technology investments. To meet the objectives of the business, Investor Services Technology is undergoing an exciting platform modernization journey focused on improving agility, scalability, and simplifying the architecture. Program Execution is underway since 2022, with transformational leaders dedicated to this multiyear program and moving to a new next generation architecture on a cloud native platform.
The **Senior Data Engineering Lead** is a senior level position responsible for establishing and implementing new or revised Credit application systems and programs in coordination with the Technology Team. The overall objective of this role is to lead applications systems analysis and programming activities for Credit suite of applications across Investor Services and also drive standardization and modernization of Credit strategy and architecture across Services.  
**Responsibilities:**
* **Technical Leadership:** Provide technical leadership and mentorship to a team of Data Engineers. Oversee the design, development, and optimization of scalable and robust big data solutions and pipelines.
* **Big Data Engineering:** Utilize extensive expertise in big data technologies such as Apache Spark (with Scala/Python), Apache Kafka, and distributed data processing frameworks. Design, develop, and implement highly performant and fault\-tolerant ETL/ELT pipelines for large\-scale data ingestion, processing, and transformation.
* **System Analysis and Design:** Partner with multiple management teams to ensure appropriate integration of functions to meet goals. Identify and define necessary system enhancements to deploy new products and process improvements. Conduct in\-depth analysis of complex business processes and system processes to recommend innovative solutions.
* **Project Management:** Manage and implement successful projects, ensuring adherence to timelines, budget, and quality standards. Utilize project management methodologies (e.g., Scaled Agile Framework (SAFe) using JIRA) to drive project execution.
* **Code Quality and Standards:** Ensure application design adheres to the overall architecture blueprint. Develop and enforce standards for coding, testing, debugging, and implementation. Conduct code reviews to ensure code quality and compliance with standards.
* **Collaboration and Communication:** Collaborate with cross\-functional teams, including architects, infrastructure engineers, and business analysts, to deliver integrated solutions. Consistently demonstrate clear and concise written and verbal communication.
* **Mentoring and Coaching:** Serve as an advisor or coach to mid\-level developers and analysts, allocating work as necessary and providing guidance on technical best practices.
* **Risk Management:** Appropriately assess risk when business decisions are made, demonstrating particular consideration for the firm's reputation and safeguarding Citigroup, its clients, and assets. Drive compliance with applicable laws, rules, and regulations, adhering to Policy, applying sound ethical judgment regarding personal behavior, conduct, and business practices, and escalating, managing, and reporting control issues with transparency.
* **DevOps Practices:** Implement and promote DevOps practices, including continuous integration, continuous delivery, and automated testing.
* **Containerization and Orchestration:** Utilize Openshift for container orchestration, ensuring applications are scalable, resilient, and easily deployed.
* **Version Control:** Manage source code using GitHub, following established branching strategies and code review processes.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**Qualifications:**
* 10\+ years of progressive technology experience in banking or financial services, including 5\+ years of hands\-on delivery leadership across enterprise\-grade platforms.
* Proven success managing large\-scale, cross\-functional Agile delivery in regulated environments with a strong track record of engineering excellence.
* Solid academic foundation in Computer Science or Engineering; certifications in Agile/SAFe, Cloud, or GenAI/ML frameworks are a strong plus.
* Strong hands\-on experience in solutioning and delivering modern architectures, including microservices, cloud\-native APIs, and secure data pipelines.
* Deep working knowledge of Agile/SAFe delivery frameworks, sprint planning, PI planning, and DevSecOps automation (CI/CD, GitOps, release pipelines).
* Practical exposure to Generative AI and LLM\-based tools, with ability to drive automation, code acceleration, or intelligent query/document processing.
* Experience leading production\-grade implementations on hybrid/multi\-cloud platforms, including failover, monitoring, and resiliency engineering.
* Effective communicator and influencer across business, engineering, and architecture; adept at connecting GenAI innovation to business outcomes.
**Education:**
* Bachelor’s degree/University degree or equivalent experience
* Academic foundation in Computer Science or Engineering; certifications in Agile/SAFe, Cloud, or GenAI/ML frameworks are a strong plus.
This job description provides a high\-level review of the types of work performed. Other job\-related duties may be assigned as required.
\-
**Job Family Group:**
Technology
\-
**Job Family:**
Applications Development
\-
**Time Type:**
Full time
\-
**Primary Location:**
Jersey City New Jersey United States
\-
**Primary Location Full Time Salary Range:**
$176,720\.00 \- $265,080\.00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**Most Relevant Skills**
Please see the requirements listed above.
\-
**Other Relevant Skills**
For complementary skills, please see above and/or contact the recruiter.
\-
**Anticipated Posting Close Date:**
Jan 31, 2026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row>
    <row r="19">
      <c r="A19" t="inlineStr">
        <is>
          <t>in-47d91d859a1179a7</t>
        </is>
      </c>
      <c r="B19" t="inlineStr">
        <is>
          <t>Big Data Engineer</t>
        </is>
      </c>
      <c r="C19" t="inlineStr">
        <is>
          <t>Inclusion Cloud</t>
        </is>
      </c>
      <c r="D19" t="inlineStr">
        <is>
          <t>indeed</t>
        </is>
      </c>
      <c r="E19" t="inlineStr"/>
      <c r="F19" t="inlineStr"/>
      <c r="G19" t="inlineStr">
        <is>
          <t>Dallas, TX, US</t>
        </is>
      </c>
      <c r="H19" s="2" t="n">
        <v>46027</v>
      </c>
      <c r="I19" t="inlineStr">
        <is>
          <t>**About the Role**
------------------
We are seeking a **Senior Big Data Engineer** with strong experience in **Business Intelligence, Machine Learning, and AI\-driven solutions** to join our data and analytics team. This role is ideal for a hands\-on professional who can design, build, and optimize large\-scale data platforms while enabling advanced analytics and AI use cases.
The candidate must be able to **communicate fluently in English**, as they will work closely with international stakeholders, data scientists, product teams, and business users.
**Key Responsibilities**
------------------------
* Design, build, and maintain **scalable Big Data architectures** for analytics, BI, and AI use cases.
* Develop and optimize **data pipelines** (batch and streaming) to ingest, process, and transform large volumes of data from multiple sources.
* Enable **Business Intelligence solutions**, ensuring data availability, quality, and performance for dashboards and reports.
* Collaborate with Data Scientists and ML Engineers to **prepare data for Machine Learning and AI models**.
* Support the **deployment, monitoring, and optimization** of ML and AI models in production environments.
* Work closely with business and analytics teams to translate **business requirements into technical data solutions**.
* Ensure **data governance, security, and compliance** across data platforms.
* Optimize data performance, cost, and reliability in cloud\-based environments.
* Document data models, pipelines, and architectural decisions.
**Required Skills \&amp; Experience**
---------------------------------
* 5\+ years of experience in **Big Data Engineering** or similar data\-focused roles.
* Strong experience with **Big Data technologies** (e.g., Spark, Hadoop, Kafka, Databricks, or similar).
* Solid background in **Business Intelligence**, including data modeling and support for reporting and dashboards.
* Hands\-on experience working with **Machine Learning and AI use cases**, including data preparation and model integration.
* Proficiency in **SQL** and at least one programming language such as **Python or Scala**.
* Experience with **cloud platforms** (AWS, Azure, or GCP).
* Knowledge of **data warehousing and data lake architectures**.
* Experience working with **structured and unstructured data**.
* Strong problem\-solving and analytical skills.
* **Fluent English** (spoken and written) is mandatory.
**Nice to Have**
----------------
* Experience supporting **AI/ML pipelines** in production environments.
* Knowledge of **MLOps** concepts and tools.
* Experience with **real\-time or streaming analytics**.
* Familiarity with **data governance and data quality frameworks**.
* **Experience working on Oracle\-based projects (e.g., Oracle Database, Oracle Analytics, Oracle Cloud Infrastructure) is a strong plus.**
* Experience working in **international or distributed teams**.</t>
        </is>
      </c>
    </row>
    <row r="20">
      <c r="A20" t="inlineStr">
        <is>
          <t>in-a8e7dd874df33d07</t>
        </is>
      </c>
      <c r="B20" t="inlineStr">
        <is>
          <t>Sr. Data Engineer III (6322)</t>
        </is>
      </c>
      <c r="C20" t="inlineStr">
        <is>
          <t>Metrostar Systems</t>
        </is>
      </c>
      <c r="D20" t="inlineStr">
        <is>
          <t>indeed</t>
        </is>
      </c>
      <c r="E20" t="inlineStr"/>
      <c r="F20" t="inlineStr"/>
      <c r="G20" t="inlineStr">
        <is>
          <t>Tysons, VA, US</t>
        </is>
      </c>
      <c r="H20" s="2" t="n">
        <v>46027</v>
      </c>
      <c r="I20" t="inlineStr">
        <is>
          <t>As **Sr. Data Engineer III**, you'll work with a cross\-functional team to help design and ingest data from different Object Management Systems that support mission operations for our classified customer.
We know that you can't have great technology services without amazing people. At MetroStar, we are **obsessed** withour people and have led a two\-decade legacy of building the best and brightest teams. Because we know our future relies on our deep understanding and relentless focus on our people, we live by our mission: A passion for our people. Value for our customers.
If you think you can see yourself delivering our mission and pursuing our goals with us, then check out the job description below!
**What you'll do:**
* Work with AI team members to operationalize data pipelines and ML tasks.
* Provide day\-to\-day support of deploying Python\-native ML pipelines and perform data engineering tasks to enable AI/ML capabilities.
* Present results to a diverse audience in presentation or report form.
* Support architectural leadership, technical support, and advisement services to ensure identity management system technologies are integrated and meeting the appropriate security requirements.
* Support leadership who engage with senior level executives at a public facing Federal agency and provide subject matter expertise in security architecture and other key domain areas.
**What you'll need to succeed:**
* Minimum 10 years experience
* Bachelor's Degree in Computer Science, Information Technology Management or Engineering, or other comparable degree or experience
* Active TS/SCI \+ CI Poly
* 8\+ years of experience in Data/ML engineering
* Expert Experience with ETL, data labeling, and data preparation
* 8\+ years experience with at least 2 of the following technologies: Cloudera, DataBricks, Snowflake, NiFi, Python, SQL, Kafka
* Expert experience designing, developing, and deploying data solutions in classified AWS cloud environments up to IL6\+
* Expert experience designing, implementing, and maintaining data architecture and services to be used for AI/ML. Additionally, operationalizing and maintaining AI/ML models in production.
* Strong communication skills, ability to communicate technical concepts in both layman and technical terms to technical and non\-technical stakeholders
* Ability to perform data analytics on program related or system related activities. \-This will include assessing performance and manual processes implementing methods/algorithms to automate/optimize
SALARY RANGE: $170,000 \- $220,000
The salary range for this position is determined based on qualifications, skills, and relevant experience. The final salary offered will be determined based on several factors including:
* The candidate's professional background and relevant work experience
* The specific responsibilities of the role and organizational needs
* Internal equity and alignment with current team compensation
* This role is also eligible for additional compensation, subject to the terms and policies of MetroStar, which may include:
* + Performance\-based bonuses
	+ Company\-paid training and/or certifications
	+ Referral bonuses
*To apply for this position, please submit your resume via the form below or through our careers page:* *https://www.metrostar.com/jobs/*
**Application Deadline:** Applications will be accepted on a rolling basis until the position is filled; candidates are encouraged to apply as early as possible for full consideration.
**Additional Compensation**: This role may also be eligible for bonuses and/or additional incentives based on individual and company performance.
**Benefits**: All full\-time employees are eligible to participate in our benefits programs:
* Health, dental, and vision insurance
* 401(k) retirement plan with company match
* Paid time off (PTO) and holidays
* Parental Leave and dependent care
* Flexible work arrangements
* Professional development opportunities
* Employee assistance and wellness programs
Like we said, **we are** big fans of our people. That's why **we offer** a generous benefits package, professional growth, and valuable time to recharge. Learn more about our company culture code and benefits. Plus, check out our accolades.
**Commitment to Non\-Discrimination**  
All qualified applicants will receive consideration for employment based on merit and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status as a protected veteran, or any other status protected by applicable federal, state, local, or international law.
**What we want you to know:**
In compliance with federal law, all persons hired will be required to verify identity and eligibility to work in the United States and to complete the required employment eligibility verification form upon hire.
**Not ready to apply now?**
Sign up to join our newsletter here.</t>
        </is>
      </c>
    </row>
    <row r="21">
      <c r="A21" t="inlineStr">
        <is>
          <t>in-8b77c7e9e546b21f</t>
        </is>
      </c>
      <c r="B21" t="inlineStr">
        <is>
          <t>Data Engineer</t>
        </is>
      </c>
      <c r="C21" t="inlineStr">
        <is>
          <t>Amazon.com</t>
        </is>
      </c>
      <c r="D21" t="inlineStr">
        <is>
          <t>indeed</t>
        </is>
      </c>
      <c r="E21" t="inlineStr"/>
      <c r="F21" t="inlineStr"/>
      <c r="G21" t="inlineStr">
        <is>
          <t>Seattle, WA, US</t>
        </is>
      </c>
      <c r="H21" s="2" t="n">
        <v>46001</v>
      </c>
      <c r="I2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in-a602aea25d45a5c4</t>
        </is>
      </c>
      <c r="B22" t="inlineStr">
        <is>
          <t>Data Engineer</t>
        </is>
      </c>
      <c r="C22" t="inlineStr">
        <is>
          <t>Amazon.com</t>
        </is>
      </c>
      <c r="D22" t="inlineStr">
        <is>
          <t>indeed</t>
        </is>
      </c>
      <c r="E22" t="inlineStr"/>
      <c r="F22" t="inlineStr"/>
      <c r="G22" t="inlineStr">
        <is>
          <t>San Francisco, CA, US</t>
        </is>
      </c>
      <c r="H22" s="2" t="n">
        <v>46001</v>
      </c>
      <c r="I2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in-fd88b6086179a6e0</t>
        </is>
      </c>
      <c r="B23" t="inlineStr">
        <is>
          <t>Delivery Consultant - Data Engineer, Data and Machine Learning, WWPS US Federal</t>
        </is>
      </c>
      <c r="C23" t="inlineStr">
        <is>
          <t>Amazon Web Services</t>
        </is>
      </c>
      <c r="D23" t="inlineStr">
        <is>
          <t>indeed</t>
        </is>
      </c>
      <c r="E23" t="inlineStr"/>
      <c r="F23" t="inlineStr"/>
      <c r="G23" t="inlineStr">
        <is>
          <t>Herndon, VA, US</t>
        </is>
      </c>
      <c r="H23" s="2" t="n">
        <v>45991</v>
      </c>
      <c r="I23"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in-fcbc2f9dda961e6e</t>
        </is>
      </c>
      <c r="B24" t="inlineStr">
        <is>
          <t>Delivery Consultant - Data Engineer, Data and Machine Learning, WWPS US Federal</t>
        </is>
      </c>
      <c r="C24" t="inlineStr">
        <is>
          <t>Amazon Web Services</t>
        </is>
      </c>
      <c r="D24" t="inlineStr">
        <is>
          <t>indeed</t>
        </is>
      </c>
      <c r="E24" t="inlineStr"/>
      <c r="F24" t="inlineStr"/>
      <c r="G24" t="inlineStr">
        <is>
          <t>Arlington, VA, US</t>
        </is>
      </c>
      <c r="H24" s="2" t="n">
        <v>45991</v>
      </c>
      <c r="I24"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in-c2e6f1e5f0a58540</t>
        </is>
      </c>
      <c r="B25" t="inlineStr">
        <is>
          <t>Data Engineer III, ITA</t>
        </is>
      </c>
      <c r="C25" t="inlineStr">
        <is>
          <t>Amazon.com</t>
        </is>
      </c>
      <c r="D25" t="inlineStr">
        <is>
          <t>indeed</t>
        </is>
      </c>
      <c r="E25" t="inlineStr"/>
      <c r="F25" t="inlineStr"/>
      <c r="G25" t="inlineStr">
        <is>
          <t>Arlington, VA, US</t>
        </is>
      </c>
      <c r="H25" s="2" t="n">
        <v>45893</v>
      </c>
      <c r="I25" t="inlineStr">
        <is>
          <t>**DESCRIPTION**
---------------
Do you want a role with deep meaning and the ability to make a major impact? As part of Intelligent Talent Acquisition (ITA), you'll have the opportunity to reinvent the hiring process and deliver unprecedented scale, sophistication, and accuracy for Amazon Talent Acquisition operations. ITA is an industry\-leading people science and technology organization made up of scientists, engineers, analysts, product professionals and more, all with the shared goal of connecting the right people to the right jobs in a way that is fair and precise. Last year we delivered over 6 million online candidate assessments, and helped Amazon deliver billions of packages around the world by making it possible to hire hundreds of thousands of workers in the right quantity, at the right location and at exactly the right time. You’ll work on state\-of\-the\-art research, advanced software tools, new AI systems, and machine learning algorithms, leveraging Amazon's in\-house tech stack to bring innovative solutions to life. Join ITA in using technologies to transform the hiring landscape and make a meaningful difference in people's lives. Together, we can solve the world's toughest hiring problems.  
Key job responsibilities  
Data team builds the foundational data infrastructure and analytics tools that power Amazon's hiring decisions. We create secure, scalable solutions that enable teams across ITA to access and analyze recruitment data effectively while maintaining data integrity.  
Key job responsibilities  
* Architect and implement scalable, reliable data pipelines and infrastructure, supporting analytics at scale
* Design and enforce data modeling standards, lineage, and governance frameworks while ensuring secure, compliant solutions
* Lead technical design/code reviews, evaluate emerging technologies, and drive engineering best practices across development lifecycle
* Work closely with business owners, developers, BI Engineers and Data Scientists to deliver scalable solutions enabling teams to access and analyze data effectively
* Mentor junior engineers, foster technical excellence, and empower team self\-service capabilities for handling complex data tasks independently
**BASIC QUALIFICATIONS**
------------------------
* 5\+ years of data engineering experience
* Experience with data modeling, warehousing and building ETL pipelines
* Experience with SQL
* Experience in at least one modern scripting or programming language, such as Python, Java, Scala, or NodeJS
* Experience mentoring team members on best practices
* Experience building modern cloud based data platforms for AI/ML and analytics usecases
**PREFERRED QUALIFICATIONS**
----------------------------
* Experience with big data technologies such as: Hadoop, Hive, Spark, EMR
* Experience operating large data warehouses
* Knowledge of professional software engineering \&amp; best practices for full software development life cycle, including coding standards, software architectures, code reviews, source control management, continuous deployments, testing, and operational excellence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$139,100/year in our lowest geographic market up to $240,500/year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in-3036436ad3939a0d</t>
        </is>
      </c>
      <c r="B26" t="inlineStr">
        <is>
          <t>Data Engineer III, ITA</t>
        </is>
      </c>
      <c r="C26" t="inlineStr">
        <is>
          <t>Amazon.com</t>
        </is>
      </c>
      <c r="D26" t="inlineStr">
        <is>
          <t>indeed</t>
        </is>
      </c>
      <c r="E26" t="inlineStr"/>
      <c r="F26" t="inlineStr"/>
      <c r="G26" t="inlineStr">
        <is>
          <t>Seattle, WA, US</t>
        </is>
      </c>
      <c r="H26" s="2" t="n">
        <v>45893</v>
      </c>
      <c r="I26" t="inlineStr">
        <is>
          <t>**DESCRIPTION**
---------------
Do you want a role with deep meaning and the ability to make a major impact? As part of Intelligent Talent Acquisition (ITA), you'll have the opportunity to reinvent the hiring process and deliver unprecedented scale, sophistication, and accuracy for Amazon Talent Acquisition operations. ITA is an industry\-leading people science and technology organization made up of scientists, engineers, analysts, product professionals and more, all with the shared goal of connecting the right people to the right jobs in a way that is fair and precise. Last year we delivered over 6 million online candidate assessments, and helped Amazon deliver billions of packages around the world by making it possible to hire hundreds of thousands of workers in the right quantity, at the right location and at exactly the right time. You’ll work on state\-of\-the\-art research, advanced software tools, new AI systems, and machine learning algorithms, leveraging Amazon's in\-house tech stack to bring innovative solutions to life. Join ITA in using technologies to transform the hiring landscape and make a meaningful difference in people's lives. Together, we can solve the world's toughest hiring problems.  
Key job responsibilities  
Data team builds the foundational data infrastructure and analytics tools that power Amazon's hiring decisions. We create secure, scalable solutions that enable teams across ITA to access and analyze recruitment data effectively while maintaining data integrity.  
Key job responsibilities  
* Architect and implement scalable, reliable data pipelines and infrastructure, supporting analytics at scale
* Design and enforce data modeling standards, lineage, and governance frameworks while ensuring secure, compliant solutions
* Lead technical design/code reviews, evaluate emerging technologies, and drive engineering best practices across development lifecycle
* Work closely with business owners, developers, BI Engineers and Data Scientists to deliver scalable solutions enabling teams to access and analyze data effectively
* Mentor junior engineers, foster technical excellence, and empower team self\-service capabilities for handling complex data tasks independently
**BASIC QUALIFICATIONS**
------------------------
* 5\+ years of data engineering experience
* Experience with data modeling, warehousing and building ETL pipelines
* Experience with SQL
* Experience in at least one modern scripting or programming language, such as Python, Java, Scala, or NodeJS
* Experience mentoring team members on best practices
* Experience building modern cloud based data platforms for AI/ML and analytics usecases
**PREFERRED QUALIFICATIONS**
----------------------------
* Experience with big data technologies such as: Hadoop, Hive, Spark, EMR
* Experience operating large data warehouses
* Knowledge of professional software engineering \&amp; best practices for full software development life cycle, including coding standards, software architectures, code reviews, source control management, continuous deployments, testing, and operational excellence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$139,100/year in our lowest geographic market up to $240,500/year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in-796cae24ee7a1c2e</t>
        </is>
      </c>
      <c r="B27" t="inlineStr">
        <is>
          <t>Senior Data Engineer</t>
        </is>
      </c>
      <c r="C27" t="inlineStr">
        <is>
          <t>Guidewire Software, Inc.</t>
        </is>
      </c>
      <c r="D27" t="inlineStr">
        <is>
          <t>indeed</t>
        </is>
      </c>
      <c r="E27" t="inlineStr"/>
      <c r="F27" t="inlineStr"/>
      <c r="G27" t="inlineStr">
        <is>
          <t>Remote, US</t>
        </is>
      </c>
      <c r="H27" s="2" t="n">
        <v>46027</v>
      </c>
      <c r="I27" t="inlineStr">
        <is>
          <t>**Remote (USA)**
Product Strategy/Full time/Remote
Ready for a new challenge? Join Guidewire as a Data Engineer! We are building a new team to take advantage of our market leading position and access to data to build advanced predictive models and variables to drive the next generation of growth in the P\&amp;C insurance market. This is an opportunity to come on board early and shape our direction and have a broad impact on the insurance industry.
Job Description
Responsibilities
Participate in multiple simultaneous projects with a focus on data preparation and pipeline development for predictive modeling and machine learning. Includes:
Data interrogation, exploratory data analysis, profiling, and reconciliation
Data pipeline creation, revision and monitoring based on product manager and data scientist/actuarial input
Feature creation, initial testing, and ongoing management
Work collaboratively with other staff including product managers, data scientists, other data analysts, architects to solve problems, develop innovative approaches, and provide project status
Create and manage data assets, datasets, features, and code with a focus on simplicity, scalability, reusability, and clear documentation
Additional work assignments not related to specific project work such as new feature development, external data research, providing user feedback on new products and tools under development
At Guidewire, we foster a culture of curiosity, innovation, and responsible use of AI—empowering our teams to continuously leverage emerging technologies and data\-driven insights to enhance productivity and outcomes.
Qualifications
Bachelors or Masters degree or equivalent industry experience
Passion for solving complex data problems
7\-10\+ years of relevant experience
Advanced, hands on experience building modeling datasets, pipelines and features for predictive modeling
Extensive experience using DBT, Apache Iceberg, and AWS data capabilities like Airflow, Glue, Redshift, EMR to build ML data pipelines, with a strong focus on data quality and governance.
Expert SQL skills, including advanced functions, table design, view creation, stored procedure and script design and coding, general performance tuning
Proficient in data processing and transformations using Apache Spark.
Working knowledge of Python
Experience with version control systems (e.g., Git) for managing data pipelines and features.
Understanding of MLOps principles and practices related to data preparation and feature engineering; experience using Sagemaker and feature stores a plus
Familiarity with common challenges in integrating RDBMS\-sourced data into a data warehouse, including temporal data handling, Change Data Capture (CDC), Slowly Changing Dimensions (SCD), and data modeling methodologies like Kimball and Data Vault
Experience within a regulated industry (finance, insurance, etc…); P\&amp;C policy administration and claims processing concepts as well as US/Canadian P\&amp;C standard lines of business experience a plus
Self\-motivated and detail\-oriented with desire to solve problems
Demonstrated ability to embrace AI and apply it to your role as well as use data\-driven insights to drive innovation, productivity, and continuous improvement.
The US base salary range for this full\-time position is $148,000 \- $222,000 . Your base pay will depend on your experience, skills, education, training, and location among other factors. All full\-time positions or part\-time roles working 30 hours or more a week at Guidewire are eligible for benefits that support their health and well\-being including health, dental, and vision insurance, paid time off, and a company sponsored retirement plan. In addition, some roles may be eligible for the annual company bonus plan, commissions, and/or long term incentive awards which are contingent on a variety of factors including, but not limited to, company and employee performance.
Disability Accommodations and Guidewire’s Appeals Process. Guidewire provides accommodations to the hiring process to create a fair opportunity for candidates with disabilities to contend for open positions. Accommodation requests should be directed to Accommodations@guidewire.com. If things do not go as hoped, we invite you to use our appeals process. Guidewire promises to independently review any denied accommodation and any decision not to offer you the position. The appeals process is the same in either case. Within five business days of receiving a notice of denial of an accommodation, or receiving a notice of your non\-selection for a vacancy, e\-mail Accommodations@guidewire.com to make an appeal. Guidewire will assign a new decision\-maker to review the request and/or hiring decision, who will then notify you in writing of a decision within 10 business days.
Interested in this position?
About Guidewire
Guidewire is the platform P\&amp;C insurers trust to engage, innovate, and grow efficiently. We combine digital, core, analytics, and AI to deliver our platform as a cloud service. More than 540\+ insurers in 40 countries, from new ventures to the largest and most complex in the world, run on Guidewire.
As a partner to our customers, we continually evolve to enable their success. We are proud of our unparalleled implementation track record with 1600\+ successful projects, supported by the largest R\&amp;D team and partner ecosystem in the industry. Our Marketplace provides hundreds of applications that accelerate integration, localization, and innovation.
For more information, please visit www.guidewire.com and follow us on Twitter: @Guidewire\_PandC.
Guidewire Software, Inc. is proud to be an equal opportunity and affirmative action employer. We are committed to an inclusive workplace, and believe that a diversity of perspectives, abilities, and cultures is a key to our success. Qualified applicants will receive consideration without regard to race, color, ancestry, religion, sex, national origin, citizenship, marital status, age, sexual orientation, gender identity, gender expression, veteran status, or disability. All offers are contingent upon passing a criminal history and other background checks where it's applicable to the position.</t>
        </is>
      </c>
    </row>
    <row r="28">
      <c r="A28" t="inlineStr">
        <is>
          <t>in-383dd7dd336af669</t>
        </is>
      </c>
      <c r="B28" t="inlineStr">
        <is>
          <t>Senior Data Engineer</t>
        </is>
      </c>
      <c r="C28" t="inlineStr">
        <is>
          <t>Tiger Analytics</t>
        </is>
      </c>
      <c r="D28" t="inlineStr">
        <is>
          <t>indeed</t>
        </is>
      </c>
      <c r="E28" t="inlineStr"/>
      <c r="F28" t="inlineStr"/>
      <c r="G28" t="inlineStr">
        <is>
          <t>Chicago, IL, US</t>
        </is>
      </c>
      <c r="H28" s="2" t="n">
        <v>46027</v>
      </c>
      <c r="I28" t="inlineStr">
        <is>
          <t>Tiger Analytics is a global leader in AI and advanced analytics consulting, empowering Fortune 1000 companies to solve their toughest business challenges. We are on a mission to push the boundaries of what AI can do, providing data\-driven certainty for a better tomorrow. Our diverse team of over 6,000 technologists and consultants operates across five continents, building cutting\-edge ML and data solutions at scale. Join us to do great work and shape the future of enterprise AI
Do you love building and pioneering in the technology space? Do you enjoy solving complex business problems in a fast\-paced, collaborative,inclusive, and iterative delivery environment? At Tiger Analytics, you'll be part of a big group of makers, breakers, doers and disruptors, who solve real problems and meet real customer needs. We are seeking Data Engineers who are passionate about marrying data with emerging technologies.
**Requirements**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**Qualifications:**
* 6\+ years of experience in application development including Python, SQL
* 4\+ years of experience with Azure cloud
* 4\+ years of experience with distributed data/computing tools (MapReduce, Hadoop, Hive, EMR, Kafka, Spark, Gurobi, or MySQL)
* 4\+ years of experience working on real\-time data and streaming applications
* 4\+ years of experience with NoSQL implementation (Mongo, Cassandra)
* 4\+ years of data warehousing experience (Redshift or Snowflake)
* 4\+ years of experience with UNIX/Linux including basic commands and shell scripting
* 2\+ years of experience with Agile engineering practices
**Benefits**
Significant career development opportunities exist as the company grows. The position offers a unique opportunity to be part of a small, fast\-growing, challenging and entrepreneurial environment, with a high degree of individual responsibility.
***Tiger Analytics provides equal employment opportunities to applicants and employees without regard to race, color, religion, age, sex, sexual orientation, gender identity/expression, pregnancy, national origin, ancestry, marital status, protected veteran status, disability status, or any other basis as protected by federal, state, or local law.***</t>
        </is>
      </c>
    </row>
    <row r="29">
      <c r="A29" t="inlineStr">
        <is>
          <t>in-7b6308d1461c5d4f</t>
        </is>
      </c>
      <c r="B29" t="inlineStr">
        <is>
          <t>Senior Data Engineer</t>
        </is>
      </c>
      <c r="C29" t="inlineStr">
        <is>
          <t>Tiger Analytics</t>
        </is>
      </c>
      <c r="D29" t="inlineStr">
        <is>
          <t>indeed</t>
        </is>
      </c>
      <c r="E29" t="inlineStr"/>
      <c r="F29" t="inlineStr"/>
      <c r="G29" t="inlineStr">
        <is>
          <t>McLean, VA, US</t>
        </is>
      </c>
      <c r="H29" s="2" t="n">
        <v>46027</v>
      </c>
      <c r="I29" t="inlineStr">
        <is>
          <t>Tiger Analytics is a global leader in AI and advanced analytics consulting, empowering Fortune 1000 companies to solve their toughest business challenges. We are on a mission to push the boundaries of what AI can do, providing data\-driven certainty for a better tomorrow. Our diverse team of over 6,000 technologists and consultants operates across five continents, building cutting\-edge ML and data solutions at scale. Join us to do great work and shape the future of enterprise AI
Do you love building and pioneering in the technology space? Do you enjoy solving complex business problems in a fast\-paced, collaborative,inclusive, and iterative delivery environment? At Tiger Analytics, you'll be part of a big group of makers, breakers, doers and disruptors, who solve real problems and meet real customer needs. We are seeking Data Engineers who are passionate about marrying data with emerging technologies.
**Requirements**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**Qualifications:**
* 6\+ years of experience in application development including Python, SQL
* 4\+ years of experience with Azure cloud
* 4\+ years of experience with distributed data/computing tools (MapReduce, Hadoop, Hive, EMR, Kafka, Spark, Gurobi, or MySQL)
* 4\+ years of experience working on real\-time data and streaming applications
* 4\+ years of experience with NoSQL implementation (Mongo, Cassandra)
* 4\+ years of data warehousing experience (Redshift or Snowflake)
* 4\+ years of experience with UNIX/Linux including basic commands and shell scripting
* 2\+ years of experience with Agile engineering practices
**Benefits**
Significant career development opportunities exist as the company grows. The position offers a unique opportunity to be part of a small, fast\-growing, challenging and entrepreneurial environment, with a high degree of individual responsibility.
***Tiger Analytics provides equal employment opportunities to applicants and employees without regard to race, color, religion, age, sex, sexual orientation, gender identity/expression, pregnancy, national origin, ancestry, marital status, protected veteran status, disability status, or any other basis as protected by federal, state, or local law.***</t>
        </is>
      </c>
    </row>
    <row r="30">
      <c r="A30" t="inlineStr">
        <is>
          <t>in-bdc9ff15177a1881</t>
        </is>
      </c>
      <c r="B30" t="inlineStr">
        <is>
          <t>Senior Data Engineer</t>
        </is>
      </c>
      <c r="C30" t="inlineStr">
        <is>
          <t>Tiger Analytics</t>
        </is>
      </c>
      <c r="D30" t="inlineStr">
        <is>
          <t>indeed</t>
        </is>
      </c>
      <c r="E30" t="inlineStr"/>
      <c r="F30" t="inlineStr"/>
      <c r="G30" t="inlineStr">
        <is>
          <t>Richmond, VA, US</t>
        </is>
      </c>
      <c r="H30" s="2" t="n">
        <v>46027</v>
      </c>
      <c r="I30" t="inlineStr">
        <is>
          <t>Tiger Analytics is a global leader in AI and advanced analytics consulting, empowering Fortune 1000 companies to solve their toughest business challenges. We are on a mission to push the boundaries of what AI can do, providing data\-driven certainty for a better tomorrow. Our diverse team of over 6,000 technologists and consultants operates across five continents, building cutting\-edge ML and data solutions at scale. Join us to do great work and shape the future of enterprise AI
Do you love building and pioneering in the technology space? Do you enjoy solving complex business problems in a fast\-paced, collaborative,inclusive, and iterative delivery environment? At Tiger Analytics, you'll be part of a big group of makers, breakers, doers and disruptors, who solve real problems and meet real customer needs. We are seeking Data Engineers who are passionate about marrying data with emerging technologies.
**Requirements**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**Qualifications:**
* 6\+ years of experience in application development including Python, SQL
* 4\+ years of experience with Azure cloud
* 4\+ years of experience with distributed data/computing tools (MapReduce, Hadoop, Hive, EMR, Kafka, Spark, Gurobi, or MySQL)
* 4\+ years of experience working on real\-time data and streaming applications
* 4\+ years of experience with NoSQL implementation (Mongo, Cassandra)
* 4\+ years of data warehousing experience (Redshift or Snowflake)
* 4\+ years of experience with UNIX/Linux including basic commands and shell scripting
* 2\+ years of experience with Agile engineering practices
**Benefits**
Significant career development opportunities exist as the company grows. The position offers a unique opportunity to be part of a small, fast\-growing, challenging and entrepreneurial environment, with a high degree of individual responsibility.
***Tiger Analytics provides equal employment opportunities to applicants and employees without regard to race, color, religion, age, sex, sexual orientation, gender identity/expression, pregnancy, national origin, ancestry, marital status, protected veteran status, disability status, or any other basis as protected by federal, state, or local law.***</t>
        </is>
      </c>
    </row>
    <row r="31">
      <c r="A31" t="inlineStr">
        <is>
          <t>in-b43a52d1295368e9</t>
        </is>
      </c>
      <c r="B31" t="inlineStr">
        <is>
          <t>Senior Data Engineer</t>
        </is>
      </c>
      <c r="C31" t="inlineStr">
        <is>
          <t>Tiger Analytics</t>
        </is>
      </c>
      <c r="D31" t="inlineStr">
        <is>
          <t>indeed</t>
        </is>
      </c>
      <c r="E31" t="inlineStr"/>
      <c r="F31" t="inlineStr"/>
      <c r="G31" t="inlineStr">
        <is>
          <t>Wilmington, DE, US</t>
        </is>
      </c>
      <c r="H31" s="2" t="n">
        <v>46027</v>
      </c>
      <c r="I31" t="inlineStr">
        <is>
          <t>Tiger Analytics is a global leader in AI and advanced analytics consulting, empowering Fortune 1000 companies to solve their toughest business challenges. We are on a mission to push the boundaries of what AI can do, providing data\-driven certainty for a better tomorrow. Our diverse team of over 6,000 technologists and consultants operates across five continents, building cutting\-edge ML and data solutions at scale. Join us to do great work and shape the future of enterprise AI
Do you love building and pioneering in the technology space? Do you enjoy solving complex business problems in a fast\-paced, collaborative,inclusive, and iterative delivery environment? At Tiger Analytics, you'll be part of a big group of makers, breakers, doers and disruptors, who solve real problems and meet real customer needs. We are seeking Data Engineers who are passionate about marrying data with emerging technologies.
**Requirements**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**Qualifications:**
* 6\+ years of experience in application development including Python, SQL
* 4\+ years of experience with Azure cloud
* 4\+ years of experience with distributed data/computing tools (MapReduce, Hadoop, Hive, EMR, Kafka, Spark, Gurobi, or MySQL)
* 4\+ years of experience working on real\-time data and streaming applications
* 4\+ years of experience with NoSQL implementation (Mongo, Cassandra)
* 4\+ years of data warehousing experience (Redshift or Snowflake)
* 4\+ years of experience with UNIX/Linux including basic commands and shell scripting
* 2\+ years of experience with Agile engineering practices
**Benefits**
Significant career development opportunities exist as the company grows. The position offers a unique opportunity to be part of a small, fast\-growing, challenging and entrepreneurial environment, with a high degree of individual responsibility.
***Tiger Analytics provides equal employment opportunities to applicants and employees without regard to race, color, religion, age, sex, sexual orientation, gender identity/expression, pregnancy, national origin, ancestry, marital status, protected veteran status, disability status, or any other basis as protected by federal, state, or local law.***</t>
        </is>
      </c>
    </row>
    <row r="32">
      <c r="A32" t="inlineStr">
        <is>
          <t>in-1a81e0cd93e35fdc</t>
        </is>
      </c>
      <c r="B32" t="inlineStr">
        <is>
          <t>Senior Data Engineer</t>
        </is>
      </c>
      <c r="C32" t="inlineStr"/>
      <c r="D32" t="inlineStr">
        <is>
          <t>indeed</t>
        </is>
      </c>
      <c r="E32" t="inlineStr"/>
      <c r="F32" t="inlineStr"/>
      <c r="G32" t="inlineStr">
        <is>
          <t>Remote, US</t>
        </is>
      </c>
      <c r="H32" s="2" t="n">
        <v>46028</v>
      </c>
      <c r="I32" t="inlineStr">
        <is>
          <t>**About Mission Underwriting Services**
At Mission Underwriters, we provide the capital, issuing paper, and reinsurance access you need to launch your own Program Administrator (PA) business quickly and efficiently. We offer non\-recourse capital for qualified underwriters, giving you a manageable risk profile with potential equity upside. By taking care of administrative complexities like compliance, risk management, accounting, and HR, we free you to focus on what you do best—underwriting and distribution. Our turnkey platform gets you into the market in just a few months, minimizing disruption to your key relationships. With access to our network of highly rated issuing carriers and reinsurance partners, you can secure coverage with less stress and uncertainty. Built from the ground up, our purpose\-driven technology simplifies workflows, enhances responsiveness, and eliminates the burden of outdated legacy systems.
 **What We Offer:**
* Remote First Work Environment (US Based)
* Medical, Dental, Vision
* 401K, 401K Match
* Life and Disability Benefits
* Unaccrued Paid Time Off
* 11 Paid Holidays
* Employee Discounts
* Employee Assistance Program
* Educational Assistance Program
* Employee Referral Program
* Paid Parental Leave
 **\*\*\*\*\*\*\* Previous Insurance Experience Is Required For This Role\*\*\*\*\*\*\*\***
**About the Role**
The Senior Data Engineer will play a key role in designing, implementing, and optimizing Mission’s data infrastructure as part of our modern data platform initiative. This hands\-on engineering role will focus on building scalable data pipelines, enabling a centralized enterprise data warehouse, and supporting business reporting needs. The ideal candidate will collaborate across technology, operations, product, and analytics teams to create high\-quality, governed, and reusable data assets, while supporting a long\-term architecture aligned with Mission’s growth. This role is highly technical and focused on execution and is ideal for a data engineer who thrives in fast\-paced environments and is passionate about data quality, performance, and scalability.
 **What You'll Do**
* Design and implement scalable data pipelines to ingest, transform, and store data from third\-party vendors and internal systems using APIs, files, and databases.
* Build and maintain a cloud\-based data warehouse solution in partnership with architects, ensuring clean, normalized, and performant data models.
* Establish and monitor reliable data ingestion processes across systems with varying grain and cadence, ensuring data quality and completeness.
* Collaborate with API and integration teams to develop secure, robust data exchange processes with external vendors and internal services.
* Set up and manage data connections from the warehouse to BI tools (e.g., Power BI, Looker, Tableau) to enable self\-service analytics and dashboarding.
* Document data flows, schemas, and definitions, and help drive data governance and standardization efforts across the organization.
* Implement data validation, cleansing, and enrichment processes to ensure high\-quality data for financial reporting and analytics
* Ensure compliance with data standards, regulatory requirements (e.g., NAIC, SOX), and data security best practices
* Provide technical leadership in data engineering best practices, including version control, CI/CD for data pipelines, testing, and observability.
* Build initial dashboards in BI tools.
* Give directions to data engineers to ensure that projects are completed on time and to a high standard.
**Required Qualifications**
* 5\+ years of experience in data engineering, data warehousing, or a related field with at least 1\-2 years leading implementation projects.
* 3\+ years of experience in the commercial insurance industry.
* Hands on experience with Azure data services.
* Strong SQL and performance tuning skills in Microsoft SQL Server environments.
* Experience designing data warehouses or data marts with a focus on dimensional modeling and analytics\-ready schemas.
* Fluent in range of data ingestion: RESTful APIs, JSON/XML ingestion, flat files, message queues, and CDC patterns.
* Understanding of data governance, metadata management, and access control.
* Familiarity with version control (GitLab) and CI/CD pipelines for data workflows.
* Experience working with BI tools like Power BI, Looker, or Tableau, including building dashboards or semantic layers.
* Bachelor’s degree in Computer Science, Engineering, Information Systems, or equivalent experience.
* Demonstrated ability to translate business needs into scalable data systems and design.
 **Preferred Qualification**
* Experience with data cleanup, fuzzy matching, or AI\-driven normalization.
* Familiarity with Python, dbt, or Azure Functions is a plus.
* Strong communication skills and ability to work cross\-functionally with product, engineering, and analytics teams.
* Ability to travel up to 10% of the year.
 **Knowledge, Skills and Abilities**
* Deep understanding of data warehousing principles, dimensional modeling, and ETL/ELT architecture, with hands\-on experience building analytics\-ready structures in Azure SQL and SSMS.
* Understand core business concepts within the commercial property and casualty insurance industry to guide data modeling and transformation efforts.
* Proficient in developing scalable data pipelines using Azure Data Factory and SQL, with strong debugging and optimization skills.
* Skilled in integrating with diverse data sources, including REST APIs, files, and third\-party systems, and handling complex data ingestion across varying levels of granularity.
* Familiar with core Azure services and their role in secure, cloud\-native data engineering workflows.
* Able to connect and model data for downstream BI tools (Power BI, Tableau, Looker), supporting self\-service reporting and building initial dashboards when needed.
* Strong communicator and collaborator who can translate business needs into technical solutions, document data workflows, and mentor team members on best practices.
**Additional Information**
This is a remote position. Planned, in\-office activities may be required on occasion (typically 2\-4x per year).
You must live in the United States and be authorized to work in the United States without requirement of employment sponsorship/visa.</t>
        </is>
      </c>
    </row>
    <row r="33">
      <c r="A33" t="inlineStr">
        <is>
          <t>in-dd6ef691cd678e96</t>
        </is>
      </c>
      <c r="B33" t="inlineStr">
        <is>
          <t>Sr. Principal Data Engineer</t>
        </is>
      </c>
      <c r="C33" t="inlineStr">
        <is>
          <t>Laramie Energy, LLC</t>
        </is>
      </c>
      <c r="D33" t="inlineStr">
        <is>
          <t>indeed</t>
        </is>
      </c>
      <c r="E33" t="inlineStr"/>
      <c r="F33" t="inlineStr"/>
      <c r="G33" t="inlineStr">
        <is>
          <t>Denver, CO, US</t>
        </is>
      </c>
      <c r="H33" s="2" t="n">
        <v>46028</v>
      </c>
      <c r="I33" t="inlineStr">
        <is>
          <t>**Job Title:** Sr. Principal Data Engineer  
**Department:** IT Department  
**Reports To:** IT Director  
**FLSA Status:** Exempt
**Salary Range:** $141,840 \- $182,050
**SUMMARY**
The Senior Principal Data Engineer will serve as the strategic technical leader for our organization’s data ecosystem. This role is responsible for architecting and delivering scalable data platforms, integrating enterprise systems, and building a modern data warehouse to enable advanced analytics, business intelligence, and data driven innovation. Operating with a high level of autonomy, this individual will proactively drive solutions, set technical direction, and ensure the data infrastructure evolves to meet future demands. The Senior Principal Data Engineer will work directly with department leaders and senior stakeholders to translate enterprise business needs into innovative, high\-impact data solutions, while shaping the organization’s long term data strategy.
**ESSENTIAL DUTIES AND RESPONSIBILITIES**:
· Lead the design, implementation, and optimization of scalable data architectures, pipelines, and platforms that support enterprise analytics and reporting.
· Lead the management and optimization of enterprise database environments, ensuring high availability, strong performance, and secure access for business\-critical applications.
* Develop and implement a modern data warehouse environment, including integration, modeling, and performance engineering across multiple data sources.
· Partner with departmental and organizational leaders to understand business goals and translate them into long\-term data engineering strategies and solutions.
· Partner with technical stakeholders across operational and enterprise systems to reduce fragmentation, expand data sharing capabilities, and provide integrated, accessible data that drives more efficient business operations across the organization.
· Define and enforce engineering standards for data quality, security, governance, and lifecycle management.
· Serve as the primary technical authority for data engineering, providing architectural leadership, expert guidance, and hands\-on direction for complex data initiatives.
· Evaluate and recommend data technologies, tools, and platforms that align with organizational strategy and deliver measurable value.
· Establish and maintain clear documentation for data architectures, pipelines, and governance processes to support knowledge sharing, continuity, and long\-term system reliability.
**OTHER DUTIES AND RESPONSIBILITIES**:
Additional responsibilities may be assigned as business needs develop.
**SUPERVISORY RESPONSIBILITIES**
This position does not have any supervisory responsibilities.
**COMPETENCIES**
To perform the job successfully, an individual should demonstrate the following competencies:
· Aligns data initiatives with organizational priorities, influencing long\-term planning and advocating for scalable, future\-ready solutions.
· Completes complex tasks and drives high\-impact initiatives with minimal oversight, demonstrating strong ownership and accountability.
· Identifies and solves complex data and architectural challenges with foresight, anticipating risks and implementing proactive solutions.
· Maintains deep expertise in modern data engineering practices, quickly absorbing new technologies and adapting to a rapidly evolving environment.
· Effectively prioritizes and manages multiple large initiatives concurrently to meet strategic deadlines and deliver measurable business value.
· Communicates clearly and confidently, tailoring complex technical concepts to diverse audiences including leadership and non\-technical stakeholders.
· Upholds data security and safety standards, proactively identifying risks and ensuring systems, processes, and information are handled responsibly.
· Demonstrates strong ethical judgment, maintaining confidentiality and trust while working with sensitive business data, systems, and strategic information.
**QUALIFICATIONS**
To perform this job successfully, an individual must demonstrate expert\-level capability in each essential responsibility. The qualifications below reflect the knowledge, skills, and abilities required. Reasonable accommodations may be made to enable individuals with disabilities to perform the essential functions.
· Exceptional communication skills, with the ability to clearly present technical concepts and influence decision\-making among non\-technical business leaders.
· Strong attention to detail with an emphasis on data accuracy, reliability, and quality.
· Advanced analytical and problem\-solving abilities, capable of addressing complex data and architectural challenges with innovative, scalable solutions.
· Ability to build productive relationships with stakeholders across all levels of the organization and guide them toward data\-driven decisions.
· Highly organized with proven success prioritizing multiple large initiatives in a fast\-changing environment.
· Ability to thrive in a fast\-paced, collaborative setting while operating with significant autonomy.
· Willingness to support critical business needs after hours when necessary.
· Ability to travel occasionally to field or operational locations within Colorado as required.
· Must maintain a valid driver’s license and meet company vehicle use requirements.
**KNOWLEDGE AND SKILLS**
* Expert\-level proficiency in designing and implementing scalable data architectures, data models, and ETL/ELT pipelines.
* Advanced SQL expertise across major relational systems (e.g., Microsoft SQL Server, MySQL, PostgreSQL), including performance tuning, complex query development, and database optimization.
* Hands\-on development experience with data engineering languages such as Python.
* Comprehensive understanding of data warehousing concepts such as dimensional modeling, star/snowflake schemas, and data marts.
* Familiarity with operational technology and upstream data sources common in oil \&amp; gas (e.g., SCADA, GIS, geology, reservoir engineering, and production accounting systems).
* Knowledge of data governance practices including metadata management, lineage tracking, data quality monitoring, and access control.
* Strong understanding of data integration technologies and patterns (APIs, streaming, batch ingestion, message queues).
* Experience implementing and maintaining BI \&amp; analytics enablement (Power BI, Spotfire).
* Strong understanding of security controls and regulatory requirements for protecting operational and business\-critical data in the energy sector
* Proficiency in version control, CI/CD practices, documentation standards, and collaborative development workflows.
* Ability to evaluate emerging technologies and drive technology adoption aligned to strategic outcomes.
**EDUCATION (and/or) EXPERIENCE**
· A Bachelor’s degree in Computer Science, Information Systems, Engineering, or a related technical field is required, with a Master’s degree preferred, along with at least 10 years of progressive experience in data engineering or enterprise data architecture, ideally within the energy industry.
**LANGUAGE AND INTERPERSONAL SKILLS**
· Strong verbal and written communication skills, with the ability to convey complex technical concepts clearly to non\-technical audiences and collaborate effectively with internal and external stakeholders.
**CERTIFICATIONS/TRAINING (accepted in lieu of experience)**
Certifications are a strong advantage and may supplement required experience but are not a substitute for demonstrated expertise in leading enterprise\-class data engineering initiatives.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 Can lift and/or move up to 50 pounds.
· Sufficient dexterity to assemble/inspect hardware and peripherals.
· Specific vision abilities required by this job include close vision, depth perception and ability to adjust focus.
· Sitting for extended periods of time.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 Various work environments: Work sites vary with noise and temperatures that range from quiet to moderate
· Travel: Moderate travel (\&lt; 15% annually) may be required
o Off\-Highway Travel may be required to reach field offices and may only be accessible off paved roads and at higher elevations
· Site Safety: Safety training may be required prior to entry into facilities and strict adherence to protocols must be observed while onsite
· Location: This position offers a flexible hybrid work arrangement
Job Type: Full\-time
Pay: $141,840\.00 \- $182,050\.00 per year
Benefits:
* 401(k)
* 401(k) matching
* Dental insurance
* Employee assistance program
* Flexible schedule
* Flexible spending account
* Health insurance
* Health savings account
* Life insurance
* Paid time off
* Parental leave
* Vision insurance
Work Location: Hybrid remote in Denver, CO 80203</t>
        </is>
      </c>
    </row>
    <row r="34">
      <c r="A34" t="inlineStr">
        <is>
          <t>in-77c1a07619f197ab</t>
        </is>
      </c>
      <c r="B34" t="inlineStr">
        <is>
          <t>Data Engineer and Analyst Developer</t>
        </is>
      </c>
      <c r="C34" t="inlineStr">
        <is>
          <t>Caplock Security, LLC</t>
        </is>
      </c>
      <c r="D34" t="inlineStr">
        <is>
          <t>indeed</t>
        </is>
      </c>
      <c r="E34" t="inlineStr"/>
      <c r="F34" t="inlineStr"/>
      <c r="G34" t="inlineStr">
        <is>
          <t>Washington, DC, US</t>
        </is>
      </c>
      <c r="H34" s="2" t="n">
        <v>46028</v>
      </c>
      <c r="I34" t="inlineStr">
        <is>
          <t>Caplock Security is hiring a Data Engineer \&amp; Analyst Developer. This position will be full\-time and 100% onsite in Washington, D.C. The Developer is responsible for working with the team to understand and implement needed reports in a custom reporting software system, engineering tables and data visualizations by wrangling and bringing together data sources. There is a dedicated support team that has already built the software environment that will be available to answer questions, this role is focused on making use of the system to build the desired reports. This role supports enterprise business processes by building custom workflows, integrations, and analytics especially using OpenText software: AppWorks and Magellan. The developer works closely with technical and business stakeholders to make use of the platform, improve automation, and deliver scalable, maintainable well\-documented solutions.
**Job Duties / Responsibilities**
* Design, develop, and maintain custom data reporting solutions to address functional needs and mission\-specific requirements.
* Customize and extend workflows, data input and output forms, and user interfaces.
* Develop and integrate OpenText applications with external systems using REST/SOAP APIs and database engineering services.
* Implement analytics, reporting, and AI\-driven capabilities (including using OpenText Magellan) to enhance data insight and decision support.
* Translate business and operational requirements into technical designs and implemented solutions.
* Support system enhancements, upgrades, and performance optimization for OpenText platforms.
* Troubleshoot and resolve application issues related to custom OpenText development and integrations.
* Develop and maintain technical documentation for custom solutions, workflows, and integrations.
* Collaborate with system administrators, architects, and stakeholders to ensure solutions align with enterprise architecture and security requirements.
**Qualifications (Including Experience)**
* **3\+ years** of development experience working with enterprise\-scale data reporting applications.
* Demonstrated experience working withdata reporting, including workflow development and process automation (e.g., OpenText Process Automation or Appworks).
* **Minimum Bachelor’s degree** in Computer Science, Information Systems, Software Engineering, or a related technical field.
* Strong capabilities for charting workflows, business processes, and understanding data modeling concepts.
* Experience supporting enterprise or regulated environments (e.g., government, healthcare, or compliance\-driven systems) preferred.
* Ability to analyze complex requirements and deliver scalable, maintainable technical solution
Pay: $95,214\.56 \- $173,482\.91 per year
Benefits:
* 401(k) matching
* Dental insurance
* Health insurance
* Paid time off
* Vision insurance
Application Question(s):
* Do you have the ability to obtain and maintain a Federal Agency Public Trust clearance?
* Do you have experience with OpenText Process Automation (AppWorks) and Magellan?
Ability to Commute:
* Washington, DC 20201 (Required)
Work Location: In person</t>
        </is>
      </c>
    </row>
    <row r="35">
      <c r="A35" t="inlineStr">
        <is>
          <t>in-90e9b5b67f8fb539</t>
        </is>
      </c>
      <c r="B35" t="inlineStr">
        <is>
          <t>Palantir Data Engineer</t>
        </is>
      </c>
      <c r="C35" t="inlineStr">
        <is>
          <t>IT Industries</t>
        </is>
      </c>
      <c r="D35" t="inlineStr">
        <is>
          <t>indeed</t>
        </is>
      </c>
      <c r="E35" t="inlineStr"/>
      <c r="F35" t="inlineStr"/>
      <c r="G35" t="inlineStr">
        <is>
          <t>Kansas City, KS, US</t>
        </is>
      </c>
      <c r="H35" s="2" t="n">
        <v>46028</v>
      </c>
      <c r="I35" t="inlineStr">
        <is>
          <t>Hi All,
Please go through below requirement if you are comfortable, please share your updated resume to my email id: rdanda@reignmarkcs.com
**GC’s Not Workable for this position**
**Position: Sr Palantir Data Engineer**
**Location: Kansas City Onsite**
**Experience:11 years Exp**
**NOTE: Need Passport number and LinkedIn ID and please do mention Current Location and Visa of candidate while sending the Profile**
**Technical Skills**
**1\. Palantir Platform Expertise**
· Working with Foundry Ontology, pipelines, and modular applications.
· Implementing End to End data Solutions in **Palantir sourcing data** from
**2\. Programming \&amp;amp; Scripting (Python and PySpark)**
· Data Processing \&amp;amp; Automation: Ability to clean, transform, and process large
· datasets efficiently.
· Integration with Palantir Foundry: Build custom Python functions and libraries
· to extend Foundry’s capabilities.
· Pipeline Development: Write modular, reusable code for ETL workflows and
· data transformations.
· Performance Optimization: Use Python libraries like Pandas, NumPy, and
· PySpark for scalable data operations.
· Familiarity with SQL for querying and data modeling. – Good to have
**3\. Data Engineering Fundamentals**
· Building ETL pipelines for ingestion and transformation.
· Designing data models and optimizing workflows.
· Handling structured and unstructured data.
**4\. Big Data \&amp;amp; Distributed Systems**
· Experience with Spark (PySpark) for scalable data processing.
· Understanding of parallel computing and performance tuning.
Full Name:  
Date of Birth:  
Contact Number:  
Email ID:  
Current Location:  
Visa Status:  
Passport No:
SSN (Last 4 digits):  
Skype ID:  
LinkedIn:  
Education (Branch, University and year):
Ready for Relocation: No  
Availability for Interview  
(5 Time slots for Next 3 Business Days):
**Thank you and Kind Regards**
**Ravi Kumar**
**US IT Recruiter \| Talent Acquisition**
**Email: rdanda@reignmarkcs.com Website: https://reignmarkcs.com/**
**LinkedIn: https://www.linkedin.com/in/ravi\-kumar\-89a1a523b/**
**Reign Mark Consulting Services** 
***(E\-verified Staffing and Consulting firm \-*** **Established 2020*****)***
***9485 Needles Avenue St• Frisco, TX • 75035***
Job Types: Full\-time, Part\-time, Contract
Pay: $60\.00 \- $70\.00 per hour
Expected hours: 8 per week
Work Location: On the road</t>
        </is>
      </c>
    </row>
    <row r="36">
      <c r="A36" t="inlineStr">
        <is>
          <t>in-090a8b6a6c0b20ee</t>
        </is>
      </c>
      <c r="B36" t="inlineStr">
        <is>
          <t>Data Engineer (Only ex Msft candidates)</t>
        </is>
      </c>
      <c r="C36" t="inlineStr">
        <is>
          <t>Pro integrate llc</t>
        </is>
      </c>
      <c r="D36" t="inlineStr">
        <is>
          <t>indeed</t>
        </is>
      </c>
      <c r="E36" t="inlineStr"/>
      <c r="F36" t="inlineStr"/>
      <c r="G36" t="inlineStr">
        <is>
          <t>Remote, US</t>
        </is>
      </c>
      <c r="H36" s="2" t="n">
        <v>46028</v>
      </c>
      <c r="I36" t="inlineStr">
        <is>
          <t>**Job Title: Data Engineer** 
**Location: Remote USA**
**Duration: 6 months \+ contract**
**Qualification:**
Looking for Data engineer with minimum 5\+ years of exp.
LLM experience required.
Ex Microsoft candidate required.
**Shweta Singh** 
**Sr. Technical Recruiter** 
**Pro Integrate LLC ISO 9001 and ISO 27001 Certified Company**
**Email: Ssingh@prointegrate.net** 
Job Type: Contract
Pay: $50\.00 \- $55\.00 per hour
Expected hours: 40 per week
Work Location: Remote</t>
        </is>
      </c>
    </row>
    <row r="37">
      <c r="A37" t="inlineStr">
        <is>
          <t>in-ca16fdcc946b2798</t>
        </is>
      </c>
      <c r="B37" t="inlineStr">
        <is>
          <t>Senior Staff Data Engineer</t>
        </is>
      </c>
      <c r="C37" t="inlineStr">
        <is>
          <t>NBCUniversal</t>
        </is>
      </c>
      <c r="D37" t="inlineStr">
        <is>
          <t>indeed</t>
        </is>
      </c>
      <c r="E37" t="inlineStr"/>
      <c r="F37" t="inlineStr"/>
      <c r="G37" t="inlineStr">
        <is>
          <t>New York, NY, US</t>
        </is>
      </c>
      <c r="H37" s="2" t="n">
        <v>46028</v>
      </c>
      <c r="I37" t="inlineStr">
        <is>
          <t>**Company Description**  
NBCUniversal is one of the world's leading media and entertainment companies. We create world\-class content, which we distribute across our portfolio of film, television, and streaming, and bring to life through our global theme park destinations, consumer products, and experiences. We own and operate leading entertainment and news brands, including NBC, NBC News, NBC Sports, Telemundo, NBC Local Stations, Bravo, and Peacock, our premium ad\-supported streaming service. We produce and distribute premier filmed entertainment and programming through our powerhouse film and television studios, including Universal Pictures, DreamWorks Animation, and Focus Features, and the four global television studios under the Universal Studio Group banner, and operate industry\-leading theme parks and experiences around the world through Universal Destinations \&amp; Experiences, including Universal Orlando Resort, home to Universal Epic Universe, and Universal Studios Hollywood. NBCUniversal is a subsidiary of Comcast Corporation. Visit www.nbcuniversal.com for more information.
Our impact is rooted in improving the communities where our employees, customers, and audiences live and work. We have a rich tradition of giving back and ensuring our employees have the opportunity to serve their communities. We champion an inclusive culture and strive to attract and develop a talented workforce to create and deliver a wide range of content reflecting our world.
 **Job Description**  
The Data Management and BI Team is seeking a Sr. Staff Data Engineer to join our team. We build data pipelines to land, profile, and store multiple internal \&amp; external datasets. We also build applications that surface this data to support our business partners’ strategic decision\-making. We're an AWS shop that uses open\-source technologies including Scala, Python, Pandas, Spark, Hive, and Postgres as well as BI tools, such as Tableau and MicroStrategy. We work in a very agile environment, where product specifications are flexible and often change rapidly over time. We're seeking people who are comfortable with ambiguity, can drive towards clarity, and define execution plans. While the key focus for this role is on backend engineering, engineers who have full\-stack expertise will be especially considered.
**Responsibilities:**
* Designs, builds, and oversees the deployment and operation of technology architecture, solutions and software to capture, manage, store, and utilize structured and unstructured data from internal and external sources
* Contributor to the overall Data Product roadmap by working closely with our business partners to understand their challenges and develop analytical tools to help drive business decisions
* Develops technical tools and programming that leverage artificial intelligence, machine learning, and big\-data techniques to cleanse, organize and transform data and to maintain, defend and update data structures and integrity on an automated basis
* Leverage prototyping methodologies to propose and design creative business solutions that exploit our broad toolset of technologies (Big Data, MicroStrategy, Tableau, Python, Spark etc).
* Creates and establishes design standards and assurance processes for software, systems, and applications development to ensure compatibility and operability of data connections, flow,s and storage requirements.
* Reviews internal and external business and product requirements for data operations and activity and suggests changes and upgrades to systems and storage to accommodate ongoing needs.
* Design, develop, and maintain CI/CD pipelines using GitHub Actions to automate deployment, testing, and monitoring of applications.
* Implement and manage serverless solutions (e.g., AWS Lambda, EMR Serverless, Kafka, SNS, SQS, Athena etc.) as part of the application architecture.
* Implement infrastructure as code (IaC) practices using tools like Terraform, AWS CloudFormation, or similar to manage cloud infrastructure.
* Work with development teams to set up automated testing frameworks, ensuring high test coverage and code quality.
* Must understand the basics of relational data modeling and be able to clearly articulate the reasons for using to non\-relational systems in our architecture. Experience in desired but relevant experience in any of the following is acceptable: Singlestore, MySQL, Redshift, Athena, MSSQL Server, Oracle.
* Decent understanding for the digital media ad sales business and ad serving technologies with experience working with ad serving transactional data logs or Nielsen demographic data.
* Educate and inform business partners on architecture, capabilities, best practices and solutions to build out future enhancements
* Assist in analyzing business requirements, source systems, understand underlying data sources, transformation requirements, data mapping, data model and metadata for reporting solutions
* Writing easily understood documentation and architecture diagrams and keeping them up to date as code and frameworks change over time.
**Qualifications**  
* Strong Computer Science/Engineering/Information Systems background
* 10\+ Years of Experience in Data Modeling, Data architecture, Data Quality, Metadata, ETL, and Data Warehouse methodologies and technologies.
* 5\+ years experience with AWS technologies.
* Strong experience using Python and Pandas in an AWS Lambda framework is highly desired. Experience using EMR and/or DataBricks or the ability to read EMR code and translate it into Lambdas.
* Proven experience (3\+ years) in designing and managing CI/CD pipelines, specifically using GitHub Actions.
* Demonstrated experience with Python, APIs, Spark, and Scala.
* Experience with with advanced SQL, Linux, MicroStrategy, Tableau, and Pandas.
* Strong problem\-solving skills.
* Strong oral and written communication and influencing skills, with the ability to communicate new concepts and drive change in processes and behaviors and to communicate complex technical topics to management and non\-technical audiences.
* Bachelor’s degree in Engineering, Computer Science, Information Systems or related field with 10\+ years of relevant experience.
**Desired Characteristics:**
* 1\+ years in Digital Media Publisher Industry with a solid understanding of Digital Research
* Experience with various digital platforms such as Omniture (Site Catalyst), Rentrak, comScore, Operative One, Google DoubleClick, Freewheel, Ad\-Juster, MOAT, Nielsen, Facebook, Twitter, etc
* Understanding of how to manage code in the Enterprise Git repository with appropriate branching and documentation skills
* Ability to design optimized, performant, and visually appealing reports, user interfaces, mockups, and documentation
* Ability to read external API documentation and write pipelines to extract data from our partners’ systems
* Ability to write and stand up internal API endpoints to share data with other internal teams.
* Strong analytical focus, results\-oriented, and execution driven.
* Ability and desire to work within a cross\-functional team environment with people from multiple business units, vendors, countries, and cultures.
* Self\-driven/self\-initiator and resourceful to achieve goals independently as well as in teams and promotes an open flow of information so that all stakeholders are well informed.
* Flexibility to adjust to changing requirements, schedules, and priorities.
* Ability to work independently under minimum supervision and be proactive in solving issues
* Energetic, committed, and solution\-focused with the ability to perform under pressure and meet targets
**Additional Requirements:**
* **Fully Remote:** This position has been designated as fully remote, meaning that the position is expected to contribute from a non\-NBCUniversal worksite, most commonly an employee’s residence.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$150,000 \- $185,000 *(bonus eligible)*
We are accepting applications for this position on an ongoing basis.
 **Additional Information**  
As part of our selection process, external candidates may be required to attend an in\-person interview with an NBCUniversal employee at one of our locations prior to a hiring decision.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If you are a qualified individual with a disability or a disabled veteran, you have the right to request a reasonable accommodation if you are unable or limited in your ability to use or access nbcunicareers.com as a result of your disability. You can request reasonable accommodations by emailing AccessibilitySupport@nbcuni.com.
For LA County and City Residents Only: NBCUniversal will consider for employment qualified applicants with criminal histories, or arrest or conviction records, in a manner consistent with relevant legal requirements, including the City of Los Angeles' Fair Chance Initiative For Hiring Ordinance, the Los Angeles County Fair Chance Ordinance for Employers, and the California Fair Chance Act, where applicable.</t>
        </is>
      </c>
    </row>
    <row r="38">
      <c r="A38" t="inlineStr">
        <is>
          <t>in-b2cb0e611a05f461</t>
        </is>
      </c>
      <c r="B38" t="inlineStr">
        <is>
          <t>Data Analytics Engineer - SAP BRIM</t>
        </is>
      </c>
      <c r="C38" t="inlineStr"/>
      <c r="D38" t="inlineStr">
        <is>
          <t>indeed</t>
        </is>
      </c>
      <c r="E38" t="inlineStr"/>
      <c r="F38" t="inlineStr"/>
      <c r="G38" t="inlineStr">
        <is>
          <t>Boiling Springs, PA, US</t>
        </is>
      </c>
      <c r="H38" s="2" t="n">
        <v>46028</v>
      </c>
      <c r="I38" t="inlineStr">
        <is>
          <t>**Benefits:**
* Health insurance
BVA Bears IT Solutions is seeking an SAP BRIM \-Data Analytics Engineer to work in the Middletown, PA area. This is a full time position with at least 2 days on\-site and  
possibly 3 days remote.
As an SAP BRIM\-Data Analytics Engineer, you will design, develop, and maintain data pipelines, analytics models, and reporting solutions supporting SAP Billing and Revenue Innovation Management (BRIM) and SAP S/4HANA. This role ensures accurate data integration, transformation, and visualization for high\-volume, consumption\-based billing and revenue processes. The engineer collaborates with architects, developers, and business teams to deliver secure, scalable, and compliant analytics solutions aligned with SAP best practices.  
**Key Responsibilities:**
* Data Engineering \&amp; Integration
* Design and implement ETL/ELT pipelines for SAP BRIM data using SAP tools and modern data platforms.
* Develop integration strategies to ensure data integrity and minimize replication across SAP and external systems.
* Optimize data migration and delta load processes for high\-volume environments.
* Analytics \&amp; Reporting
* Build dashboards and reports using SAP Analytics Cloud (SAC), BW/4HANA, and other visualization tools.
* Create data models to support subscription, invoicing, and revenue analytics.
* Ensure alignment with business KPIs and compliance requirements.
* Performance \&amp; Scalability
* Implement best practices for query optimization and large\-scale data processing.
* Monitor and tune data pipelines for performance and reliability.
* Compliance \&amp; Security
* Ensure data handling meets PCI DSS, SOC1/SOC2, and Commonwealth IT security standards.
* Apply encryption, role\-based access, and secure storage practices.
* Collaboration \&amp; Documentation
* Document data flows, mappings, and transformation logic in Commission\-approved templates.
* Work closely with business analysts and SMEs to validate requirements and deliver actionable insights.
**Qualifications**:
* Education: Bachelor’s degree in Data Science, Computer Science, or related field.
* Experience: 5\+ years in data engineering and analytics within SAP environments.
* Hands\-on experience with SAP BRIM and S/4HANA data structures.
* Expertise in ETL tools, SAP BW/4HANA, and SAP Analytics Cloud.
 **Skills:**
* Strong SQL, ABAP for data extraction, and familiarity with SAP BTP for event\-driven data processing.
* Knowledge of API integration and data governance frameworks.
* Excellent analytical and documentation skills.
**Preferred Skills:**
* SAP BRIM certifications (BR235/240/245/416\).
* Experience with utilities or transportation industry data models.
* Familiarity with Agile/Hybrid methodologies and tools like ADO/JIRA.
* Knowledge of predictive analytics and machine learning in SAP environments.
**U.S. Citizenship Requirement:**  
This position is restricted to **U.S. citizens only** in accordance with federal contract requirements. Applicants must provide proof of U.S. citizenship (such as a U.S. passport, birth certificate, or Certificate of Naturalization) prior to employment. Non\-citizens, including lawful permanent residents (Green Card holders), are not eligible for this role.
**Equal Employment Opportunity**:
BVA Bears IT Solutions is committed to providing equal employment opportunities. All qualified applicants will receive consideration for employment without regard to race, color, religion, national origin, gender, sexual orientation, gender identity, age, disability, genetic information, military/veteran status, or any other characteristic protected by law.  
Flexible work from home options available.</t>
        </is>
      </c>
    </row>
    <row r="39">
      <c r="A39" t="inlineStr">
        <is>
          <t>in-5da992ee5235cfc7</t>
        </is>
      </c>
      <c r="B39" t="inlineStr">
        <is>
          <t>Data Engineer - Databricks (Mid Level) - US Citizens Only</t>
        </is>
      </c>
      <c r="C39" t="inlineStr">
        <is>
          <t>Infobahn Solutions Inc.</t>
        </is>
      </c>
      <c r="D39" t="inlineStr">
        <is>
          <t>indeed</t>
        </is>
      </c>
      <c r="E39" t="inlineStr"/>
      <c r="F39" t="inlineStr"/>
      <c r="G39" t="inlineStr">
        <is>
          <t>Remote, US</t>
        </is>
      </c>
      <c r="H39" s="2" t="n">
        <v>46028</v>
      </c>
      <c r="I39" t="inlineStr">
        <is>
          <t>**\-\-\-\- Project requirements mandate role open only for US Citizens. IRS MBI Clearance a plus/ Active Secret or Top Secret a Plus. All candidates will have to go through Clearance process before being able to start on the project.\-\-(No exceptions to this requirement)**
**Job Description**
* Infobahn Solutions is hiring Databricks Data Engineering professionals in the Washington DC Metro Area for a US Government Federal Project with the Department of Treasury .
* The Data Engineers will be part of a Data Migration \&amp; Conversion Team on a large DataLake being implemented on AWS Gov Cloud .
* Data will be migrated from on premise Main Frame /Legacy database systems using Informatica PowerCenter to the AWS Landing Zone on S3\.
* Further conversion will be done using Databricks (PySpark) in AWS.
* The Data Engineer should have prior Data Migration experience and understand all the intricacies required of developing data integration routines for moving data from multiple source systems to a new target system with a different data model.
* The Data Engineer should have experience in converting Oracle PL/SQL and/or Greenplum code to Databricks.
* **Must have experience** \- **Experience with Data Migrations and Conversion using Databricks .**
* **Experience of using Databricks on AWS and managing a Databricks production system is critical and a must have for the project.**
**What you’ll be doing:**
* **Databricks Environment Setup:** Configure and maintain Databricks clusters, ensuring optimal performance and scalability for big data processing and analytics.
* **ETL (Extract, Transform, Load):** Design and implement ETL processes using Databricks notebooks or jobs to process and transform raw data into a usable format for analysis.
* **Data Lake Integration:** Work with data lakes and data storage systems to efficiently manage and access large datasets within the Databricks environment.
* **Data Processing and Analysis:** Develop and optimize Spark jobs for data processing, analysis, and machine learning tasks using Databricks notebooks.
* **Collaboration:** Collaborate with data scientists, data engineers, and other stakeholders to understand business requirements and implement solutions.
* **Performance Tuning:** Identify and address performance bottlenecks in Databricks jobs and clusters to optimize data processing speed and resource utilization.
* **Security and Compliance:** Implement and enforce security measures to protect sensitive data within the Databricks environment, ensuring compliance with relevant regulations.
* **Documentation:** Maintain documentation for Databricks workflows, configurations, and best practices to facilitate knowledge sharing and team collaboration.
**Skills:**
* **Apache Spark:** Strong expertise in Apache Spark, which is the underlying distributed computing engine in Databricks.
* **Databricks Platform:** In\-depth knowledge of the Databricks platform, including its features, architecture, and administration.
* **Programming Languages:** Proficiency in languages such as Python or Scala for developing Spark applications within Databricks.
* **SQL:** Strong SQL skills for data manipulation, querying, and analysis within Databricks notebooks.
* **ETL Tools:** Experience with ETL tools and frameworks for efficient data processing and transformation.
* **Data Lake and Storage:** Familiarity with data lakes and storage systems, such as Delta Lake, AWS S3, or Azure Data Lake Storage.
* **Collaboration and Communication:** Effective communication and collaboration skills to work with cross\-functional teams and stakeholders.
* **Problem Solving:** Strong problem\-solving skills to troubleshoot issues and optimize Databricks workflows.
* **Version Control:** Experience with version control systems (e.g., Git) for managing and tracking changes to Databricks notebooks and code.
**Role Requirements:**
* Bachelor/Master’s degree in computer science, Engineering, or related field
* 7\-8 plus years of development experience on ETL tools (4\+ years of Databricks is a must have)
* 5\+ years of experience as a Databricks Engineer or similar role.
* Strong expertise in Apache Spark and hands\-on experience with Databricks.
* **More than 7 years of experience performing data reconciliation, data validation, ETL testing, deploying ETL packages and automating ETL jobs, developing reconciliation reports.**
* **Working knowledge of message\-oriented middleware/streaming data technologies such as Kafka, Confluent**
* Proficiency in programming languages such as Python or Scala for developing Spark applications.
* Solid understanding of ETL processes and data modeling concepts.
* Experience with data lakes and storage systems, such as Delta Lake, AWS S3, or Azure Data Lake Storage.
* Strong SQL skills for data manipulation and analysis.
* Good experience in shell scripting, AutoSys
* **Strong Data Modeling Skills**
* Strong analytical skills applied to business software solutions maintenance and/or development
* Must be able to work with a team to write code, review code, and work on system operations.
* Past project experience with Data Conversion and Data Migration
* Communicate analysis, results and ideas to key decision makers including business and technical stakeholders.
* Experience in developing and deploying data ingestion, processing, and distribution systems with AWS technologies
* **Experience with using AWS datastores, including RDS Postgres, S3, or DynamoDB**
* Dev\-ops experience using GIT, developing, deploying code to production
* Proficient in using AWS Cloud Services for Data Engineering tasks
* Proficient in programming in Python/shell or other scripting languages for the purpose of data movement
* **Eligible for a US Government issued IRS MBI (candidates with active IRS MBIs will be preferred)**
* Databricks industry certifications **\- Associate / Professional Level**
**Preferred Qualifications**
* **Cloud Data Migration and Conversion projects**
* Experience on AWS
Job Types: Full\-time, Contract
Pay: $90,000\.00 \- $130,000\.00 per year
Benefits:
* Dental insurance
* Flexible schedule
* Health insurance
* Life insurance
* Paid time off
* Vision insurance
Education:
* Bachelor's (Preferred)
License/Certification:
* Databricks Certified Data Engineer Professional (Required)
Security clearance:
* Secret (Preferred)
Work Location: Remote</t>
        </is>
      </c>
    </row>
    <row r="40">
      <c r="A40" t="inlineStr">
        <is>
          <t>in-14a551c8fc9fc361</t>
        </is>
      </c>
      <c r="B40" t="inlineStr">
        <is>
          <t>Machine Learning Data Engineer</t>
        </is>
      </c>
      <c r="C40" t="inlineStr">
        <is>
          <t>Oak Ridge National Laboratory</t>
        </is>
      </c>
      <c r="D40" t="inlineStr">
        <is>
          <t>indeed</t>
        </is>
      </c>
      <c r="E40" t="inlineStr"/>
      <c r="F40" t="inlineStr"/>
      <c r="G40" t="inlineStr">
        <is>
          <t>Oak Ridge, TN, US</t>
        </is>
      </c>
      <c r="H40" s="2" t="n">
        <v>46027</v>
      </c>
      <c r="I40" t="inlineStr">
        <is>
          <t>Requisition Id 15751
**Overview:**
The Advanced Computing in Health Sciences (ACH) section at the Oak Ridge National Laboratory is seeking qualified applicants for a Machine Learning Engineer position for health research projects. The research activities include HIPAA compliant research data that has been entrusted to ORNL. As such, you will have the opportunity to work on some of the most challenging and impactful research and development programs in healthcare informatics, bioinformatics, high performance computing and deep learning.
You will work in a collaborative research and development environment focusing on designing and implementing robust and high performance applications for biomedical research. We are looking for someone who has innovative thinking to design and implement machine learning, statistical, probabilistic, or algorithmic solutions to real world problems in the healthcare and biomedical research.
As a U.S. Department of Energy (DOE) Office of Science national laboratory, ORNL has an impressive 80\-year legacy of addressing the nation’s most pressing challenges. Our team is made up of over 7,000 dedicated and innovative individuals! Our goal is to create an environment where a variety of perspectives and backgrounds are valued, ensuring ORNL is known as a top choice for employment. These principles are essential for supporting our broader mission to drive scientific breakthroughs and translate them into solutions for energy, environmental, and security challenges facing the nation.
**Major Duties/Responsibilities:**
As a Machine Learning Data Engineer, you will be responsible for:
* Independently solving a variety of sophisticated technical problems for scientific and technical projects.
* Developing high\-quality code following best practices in the community for documentation, provenance, version control, etc.
* Managing, maintaining, and refactoring ML codebases, pipelines, and workflows.
* Collaborating closely with research staff to design and implement novel ML approaches.
* Implementing scalable ML methods and workflows for high\-performance computing (HPC) resources, in close collaboration with research staff and computing technical staff.
* Mobilizing and leading data analysis activities on projects with a focus on common deliverables, goals, and timelines.
* Troubleshooting data analysis issues, including implementation issues, hyper\-parameter choices, and modeling decisions.
* Assisting in preparation of manuscripts and dissemination of research results in publications and conferences.
* Working on a variety of data analysis assignments in collaboration with scientists and engineers.
* Working in secure enclaves and open computing environments on a wide variety of applied areas.
* Conducting tasks independently and communicate optimally to team members and stakeholders.
* Deliver ORNL’s mission by aligning behaviors, priorities, and interactions with our core values of Impact, Integrity, Teamwork, Safety, and Service. Promote equal opportunity by fostering a respectful workplace – in how we treat one another, work together, and measure success.
 **Basic Qualifications:**
* B.S. and 5\+ years of relevant experience, or an M.S. and 4\+ years of relevant experience.
* Degree area should be in Computer Science, Statistics, Information Systems, Engineering, or closely related field.
* Significant expertise with the Python ecosystem for data science.
* Significant expertise with PyTorch or Tensorflow.
 **Preferred Qualifications:**
* Foundational understanding of supervised and unsupervised learning, reinforcement learning, and deep learning.
* Experience with large, multimodal datasets.
* Experience developing scalable ML algorithms and workflows for HPC resources.
* Experience working on Linux/Unix platforms.
* Self\-disciplined work ethic and eagerness to tackle ambitious research problems.
* Experience with heath care informatics and clinical data is highly desired.
* Excellent written and oral communication skills.
* Ability to function well in a fast\-paced research environment, set priorities to accomplish multiple tasks within deadlines, and adapt to constantly evolving needs.
 **Security, Credentialing, and Eligibility Requirements:**  
For employment at Oak Ridge National Laboratory (ORNL), a Real ID compliant form of identification will be required. Additionally, ORNL is subject to Department of Energy (DOE) access restrictions. All employees must also be able to obtain and maintain a federal Personal Identity Verification (PIV) card as mandated by Homeland Security Presidential Directive 12 (HSPD\-12\) and Department of Energy (DOE) Order 473\.1A, which requires a favorable post\-employment background investigation.  
To obtain this credential, new employees must successfully complete and pass a Federal Tier 1 background check investigation. This investigation includes a declaration of illegal drug activities, including use, supply, possession, or manufacture within the last year. This includes marijuana and cannabis derivatives, which are still considered illegal under federal law, regardless of state laws.  
For foreign national candidates:  
If you have not resided in the U.S. for three consecutive years, you are not eligible for the PIV credential and instead will need to obtain a favorable Local Site Specific Only (LSSO) risk determination to maintain employment. Once you meet the three\-year residency requirement, you will be required to obtain a PIV credential to maintain employment.
 **Benefits at ORNL:**
ORNL offers competitive pay and benefits programs to attract and retain talented people. The laboratory offers many employee benefits, including medical and retirement plans and flexible work hours, to help you and your family live happy and healthy. Employee amenities such as on\-site fitness, banking, and cafeteria facilities are also provided for convenience.
In addition, we offer a flexible work environment that supports both the organization and the employee. A hybrid/onsite working arrangement may be available with this position.
Other benefits include the following: Prescription Drug Plan, Dental Plan, Vision Plan, 401(k) Retirement Plan, Contributory Pension Plan, Life Insurance, Disability Benefits, Generous Vacation and Holidays, Parental Leave, Legal Insurance with Identity Theft Protection, Employee Assistance Plan, Flexible Spending Accounts, Health Savings Accounts, Wellness Programs, Educational Assistance, Relocation Assistance, and Employee Discounts.
If you have difficulty using the online application system or need an accommodation to apply due to a disability, please email: ORNLRecruiting@ornl.gov.
\#li\-kc1
This position will remain open for a minimum of 5 days after which it will close when a qualified candidate is identified and/or hired.
We accept Word (.doc, .docx), Adobe (unsecured .pdf), Rich Text Format (.rtf), and HTML (.htm, .html) up to 5MB in size. Resumes from third party vendors will not be accepted; these resumes will be deleted and the candidates submitted will not be considered for employment.
ORNL is an equal opportunity employer. All qualified applicants, including individuals with disabilities and protected veterans, are encouraged to apply. UT\-Battelle is an E\-Verify employer.</t>
        </is>
      </c>
    </row>
    <row r="41">
      <c r="A41" t="inlineStr">
        <is>
          <t>in-5cf4a7921074acf3</t>
        </is>
      </c>
      <c r="B41" t="inlineStr">
        <is>
          <t>Data Engineer/Data Architect</t>
        </is>
      </c>
      <c r="C41" t="inlineStr">
        <is>
          <t>ECS</t>
        </is>
      </c>
      <c r="D41" t="inlineStr">
        <is>
          <t>indeed</t>
        </is>
      </c>
      <c r="E41" t="inlineStr"/>
      <c r="F41" t="inlineStr"/>
      <c r="G41" t="inlineStr">
        <is>
          <t>San Diego, CA, US</t>
        </is>
      </c>
      <c r="H41" s="2" t="n">
        <v>46027</v>
      </c>
      <c r="I41" t="inlineStr">
        <is>
          <t>ECS is seeking a ***Data Engineer/Architect*** to work in our ***San Diego, CA*** office.
ECS is working to establish a Common Digital Foundation (CDF) – a shared, secure, and interoperable foundational data platform. As a Data Architect/Data Engineer, you will be a core member of the team responsible for designing, building, and managing the infrastructure that underpins the CDF. You will work collaboratively with developers, data scientists, and other key stakeholders to ensure the CDF is VAULTIS (visible, accessible, understandable, linked, trustworthy, interoperable, and secure) compliant and scalable to meet current and future needs of our customer. This role requires a blend of data architectural skills and hands\-on engineering expertise.
**Key Responsibilities:**
* Define and implement a next\-generation data architecture for the CDF to ensure long\-term scalability.
* Create and manage robust and reliable data pipelines from diverse data sources (e.g., structured, semi\-structured, and unstructured) aligning with data governance policies, security standards and industry best practice.
* Develop and implement data standards, procedures, and definitions for data governance as required aligning with higher headquarters policies when applicable.
* Evaluate and recommend appropriate technologies and tools.
* Ensure data curation processes maintain accuracy and integrity through a quality assurance process.
* Work closely with data analysts and data scientists to ensure data solutions are accessible and reliable.
* Design and implement effective data storage solutions using appropriate technologies (e.g., cloud, on\-premise).
* Contribute to the documentation of data architecture, data pipelines, data catalog, and ETL capabilities.
*Salary Range: $200,000 \- $250,000*
Requirements:
* 10\-15\+ years of relevant experience
* ***Bachelor's Degree in Computer Science or related field***
* ***Active Secret Clearance***
* Proven experience in building and managing data pipelines, data storage, and associated infrastructure
* Proficiency in SQL and at least one programing language (e.g., Python, Java, etc.) for data processing and automation
* Experience in data visualization tools and techniques
* Understanding of data warehousing solutions and ETL (Extract, Transform, Load) frameworks
* Experience with cloud platforms (e.g., AWS, Azure) and their data services
* Experience with data governance frameworks and tools, as well as data security
* Excellent communication and collaboration skills with the ability to work with both technical and non\-technical stakeholders
* Strong problem\-solving skills with a proactive approach to resolving issues
Req Benefits:
https://ecstech.com/careers/benefits/"\&gt;https://ecstech.com/careers/benefits/</t>
        </is>
      </c>
    </row>
    <row r="42">
      <c r="A42" t="inlineStr">
        <is>
          <t>in-e7b84826623a857e</t>
        </is>
      </c>
      <c r="B42" t="inlineStr">
        <is>
          <t>Sales - Analytics Engineer I - IV</t>
        </is>
      </c>
      <c r="C42" t="inlineStr">
        <is>
          <t>The Cincinnati Insurance Companies</t>
        </is>
      </c>
      <c r="D42" t="inlineStr">
        <is>
          <t>indeed</t>
        </is>
      </c>
      <c r="E42" t="inlineStr"/>
      <c r="F42" t="inlineStr"/>
      <c r="G42" t="inlineStr">
        <is>
          <t>Fairfield, OH, US</t>
        </is>
      </c>
      <c r="H42" s="2" t="n">
        <v>46027</v>
      </c>
      <c r="I42" t="inlineStr">
        <is>
          <t>US\-OH\-Fairfield
**Description** **Make a difference with a career in insurance**
At The Cincinnati Insurance Companies, we put people first and apply the Golden Rule to our daily operations. To put this into action, we’re looking for extraordinary people to join our talented team. Our service\-oriented, ethical, knowledgeable, caring associates are the heart of our vision to be the best company serving independent agents. We help protect families and businesses as they work to prevent or recover from a loss. Share your talents to help us reach for continued success as we bring value to the communities we serve and demonstrate that Actions Speak Louder in Person®.
If you’re ready to build productive relationships, collaborate within a diverse team, embrace challenges, and develop your skills, then Cincinnati may be the place for you. We offer career opportunities where you can contribute and grow.
**Build your future with us**
Our Sales and Marketing department is currently seeking an individual for the sales analytics I \- IV position. The analytics engineer leverages project management and data management expertise to support data analytics initiatives and collaborate with Sales business partners. They utilize a variety of technical languages and tools to develop data\-driven solutions, while identifying and resolving root causes of data quality issues. Acting as a bridge between analysts, technical teams, and business stakeholders, the analytics engineer delivers fast, accurate, and customer\-focused solutions. This position is based at our Headquarters in Fairfield, Ohio.
The pay range for this position is $60,000 \- $100,000 annually. The pay determination is based on the applicant’s education, experience, location, knowledge, skills, and abilities. Eligible associates may also receive an annual cash bonus and stock incentives based on company and individual performance.
**Be ready to**:
* demonstrate proficiency in querying existing datasets using technical languages such as SAS and SQL
* document requirements and solutions in alignment with team best practices.
* design and support the development of data structures to meet business needs
* complete service requests of medium complexity and risk, including effort estimation and timeline communication
* contribute to the maintenance and management of both internal and externally sourced datasets
* assist with metadata change control processes
* participate in data quality initiatives, including process design and issue resolution
* implement data cleansing procedures based on business requirements
* understand configuration dependencies and relationships among data analytics tools
* collaborate with technical teams such as IT and PARM to support system integration
* develop, maintain, enhance, and document code, macros, and databases used by the team
* implement basic exception handling in data processes
**Be equipped with**:
* a minimum of 1 year of experience with data query languages and programs, data visualization tools, and data analysis using statistical techniques
* a minimum of 1 year of experience with insurance or financial practices and data management
* excellent communication and interpersonal skills, with a customer\-focused approach
* ability to multitask, prioritize, and thrive in a fast\-paced environment
**Bring education and experience from**:
* bachelor’s degree or equivalent experience in related field preferred
* have earned an associate in insurance data analytics (AIDA) designation or other analytics professional courses preferred
 **Enhance your talents**
Providing outstanding service and developing strong relationships with our independent agents are hallmarks of our company. Whether you have experience from another carrier or you’re new to the insurance industry, we promote a lifelong learning approach. Cincinnati provides you with the tools and training to be successful and to become a trusted, respected insurance professional – all while enjoying a meaningful career. **Enjoy benefits and amenities**
Your commitment to providing strong service, sharing best practices, and creating solutions that impact lives is appreciated. To increase the well\-being and satisfaction of our associates, we offer a variety of benefits and amenities. **Embrace a diverse team**
As a relationship\-based organization, we welcome and value a diverse workforce. We grant equal employment opportunity to all qualified persons without regard to race; creed; color; sex, including sexual orientation, gender identity and transgender status; religion; national origin; age; disability; military service; veteran status; pregnancy; AIDS/HIV or genetic information; or any other basis prohibited by law. All job applicants have rights under Federal Employment Laws. Please review this information to about those rights.</t>
        </is>
      </c>
    </row>
    <row r="43">
      <c r="A43" t="inlineStr">
        <is>
          <t>in-6b8f22e7adbb802a</t>
        </is>
      </c>
      <c r="B43" t="inlineStr">
        <is>
          <t>Business Data Engineer II</t>
        </is>
      </c>
      <c r="C43" t="inlineStr">
        <is>
          <t>Tyndale Company</t>
        </is>
      </c>
      <c r="D43" t="inlineStr">
        <is>
          <t>indeed</t>
        </is>
      </c>
      <c r="E43" t="inlineStr"/>
      <c r="F43" t="inlineStr"/>
      <c r="G43" t="inlineStr">
        <is>
          <t>Pipersville, PA, US</t>
        </is>
      </c>
      <c r="H43" s="2" t="n">
        <v>46027</v>
      </c>
      <c r="I43" t="inlineStr">
        <is>
          <t>The Tyndale Company is seeking a Business Data Engineer II to join our dynamic IT team! The Business Data Engineer Level 2 is a technical escalation point within the organization's data infrastructure framework. This includes performing more complex reporting data analysis, creating customized business reports, implementing the Tyndale Custom Rules Engine changes, and supporting data integrity initiatives. The Business Data Engineer Level 2 collaborates with Supervisors or Level III Engineers on assigned projects, acting as a subject matter expert in one or more areas of expertise. The role also involves designing or developing automated reports and handling more extensive program updates. **HYBRID/REMOTE:** Tyndale supports a strong work\-life balance. This opportunity requires onsite work a minimum of 1 day per week, and 4 days per week remotely. **To be considered, candidates must reside within a commutable distance from our corporate headquarters in Pipersville, PA (Bucks County).*** **Note:** we are not partnering with any outside agencies for this opportunity.
 **About Tyndale**
The Tyndale Company is a private, 9x Top Workplace winner in PA and 5x winner in TX, and an industry leading national supplier of arc\-rated flame\-resistant clothing (FRC) to the energy sector – including utilities, oil and gas, transportation, chemical manufacturing, and NFPA 70E markets. We’re a family\-owned business providing a retail\-style apparel experience to hundreds of thousands of energy workers across the US and Canada. We’re the leading distributor of innovative FRC solutions, and the largest industrial supplier of Carhartt FR, Ariat FR, and Wrangler FR clothing.  
* Perform advanced reporting and data analysis to support other Tyndale members.
* Create and analyze customized business reports for decision\-makers as necessary.
* Build dashboards, self\-service tools, and reports to analyze and present data associated with customer experience, product performance, sales organization operations, and strategic decision\-making.
* Perform debugging procedures on database scripts and reports and resolve conflicts.
* Develop data set processes and supporting documentation.
* Monitor the BDE Service Desk triage queue and troubleshoot or respond to incoming data issues or requests according to the defined service level objective (SLO).
* Assist in the validation of data sets and reporting to ensure accuracy.
* Identify ways to improve data reliability, efficiency, and quality.
* Identify, design, and implement scripts/tools to extract, transform, and load data from various sources to the desired output.
* Assist in all aspects of Software Quality Assurance efforts (test design, test execution, UAT, and training) as needed.
* Assist in the implementation of IT projects as needed.
* Serve as a Level I escalation point for technical issues and support Level I engineers.
* Collaborate with Supervisor/Level III on assigned projects and testing results, providing frequent updates.
* Act as a subject matter expert in one or more areas of expertise, advising on best practices and delivering tailored solutions.
* Design or develop automated reports to streamline reporting processes, increasing efficiency and accuracy.
* Update middle\-tier or large\-tier programs under the supervision of a Supervisor/Level III, contributing to significant improvements to our data infrastructure.
* Take responsibility for creating and maintaining report jobs and data synchronization with third\-party sources.
* Maintain backend report job schedules, security, and delivery, ensuring robust, secure, and efficient data operations.
* Demonstrate strong documentation skills and adhere to Standard Operating Procedures (SOP).
In addition to the primary accountabilities and job activities, Level II Business Data Engineer will:* Serve as a Level I escalation point for technical issues and support Level I engineers.
* Collaborate with Supervisor/Level III to work on assigned projects and testing results, providing frequent updates.
* Act as a subject matter expert in one or more areas of expertise.
* Design or develop automated reports to streamline reporting processes.
* Update middle\-tier programs or large\-tier programs under the supervision of a Supervisor/Level III.
* Take responsibility for creating and maintaining report jobs and data synchronization with third\-party sources.
* Maintain backend report job schedules, security, and delivery.
* Demonstrate strong documentation skills and adhere to Standard Operating Procedures (SOP).
* Bachelor’s Degree in computer science, Statistics, Mathematics, Engineering, Economics, or related field..
* 3\-5 years of experience in a relevant field, with a proven track record in taking on complex tasks and showing deeper understanding of the field.
* Strong command of SQL, and authoring SQL queries to Extract, Transform, and Load (ETL) data into a relational database.
* Experience building and optimizing dashboards in AWS QuickSight or other BI tools.
* Experience with software development and deployment management tools such as Jira, Confluence, Jenkins, Git, etc.
* Experience with communication tools: Slack, Skype, Zoom, etc.
* Experience with Microsoft SSRS preferred.
* Experience with Talend preferred.
* Experience with Amazon Redshift preferred.
* Experience with Amazon Athena preferred.
* Superb communication and presentation skills, with meticulous attention to detail.
* Strong time management skills with the ability to balance multiple projects with tight targets and executive visibility.
* Strong analytic skills related to working with unstructured datasets and can spot trends and anomalies within statistical data.
* Persistence in the pursuit of accuracy.
* Ability to interact with end users to assist in troubleshooting and training.
* Successful history of manipulating, processing, and extracting value from large, disconnected datasets.
 **Benefits*** **Health \&amp; Wellness**: Comprehensive medical, dental, and vision insurance with competitive premiums. Paid parental leave. Mental health support through an EAP and partial reimbursement on copays, fertility support, and robust wellness programs with annual reimbursements.
* **Work\-Life Balance**: Many positions with Tyndale offer hybrid onsite \+ remote work schedules, generous PTO, paid holidays \+ a floating holiday, and more.
* **Financial Compensation**: Competitive salary, 401(k) with matching, and bonus opportunities.
* **Career Growth \&amp; Development**: Training/certification/tuition reimbursement programs and demonstrated paths for knowledge share and internal promotion opportunity.
* **Culture \&amp; Perks**: Family\-owned values, award winning culture, team\-engagement events, casual dress code, company\-sponsored charitable events and activities, and an inclusive workplace that values collaboration and integrity.
 ***Qualified candidates are encouraged to apply on our website,*** ***www.tyndaleusa.com/careers.******E.O.E***  
\#LI\-SP1 \#LI\-Hybrid</t>
        </is>
      </c>
    </row>
    <row r="44">
      <c r="A44" t="inlineStr">
        <is>
          <t>in-b58d9a007f2fc242</t>
        </is>
      </c>
      <c r="B44" t="inlineStr">
        <is>
          <t>Lead Data Engineer- Snowflake</t>
        </is>
      </c>
      <c r="C44" t="inlineStr">
        <is>
          <t>Tiger Analytics</t>
        </is>
      </c>
      <c r="D44" t="inlineStr">
        <is>
          <t>indeed</t>
        </is>
      </c>
      <c r="E44" t="inlineStr"/>
      <c r="F44" t="inlineStr"/>
      <c r="G44" t="inlineStr">
        <is>
          <t>Newport Beach, CA, US</t>
        </is>
      </c>
      <c r="H44" s="2" t="n">
        <v>46027</v>
      </c>
      <c r="I44" t="inlineStr">
        <is>
          <t>Tiger Analytics is a global leader in AI and advanced analytics consulting, empowering Fortune 1000 companies to solve their toughest business challenges. We are on a mission to push the boundaries of what AI can do, providing data\-driven certainty for a better tomorrow. Our diverse team of over 6,000 technologists and consultants operates across five continents, building cutting\-edge ML and data solutions at scale. Join us to do great work and shape the future of enterprise AI.
We are seeking an experienced Lead Data Engineer with expertise in AWS \&amp; Snowflake to join our data team. As a Lead Data Engineer, you will be responsible for designing, building, and maintaining data pipelines, data integration processes, and data infrastructure using Cloud Snowflake DBT. You will collaborate closely with data scientists, analysts, and other stakeholders to ensure efficient data flow and support data\-driven decision making across the organization.
**Requirements**
* 10\+ years of overall industry experience specifically in data engineering
* 8\+ years of experience building and deploying large\-scale data processing pipelines in a production environment.
* Strong proficiency in Python, SQL, and PySpark
* Expert\-level **AWS** (S3, Glue, Lambda) and **Databricks/Apache Spark** for batch and real\-time streaming.
* Deep expertise in the **Snowflake Cloud Data Platform**, including datamart development and SnowPro\-level optimization
* Lead the implementation of **dbt (Core/Cloud)** and **Matillion** for robust ETL/ELT workflows.
* Leverage AWS best practices to ensure pipelines are cost\-effective, reliable, and high\-performing.
* Develop and maintain version\-controlled data workflows using Git and automated deployment pipelines.
* Understanding of Datawarehouse (DWH) systems, and migration from DWH to data lakes/Snowflake
* Strong problem\-solving skills and the ability to handle complex data challenges
* Build processes supporting data transformation, data structures, metadata, dependency and workload management
**Benefits**
Significant career development opportunities exist as the company grows. The position offers a unique opportunity to be part of a small, fast\-growing, challenging and entrepreneurial environment, with a high degree of individual responsibility.
***Tiger Analytics provides equal employment opportunities to applicants and employees without regard to race, color, religion, age, sex, sexual orientation, gender identity/expression, pregnancy, national origin, ancestry, marital status, protected veteran status, disability status, or any other basis as protected by federal, state, or local law.***</t>
        </is>
      </c>
    </row>
    <row r="45">
      <c r="A45" t="inlineStr">
        <is>
          <t>in-ded658be19ef8a09</t>
        </is>
      </c>
      <c r="B45" t="inlineStr">
        <is>
          <t>Senior Data Engineer</t>
        </is>
      </c>
      <c r="C45" t="inlineStr">
        <is>
          <t>Flow</t>
        </is>
      </c>
      <c r="D45" t="inlineStr">
        <is>
          <t>indeed</t>
        </is>
      </c>
      <c r="E45" t="inlineStr"/>
      <c r="F45" t="inlineStr"/>
      <c r="G45" t="inlineStr">
        <is>
          <t>Miami, FL, US</t>
        </is>
      </c>
      <c r="H45" s="2" t="n">
        <v>46027</v>
      </c>
      <c r="I45" t="inlineStr">
        <is>
          <t>**About the Company**  
At Flow, we’re reimagining what it means to live, work, and connect. More than just a real estate company, Flow is a brand, a technology platform, and an operations ecosystem spanning condominiums, hotels, multifamily residences, and office spaces. We’re building a new kind of living experience: one that’s flexible, connected, and designed to create genuine community and real value for the people who call Flow home.  
Our mission is oneness: prioritizing our residents and their experiences, and fostering connection with ourselves, their neighbors, and the natural world. By putting people at the center of everything we do, we’re creating vibrant, human\-centered communities where life, work, creativity, and play all come together in one place. **About the Role**
As a member of Flow's data team, you will shape the data architecture and strategy that powers decision\-making across our multifamily real estate portfolio. We're seeking a Senior Data Engineer who excels at designing robust data solutions while working directly with the people who use them daily—property managers, leasing directors, and marketing teams.  
This isn't a role where you build pipelines in isolation and hand them off. You'll be embedded with operations teams, translating their real\-world problems into elegant technical solutions. When a property manager says "tours are down this week," you'll investigate data quality, understand operational context, and deliver actionable insights—not just a dashboard. Your work will directly impact leasing decisions, marketing budget allocation, and portfolio strategy.  
At Flow, we're building sophisticated data infrastructure for the modern real estate industry. We leverage cloud\-native technologies and AI\-assisted development to move fast while maintaining production\-grade quality. You'll use tools like Claude Code and GitHub Copilot as force multipliers, which means strong written communication isn't optional—it's how you work effectively. If you can write clear prompts, documentation, and stakeholder updates, AI amplifies your impact. If you can't, it becomes a liability.  
We value engineers who think critically, work independently, and own problems end\-to\-end. You'll have significant autonomy to scope projects, make architectural decisions, and challenge assumptions when data doesn't support stakeholder hypotheses.  
Finally, we believe employees are better together. Every position at Flow has an onsite or in\-office requirement.
### **Responsibilities:**
* Design, build, and maintain data pipelines and architecture using Snowflake, dbt, and AWS
* Implement scalable ETL processes and data models that power analytics across the organization
* Build data solutions for complex challenges like entity resolution, multi\-system attribution, and household matching
* Work directly with operations teams (leasing, marketing, property management) to translate daily workflow challenges into data solutions
* Own problems end\-to\-end: from stakeholder conversations through implementation to dashboard deployment and adoption
* Document architectural decisions and explain technical tradeoffs to non\-technical stakeholders in clear, jargon\-free language
* Use AI coding assistants (Claude Code, GitHub Copilot) to accelerate development while maintaining production\-quality code
* Write effective prompts for AI tools and review generated solutions critically—knowing when to trust AI and when to take over
### **Ideal Background:**
* A minimum of 7 years of data engineering experience building scalable data systems in operations\-heavy, data\-forward organizations (not big tech)
* Experience working in product \&amp; operations\-heavy environments where data directly impacts daily business decisions
* Deep expertise in data modeling with dbt—you understand how to model around the deficiencies and quirks of upstream operational systems
* Strong written and verbal communication skills—comfortable writing clear documentation, effective AI prompts, and explaining technical concepts to non\-technical stakeholders
* High proficiency in SQL, Python, and modern data stack technologies (Snowflake, Fivetran, Dagster/Airflow, dbt)
* Deep understanding of the principles and challenges of ensuring high availability, fault tolerance, and efficiency in distributed data systems
* A keen ability to strike a balance between elegant design and pragmatic tradeoffs, all while prioritizing continuous delivery of value to the business
* Experience building data solutions in fast\-moving startup environments
* Strong analytical skills with an inherent curiosity to understand and solve complex business problems through data
Benefits* Comprehensive Benefits Package (Medical / Dental / Vision / Disability / Life)
* Paid time off and 13 paid holidays
* 401(k) retirement plan
* Healthcare and Dependent Care Flexible Spending Accounts (FSAs)
* Access to HSA\-compatible plans
* Pre\-tax commuter benefits
* Employee Assistance Program (EAP), free therapy through SpringHealth, acupuncture, and other wellness offerings
Flow is proud to be an equal opportunity workplace and hires regardless of race, color, ancestry, religion, sex, national origin, sexual orientation, age, citizenship, marital status, disability, gender identity and/or expression, pregnancy, Veteran status any other characteristic protected by federal, state or local law. In addition, we provide reasonable accommodation for qualified individuals with disabilities.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46">
      <c r="A46" t="inlineStr">
        <is>
          <t>in-81ff161abdc11bce</t>
        </is>
      </c>
      <c r="B46" t="inlineStr">
        <is>
          <t>Analytics Engineer (ServiceNow) SME</t>
        </is>
      </c>
      <c r="C46" t="inlineStr">
        <is>
          <t>GovCIO</t>
        </is>
      </c>
      <c r="D46" t="inlineStr">
        <is>
          <t>indeed</t>
        </is>
      </c>
      <c r="E46" t="inlineStr"/>
      <c r="F46" t="inlineStr"/>
      <c r="G46" t="inlineStr">
        <is>
          <t>Alexandria, VA, US</t>
        </is>
      </c>
      <c r="H46" s="2" t="n">
        <v>46027</v>
      </c>
      <c r="I46" t="inlineStr">
        <is>
          <t>Overview:
GovCIO is currently hiring for an **Analytics Engineer** **(ServiceNow) SME** to support a program with the U.S. Coast Guard. This hybrid position is based in Alexandria, VA and requires strong expertise in ServiceNow Performance Analytics and ITSM data integration to deliver actionable insights and operational intelligence.
Responsibilities:
* Configure and maintain ServiceNow Performance Analytics dashboards and reports to deliver KPIs, SLA metrics, and operational insights.
* Extract and analyze ITSM data from ServiceNow to support leadership decision\-making and improve service delivery performance.
* Automate reporting workflows within ServiceNow to enhance efficiency and accuracy.
* Collaborate with stakeholders to gather requirements and translate business needs into ServiceNow dashboard solutions.
* Ensure compliance with DoD and USCG data governance standards while managing sensitive information.
* Provide technical support and troubleshooting for ServiceNow analytics components and related integrations.
* Integrate ServiceNow data with external BI tools or enterprise reporting platforms when required.
Qualifications:
Bachelor's with 12\+ years (or commensurate experience)  
Required Skills and Experience  
* Clearance Required: Active Secret clearance.
* Current DoD 8570 IAT Level II certification (e.g., Security\+ CE, CySA\+, etc.).
* Deep, hands\-on expertise with ServiceNow Performance Analytics, reporting, and dashboard development.
* Strong understanding of ServiceNow data models, tables, and scripting for custom reporting solutions.
* Experience defining KPIs, SLA tracking, and operational metrics within ITSM frameworks.
* Ability to integrate ServiceNow data with external BI platforms when required.
* Familiarity with ITIL processes and service management best practices.
* Ability to communicate complex technical concepts clearly to diverse audiences.
Preferred Skills and Experience  
* US Coast Guard or DoD experience highly preferred.
* Experience with Power BI for supplemental reporting and dashboard migration.
* Proficiency in scripting languages (JavaScript, GlideScript) for ServiceNow customization.
* Knowledge of REST APIs for data integration between ServiceNow and other platforms.
* Familiarity with Linux environments and command\-line tools for automation.
Company Overview:
GovCIO is a team of transformers\-people who are passionate about transforming government IT. Every day, we make a positive impact by delivering innovative IT services and solutions that improve how government agencies operate and serve our citizens.  
But we can't do it alone. We need great people to help us do great things \- for our customers, our culture, and our ability to attract other great people. We are changing the face of government IT and building a workforce that fuels this mission. Are you ready to be a transformer? **What You Can Expect** **Interview \&amp; Hiring Process**
If you are selected to move forward through the process, here’s what you can expect:* During the Interview Process
* + Virtual video interview conducted via video with the hiring manager and/or team
	+ Camera must be on
	+ A valid photo ID must be presented during each interview
* During the Hiring Process
* + Enhanced Biometrics ID verification screening
	+ Background check, to include:
	+ - Criminal history (past 7 years)
		- Verification of your highest level of education
		- Verification of your employment history (past 7 years), based on information provided in your application
**Employee Perks**
At GovCIO, we consistently hear that meaningful work and a collaborative team environment are two of the top reasons our employees enjoy working here. In addition, our employees have access to a range of perks and benefits to support their personal and professional well\-being, beyond the standard company offered health benefits, including:* Employee Assistance Program (EAP)
* Corporate Discounts
* Learning \&amp; Development platform, to include certification preparation content
* Training, Education and Certification Assistance\*
* Referral Bonus Program
* Internal Mobility Program
* Pet Insurance
* Flexible Work Environment
* Available to full\-time employees
Our employees’ unique talents and contributions are the driving force behind our success in supporting our customers, which ultimately fuels the success of our company. Join us and be a part of a culture that invests in its people and prioritizes continuous enhancement of the employee experience. **We are an Equal Opportunity Employer.** All qualified applicants will receive consideration for employment without regard to race, color, religion, sex, gender, gender identity or expression, sexual orientation, national origin, disability, or status as a protected veteran. EOE, including disability/vets. **Posted Pay Range**
The posted pay range, if referenced, reflects the range expected for this position at the commencement of employment, however, base pay offered may vary depending on multiple individualized factors, including market location, job\-related knowledge, skills, education, experience, and internal equity. The total compensation package for this position may also include other compensation elements, to be discussed during the hiring process. If hired, employee will be in an “at\-will position” and the GovCIO reserves the right to modify base salary (as well as any other discretionary payment or compensation program) at any time, including for reasons related to individual performance, GovCIO or individual department/team performance, and market factors.
Posted Salary Range: USD $140,000\.00 \- USD $172,000\.00 /Yr.</t>
        </is>
      </c>
    </row>
    <row r="47">
      <c r="A47" t="inlineStr">
        <is>
          <t>in-09e0af7b7e39914d</t>
        </is>
      </c>
      <c r="B47" t="inlineStr">
        <is>
          <t>Data Engineer</t>
        </is>
      </c>
      <c r="C47" t="inlineStr">
        <is>
          <t>EXPRESSION</t>
        </is>
      </c>
      <c r="D47" t="inlineStr">
        <is>
          <t>indeed</t>
        </is>
      </c>
      <c r="E47" t="inlineStr"/>
      <c r="F47" t="inlineStr"/>
      <c r="G47" t="inlineStr">
        <is>
          <t>Remote, US</t>
        </is>
      </c>
      <c r="H47" s="2" t="n">
        <v>46022</v>
      </c>
      <c r="I47" t="inlineStr">
        <is>
          <t>**Data Engineer**
-----------------
As a Data Engineer at Expression, you will help design, build, and improve the data platform that enforces quality and governance to provide timely, trustworthy analysis across enterprise systems. You will work closely with senior engineers, analysts, and stakeholders in a highly collaborative environment, contributing to well\-designed data solutions while continuing to grow your technical depth and system ownership.
The ideal candidate is hands\-on, curious, and dependable. You are comfortable working on complex data problems, communicating clearly with teammates, and improving systems through thoughtful execution and iteration.
### **Responsibilities**
* Build and maintain data pipelines that support ingest, logging, validation, transformation, and secure data access.
* Contribute to the development and improvement of scalable ETL/ELT processes under guidance from senior engineers.
* Implement and evolve data models and storage patterns that support analytics and operational use cases.
* Apply data quality checks, monitoring, and documentation to ensure data is accurate, reliable, and well understood.
* Collaborate with internal teams and clients to understand data requirements and support analytics use cases.
* Contribute to the ongoing development of Expression's VOR Data Platform, including tooling, standards, and automation.
* Participate in research, prototypes, and proof\-of\-concept work to evaluate new data and analytics technologies, including emerging AI\-driven tools.
* Follow established engineering practices and contribute ideas to improve reliability, performance, and developer experience.
### **Required Qualifications**
* 4–7 years of combined experience and education in Computer Science, Information Systems, Software Engineering, Data Engineering, or a related field.
* Hands\-on experience building and maintaining ETL/ELT data pipelines and working with data warehouses, data lakes, or analytics platforms.
* Experience working with SQL and familiarity with performance tuning and optimization concepts.
* Exposure to data visualization or BI tools such as Tableau, Power BI, Superset, or similar.
* Strong Python development experience
* Familiarity with modern data tooling and workflows; experience using AI\-assisted development tools is a plus.
* Strong written and verbal communication skills, with the ability to explain technical concepts to both technical and non\-technical audiences.
* Ability to work effectively in a collaborative, remote\-first environment.
### **Preferred Qualifications**
* Experience with cloud\-based data solutions on AWS or Azure.
* Experience working with relational and NoSQL databases such as PostgreSQL, Elasticsearch, MongoDB, or similar technologies.
* Familiarity with data modeling best practices and data quality frameworks.
* Experience working in agile or iterative development environments.
* Interest in learning and applying generative AI tools within data engineering workflows.
### **Location**
* Remote with limited travel
### **Security Clearance**
* Secret clearance eligibility required; Top Secret clearance is a plus
### **Benefits**
Expression offers competitive salaries and benefits, such as:
* 401k matching
* PPO and HDHP medical/dental/vision insurance
* Education reimbursement up to $10,000/yr
* Complimentary life insurance
* Generous rollover PTO and 11 days of holiday leave
* Onsite gym facility and trainer
* Commuter Benefits Plan
* In\-office Cold Brew Coffee
### **About Expression**
Founded in 1997 and headquartered in Washington DC, Expression provides data fusion, data analytics, AI/ML, software engineering, information technology, and electromagnetic spectrum management solutions to the U.S. Department of Defense, Department of State, and national security community. Expression's culture focuses on creating immediate and sustainable value for our clients via agile delivery of tailored solutions built through constant engagement with our clients. Expression was ranked \#1 on the Washington Technology 2018's Fast 50 list of fastest\-growing small business Government contractors and a Top 20 Big Data Solutions Provider by CIO Review.
We make sure to provide everyone with the tools and opportunities to grow while working on some of the newest technologies in the industry. We get excited about celebrating our professionals' milestones, accomplishments, promotions, overcoming challenges, and many other aspects that make an engaging collaborative environment.
Equal Opportunity Employer/Veterans/Disabled</t>
        </is>
      </c>
    </row>
    <row r="48">
      <c r="A48" t="inlineStr">
        <is>
          <t>in-d45be0704880c9a9</t>
        </is>
      </c>
      <c r="B48" t="inlineStr">
        <is>
          <t>Senior Data Engineer (Risk Tech, Intelligent Foundations and Experiences)</t>
        </is>
      </c>
      <c r="C48" t="inlineStr">
        <is>
          <t>Information Technology Senior Management Forum</t>
        </is>
      </c>
      <c r="D48" t="inlineStr">
        <is>
          <t>indeed</t>
        </is>
      </c>
      <c r="E48">
        <f>HYPERLINK("https://www.indeed.com/viewjob?jk=d45be0704880c9a9", "https://www.indeed.com/viewjob?jk=d45be0704880c9a9")</f>
        <v/>
      </c>
      <c r="F48">
        <f>HYPERLINK("https://jobs.itsmfleaders.org/job/w4v6dl/senior-data-engineer-(risk-tech-intelligent-foundations-and-experiences)/mclean/va", "https://jobs.itsmfleaders.org/job/w4v6dl/senior-data-engineer-(risk-tech-intelligent-foundations-and-experiences)/mclean/va")</f>
        <v/>
      </c>
      <c r="G48" t="inlineStr">
        <is>
          <t>McLean, VA, US</t>
        </is>
      </c>
      <c r="H48" s="3" t="n">
        <v>46027</v>
      </c>
      <c r="I48" t="inlineStr">
        <is>
          <t>Posted Date
1/06/2026
Description
Senior Data Engineer (Risk Tech, Intelligent Foundations and Experiences)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Data Engineer  
Richmond, VA: $147,100 \- $167,900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Data Engineer (Risk Tech, Intelligent Foundations and Experiences)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Data Engineer  
Richmond, VA: $147,100 \- $167,900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161,800\.00 \- 184,600\.00 Annual
Type
Full\-time</t>
        </is>
      </c>
    </row>
    <row r="49">
      <c r="A49" t="inlineStr">
        <is>
          <t>in-716f7a22e98a3e98</t>
        </is>
      </c>
      <c r="B49" t="inlineStr">
        <is>
          <t>Senior Manager, Data Engineering (Bank Tech)</t>
        </is>
      </c>
      <c r="C49" t="inlineStr">
        <is>
          <t>Information Technology Senior Management Forum</t>
        </is>
      </c>
      <c r="D49" t="inlineStr">
        <is>
          <t>indeed</t>
        </is>
      </c>
      <c r="E49">
        <f>HYPERLINK("https://www.indeed.com/viewjob?jk=716f7a22e98a3e98", "https://www.indeed.com/viewjob?jk=716f7a22e98a3e98")</f>
        <v/>
      </c>
      <c r="F49">
        <f>HYPERLINK("https://jobs.itsmfleaders.org/job/9w5zv2/senior-manager-data-engineering-(bank-tech)/mclean/va", "https://jobs.itsmfleaders.org/job/9w5zv2/senior-manager-data-engineering-(bank-tech)/mclean/va")</f>
        <v/>
      </c>
      <c r="G49" t="inlineStr">
        <is>
          <t>McLean, VA, US</t>
        </is>
      </c>
      <c r="H49" s="3" t="n">
        <v>46027</v>
      </c>
      <c r="I49" t="inlineStr">
        <is>
          <t>Posted Date
1/06/2026
Description
Senior Manager, Data Engineering (Bank Tech)**Do you love building and pioneering in the technology space? Do you enjoy solving complex business problems in a fast\-paced, collaborative,****inclusive,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Senior Manager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**Lead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our code is rigorously designed, elegantly coded, and effectively tuned for performance**
 **Basic Qualifications:**
* **Bachelor’s Degree**
* **At least 6 years of experience in application development (Internship experience does not apply)**
* **At least 2 years of experience in big data technologies**
* **At least 1 year experience with cloud computing (AWS, Microsoft Azure, Google Cloud)**
* **At least 4 years of people management experience**
**Preferred Qualifications:**
* **Master's Degree**
* **9\+ years of experience in application development including Python, SQL, Scala, or Java**
* **4\+ years of experience with a public cloud (AWS, Microsoft Azure, Google Cloud)**
* **5\+ years experience with Distributed data/computing tools (MapReduce, Hadoop, Hive, EMR, Kafka, Spark, Gurobi, or MySQL)**
* **4\+ year experience working on real\-time data and streaming applications**
* **4\+ years of experience with NoSQL implementation (Mongo, Cassandra)**
* **4\+ years of data warehousing experience (Redshift or Snowflake)**
* **4\+ years of experience with UNIX/Linux including basic commands and shell scripting**
* **2\+ years of experience with Agile engineering practices**
* **6\+ years of people management experience**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Mgr, Data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Manager, Data Engineering (Bank Tech)**Do you love building and pioneering in the technology space? Do you enjoy solving complex business problems in a fast\-paced, collaborative,****inclusive,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Senior Manager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**Lead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our code is rigorously designed, elegantly coded, and effectively tuned for performance**
 **Basic Qualifications:**
* **Bachelor’s Degree**
* **At least 6 years of experience in application development (Internship experience does not apply)**
* **At least 2 years of experience in big data technologies**
* **At least 1 year experience with cloud computing (AWS, Microsoft Azure, Google Cloud)**
* **At least 4 years of people management experience**
**Preferred Qualifications:**
* **Master's Degree**
* **9\+ years of experience in application development including Python, SQL, Scala, or Java**
* **4\+ years of experience with a public cloud (AWS, Microsoft Azure, Google Cloud)**
* **5\+ years experience with Distributed data/computing tools (MapReduce, Hadoop, Hive, EMR, Kafka, Spark, Gurobi, or MySQL)**
* **4\+ year experience working on real\-time data and streaming applications**
* **4\+ years of experience with NoSQL implementation (Mongo, Cassandra)**
* **4\+ years of data warehousing experience (Redshift or Snowflake)**
* **4\+ years of experience with UNIX/Linux including basic commands and shell scripting**
* **2\+ years of experience with Agile engineering practices**
* **6\+ years of people management experience**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Mgr, Data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229,900\.00 \- 262,400\.00 Annual
Type
Full\-time</t>
        </is>
      </c>
    </row>
    <row r="50">
      <c r="A50" t="inlineStr">
        <is>
          <t>in-afe95ac82c2dbe87</t>
        </is>
      </c>
      <c r="B50" t="inlineStr">
        <is>
          <t>Senior Data Engineer</t>
        </is>
      </c>
      <c r="C50" t="inlineStr">
        <is>
          <t>innoVet Health, LLC</t>
        </is>
      </c>
      <c r="D50" t="inlineStr">
        <is>
          <t>indeed</t>
        </is>
      </c>
      <c r="E50">
        <f>HYPERLINK("https://www.indeed.com/viewjob?jk=afe95ac82c2dbe87", "https://www.indeed.com/viewjob?jk=afe95ac82c2dbe87")</f>
        <v/>
      </c>
      <c r="F50">
        <f>HYPERLINK("http://www.indeed.com/job/senior-data-engineer-afe95ac82c2dbe87", "http://www.indeed.com/job/senior-data-engineer-afe95ac82c2dbe87")</f>
        <v/>
      </c>
      <c r="G50" t="inlineStr">
        <is>
          <t>Remote, US</t>
        </is>
      </c>
      <c r="H50" s="3" t="n">
        <v>46028</v>
      </c>
      <c r="I50" t="inlineStr">
        <is>
          <t>InnoVet Health, a small and growing business that provides health IT professional services to the Department of Veterans Affairs (VA) is looking for an experienced Sr. Azure Data Engineer proficient in Databricks, Delta Lake, and medallion/lakehouse architectures to support healthcare analytics, interoperability, and data integration needs. You will build scalable data pipelines, ensure data quality, and support advanced analytics across clinical, operational, and regulatory datasets. Your work will directly impact VA healthcare delivery by building an analytical infrastructure that enables AI/ML and advanced analytics to deliver short\-term and longitudinal insights to healthcare professionals serving Veterans. You will work in an agile environment alongside VA and contractor stakeholders. It is flexible, full\-time, and does not require relocation (work\-from\-home). The pay, benefits, and growth potential are competitive.
Responsibilities
* Gather and translate business, technical, and functional requirements into data architecture and pipeline design decisions. Design and develop Azure Data Factory and Databricks\-based ETL/ELT pipelines using PySpark, Delta Lake, and medallion/lakehouse architecture.
* Ingest and transform healthcare data (clinical, claims, FHIR, HL7, EHR, ADT, PGHD) from diverse sources.
* Build secure, scalable solutions using Azure Data Lake Storage, ADF, and Event Hubs, and related services, with attention to latency and reliability requirements.
* Implement data quality, lineage, and governance using Microsoft Purview.
* Optimize Databricks jobs (performance tuning, cluster sizing, Z\-ordering, partitioning).
* Enforce HIPAA\-aligned security practices: RBAC, Key Vault, private endpoints, PHI protection.
* Collaborate with data scientists, analysts, and clinical informatics teams.
* Stay up to date with emerging technologies and trends in data engineering and healthcare data management.
* Present and discuss results with IT and business stakeholders.
* Participate in company growth and other responsibilities, as assigned.
Qualifications
* Bachelor’s or master’s degree in computer science, data analytics, or related field.
* Minimum 6\+ years data engineering experience; 4\+ years hands\-on with Azure and 2\+ years hands\-on with Databricks.
* Strong skills in PySpark, Delta Lake, SQL, and distributed data processing.
* Experience with healthcare data standards (FHIR, HL7, X12/EDI, CCD, claims data, PGHD).
* Strong understanding of HIPAA, PHI handling, and secure data architecture.
* Experience with ADF, ADLS Gen2, Azure Functions, and event\-driven ingestion.
* Strong understanding of data modeling for analytics (dimensional \+ lakehouse).
* Excellent problem\-solving, collaboration and communication skills.
* Green card or US citizen required because of government contract work.
* No 1099 or corp\-to\-corp or international outsourcing or staffing agencies.
Preferred
* Experience with Federal EHR (VistA and Oracle Health) data.
* Experience with Azure Event Hubs, Stream Analytics, AWS Kinesis, or similar data streaming platforms is also a plus.
Job Type: Full\-time
Pay: From $140,000\.00 per year
Benefits:
* 401(k)
* 401(k) matching
* Dental insurance
* Health insurance
* Paid time off
* Referral program
* Vision insurance
Application Question(s):
* This position works directly with US government contracts and under Order 11935, it requires either U.S. Citizenship or valid Green Card. Please answer 2 if you are a US citizen, 1 if you have a valid green card, 0 if neither. Please make sure to answer this question.
* Your LinkedIn profile link (required):
Education:
* Bachelor's (Required)
Experience:
* Azure Data Lake: 4 years (Required)
* Databricks: 4 years (Required)
Work Location: Remote</t>
        </is>
      </c>
    </row>
    <row r="51">
      <c r="A51" t="inlineStr">
        <is>
          <t>in-7582159f127cba55</t>
        </is>
      </c>
      <c r="B51" t="inlineStr">
        <is>
          <t>ETL Data Engineer</t>
        </is>
      </c>
      <c r="C51" t="inlineStr">
        <is>
          <t>Realign</t>
        </is>
      </c>
      <c r="D51" t="inlineStr">
        <is>
          <t>indeed</t>
        </is>
      </c>
      <c r="E51">
        <f>HYPERLINK("https://www.indeed.com/viewjob?jk=7582159f127cba55", "https://www.indeed.com/viewjob?jk=7582159f127cba55")</f>
        <v/>
      </c>
      <c r="F51">
        <f>HYPERLINK("https://realign-llc.com/careers/job-details/IT19461ET", "https://realign-llc.com/careers/job-details/IT19461ET")</f>
        <v/>
      </c>
      <c r="G51" t="inlineStr">
        <is>
          <t>CA, US</t>
        </is>
      </c>
      <c r="H51" s="3" t="n">
        <v>46028</v>
      </c>
      <c r="I51" t="inlineStr">
        <is>
          <t>Job Type: Contract
Job Category: IT
Job Description
**Title: ETL Data Engineer**  
**Location : \- California / remote****Duration : 06 Months**  
Seeking an experienced Data Managemenet professional who will design, implement, and manage secure, scalable ODS solution for reporting and decision making to support critical business applications. This role requires strong hands\-on SQL adn SSIS experience, automation skills, and the ability to collaborate with cross\-functional teams.  
Key Responsibilities  
* Strategize, Design, implement, and manage ODS jobs and environments.
* Documentation of PowerBI project requirements, roadmap planning and reporting data delivery.
* Build and maintain SSIS packages, SQL queries, databases and reports
* Ensure high availability and scalable solution is designed for ODS environment.
* Monitor and optimize SQL queries, daily, weekly and monthly Jobs.
* Collaborate with development teams to design data management projects.
* Maintain backup and disaster recovery strategies.
* Document cloud architecture, processes, and configurations.
* Support cloud migration and modernization projects.
* Conduct performance testing.
Preferred Skills \&amp; Qualifications  
* Experience: 5\+ years in Data Management with PowerBI, SQL, SSIS, AWS/Azure
* Strong project management experience.
Required Skills
DEVOPS ENGINEER
 SENIOR EMAIL SECURITY ENGINEER</t>
        </is>
      </c>
    </row>
    <row r="52">
      <c r="A52" t="inlineStr">
        <is>
          <t>in-74de7d6b607940e9</t>
        </is>
      </c>
      <c r="B52" t="inlineStr">
        <is>
          <t>Azure Data Engineer-3</t>
        </is>
      </c>
      <c r="C52" t="inlineStr">
        <is>
          <t>Realign</t>
        </is>
      </c>
      <c r="D52" t="inlineStr">
        <is>
          <t>indeed</t>
        </is>
      </c>
      <c r="E52">
        <f>HYPERLINK("https://www.indeed.com/viewjob?jk=74de7d6b607940e9", "https://www.indeed.com/viewjob?jk=74de7d6b607940e9")</f>
        <v/>
      </c>
      <c r="F52">
        <f>HYPERLINK("https://realign-llc.com/careers/job-details/IT19419AZ-3", "https://realign-llc.com/careers/job-details/IT19419AZ-3")</f>
        <v/>
      </c>
      <c r="G52" t="inlineStr">
        <is>
          <t>Detroit, MI, US</t>
        </is>
      </c>
      <c r="H52" s="3" t="n">
        <v>46028</v>
      </c>
      <c r="I52" t="inlineStr">
        <is>
          <t>Job Type: Contract
Job Category: IT
Job Description
**Role: Azure Data Engineer****Location: Detroit, MI (Onsite)**  
**Contract** **Competencies:**
8\+ years of experience
Digital: Microsoft Azure
Digital: Microsoft Power BI
 **Role Description:**  
We are seeking an experienced Azure Data Engineer with strong Power BI development expertise and a solid understanding of Marketing Technology (MarTech) platforms.
The role focuses on designing, building, and optimizing scalable data pipelines and analytics solutions on Microsoft Azure.
The ideal candidate will enable actionable insights by transforming marketing and retail data into high\-quality, reliable datasets and interactive Power BI dashboards, supporting data\-driven decision\-making across Meijer’s marketing and retail operations.
This role requires close collaboration with cross\-functional teams to integrate data from multiple MarTech systems, ensure data accuracy and performance, and deliver analytics solutions aligned with business objectives.
Required Skills
DEVOPS ENGINEER
 SENIOR EMAIL SECURITY ENGINEER</t>
        </is>
      </c>
    </row>
    <row r="53">
      <c r="A53" t="inlineStr">
        <is>
          <t>in-339df330623fc801</t>
        </is>
      </c>
      <c r="B53" t="inlineStr">
        <is>
          <t>Data Engineer</t>
        </is>
      </c>
      <c r="C53" t="inlineStr">
        <is>
          <t>Cielo</t>
        </is>
      </c>
      <c r="D53" t="inlineStr">
        <is>
          <t>indeed</t>
        </is>
      </c>
      <c r="E53">
        <f>HYPERLINK("https://www.indeed.com/viewjob?jk=339df330623fc801", "https://www.indeed.com/viewjob?jk=339df330623fc801")</f>
        <v/>
      </c>
      <c r="F53">
        <f>HYPERLINK("https://jobs.smartrecruiters.com/Cielo2/744000101964495-data-engineer", "https://jobs.smartrecruiters.com/Cielo2/744000101964495-data-engineer")</f>
        <v/>
      </c>
      <c r="G53" t="inlineStr">
        <is>
          <t>Wauwatosa, WI, US</t>
        </is>
      </c>
      <c r="H53" s="3" t="n">
        <v>46028</v>
      </c>
      <c r="I53" t="inlineStr">
        <is>
          <t>**Company Description**  
Are you ready to accelerate your career? Join Cielo as a Data Engineer! A career at Cielo will give you the opportunity to work with the industry’s smartest people and to take ownership of your success!
Cielo is a brand that reflects our big idea – that talent is rising – and with it our opportunity to rise above. We create careers for ambitious people by moving beyond traditional assumptions of what it means to work in talent acquisition.
Cielo is the world's leading Talent Acquisition Partner. We deliver a better talent experience for everyone through Talent Acquisition, Search, Consulting, and Digital Accelerators™. With our fresh approach – we design and build comprehensive, proven solutions inspired by technology to find and keep the unique talent that elevates our clients above the competition.
Cielo is an equal opportunity employer and will not discriminate against any applicant for employment because of race, color, religion, sex, national origin, disability, age, genetic information, or any other status protected by state or local law for an individual who falls within the jurisdiction of such law. Applicants who require an accommodation throughout the application and interview process should request this in advance by contacting Cielo Talent Acquisition at talent.acquisition@cielotalent.com
 **Job Description**  
The Data Engineer provides technical expertise to Cielo’s analytics solutions. They will bring solid expertise in emerging technologies such as Snowflake \&amp; Airflow data transformation tools in a cloud environment. They will develop multi\-purpose data applications built in Snowflake \&amp; Python, focusing on the ETL layer, but not creating the reports or dashboards. The Data Engineer will help build global analytics solutions to drive the next generation of recruiting. They will interface with multiple levels of administrative support staff and Cielo client teams.
Responsibilities
* Develop, test, implement and document technical engineering solutions to assist business partner’s self\-service analytic needs.
* Work on project teams consisting of business partners, architects, and other groups to identify technical and functional needs of analytical systems, and determine priority of needs.
* Assist in efforts to analyze, define, design and document requirements for data, workflow, logical processes, hardware and operating system environment.
* Work under broad direction and be fully accountable for own technical work and/or project/supervisory responsibilities. Receive assignments in the form of objectives. Establish own milestones and team objectives. Work is often self\-initiated.
* Champion technology internally across clients, fostering knowledge and optimization of technology to raise the bar throughout the organization, with entrepreneurial spirit to build new solutions and drive organizational change.
 **Qualifications** **Education:**
* High School Diploma or equivalent required
* Or Bachelor’s degree preferred.
**Experience:**
* At least two years of results\-oriented experience in cloud\-based analytics platforms is preferred (AWS or Azure)
* At least two years of experience with SQL on any major RDBMS. (MS SQL, Snowflake, Postgres)
* At least two years of experience developing ETL or ELT solutions working with diverse data sources.
**Functional/Technical Knowledge, Skills and Abilities Required:**
* Proficiency in reporting and analytics tools.
* Proficiency in Word, Excel, PowerPoint, Visio, Outlook, Internet and other related software.
 **Additional Information**  
All your information will be kept confidential according to EEO guidelines.</t>
        </is>
      </c>
    </row>
    <row r="54">
      <c r="A54" t="inlineStr">
        <is>
          <t>in-e50590f4f82885ba</t>
        </is>
      </c>
      <c r="B54" t="inlineStr">
        <is>
          <t>Senior Data Engineer</t>
        </is>
      </c>
      <c r="C54" t="inlineStr">
        <is>
          <t>VulcanForms Inc.</t>
        </is>
      </c>
      <c r="D54" t="inlineStr">
        <is>
          <t>indeed</t>
        </is>
      </c>
      <c r="E54">
        <f>HYPERLINK("https://www.indeed.com/viewjob?jk=e50590f4f82885ba", "https://www.indeed.com/viewjob?jk=e50590f4f82885ba")</f>
        <v/>
      </c>
      <c r="F54">
        <f>HYPERLINK("https://ats.rippling.com/vulcanforms/jobs/f45b2861-fb7c-408c-a6ee-15922e1f3b75?jobSite=Indeed", "https://ats.rippling.com/vulcanforms/jobs/f45b2861-fb7c-408c-a6ee-15922e1f3b75?jobSite=Indeed")</f>
        <v/>
      </c>
      <c r="G54" t="inlineStr">
        <is>
          <t>Devens, MA, US</t>
        </is>
      </c>
      <c r="H54" s="3" t="n">
        <v>46028</v>
      </c>
      <c r="I54" t="inlineStr">
        <is>
          <t>#### **About Us**
Founded in 2015 to develop the world’s first industrially scalable laser metal additive manufacturing solution, VulcanForms is reshaping how the world manufactures critical products. We build and operate advanced digital infrastructure that enables innovation, accelerates growth, and supports sustainability across aerospace, defense, medical, and other essential industries. Through our vertically integrated capabilities, including scalable additive manufacturing and precision machining, we deliver true end\-to\-end production at scale by combining cutting\-edge technology with a foundation of proven industrial craftsmanship. Our team brings deep expertise in manufacturing, materials science, software, automation, and operations, united by a shared commitment to quality, curiosity, and accountability. We foster an inclusive culture where people take ownership, solve meaningful problems, and continuously learn, because we believe diverse perspectives lead to better outcomes.
#### **Job Purpose**
The Senior Data Engineer builds and maintains the data systems that power machine learning workflows, ensuring they scale effectively across VulcanForms. This role serves to provide the technical backbone of our Artificial Intelligence (AI) and data ecosystem—integrating data from factory systems, ensuring ML outputs are accessible and reliable, and delivering tools that enable Data Scientists, Machine Learning Engineers, and Application Engineers to effectively utilize data. By combining strong software engineering discipline, proficiency in data pipeline development, and understanding of ML production workflows, the Senior Data Engineer accelerates the adoption of AI\-driven insights across the organization.
#### **Key Responsibilities**
* Improve the performance, reliability, and scalability of workflows running ML models and analytics to ensure rapid and accurate insights that support operational decision\-making.
* Develop automated pipelines to collect, process, clean, and transform manufacturing data from a wide variety of equipment and sources into production\-ready inputs.
* Own the processes for tracking, monitoring, and maintaining datasets and ML model versions in collaboration with Machine Learning Engineers and Data Scientists to ensure accuracy, reproducibility, and clarity.
* Partner closely with Systems Engineering, Software Engineering, Manufacturing, Quality, and Data Science teams to integrate their data capabilities into unified, robust analytics tools used across the factory.
* Implement automated monitoring, alerting, and validation of pipelines and models to ensure the continuous health of production AI systems.
* Serve as a technical resource for teams adopting AI tools, helping them understand data flows, troubleshooting issues, and suggesting improvements.
#### **Qualifications**
* Bachelor’s or master’s degree in computer science, Data Engineering, or a related field (or equivalent experience).
* 5\+ years of experience in data engineering, ML infrastructure, or related software engineering roles.
* Strong proficiency in programming in Python and SQL.
* Strong proficiency in building data pipelines using tools such as Airflow, dbt, and Spark.
* Experience integrating and transforming data from complex systems (manufacturing, IoT, or industrial environments strongly preferred). · Experience processing and managing both tabular and unstructured data like images, video, and temporal data.
* Deep understanding of ETL/ELT best practices, workflow orchestration, and distributed data processing.
* Familiarity with deploying and maintaining ML models or data\-driven applications in production.
* Strong software engineering fundamentals, including version control, testing, and CI/CD.
* Ability to independently own infrastructure components and collaborate across multiple technical teams.
#### **Preferred Qualifications**
* Experience with ML Ops frameworks or tools (MLflow, Kubeflow, SageMaker, etc.).
* Background working with real\-time data, streaming architectures, or sensor/manufacturing data.
* Experience supporting AI/ML and Analytics development teams and deploying AI tools.
* Knowledge of data modeling, metadata management, and data governance.
* Familiarity with industrial data standards, equipment interfaces, or OPC/SCADA systems.
* Experience in manufacturing, hardware, or industrial environments.
* Experience driving large\-scale data or ML infrastructure improvements across an organization.
*VulcanForms offers a competitive salary and equity package. Actual compensation is based on factors such as the candidate's skills, qualifications, and experience. In addition, VulcanForms provides comprehensive benefits including medical, dental, vision, and life insurance; generous paid time off; and a 401(k) plan with company match.*
*The annual base salary range for this position is $125,000 to $170,000\.*</t>
        </is>
      </c>
    </row>
    <row r="55">
      <c r="A55" t="inlineStr">
        <is>
          <t>in-3a5c205078f9b320</t>
        </is>
      </c>
      <c r="B55" t="inlineStr">
        <is>
          <t>Senior Data Engineer</t>
        </is>
      </c>
      <c r="C55" t="inlineStr">
        <is>
          <t>Systems Development and Analysis</t>
        </is>
      </c>
      <c r="D55" t="inlineStr">
        <is>
          <t>indeed</t>
        </is>
      </c>
      <c r="E55">
        <f>HYPERLINK("https://www.indeed.com/viewjob?jk=3a5c205078f9b320", "https://www.indeed.com/viewjob?jk=3a5c205078f9b320")</f>
        <v/>
      </c>
      <c r="F55">
        <f>HYPERLINK("http://www.indeed.com/job/senior-data-engineer-3a5c205078f9b320", "http://www.indeed.com/job/senior-data-engineer-3a5c205078f9b320")</f>
        <v/>
      </c>
      <c r="G55" t="inlineStr">
        <is>
          <t>Ashburn, VA, US</t>
        </is>
      </c>
      <c r="H55" s="3" t="n">
        <v>46028</v>
      </c>
      <c r="I55" t="inlineStr">
        <is>
          <t>**ASHBURN, VA – Senior Data Engineer**
**SDA** seeks a motivated, experienced career and client\-oriented **Data Engineer** to join our team onsite in **Ashburn, VA.** 
In this role, you will collaborate with a team of consultants and engineers to provide sophisticated data integration and data management solutions for Government clients. The ideal candidate will have deep data engineering skills and extensive experience with data engineering tools, as well as a client\-oriented approach to applying technology to complex problems.
**Responsibilities include but are not limited to:**
* Design and implement robust data pipelines to ingest, transform, and integrate data from various systems and networks, ensuring seamless data flow.
* Collaborate with cloud and system architects to establish secure and efficient data transfer protocols among different networks and systems.
* Develop and enforce data quality standards, ensuring the accuracy, completeness, and consistency of integrated data.
* Work closely with data scientists, analysts, and other stakeholders to understand data requirements to facilitate analytics and machine learning uses.
* Architect data pipelines and data storage solutions to support analytic workflows.
* Optimize data pipelines and storage solutions for performance, ensuring low latency and high throughput for real\-time and batch data processing.
* Implement robust security measures to protect sensitive data and ensure compliance with relevant data security policies and practices.
**Minimum Qualifications:**
* Bachelor’s degree in Computer Science, Information Technology, Engineering, or a related field.
* At least 12 years of experience in data engineering, data architecture, or related roles.
* Extensive experience with ETL tools such as AWS Glue or Talend
* Knowledge of big data technologies like Hadoop, Spark, and Kafka.
* Experience with cloud services from providers such as AWS or Oracle and their data storage and processing services
* Experience with data warehousing, data lakes, and big data technologies
* Proficiency in programming languages such as Python, Java, or SQL
**Preferred Qualifications:**
* Master’s degree in Computer Science, Information Technology, Engineering, or a related field.
* Experience developing and implementing records management policies and procedures.
* Familiarity with data security and compliance frameworks (e.g., NIST framework).
* Cloud certifications such as AWS Certified Developer, Oracle Cloud Infrastructure.
* Experience with agile development methodologies.
* Knowledge of data governance and metadata management.
* Familiarity with records management standards (e.g., NARA standards).
**Customer Requirements**
* Bachelors Degree w/12\+ years of experience.
* Clearance – Secret or be eligible to obtain one.
* **U.S. Citizenship** \- Candidates will be required to have U.S. Citizenship.
**Location**
* hybrid options available (must be within the Washington DC metro area).
**\*\*\* Position pending Contract Award\*\*\***
**About SDA**
Systems Development and Analysis, Inc. (SDA) has decades of success making system concepts an operational reality for agencies on the front lines of homeland security, law enforcement and national defense.
We are focused on our clients’ missions and hold ourselves accountable for their operational success. We operate with independence and integrity so that we can provide unfettered advice. By understanding and appreciating their world, we earn the trust to innovate and apply leading edge technology on behalf of our clients.
SDA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SDA is also committed to compliance with all fair employment practices regarding citizenship and immigration status.
Job Type: Full\-time
Pay: $140,000\.00 \- $175,000\.00 per year
Benefits:
* 401(k) matching
* Health savings account
* Life insurance
* Paid holidays
* Paid time off
* Referral program
Work Location: Hybrid remote in Ashburn, VA 20147</t>
        </is>
      </c>
    </row>
    <row r="56">
      <c r="A56" t="inlineStr">
        <is>
          <t>in-609dc2c5ec0fad61</t>
        </is>
      </c>
      <c r="B56" t="inlineStr">
        <is>
          <t>Senior Data Engineer</t>
        </is>
      </c>
      <c r="C56" t="inlineStr">
        <is>
          <t>Guardant Health</t>
        </is>
      </c>
      <c r="D56" t="inlineStr">
        <is>
          <t>indeed</t>
        </is>
      </c>
      <c r="E56">
        <f>HYPERLINK("https://www.indeed.com/viewjob?jk=609dc2c5ec0fad61", "https://www.indeed.com/viewjob?jk=609dc2c5ec0fad61")</f>
        <v/>
      </c>
      <c r="F56">
        <f>HYPERLINK("https://gh.wd1.myworkdayjobs.com/en-US/gh/job/Palo-Alto-CA/Senior-Data-Engineer_R-100478", "https://gh.wd1.myworkdayjobs.com/en-US/gh/job/Palo-Alto-CA/Senior-Data-Engineer_R-100478")</f>
        <v/>
      </c>
      <c r="G56" t="inlineStr">
        <is>
          <t>Palo Alto, CA, US</t>
        </is>
      </c>
      <c r="H56" s="3" t="n">
        <v>46027</v>
      </c>
      <c r="I56" t="inlineStr">
        <is>
          <t>**Company Description**
Guardant Health is a leading precision oncology company focused on guarding wellness and giving every person more time free from cancer. Founded in 2012, Guardant is transforming patient care and accelerating new cancer therapies by providing critical insights into what drives disease through its advanced blood and tissue tests, real\-world data and AI analytics. Guardant tests help improve outcomes across all stages of care, including screening to find cancer early, monitoring for recurrence in early\-stage cancer, and treatment selection for patients with advanced cancer. For more information, visit guardanthealth.com and follow the company on LinkedIn , X (Twitter) and Facebook .
**Key Responsibilities:**
=========================
**Data Engineering \&amp; Pipeline Development**
--------------------------------------------
* D esign, build, and maintain large\-scale ETL/ELT pipelines using AWS Glue and related AWS services.
* Develop and optimize data models across Amazon S3, Redshift, and Neptune to support analytics and AI workloads.
* Implement transformation and data modeling workflows, ensuring data accuracy, consistency, and lineage.
* Manage data orchestration using Apache Airflow or AWS Step Functions to ensure reliability and timely data delivery.
* Integrate data from CRM platforms, marketing systems, provider datasets, and operational tools into scalable commercial data pipelines.
**Agentic AI Application Development**
--------------------------------------
* Build Agentic AI\-driven workflows using Agentic AI frameworks such as Langchain, Langgraph, Strands, LLMs and Knowledge Bases
* Develop multi\-agent systems that support sales enablement, provider insights, and commercial operations automation.
* Implement retrieval\-augmented generation (RAG) pipelines and hybrid search workflows using vector databases and AWS\-native retrieval tools.
* Build and maintain Amazon Neptune knowledge graph.
* Integrate agent capabilities with internal systems and APIs to support use cases such as provider briefings, objection handling, triage workflows, and content generation.
* Implement security guardrails and access control for agent tools.
* Develop evaluation, telemetry, and monitoring processes to assess agent performance, detect hallucinations, and ensure workflow stability.
**Cross\-Functional Collaboration**
-----------------------------------
* Work closely with Product teams, Commercial Operations, Sales and Marketing, Data Engineering, and to identify automation opportunities.
* Translate business requirements into scalable technical solutions with high reliability and security.
* Provide technical leadership and best practices for AI\-driven workflow development
**Qualifications:**
===================
**Required Qualifications**
---------------------------
* Bachelor’s or Master’s degree in Computer Science, Engineering, Data Science, or a related field, or equivalent experience.
* 5\+ years of professional experience in **data engineering** , **AI engineering** , **or related fields** .
* Strong expertise with AWS data engineering technologies, including: **AWS Glue, Amazon S3, Amazon Neptune/Redshift, Apache Airflow**
* Hands\-on experience with agentic AI frameworks such as:
* **AWS Strands SDK** and **Bedrock** (highly preferred)
* Strands SDK, LangGraph, LangChain, CrewAI, or AutoGen
* Strong proficiency in **Python** and experience with distributed data processing frameworks.
* Practical understanding of LLMs, embeddings, vector search, RAG pipelines, and multi\-agent orchestration.
* Experience building secure, reliable workflow systems with attention to guardrails, error handling, and compliance.
**Preferred Qualifications**
----------------------------
* Experience integrating data from CRM systems (e.g., Salesforce) or other GTM platforms.
* Experience in commercial operations, sales enablement, healthcare analytics, or diagnostic products.
* Familiarity with healthcare data compliance, including HIPAA and PHI handling.
* Experience with Docker, CI/CD pipelines, Kubernetes, or observability tools (CloudWatch , Prometheus, Grafana).
**Competencies**
----------------
* Strong analytical and problem\-solving skills.
* Ability to work independently in fast\-paced, dynamic environments. AI\-native builder quick prototype who iterates fast.
* First\-principles thinker who chooses tools for correctness and efficiency.
* Excellent communication skills with the ability to collaborate across technical and non\-technical teams.
* High attention to detail with a commitment to reliability, accuracy, and compliance.
* Mission\-driven mindset focus.
**Hybrid Work Model:** **This section is applicable to onsite employees who are eligible for hybrid work location as specified by management and related policies.** **Guardant has defined days for in\-person/onsite collaboration and work\-from\-home days for individual\-focused time. All U.S. employees who live within 50 miles of a Guardant facility will** **be required** **to be onsite on Mondays, Tuesdays, and Thursdays. We have found aligning our scheduled in\-office days allows our teams to do the best work and creates the focused thinking time our innovative work requires. At Guardant, our work model has created flexibility for better work\-life balance while keeping teams connected to advance our science for our patients.**
The annualized base salary ranges for the primary location and any additional locations are listed below. This range does not include benefits or, if applicable, bonus, commission, or equity. Each candidate’s compensation offer will be based on multiple factors including, but not limited to, geography, experience, education, job\-related skills, job duties, and business need. Primary Location: Palo Alto, CA Primary Location Base Pay Range: $121,000 \- $166,400 Other US Location(s) Base Pay Range: $102,850 \- $141,440 If the role is performed in Colorado, the pay range for this job is: $108,900 \- $149,760  
*Employee may be required to lift routine office supplies and use office* *equipment. Majority* *of the work is performed in a desk/office environment; however, there may be exposure to high noise levels, fumes, and biohazard material in the laboratory* *environment. Ability* *to sit for extended periods of time.*
*Guardant Health is committed to providing reasonable accommodations in our hiring processes for candidates with disabilities, long\-term conditions, mental health conditions, or sincerely held religious beliefs. If you need support, please reach out to* *Peopleteam@guardanthealth.com*
*A background screening including criminal history is required for this role. GH will consider qualified applicants with criminal arrest or conviction histories in a manner consistent with applicable law including but not limited to the LA County Fair Chance Policies and the Fair Chance Act (Gov. Code Section 12952\).*
*Guardant Health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*All your information will be kept confidential according to EEO guidelines.*  
*To learn more about the information collected when you apply for a position at Guardant Health, Inc. and how it is used, please review our* ***Privacy Notice for Job Applicants*** *.*
*Please visit our career page at:* *http://www.guardanthealth.com/jobs/*</t>
        </is>
      </c>
    </row>
    <row r="57">
      <c r="A57" t="inlineStr">
        <is>
          <t>in-179fd519c3e4395c</t>
        </is>
      </c>
      <c r="B57" t="inlineStr">
        <is>
          <t>Senior Data Engineer</t>
        </is>
      </c>
      <c r="C57" t="inlineStr">
        <is>
          <t>Fisher Investments</t>
        </is>
      </c>
      <c r="D57" t="inlineStr">
        <is>
          <t>indeed</t>
        </is>
      </c>
      <c r="E57">
        <f>HYPERLINK("https://www.indeed.com/viewjob?jk=179fd519c3e4395c", "https://www.indeed.com/viewjob?jk=179fd519c3e4395c")</f>
        <v/>
      </c>
      <c r="F57">
        <f>HYPERLINK("https://jobs-fishercareers.icims.com/jobs/16664/job?utm_source=indeed_integration&amp;iis=Job%20Board&amp;iisn=Indeed&amp;indeed-apply-token=73a2d2b2a8d6d5c0a62696875eaebd669103652d3f0c2cd5445d3e66b1592b0f", "https://jobs-fishercareers.icims.com/jobs/16664/job?utm_source=indeed_integration&amp;iis=Job%20Board&amp;iisn=Indeed&amp;indeed-apply-token=73a2d2b2a8d6d5c0a62696875eaebd669103652d3f0c2cd5445d3e66b1592b0f")</f>
        <v/>
      </c>
      <c r="G57" t="inlineStr">
        <is>
          <t>Plano, TX, US</t>
        </is>
      </c>
      <c r="H57" s="3" t="n">
        <v>46027</v>
      </c>
      <c r="I57" t="inlineStr">
        <is>
          <t>Overview:
It's an exciting time to be a member of the Fisher Investments Technology Department. We are looking for a Senior Data Engineer to support our Enterprise Data Management team. If you are looking for an opportunity to make a difference as we develop scalable and strategic solutions to support our global growth, we want to hear from you! **The Opportunity:**  
Fisher Investments is looking for a Senior Data Engineer to design and provide modern data solutions using cloud\-based platforms and AI\-driven innovations. You will partner with business, technology, and governance teams to ensure scalable, secure and compliant data platforms that power advanced analytics and AI. You will be the enterprise expert for designing, developing, and optimizing data processing systems and pipelines used to populate data into transactional databases, data warehouses, data marts, or other data repositories. You will also coordinate with other IT teams to configure and implement security, monitoring, tooling, and related capabilities as they apply to their assigned systems. **The Day\-to\-Day:*** Use Agile practices to elicit and refine requirements through an iterative process of planning, defining acceptance criteria, prioritizing, developing and delivering enterprise data asset solutions in collaboration with business intelligence teams or other IT teams
* Develop, configure, customize and manage integration tools, databases, warehouses and analytical systems with the use of data related software
* Design, build, and deploy data extraction, transformation, and loading processes and pipelines from various sources including databases, APIs, and data files
* Develop and deploy structured, semi\-structured, and unstructured data storage models such as data vault or dimensional modeling on various platforms to meet requirements
* Coordinate security, application monitoring, development tooling, and related capabilities with responsible teams
* Provide operational support and incident management for data pipelines and data flows, including proactively updating internal clients and relevant parties on status changes and issues encountered
* Author and maintain accurate and up\-to\-date documentation for processes, procedures, and technical designs
* Coach junior data and business intelligence personnel across the company, including developing material and guiding junior personnel on their technical skill growth
**Your Qualifications:*** 15\+ years' experience developing data\-related solutions and software
* 10\+ years of experience working with relational databases and applying it in various applications, including within the Microsoft Azure platform
* 4\+ years of experience with the following:
	+ Multiple cloud technologies in the Microsoft Stack (Azure IaaS and PaaS) along with familiarity with alternative cloud technologies
	+ Design and development of on\-premises and cloud\-based (Azure) infrastructure and platform components
	+ Hands\-on development and deployment experience with Azure cloud using T\-SQL, Azure SQL, Azure Storage, Azure Data Factory, Azure Synapse, Cosmos DB, GitHub, Azure DevOps, and CI/CD pipelines
* Advanced knowledge of Extract/Transform/Load and Extract/Load/Transform tools, including both batch and real\-time data transmission applications such as SSIS, Informatica, Kafka, Spark, or MuleSoft
* Advanced knowledge of database technologies such as Microsoft SQL Server, Oracle, or NoSQL databases
* Advanced knowledge of multiple programming languages, such as Python, SQL, or Scala
* Advanced knowledge of IT infrastructure standards and tools, such as application performance monitoring, IT service management, or DevOps software
* Bachelor's degree in Computer Science, Information Technology, or other relevant field
Preferred qualifications:* Experience with Databricks
* Experience with Power BI
* Experience implementing and supporting multi\-vendor data lake solutions
**Why Fisher Investments:**  
We work for a bigger purpose: bettering the investment universe. We take great pride in our inclusive culture, our learning and development framework customized for every employee, and our Great Place to Work Certification. It's the people that make the Fisher purpose possible, and we invest in them by offering exceptional benefits like:* 100% paid medical, dental and vision premiums for you and your qualifying dependents
* A 50% 401(k) match, up to the IRS maximum
* 20 days of PTO, plus 10 paid holidays
* Family Support programs including 8 week Paid Primary Caregiver Leave, $10,000 fertility, family forming, and hormonal health assistance, and back\-up child, adult, and elder care
* This is an in\-office role. Based on your role, tenure, and performance eligibility you may have the opportunity to participate in our hybrid work from home program. This program is subject to change.
FISHER INVESTMENTS IS AN EQUAL OPPORTUNITY EMPLOYER</t>
        </is>
      </c>
    </row>
    <row r="58">
      <c r="A58" t="inlineStr">
        <is>
          <t>in-e6edca6b28c4a809</t>
        </is>
      </c>
      <c r="B58" t="inlineStr">
        <is>
          <t>Senior Data Engineer</t>
        </is>
      </c>
      <c r="C58" t="inlineStr">
        <is>
          <t>Fisher Investments</t>
        </is>
      </c>
      <c r="D58" t="inlineStr">
        <is>
          <t>indeed</t>
        </is>
      </c>
      <c r="E58">
        <f>HYPERLINK("https://www.indeed.com/viewjob?jk=e6edca6b28c4a809", "https://www.indeed.com/viewjob?jk=e6edca6b28c4a809")</f>
        <v/>
      </c>
      <c r="F58">
        <f>HYPERLINK("https://jobs-fishercareers.icims.com/jobs/16663/job?utm_source=indeed_integration&amp;iis=Job%20Board&amp;iisn=Indeed&amp;indeed-apply-token=73a2d2b2a8d6d5c0a62696875eaebd669103652d3f0c2cd5445d3e66b1592b0f", "https://jobs-fishercareers.icims.com/jobs/16663/job?utm_source=indeed_integration&amp;iis=Job%20Board&amp;iisn=Indeed&amp;indeed-apply-token=73a2d2b2a8d6d5c0a62696875eaebd669103652d3f0c2cd5445d3e66b1592b0f")</f>
        <v/>
      </c>
      <c r="G58" t="inlineStr">
        <is>
          <t>Camas, WA, US</t>
        </is>
      </c>
      <c r="H58" s="3" t="n">
        <v>46027</v>
      </c>
      <c r="I58" t="inlineStr">
        <is>
          <t>Overview:
It's an exciting time to be a member of the Fisher Investments Technology Department. We are looking for a Senior Data Engineer to support our Enterprise Data Management team. If you are looking for an opportunity to make a difference as we develop scalable and strategic solutions to support our global growth, we want to hear from you! **The Opportunity:**  
Fisher Investments is looking for a Senior Data Engineer to design and provide modern data solutions using cloud\-based platforms and AI\-driven innovations. You will partner with business, technology, and governance teams to ensure scalable, secure and compliant data platforms that power advanced analytics and AI. You will be the enterprise expert for designing, developing, and optimizing data processing systems and pipelines used to populate data into transactional databases, data warehouses, data marts, or other data repositories. You will also coordinate with other IT teams to configure and implement security, monitoring, tooling, and related capabilities as they apply to their assigned systems. **The Day\-to\-Day:*** Use Agile practices to elicit and refine requirements through an iterative process of planning, defining acceptance criteria, prioritizing, developing and delivering enterprise data asset solutions in collaboration with business intelligence teams or other IT teams
* Develop, configure, customize and manage integration tools, databases, warehouses and analytical systems with the use of data related software
* Design, build, and deploy data extraction, transformation, and loading processes and pipelines from various sources including databases, APIs, and data files
* Develop and deploy structured, semi\-structured, and unstructured data storage models such as data vault or dimensional modeling on various platforms to meet requirements
* Coordinate security, application monitoring, development tooling, and related capabilities with responsible teams
* Provide operational support and incident management for data pipelines and data flows, including proactively updating internal clients and relevant parties on status changes and issues encountered
* Author and maintain accurate and up\-to\-date documentation for processes, procedures, and technical designs
* Coach junior data and business intelligence personnel across the company, including developing material and guiding junior personnel on their technical skill growth
**Your Qualifications:*** 15\+ years' experience developing data\-related solutions and software
* 10\+ years of experience working with relational databases and applying it in various applications, including within the Microsoft Azure platform
* 4\+ years of experience with the following:
	+ Multiple cloud technologies in the Microsoft Stack (Azure IaaS and PaaS) along with familiarity with alternative cloud technologies
	+ Design and development of on\-premises and cloud\-based (Azure) infrastructure and platform components
	+ Hands\-on development and deployment experience with Azure cloud using T\-SQL, Azure SQL, Azure Storage, Azure Data Factory, Azure Synapse, Cosmos DB, GitHub, Azure DevOps, and CI/CD pipelines
* Advanced knowledge of Extract/Transform/Load and Extract/Load/Transform tools, including both batch and real\-time data transmission applications such as SSIS, Informatica, Kafka, Spark, or MuleSoft
* Advanced knowledge of database technologies such as Microsoft SQL Server, Oracle, or NoSQL databases
* Advanced knowledge of multiple programming languages, such as Python, SQL, or Scala
* Advanced knowledge of IT infrastructure standards and tools, such as application performance monitoring, IT service management, or DevOps software
* Bachelor's degree in Computer Science, Information Technology, or other relevant field
Preferred qualifications:* Experience with Databricks
* Experience with Power BI
* Experience implementing and supporting multi\-vendor data lake solutions
**Compensation:*** $130,000 \- $185,000 base salary per year in the state of WA. New hires should expect to start at the lower end of the range depending on experience
* Eligible for a discretionary bonus based on firm and individual performance
**Why Fisher Investments:**  
We work for a bigger purpose: bettering the investment universe. We take great pride in our inclusive culture, our learning and development framework customized for every employee, and our Great Place to Work Certification. It's the people that make the Fisher purpose possible, and we invest in them by offering exceptional benefits like:* 100% paid medical, dental and vision premiums for you and your qualifying dependents
* A 50% 401(k) match, up to the IRS maximum
* 20 days of PTO, plus 10 paid holidays
* Family Support programs including 8 week Paid Primary Caregiver Leave, $10,000 fertility, family forming, and hormonal health assistance, and back\-up child, adult, and elder care
* This is an in\-office role. Based on your role, tenure, and performance eligibility you may have the opportunity to participate in our hybrid work from home program. This program is subject to change.
FISHER INVESTMENTS IS AN EQUAL OPPORTUNITY EMPLOYER</t>
        </is>
      </c>
    </row>
    <row r="59">
      <c r="A59" t="inlineStr">
        <is>
          <t>in-243cb12cb263d68f</t>
        </is>
      </c>
      <c r="B59" t="inlineStr">
        <is>
          <t>Senior Data Engineer</t>
        </is>
      </c>
      <c r="C59" t="inlineStr">
        <is>
          <t>AmTrust Financial</t>
        </is>
      </c>
      <c r="D59" t="inlineStr">
        <is>
          <t>indeed</t>
        </is>
      </c>
      <c r="E59">
        <f>HYPERLINK("https://www.indeed.com/viewjob?jk=243cb12cb263d68f", "https://www.indeed.com/viewjob?jk=243cb12cb263d68f")</f>
        <v/>
      </c>
      <c r="F59">
        <f>HYPERLINK("https://careers-amtrustgroup.icims.com/jobs/19287/job?utm_source=indeed_integration&amp;iis=Job%20Board&amp;iisn=Indeed&amp;indeed-apply-token=73a2d2b2a8d6d5c0a62696875eaebd669103652d3f0c2cd5445d3e66b1592b0f", "https://careers-amtrustgroup.icims.com/jobs/19287/job?utm_source=indeed_integration&amp;iis=Job%20Board&amp;iisn=Indeed&amp;indeed-apply-token=73a2d2b2a8d6d5c0a62696875eaebd669103652d3f0c2cd5445d3e66b1592b0f")</f>
        <v/>
      </c>
      <c r="G59" t="inlineStr">
        <is>
          <t>Dallas, TX, US</t>
        </is>
      </c>
      <c r="H59" s="3" t="n">
        <v>46027</v>
      </c>
      <c r="I59" t="inlineStr">
        <is>
          <t>Overview:
We are seeking a highly skilled **Senior Data Engineer** to join our team and lead the modernization of our data ecosystem. This role will focus on migrating on\-premise systems to the cloud, consolidating data warehouses, and designing scalable architecture to support advanced analytics and reporting. The ideal candidate will have deep expertise in **Azure**, **data migrations**, and **modern data warehouse design**, along with strong communication skills to collaborate effectively with technical teams and business stakeholders.
Responsibilities:
* Migrate current on\-premise systems to the cloud
* Consolidate data warehouse and processes
* Design new architecture models for specialty risk
* Improve pipeline logic and automation
* Implement reporting solutions
* SQL Server migration to cloud
* Use Databricks to consolidate pipelines
* Participate in infrastructure and pipeline testing
Qualifications:
* Bachelor’s or Master’s degree in Computer Science, Engineering or equivalent work experience.
* 8\+ years of hands\-on experience in data engineering with on\-premise and cloud data platforms
* Highly effective in communicating complex information to non\-technical stakeholders.
* Develop and improve existing data models to accurately represent end\-to\-end business processes, ensuring they're scalable and fully integrate with the extensive data architecture
* Proven experience designing and building large\-scale data platforms.
* Implement best practices in data modeling, DevOps, ETL/ELT processes.
* Drive automation and CI/CD practice in data engineering workflows.
* Experience in Data Modeling tools such as Idera, ERWin
Preferred Skills:
* Expert level (hands\-on) knowledge and understanding of recent versions of Microsoft SQL Server 2016, SSIS, Stored Procedures
* Strong expertise with Azure Data Factory, Databricks, PySpark, Synapse Analytics
* Data Modelling \- dimensional/reporting, data warehousing and transactional use cases (Physical and Logical modelling)
* Proficiency in programming languages such as C\#, Python, Java, or equivalent
Nice to Have
* Hands\-on expertise with Snowflake and related technologies in the Snowflake ecosystem (dbt/Fivetran etc.) for both batch \&amp; streaming use cases.
* Experience in test automation tools \&amp; frameworks: Selenium, WebdriverIO, Appium, BrowserStack
 *The expected salary range for this role is (*$87,500\.00 \- $145,000\.00\) *Please note that the salary information shown above is a general guideline only. Salaries are based upon a wide range of factors considered in making the compensation decision, including, but not limited to, candidate skills, experience, education and training, the scope and responsibilities of the role, as well as market and business considerations.*  
\#LI\-IT1
\#LI\-HYBRID
\#AmTrust  
What We Offer:
AmTrust Financial Services offers a competitive compensation package and excellent career advancement opportunities. Our benefits include: Medical \&amp; Dental Plans, Life Insurance, including eligible spouses \&amp; children, Health Care Flexible Spending, Dependent Care, 401k Savings Plans, Paid Time Off.  
AmTrust strives to create a diverse and inclusive culture where thoughts and ideas of all employees are appreciated and respected. This concept encompasses but is not limited to human differences with regard to race, ethnicity, gender, sexual orientation, culture, religion or disabilities.  
AmTrust values excellence and recognizes that by embracing the diverse backgrounds, skills, and perspectives of its workforce, it will sustain a competitive advantage and remain an employer of choice. Diversity is a business imperative, enabling us to attract, retain and develop the best talent available. We see diversity as more than just policies and practices. It is an integral part of who we are as a company, how we operate and how we see our future.</t>
        </is>
      </c>
    </row>
    <row r="60">
      <c r="A60" t="inlineStr">
        <is>
          <t>in-27b6239fd8a68ae3</t>
        </is>
      </c>
      <c r="B60" t="inlineStr">
        <is>
          <t>Data Engineer</t>
        </is>
      </c>
      <c r="C60" t="inlineStr">
        <is>
          <t>Premium Guard Incorporated</t>
        </is>
      </c>
      <c r="D60" t="inlineStr">
        <is>
          <t>indeed</t>
        </is>
      </c>
      <c r="E60">
        <f>HYPERLINK("https://www.indeed.com/viewjob?jk=27b6239fd8a68ae3", "https://www.indeed.com/viewjob?jk=27b6239fd8a68ae3")</f>
        <v/>
      </c>
      <c r="F60">
        <f>HYPERLINK("https://www.paycomonline.net/v4/ats/web.php/jobs/ViewJobDetails?job=304068&amp;clientkey=C1C85BC91C8324A4635F2CEE270D22B0&amp;source=Indeed", "https://www.paycomonline.net/v4/ats/web.php/jobs/ViewJobDetails?job=304068&amp;clientkey=C1C85BC91C8324A4635F2CEE270D22B0&amp;source=Indeed")</f>
        <v/>
      </c>
      <c r="G60" t="inlineStr">
        <is>
          <t>Lockbourne, OH, US</t>
        </is>
      </c>
      <c r="H60" s="3" t="n">
        <v>46027</v>
      </c>
      <c r="I60" t="inlineStr">
        <is>
          <t>Premium Guard Inc. was founded in 1996 as a pioneer in the global manufacture of aftermarket automotive products. From the very beginning, our focus has been to deliver a complete, turnkey solution with industry\-leading application coverage and quality private label programs for all segments of the automotive aftermarket in North America. Premium Guard Inc is excited to announce that we’re hiring a Data Engineer for either our location in **Columbus Ohio** or **Memphis, TN.** This is a hybrid role with a minimum of 2 days on site per week.
The Data Engineer will be responsible for building reliable, scalable data pipelines and platforms that support analytics, reporting, and future advanced initiatives. This role focuses primarily on **data engineering fundamental \-** data ingestion, transformation, storage, quality, and performance—with **limited initial responsibility for AI/ML**, while providing a clear growth path into advanced analytics and intelligent systems.
**Data Engineering \&amp; Platform Development**
* Design, build, and maintain robust data pipelines supporting new products, customers, and data sources
* Develop scalable data models and ETL/ELT processes using **Databricks, SQL Server, and Python**
* Integrate data from internal systems (ERP, logistics, sales, operations) and external partners
* Optimize data workflows for performance, reliability, scalability, and cost efficiency across **AWS and Azure**
* Implement best practices for data quality, observability, governance, and documentation
* Support data\-driven decision\-making across operations, supply chain, product, and leadership teams
**Operational Excellence**
* Monitor pipeline health and resolve failures proactively
* Apply change management and release controls
* Maintain system documentation and technical standards
* Collaborate with BI analysts, developers, and business stakeholders
**Foundational Analytics \&amp; AI Exposure (Limited Scope)**
* Prepare and curate datasets for analytics and future ML initiatives
* Assist with feature engineering and data preprocessing efforts
* Participate in pilot projects involving predictive analytics and automation as the organization evolves
**Required**
* 5\+ years of experience in data engineering or related roles
* Strong proficiency in **Python and SQL**
* Hands\-on experience with **Databricks, SQL Server**, and cloud platforms (**AWS and/or Azure**)
* Deep understanding of data modeling, ETL/ELT pipelines, and orchestration concepts
* Familiarity with CI/CD pipelines and version control tools (e.g., GitHub)
* Excellent problem\-solving, communication, and collaboration skills
**Preferred**
* Experience in automotive, manufacturing, or supply chain environments
* Familiarity with **dbt, Airflow, Azure Data Factory**
* Exposure to infrastructure\-as\-code tools (Terraform, CDK)
* Knowledge of data cataloging, lineage, and monitoring platforms
* Introductory exposure to AI/ML concepts and workflows</t>
        </is>
      </c>
    </row>
    <row r="61">
      <c r="A61" t="inlineStr">
        <is>
          <t>in-f41657083d9a98a1</t>
        </is>
      </c>
      <c r="B61" t="inlineStr">
        <is>
          <t>Data Engineer</t>
        </is>
      </c>
      <c r="C61" t="inlineStr">
        <is>
          <t>Premium Guard Incorporated</t>
        </is>
      </c>
      <c r="D61" t="inlineStr">
        <is>
          <t>indeed</t>
        </is>
      </c>
      <c r="E61">
        <f>HYPERLINK("https://www.indeed.com/viewjob?jk=f41657083d9a98a1", "https://www.indeed.com/viewjob?jk=f41657083d9a98a1")</f>
        <v/>
      </c>
      <c r="F61">
        <f>HYPERLINK("https://www.paycomonline.net/v4/ats/web.php/jobs/ViewJobDetails?job=304068&amp;clientkey=C1C85BC91C8324A4635F2CEE270D22B0&amp;source=Indeed", "https://www.paycomonline.net/v4/ats/web.php/jobs/ViewJobDetails?job=304068&amp;clientkey=C1C85BC91C8324A4635F2CEE270D22B0&amp;source=Indeed")</f>
        <v/>
      </c>
      <c r="G61" t="inlineStr">
        <is>
          <t>Memphis, TN, US</t>
        </is>
      </c>
      <c r="H61" s="3" t="n">
        <v>46027</v>
      </c>
      <c r="I61" t="inlineStr">
        <is>
          <t>Premium Guard Inc. was founded in 1996 as a pioneer in the global manufacture of aftermarket automotive products. From the very beginning, our focus has been to deliver a complete, turnkey solution with industry\-leading application coverage and quality private label programs for all segments of the automotive aftermarket in North America. Premium Guard Inc is excited to announce that we’re hiring a Data Engineer for either our location in **Columbus Ohio** or **Memphis, TN.** This is a hybrid role with a minimum of 2 days on site per week.
The Data Engineer will be responsible for building reliable, scalable data pipelines and platforms that support analytics, reporting, and future advanced initiatives. This role focuses primarily on **data engineering fundamental \-** data ingestion, transformation, storage, quality, and performance—with **limited initial responsibility for AI/ML**, while providing a clear growth path into advanced analytics and intelligent systems.
**Data Engineering \&amp; Platform Development**
* Design, build, and maintain robust data pipelines supporting new products, customers, and data sources
* Develop scalable data models and ETL/ELT processes using **Databricks, SQL Server, and Python**
* Integrate data from internal systems (ERP, logistics, sales, operations) and external partners
* Optimize data workflows for performance, reliability, scalability, and cost efficiency across **AWS and Azure**
* Implement best practices for data quality, observability, governance, and documentation
* Support data\-driven decision\-making across operations, supply chain, product, and leadership teams
**Operational Excellence**
* Monitor pipeline health and resolve failures proactively
* Apply change management and release controls
* Maintain system documentation and technical standards
* Collaborate with BI analysts, developers, and business stakeholders
**Foundational Analytics \&amp; AI Exposure (Limited Scope)**
* Prepare and curate datasets for analytics and future ML initiatives
* Assist with feature engineering and data preprocessing efforts
* Participate in pilot projects involving predictive analytics and automation as the organization evolves
**Required**
* 5\+ years of experience in data engineering or related roles
* Strong proficiency in **Python and SQL**
* Hands\-on experience with **Databricks, SQL Server**, and cloud platforms (**AWS and/or Azure**)
* Deep understanding of data modeling, ETL/ELT pipelines, and orchestration concepts
* Familiarity with CI/CD pipelines and version control tools (e.g., GitHub)
* Excellent problem\-solving, communication, and collaboration skills
**Preferred**
* Experience in automotive, manufacturing, or supply chain environments
* Familiarity with **dbt, Airflow, Azure Data Factory**
* Exposure to infrastructure\-as\-code tools (Terraform, CDK)
* Knowledge of data cataloging, lineage, and monitoring platforms
* Introductory exposure to AI/ML concepts and workflows</t>
        </is>
      </c>
    </row>
    <row r="62">
      <c r="A62" t="inlineStr">
        <is>
          <t>in-270e43c541f5c3d6</t>
        </is>
      </c>
      <c r="B62" t="inlineStr">
        <is>
          <t>Business Intelligence Data Engineer</t>
        </is>
      </c>
      <c r="C62" t="inlineStr">
        <is>
          <t>Sound Credit Union</t>
        </is>
      </c>
      <c r="D62" t="inlineStr">
        <is>
          <t>indeed</t>
        </is>
      </c>
      <c r="E62">
        <f>HYPERLINK("https://www.indeed.com/viewjob?jk=270e43c541f5c3d6", "https://www.indeed.com/viewjob?jk=270e43c541f5c3d6")</f>
        <v/>
      </c>
      <c r="F62">
        <f>HYPERLINK("https://www.paycomonline.net/v4/ats/web.php/jobs/ViewJobDetails?job=329859&amp;clientkey=8EC4525000B3B5B74F0B985D05DE3C61&amp;source=Indeed", "https://www.paycomonline.net/v4/ats/web.php/jobs/ViewJobDetails?job=329859&amp;clientkey=8EC4525000B3B5B74F0B985D05DE3C61&amp;source=Indeed")</f>
        <v/>
      </c>
      <c r="G62" t="inlineStr">
        <is>
          <t>Tacoma, WA, US</t>
        </is>
      </c>
      <c r="H62" s="3" t="n">
        <v>46027</v>
      </c>
      <c r="I62" t="inlineStr">
        <is>
          <t>Sound Credit Union is currently seeking a **Business Intelligence Data Engineer** to join our team! If you have a passion for advancing enterprise reporting infrastructure, then this position at Sound might be the ideal opportunity for you. We offer a welcoming environment with opportunities for professional growth, a passion for community involvement and great benefits to support employee wellbeing.
***Your Compensation:***
Our pay ranges are built to allow for candidates with various levels of skill and experience to be considered and provide room for growth over time. The target salary range for this position is $79,934 \- $99,918 depending on previous experience and education. The full salary range is $79,934 \- $119,902\.
***Why Work with Us:***  
We stand by our purpose to support our members, employees, and communities through all waves of life. We pride ourselves on fostering a workplace that celebrates diversity and inclusivity, ensuring that every voice is heard and valued. ***Learn more about our company culture on our career's page!******Your Benefits:**** 100% employer paid premiums for medical, dental, vision, and disability for yourself and more than 70% for dependent’s premiums.
* 401k match dollar for dollar up to 4% – *plus* an additional discretionary profit share.
* Three weeks Paid Time Off (PTO) accrued annually to start, with increases over tenure.
* Up to 40 hours of employer paid Work/Life Balance time, awarded annually.
* 10 employer paid Federal Holidays every year.
* Up to 3% annual salary equivalent annual bonus may be awarded when the Credit Union meets its goals, paid each November.
* Up to $50/month gym/lifestyle reimbursement.
* Up to $5,000/year Tuition Assistance Program.
* Incentives for multilingual speakers.
* Employee Assistance Program (EAP) and Virtual Behavioral \&amp; Mental Health Services.
* Free and/or discounted banking services and loans.
* Employee Charitable Matching Program.
* Free ORCA pass.
***What You’ll Do:***
Responsibilities:
* Act as a liaison between business units to define data requirements, reporting needs, and ensure report validation.
* Engage with business customers to gather requirements and deliver comprehensive data acquisition solutions.
* Support the setup and maintenance of data warehouses, master data validation, and the creation of critical metrics and dashboards.
Requirements:
* 2\+ years of experience in a financial or business analytic/data engineering position required.
* Knowledge of data mining, report building, data modeling, data validation, ETL methodologies (including API data acquisition), SQL and SQL management, SSIS and stored procedures, and programming technologies (SQL, PowerShell, Python, etc.) required. Equivalent combination of work experience and related education may be considered.
* High School Diploma or equivalent required. Bachelor’s Degree preferred.
In addition:* Must be bondable.
* Employer sponsorship to secure or maintain employment authorization is not available.
***Our Hours:***A primarily remote schedule Monday – Friday, 8AM – 5PM with the occasional need to come to Tacoma.
This position works 40\+ hours per week as business needs dictate.
This position is eligible for full\-time remote work.  
***About Sound Credit Union…***Sound Credit Union was founded in 1940 and is one of Washington State’s largest credit unions. We have 26 full\-service branches located throughout the Puget Sound region. We live by our Guiding Principles of *Make a Connection, Be a Champion, and Doing the Right Thing* for our members, employees, and community. Visit our website at: https://www.soundcu.com/careers/ to apply.
***The Future is in Our Hands…***  
Sound Credit Union is proud to be an Equal Opportunity employer that values and celebrates the unique perspectives and experiences each person brings to our team. We welcome talent from all walks of life and actively foster an inclusive workplace where every team member can thrive and belong.
All qualified applicants will receive consideration for employment without regard to race, color, religion, sex, sexual orientation, gender identity or expression, national origin, veteran status, disability, age or any other protected status. We believe our differences make us stronger and are committed to building a team that represents a variety of backgrounds, perspectives, and skills.</t>
        </is>
      </c>
    </row>
    <row r="63">
      <c r="A63" t="inlineStr">
        <is>
          <t>in-23322dd9b1f46294</t>
        </is>
      </c>
      <c r="B63" t="inlineStr">
        <is>
          <t>IT Senior Data Engineer</t>
        </is>
      </c>
      <c r="C63" t="inlineStr">
        <is>
          <t>Core &amp; Main</t>
        </is>
      </c>
      <c r="D63" t="inlineStr">
        <is>
          <t>indeed</t>
        </is>
      </c>
      <c r="E63">
        <f>HYPERLINK("https://www.indeed.com/viewjob?jk=23322dd9b1f46294", "https://www.indeed.com/viewjob?jk=23322dd9b1f46294")</f>
        <v/>
      </c>
      <c r="F63">
        <f>HYPERLINK("https://jobs.coreandmain.com/job/CoreMain/IT-Senior-Data---Engineer-44268?utm_source=Indeed", "https://jobs.coreandmain.com/job/CoreMain/IT-Senior-Data---Engineer-44268?utm_source=Indeed")</f>
        <v/>
      </c>
      <c r="G63" t="inlineStr">
        <is>
          <t>MO, US</t>
        </is>
      </c>
      <c r="H63" s="3" t="n">
        <v>46027</v>
      </c>
      <c r="I63" t="inlineStr">
        <is>
          <t>Based in St. Louis, Core \&amp; Main is a leader in advancing reliable infrastructure™ with local service, nationwide®. As a specialty distributor with a focus on water, wastewater, storm drainage and fire protection products and related services, Core \&amp; Main provides solutions to municipalities, private water companies and professional contractors across municipal, non\-residential and residential end markets, nationwide. With over 370 locations across the U.S., the company provides its customers local expertise backed by a national supply chain. Core \&amp; Main’s 5,700 associates are committed to helping their communities thrive with safe and reliable infrastructure. Visit **coreandmain.com** to learn more.
**Job Summary**
**Design, develop, test, and maintain data solutions and pipelines. Serve as a subject matter expert in data engineering, data integration, and cloud\-based data platforms. Maintain, enhance, and provide solutions for data warehousing and analytics environments. Take ownership of technical deliverables and ensure high\-quality, reliable data solutions that meet business needs.**
**Major Tasks, Responsibilities and Key Accountabilities**
* Collaborate with stakeholders to analyze data solution requirements, identify gaps, and assess feasibility.
* Take responsibility for the design, documentation, and implementation of technical solutions that meet business and functional requirements.
* Develop, implement, and maintain data pipelines, data warehouses, and data lake solutions. Ensure data systems possess sufficient controls and meet compliance standards.
* Perform unit testing prior to moving code/configuration to the QA process. Evaluate and research upgrades, patches, and new functionality. Troubleshoot and resolve defects in data solutions.
* Contribute to the development and definition of test plans and scripts for performance, regression, and user acceptance testing; support QA activities as required.
* Build and maintain data models, data mappings, transformation rules, workflows, data extractions and imports, interfaces, and object models.
* Ensure data solutions comply with security protocols and data governance standards.
* Share expertise with team members and participate in peer reviews to uphold technical standards.
**Preferred Qualifications**
* Bachelor’s degree in computer science, Information Technology, or related field.
* 5\+ years of hands\-on development experience in SQL and/or Python for data warehouse management, data integration, and data lake management.
* Deep working knowledge in SQL development using T\-SQL code to design, implement, and optimize complex database objects, such as tables, views, stored procedures, indexes, and functions.
* Experience working with Azure data architecture, including a solid understanding of tools for building data pipelines on cloud\-based data platforms, such as Delta Lakehouse Medallion architecture and data warehousing solutions.
* Exposure to modern Spark\-based data platforms like Databricks or Microsoft Fabric for data engineering tasks, including leveraging their capabilities for scalable data processing, analytics, and machine learning workflows in a cloud\-based environment.
* Understanding of ELT vs ETL and how to build efficient data pipelines with modern Change Data Capture processes.
* Hands\-on experience with CI/CD pipelines in Azure DevOps and understanding of Agile development methodologies.
* Familiarity with common data mapping and transformation techniques for Dynamics 365 Data Entities and Data Management Framework for the Finance and Operations modules.
* Familiarity with Power BI and its integration with Microsoft Fabric for end\-to\-end analytics.
* Strong communication skills with the ability to translate complex technical concepts into business\-friendly language.
**Career Level Dimensions**
**Typical Training/Experience**
* Typically requires BS/BA in a related discipline. Generally, 5\-8 years of experience in a related field; certification is required in some areas OR MS/MA and generally 5\+ years of experience in a related field.
**Problem Complexity**
* Identifies key barriers/core problems and applies problem\-solving skills to deal creatively with complex situations. Troubleshoots and resolves complex problems. Makes decisions under conditions of uncertainty, sometimes with incomplete information, that produce effective end results.
**Autonomy**
* Independently performs assignments with instruction limited to the results expected.
* Determines and develops an approach to solutions.
* Receives technical guidance only on unusual or complex problems or issues.
**Collaboration**
* Works closely with other engineers, analysts, and business partners to deliver high\-quality solutions.
Core \&amp; Main is an Equal Employment Opportunity employer. Employment at Core \&amp; Main is based solely on a person’s merit and qualifications directly related to professional competence. Core \&amp; Main does not discriminate against any employee or applicant on the basis of race, creed, color, religion, national origin, nationality, ancestry, age, disability, veteran status, pregnancy or related condition (including breastfeeding), affectional or sexual orientation, gender identity or expression, marital status, status with regard to public assistance, citizenship, or any other basis protected by law.
None of the questions in this application are intended to elicit information regarding any protected characteristics, nor imply any limitation, illegal preferences or discrimination based upon non\-job\-related information or protected characteristics.
For more information, visit https://www.eeoc.gov</t>
        </is>
      </c>
    </row>
    <row r="64">
      <c r="A64" t="inlineStr">
        <is>
          <t>in-107237739ebbd436</t>
        </is>
      </c>
      <c r="B64" t="inlineStr">
        <is>
          <t>Data Engineer</t>
        </is>
      </c>
      <c r="C64" t="inlineStr">
        <is>
          <t>Alliance Laundry</t>
        </is>
      </c>
      <c r="D64" t="inlineStr">
        <is>
          <t>indeed</t>
        </is>
      </c>
      <c r="E64">
        <f>HYPERLINK("https://www.indeed.com/viewjob?jk=107237739ebbd436", "https://www.indeed.com/viewjob?jk=107237739ebbd436")</f>
        <v/>
      </c>
      <c r="F64">
        <f>HYPERLINK("https://uscareeropenings-alliancelaundry.icims.com/jobs/10914/job?utm_source=indeed_integration&amp;iis=Job%20Board&amp;iisn=Indeed&amp;indeed-apply-token=73a2d2b2a8d6d5c0a62696875eaebd669103652d3f0c2cd5445d3e66b1592b0f", "https://uscareeropenings-alliancelaundry.icims.com/jobs/10914/job?utm_source=indeed_integration&amp;iis=Job%20Board&amp;iisn=Indeed&amp;indeed-apply-token=73a2d2b2a8d6d5c0a62696875eaebd669103652d3f0c2cd5445d3e66b1592b0f")</f>
        <v/>
      </c>
      <c r="G64" t="inlineStr">
        <is>
          <t>Ripon, WI, US</t>
        </is>
      </c>
      <c r="H64" s="3" t="n">
        <v>46027</v>
      </c>
      <c r="I64" t="inlineStr">
        <is>
          <t>Overview:
Our Enterprise Analytics Center of Excellence (CoE) is building the next\-generation analytics stack centered on Snowflake (AWS) and Sigma. We’re looking for a Data Engineer to help design, build, and operate this modern data architecture. This role focuses on developing efficient, governed data pipelines and enabling analytics teams across the business to access reliable, high\-quality data.
Responsibilities:
**Ingestion \&amp; Transformation*** Build and maintain scalable data pipelines using Snowflake OpenFlow and related Snowflake\-native tools.
* Assist in migrating existing Dataiku pipelines into Snowflake to simplify architecture and improve efficiency.
* Continuously improve workflows for performance, reliability, and maintainability.
**Semantic Modeling \&amp; Views*** Develop and maintain Snowflake semantic views that support analytics and reporting needs.
* Apply data modeling best practices to ensure consistency across business domains.
* Support creation of governed, role\-based semantic layers for Finance, Operations, and other enterprise areas.
**Governance \&amp; Security*** Implement data access controls aligned with enterprise RBAC frameworks.
* Support metadata management and cataloging for visibility in Sigma.
* Ensure pipelines and models meet enterprise data governance standards.
**Analytics Enablement*** Deliver clean, governed data sets for Sigma dashboards and embedded analytics use cases.
* Monitor and optimize query performance to balance cost and speed.
* Partner with analysts and BI developers to ensure data is reliable and ready for consumption.
**Continuous Improvement*** Stay current with Snowflake and Sigma feature updates.
* Recommend improvements to data engineering processes and automation where possible.
* Contribute to a culture of learning and collaboration within the CoE.
Qualifications:
**Education****\&amp; Experience****:**  
* Bachelor's or Master's degree in Computer Science, Data Engineering, or a related field.
* At least 5 years of experience as a Data Engineer or in a similar role.
 **Required Skills \&amp; Experience*** **Snowflake****expertise****:** SQL, OpenFlow, Tasks/Streams, and performance optimization.
* **Cloud experience:** Hands\-on with AWS (S3, IAM, Glue, Lambda a plus).
* **Data modeling:** Familiar with dimensional modeling and semantic layer design.
* **ETL/ELT engineering:** Experience building and optimizing data pipelines.
* **Governance \&amp; Security:** Understanding of AD/LDAP integration, RBAC, and data cataloging.
* **Programming:** Proficient in SQL and Python.
* Strong problem\-solving skills and a desire to learn emerging data technologies.
 **Preferred Skills*** Experience supporting Power BI to Sigma migrations or similar modern BI transitions.
* Familiarity with Sigma features such as Ask Sigma, Write\-Back, or Embedded Analytics.
* Exposure to Dataiku or similar ETL platforms.
* Interest in modern data practices such as AI\-assisted analytics or NLP\-based BI tools.
 **Travel:**Approximately 10% **Standard and Physical Requirements:**
Position involves sitting for long periods, standing, manual dexterity, stooping, bending and minimal lifting. **Alliance Team Members Demonstrate DRIVE:*** **Dedicated**: Follows through on commitments. Strong say/do.
* **Respectful**: Acts with integrity and values diverse perspective.
* **Innovative**: Always looking for a better way; leads change.
* **Versatile**: Adapts quickly to changing circumstances. Demonstrates agility.
* **Engaged**: Acts like an owner. Wants to create and grow a business which is tightly aligned with market needs.
EEO: We are an Equal Opportunity Employer. All qualified applicants will receive consideration for employment without regard to race, color, religion, sex, sexual orientation, gender identity, national origin, disability status, protected veteran status, or any other characteristic protected by law. ID: 2025\-10914 Pos. Type: Full\-Time</t>
        </is>
      </c>
    </row>
    <row r="65">
      <c r="A65" t="inlineStr">
        <is>
          <t>in-d46f5a299427bb2a</t>
        </is>
      </c>
      <c r="B65" t="inlineStr">
        <is>
          <t>Data Engineer - Enterprise AI</t>
        </is>
      </c>
      <c r="C65" t="inlineStr">
        <is>
          <t>Chevron</t>
        </is>
      </c>
      <c r="D65" t="inlineStr">
        <is>
          <t>indeed</t>
        </is>
      </c>
      <c r="E65">
        <f>HYPERLINK("https://www.indeed.com/viewjob?jk=d46f5a299427bb2a", "https://www.indeed.com/viewjob?jk=d46f5a299427bb2a")</f>
        <v/>
      </c>
      <c r="F65">
        <f>HYPERLINK("https://chevron.wd5.myworkdayjobs.com/en-US/jobs/job/Houston-Texas-United-States-of-America/Data-Engineer---Enterprise-AI_R000068130", "https://chevron.wd5.myworkdayjobs.com/en-US/jobs/job/Houston-Texas-United-States-of-America/Data-Engineer---Enterprise-AI_R000068130")</f>
        <v/>
      </c>
      <c r="G65" t="inlineStr">
        <is>
          <t>Houston, TX, US</t>
        </is>
      </c>
      <c r="H65" s="3" t="n">
        <v>46027</v>
      </c>
      <c r="I65" t="inlineStr">
        <is>
          <t>Total Number of Openings
1
Chevron is accepting online applications for the position Data Engineer \- Enterprise AI through January 20, 2026 at 11:59 p.m. (Central Time).
Join Chevron’s Enterprise AI team to build the next generation of intelligent data solutions that power advanced analytics and AI\-driven decision\-making. As a Data Engineer, you will apply software engineering principles to design and implement scalable, high\-performance data and AI solutions that enable agentic AI systems, machine learning, predictive modeling, and real\-time insights across global operations. This role is ideal for engineers passionate about modern data architectures, cloud\-native technologies, and applying AI principles to enterprise\-scale challenges.
You will deploy and maintain fully automated data transformation pipelines that integrate diverse storage and computation technologies to handle a wide range of data types and volumes. A successful Data Engineer designs data products and pipelines that are resilient to change, modular, flexible, scalable, reusable, and cost\-effective—ensuring our data ecosystem is future proof for rapidly changing world of AI.
Key Responsibilities:* Architect and Optimize Data Pipelines:  
Design, develop, and maintain robust ETL/ELT pipelines leveraging Databricks (including Databricks Genie for AI\-assisted development), Azure Data Factory, Azure Synapse, and Azure Fabric. Architect solutions with a holistic AI foundation, ensuring pipelines and frameworks are built to support agentic AI systems, machine learning, and generative AI at scale.
* Enable AI\-Ready Data:  
Build modular, reusable data assets and products optimized for AI workloads, ensuring data quality, lineage, governance, and interoperability across multiple AI applications.
* Collaborate Across Disciplines:  
Partner with AI delivery teams, including software engineers, AI engineers, and applied scientists, to deliver AI\-ready datasets and features that accelerate model development and deployment.
* Performance and Scalability:  
Optimize pipelines for big data processing using Spark, Delta Lake, and Databricks\-native capabilities, ensuring scalability and reliability for enterprise\-scale AI workloads.
* Cloud\-Native Engineering:  
Implement best practices for CI/CD, infrastructure\-as\-code, and DevOps using Azure DevOps, Git, and Ansible, while integrating with Databricks workflows for seamless deployment and reuse.
* Innovation and Continuous Learning:  
Stay ahead of emerging technologies in data engineering, AI/ML, and cloud ecosystems, leveraging AI tools like Databricks Genie and Agent Bricks and emerging tools and services within Azure AI Foundry and Fabric to accelerate development and maintain cutting\-edge, reusable solutions.
Required Qualifications:* Bachelor’s degree in computer science, Engineering, or a related field (or equivalent experience) and able to demonstrate high proficiency in programming fundamentals.
* At least 5 years of proven experience as a Data Engineer or similar role dealing with data and ETL processes in cloud\-based data platforms (Azure preferred)
* Strong hands\-on experience with Databricks (Lakehouse, Delta Lake, Unity Catalog) and Microsoft Azure services (Azure Data Factory, Azure Synapse, Azure Blob Storage and Azure Data Lake Gen 2\)
* Strong understanding data modeling, data governance, and software engineering principles and how they apply to data engineering (e.g., CI/CD, version control, testing).
* Strong problem\-solving skills and attention to detail.
* Excellent communication and collaboration skills.
Preferred Qualifications:* Demonstrated learning agility in emerging data and AI tools and services.
* Experience integrating AI/ML pipelines or feature engineering workflows into data platforms.
* Strong experience in Python is preferred but experience in other languages such as Scala, Java, C\#, etc is accepted.
* Experience building spark applications utilizing PySpark.
* Experience with file formats such as Parquet, Delta, Avro.
* Experience efficiently querying API endpoints as a data source.
* Understanding of the Azure environment and related services such as subscriptions, resource groups, etc.
* Understanding of Git workflows in software development.
* Using Azure DevOps pipeline and repositories to deploy and maintain solutions.
* Understanding of Ansible and how to use it in Azure DevOps pipelines.
Relocation Options:
Relocation may be considered.
International Considerations:
Expatriate assignments will not be considered.
Chevron regrets that it is unable to sponsor employment Visas or consider individuals on time\-limited Visa status for this position.
U.S. Regulatory notice:
Chevron is an Equal Opportunity employer. All qualified applicants will receive consideration for employment without regard to race, color, religious creed, sex (including pregnancy), sexual orientation, gender identity, gender expression, national origin or ancestry, age, mental or physical disability, medical condition, reproductive health decision\-making, military or veteran status, political preference, marital status, citizenship, genetic information or other characteristics protected by applicable law.
We are committed to providing reasonable accommodations for qualified individuals with disabilities. If you need assistance or an accommodation, please email us at emplymnt@chevron.com.
Chevron participates in E\-Verify in certain locations as required by law.</t>
        </is>
      </c>
    </row>
    <row r="66">
      <c r="A66" t="inlineStr">
        <is>
          <t>in-94beca73c2dc6889</t>
        </is>
      </c>
      <c r="B66" t="inlineStr">
        <is>
          <t>Sr. Distinguished, Data Engineer - Enterprise Data Storage and Consumption Platforms Data Engineer</t>
        </is>
      </c>
      <c r="C66" t="inlineStr">
        <is>
          <t>Information Technology Senior Management Forum</t>
        </is>
      </c>
      <c r="D66" t="inlineStr">
        <is>
          <t>indeed</t>
        </is>
      </c>
      <c r="E66">
        <f>HYPERLINK("https://www.indeed.com/viewjob?jk=94beca73c2dc6889", "https://www.indeed.com/viewjob?jk=94beca73c2dc6889")</f>
        <v/>
      </c>
      <c r="F66">
        <f>HYPERLINK("https://jobs.itsmfleaders.org/job/pvaldg/sr-distinguished-data-engineer-enterprise-data-storage-and-consumption-platforms-data-engineer/san-francisco/ca", "https://jobs.itsmfleaders.org/job/pvaldg/sr-distinguished-data-engineer-enterprise-data-storage-and-consumption-platforms-data-engineer/san-francisco/ca")</f>
        <v/>
      </c>
      <c r="G66" t="inlineStr">
        <is>
          <t>San Francisco, CA, US</t>
        </is>
      </c>
      <c r="H66" s="3" t="n">
        <v>46027</v>
      </c>
      <c r="I66" t="inlineStr">
        <is>
          <t>Posted Date
1/06/2026
Description
Sr. Distinguished, Data Engineer \- Enterprise Data Storage and Consumption Platforms Data Engineer
Distinguished Data Engineers are individual contributors who strive to be diverse in thought so we visualize the problem space. At Capital One, we believe diversity of thought strengthens our ability to influence, collaborate and provide the most innovative solutions across organizational boundaries. Distinguished Engineers will significantly impact our trajectory and devise clear roadmaps to deliver next generation technology solutions.
**About the Team:**
You will join the Data Storage \&amp; Consumption Platform team within Enterprise Data, serving as a Senior Director\-level Individual Contributor (IC). This role demands a visionary and hands\-on leader to drive the technical strategy for consumption platforms leveraged by all lines of business. Your focus is on maturing platform scalability, Operational Excellence, Performance, and Resiliency. We require deep expertise in AWS infrastructure ,Lakehouse architecture, Snowflake, Databricks platform and BI tools to mature these enterprise\-scale systems and execute technical strategy.
**Our Sr. Distinguished Engineers Are:**
* Deep technical experts and thought leaders that help accelerate adoption of the very best engineering practices, while maintaining knowledge on industry innovations, trends and practices
* Visionaries, collaborating on Capital One’s toughest issues, to deliver on business needs that directly impact the lives of our customers and associates
* Role models and mentors, helping to coach and strengthen the technical expertise and know\-how of our engineering and product community
* Evangelists, both internally and externally, helping to elevate the Distinguished Engineering community and establish themselves as a go\-to resource on given technologies and technology\-enabled capabilities
**Responsibilities:**
* Build awareness, increase knowledge and drive adoption of modern technologies, sharing consumer and engineering benefits to gain buy\-in
* Identify, benchmark and contribute towards opportunities to improve system availability, security, reliability, cost optimization and performance
* Strike the right balance between lending expertise and providing an inclusive environment where others’ ideas can be heard and championed; leverage expertise to grow skills in the broader Capital One team
* Promote a culture of engineering excellence, using opportunities to reuse and innersource solutions where possible
* Effectively communicate with and influence key stakeholders across the enterprise, at all levels of the organization
* Operate as a trusted advisor for a specific technology, platform or capability domain, helping to shape use cases and implementation in an unified manner
* Lead the way in creating next\-generation talent for Tech, mentoring internal talent and actively recruiting external talent to bolster Capital One’s Tech talent
**Basic Qualifications:**
* Bachelor’s Degree
* At least 7 years of experience in software engineering or data engineering
* At least 5 years of people management experience
* At least 3 years of experience with Big Data and data streaming
* At least 3 years of experience with cloud\-based data platforms (Amazon Web Services, Microsoft Azure, Google Cloud Platform)
* At least 9 years of experience in data engineering writing production quality code with a focus on distributed systems
**Preferred Qualifications:**
* Masters’ Degree
* 10\+ years of experience in data engineering
* 3\+ years of experience implementing big data frameworks and processing solutions
* 3\+ years of data modeling experience
* 2\+ years of experience with ontology standards for defining a domain
* 2\+ years of experience using Python, SQL or Scala
* 1\+ year of experience deploying machine learning models
***Capital One will consider sponsoring a new qualified applicant for employment authorization for this position***
Preferred Qualifications:
* Master's Degree
* 5\+ years of experience with Agile engineering practices
* 8\+ years in\-depth experience with the Hadoop stack (MapReduce, Pig, Hive, Hbase)
* 8\+ years experience with NoSQL implementation (Mongo, Cassandra)
* 8\+ years experience developing Java based software solutions
* 8\+ years experience in at least one scripting language
* 8\+ years experience developing software solutions to solve complex business problems
* 8\+ years experience with Relational Database Systems and SQL
* 8\+ years experience designing, developing, and implementing ETL
* 8\+ years experience with UNIX/Linux including basic commands and shell scripting
* 8\+ years of experience providing technical leadership
* 8\+ years of experience leading the full life\-cycle of IT development and platform support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$286,200 \- $326,700 for Sr. Dir, Data Engineering  
McLean, VA: $314,800 \- $359,300 for Sr. Dir, Data Engineering  
New York, NY: $343,400 \- $392,000 for Sr. Dir, Data Engineering  
Richmond, VA: $286,200 \- $326,700 for Sr. Dir, Data Engineering  
San Francisco, CA: $343,400 \- $392,000 for Sr. Dir, Data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Sr. Distinguished, Data Engineer \- Enterprise Data Storage and Consumption Platforms Data Engineer
Distinguished Data Engineers are individual contributors who strive to be diverse in thought so we visualize the problem space. At Capital One, we believe diversity of thought strengthens our ability to influence, collaborate and provide the most innovative solutions across organizational boundaries. Distinguished Engineers will significantly impact our trajectory and devise clear roadmaps to deliver next generation technology solutions.
**About the Team:**
You will join the Data Storage \&amp; Consumption Platform team within Enterprise Data, serving as a Senior Director\-level Individual Contributor (IC). This role demands a visionary and hands\-on leader to drive the technical strategy for consumption platforms leveraged by all lines of business. Your focus is on maturing platform scalability, Operational Excellence, Performance, and Resiliency. We require deep expertise in AWS infrastructure ,Lakehouse architecture, Snowflake, Databricks platform and BI tools to mature these enterprise\-scale systems and execute technical strategy.
**Our Sr. Distinguished Engineers Are:**
* Deep technical experts and thought leaders that help accelerate adoption of the very best engineering practices, while maintaining knowledge on industry innovations, trends and practices
* Visionaries, collaborating on Capital One’s toughest issues, to deliver on business needs that directly impact the lives of our customers and associates
* Role models and mentors, helping to coach and strengthen the technical expertise and know\-how of our engineering and product community
* Evangelists, both internally and externally, helping to elevate the Distinguished Engineering community and establish themselves as a go\-to resource on given technologies and technology\-enabled capabilities
**Responsibilities:**
* Build awareness, increase knowledge and drive adoption of modern technologies, sharing consumer and engineering benefits to gain buy\-in
* Identify, benchmark and contribute towards opportunities to improve system availability, security, reliability, cost optimization and performance
* Strike the right balance between lending expertise and providing an inclusive environment where others’ ideas can be heard and championed; leverage expertise to grow skills in the broader Capital One team
* Promote a culture of engineering excellence, using opportunities to reuse and innersource solutions where possible
* Effectively communicate with and influence key stakeholders across the enterprise, at all levels of the organization
* Operate as a trusted advisor for a specific technology, platform or capability domain, helping to shape use cases and implementation in an unified manner
* Lead the way in creating next\-generation talent for Tech, mentoring internal talent and actively recruiting external talent to bolster Capital One’s Tech talent
**Basic Qualifications:**
* Bachelor’s Degree
* At least 7 years of experience in software engineering or data engineering
* At least 5 years of people management experience
* At least 3 years of experience with Big Data and data streaming
* At least 3 years of experience with cloud\-based data platforms (Amazon Web Services, Microsoft Azure, Google Cloud Platform)
* At least 9 years of experience in data engineering writing production quality code with a focus on distributed systems
**Preferred Qualifications:**
* Masters’ Degree
* 10\+ years of experience in data engineering
* 3\+ years of experience implementing big data frameworks and processing solutions
* 3\+ years of data modeling experience
* 2\+ years of experience with ontology standards for defining a domain
* 2\+ years of experience using Python, SQL or Scala
* 1\+ year of experience deploying machine learning models
***Capital One will consider sponsoring a new qualified applicant for employment authorization for this position***
Preferred Qualifications:
* Master's Degree
* 5\+ years of experience with Agile engineering practices
* 8\+ years in\-depth experience with the Hadoop stack (MapReduce, Pig, Hive, Hbase)
* 8\+ years experience with NoSQL implementation (Mongo, Cassandra)
* 8\+ years experience developing Java based software solutions
* 8\+ years experience in at least one scripting language
* 8\+ years experience developing software solutions to solve complex business problems
* 8\+ years experience with Relational Database Systems and SQL
* 8\+ years experience designing, developing, and implementing ETL
* 8\+ years experience with UNIX/Linux including basic commands and shell scripting
* 8\+ years of experience providing technical leadership
* 8\+ years of experience leading the full life\-cycle of IT development and platform support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$286,200 \- $326,700 for Sr. Dir, Data Engineering  
McLean, VA: $314,800 \- $359,300 for Sr. Dir, Data Engineering  
New York, NY: $343,400 \- $392,000 for Sr. Dir, Data Engineering  
Richmond, VA: $286,200 \- $326,700 for Sr. Dir, Data Engineering  
San Francisco, CA: $343,400 \- $392,000 for Sr. Dir, Data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286,200\.00 \- 326,700\.00 Annual
Type
Full\-time</t>
        </is>
      </c>
    </row>
    <row r="67">
      <c r="A67" t="inlineStr">
        <is>
          <t>in-d2fde55515de1b23</t>
        </is>
      </c>
      <c r="B67" t="inlineStr">
        <is>
          <t>Data Engineer</t>
        </is>
      </c>
      <c r="C67" t="inlineStr">
        <is>
          <t>Caterpillar</t>
        </is>
      </c>
      <c r="D67" t="inlineStr">
        <is>
          <t>indeed</t>
        </is>
      </c>
      <c r="E67">
        <f>HYPERLINK("https://www.indeed.com/viewjob?jk=d2fde55515de1b23", "https://www.indeed.com/viewjob?jk=d2fde55515de1b23")</f>
        <v/>
      </c>
      <c r="F67">
        <f>HYPERLINK("https://careers.caterpillar.com/en/jobs/r0000342228/data-engineer/", "https://careers.caterpillar.com/en/jobs/r0000342228/data-engineer/")</f>
        <v/>
      </c>
      <c r="G67" t="inlineStr">
        <is>
          <t>Irving, TX, US</t>
        </is>
      </c>
      <c r="H67" s="3" t="n">
        <v>46027</v>
      </c>
      <c r="I67" t="inlineStr">
        <is>
          <t>**Career Area:**
Technology, Digital and Data**Job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**Data Engineer**
**Role Definition:**
Employs data analytics to assess an organization's technical performance and makes system enhancement recommendations.
**What You Will Do:**
* Design conceptual, logical, and physical data models to support data marts and business data objects.
* Name relevant data sources and define relationships, dependencies, and mappings.
* Create reusable schemas for Snowflake data marts, ensuring alignment with business processes.
* Maintain data dictionaries and metadata to support governance and auditability.
**What You Have:**
* Expertise in ER modeling and tools like ERwin or Power Designer.
* Strong SQL and database design concepts such as data vault, star schemas, etc.
* Experience with big data platforms for performance and cost like Snowflake and Cloudera.
* Ability to translate business requirements into technical specifications.
* Understanding of data governance and metadata standards.
**Skill Descriptors:**
**Value Realization:**
* Knowledge of value realization methods; ability to plan, execute, watch and manage business activities and resources to find and achieve the actual value from a business initiative as estimated in an associated business case
**Communicating Complex Concepts**:
* Knowledge of effective presentation tools and techniques to ensure clear understanding; ability to use summarization and simplification techniques to explain complex technical concepts in simple, clear language right to the audience.
**Agile Development:**
* Knowledge of agile methodologies and the agile development lifecycle; ability to use formal agile methodologies, disciplines, practices and techniques for the delivery of new and enhanced applications.
**Cloud Computing:**
* Knowledge of the concepts, technologies and services of cloud computing; ability to design, deploy and implement cloud computing solutions in various business environments.
**Database Design (Physical):**
* Knowledge of database systems; ability to set up a data model for designing an organization's database that runs effectively and efficiently for better business outcome.
**ETL Process:**
* Knowledge of the extraction, transformation and loading (ETL) process; ability to develop a database through the ETL process.
**Information Management:**
* Knowledge of an organization's existing and planned Information Architecture and Information Management (IM) method; ability to collect and manage information from different sources and distribute this information to enhance operational efficiency.
**Modeling:**
* Data, Process, Events, Objects: Knowledge of data, process and events; ability to use tools and techniques for analyzing and documenting logical relationships among data, processes or events.
**Additional Info**:
* The primary locations for this position are Dallas, TX or Mossville, IL.
* Sponsorship is **NOT** available.
* Relocation is available for qualified candidates.
* This role requires 5 DAYS IN OFFICE.
**About Caterpillar \-**
Caterpillar Inc. is the world’s leading manufacturer of construction and mining equipment, off\-highway diesel and natural gas engines, industrial gas turbines and diesel\-electric locomotives. For nearly 100 years, we’ve been helping customers build a better, more sustainable world and are committed and contributing to a reduced\-carbon future. Our innovative products and services, backed by our global dealer network, provide exceptional value that helps customers succeed.
**Summary Pay Range:**
$97,530\.00 \- $146,290\.00
Compensation and benefits offered may vary depending on multiple individualized factors, job level, market location, job\-related knowledge, skills, individual performance and experience. Please note that salary is only one component of total compensation at Caterpillar.
**Benefits:**
Subject to plan eligibility, terms, and guidelines. This is a summary list of benefits.
* Medical, dental, and vision benefits\*
* Paid time off plan (Vacation, Holidays, Volunteer, etc.)\*
* 401(k) savings plans\*
* Health Savings Account (HSA)\*
* Flexible Spending Accounts (FSAs)\*
* Health Lifestyle Programs\*
* Employee Assistance Program\*
* Voluntary Benefits and Employee Discounts\*
* Career Development\*
* Incentive bonus\*
* Disability benefits
* Life Insurance
* Parental leave
* Adoption benefits
* Tuition Reimbursement
* These benefits also apply to part\-time employees
This position requires working onsite five days a week.
Relocation is available for this position.
Visa Sponsorship is not available for this position. 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at www.caterpillar.com/careers.**Posting Dates:**
January 6, 2026 \- January 17, 2026
Any offer of employment is conditioned upon the successful completion of a drug screen.
Caterpillar is an Equal Opportunity Employer, Including Veterans and Individuals with Disabilities. Qualified applicants of any age are encouraged to apply.
Not ready to apply? Join our Talent Community.</t>
        </is>
      </c>
    </row>
    <row r="68">
      <c r="A68" t="inlineStr">
        <is>
          <t>in-1dc7a2a2560e21e0</t>
        </is>
      </c>
      <c r="B68" t="inlineStr">
        <is>
          <t>Data Engineering Supervisor</t>
        </is>
      </c>
      <c r="C68" t="inlineStr">
        <is>
          <t>Arizona Public Service (APS)</t>
        </is>
      </c>
      <c r="D68" t="inlineStr">
        <is>
          <t>indeed</t>
        </is>
      </c>
      <c r="E68">
        <f>HYPERLINK("https://www.indeed.com/viewjob?jk=1dc7a2a2560e21e0", "https://www.indeed.com/viewjob?jk=1dc7a2a2560e21e0")</f>
        <v/>
      </c>
      <c r="F68">
        <f>HYPERLINK("https://careers.aps.com/job/PHOENIX-Data-Engineering-Supervisor-AZ-85004-3903/1353880400/", "https://careers.aps.com/job/PHOENIX-Data-Engineering-Supervisor-AZ-85004-3903/1353880400/")</f>
        <v/>
      </c>
      <c r="G68" t="inlineStr">
        <is>
          <t>Phoenix, AZ, US</t>
        </is>
      </c>
      <c r="H68" s="3" t="n">
        <v>46027</v>
      </c>
      <c r="I68" t="inlineStr">
        <is>
          <t>**Date:** Jan 6, 2026
**Location:** PHOENIX, AZ, US, 85004\-3903
**Company:** APS
Our present and future success depends on the creative and dedicated people of our company who demonstrate the principles outlined in the APS Promise: Design for Tomorrow, Empower Each Other and Succeed Together.
**Summary**
-----------
**Data Engineering Supervisor**
At APS, we’re building a modern data ecosystem to power innovation and deliver insights that matter. As a **Data Engineering Supervisor** on our Data Platform \&amp; Delivery Team, you’ll lead the design and operation of cutting\-edge lakehouse architectures, enterprise data models, and data pipelines. Your work ensures reliable, high\-quality data capabilities that fuel analytics, AI, reporting, and operational workflows—helping APS achieve its mission of safety, reliability, and affordability.  
**What your day would be like:**
You are responsible for:
* **Lead** a team of data engineers to deliver enterprise\-scale data solutions using Agile practices.
* **Design and optimize** lakehouse architecture and enterprise data models for scalability and governance.
* **Develop and maintain** robust data pipelines supporting analytics, AI, and operational workflows.
* **Drive** platform reliability and implement best practices in data engineering and DevOps/DataOps.
* **Collaborate** with stakeholders to translate business needs into technical solutions.
* **Champion** Agile ceremonies and processes to maximize team velocity and value delivery.
**Who we’re looking for:**
* Proven success leading technical teams and delivering enterprise\-scale data solutions.
* Ability to design scalable, governed architectures aligned with business needs.
* Strong communication and collaboration skills with a customer\-centric mindset.
* Skilled in Agile delivery and DevOps practices.
* Familiarity with Oracle Cloud data technologies (e.g., OCI Data Integrator, Oracle Autonomous Data Warehouse).
* Expertise in data modeling (relational, NoSQL, dimensional) and ETL/ELT development.
* Strong SQL and scripting skills for automation and data engineering.
**Minimum Requirements**
------------------------
**Data Engineering Supervisor**
* Bachelor's degree in Computer Science, Business or other job related field from an accredited college or university
* ***PLUS*** eight (8\) years progressively responsible directly related experience in area/s of assignment is required to obtain an advanced understanding of information and/or communication systems, operating systems, network communications, equipment and infrastructure.
* In lieu of Bachelor's degree, a combination of education and experience **equaling 12 years is required**. Demonstrated leadership skills required.
**Preferred Special Skills, Knowledge, or Qualifications**
* Demonstrated success leading engineering teams/equivalent technical teams and delivering enterprise‑scale data solutions.
* Ability to translate business needs into scalable, governed architectural solutions.
* Strong communication, stakeholder partnership, and cross‑functional collaboration skills.
* Takes a customer\-centric approach to problem solving;
* Skilled in agile delivery and DevOps practices.
* Familiarity with Oracle Cloud data technologies (preferred) like OCI Data Integrator, Oracle Autonomous Data warehouse, etc..
* Understanding of data warehousing/lakehouse patterns, medallion architecture and modern analytical architectures.
* Familiarity in data modeling (conceptual, logical, physical), including relational, NoSQL, and dimensional modeling.
* Experience with ETL/ELT development and orchestration, DevOps/DataOps concepts.
* Strong SQL and scripting skills for data engineering and automation.
**Major Accountabilities**
--------------------------
* Lead, mentor, and develop data engineers; manage workload, agile delivery, and vendor engagement.
* Oversee enterprise data lakehouse architecture, ensuring alignment with data governance, domain models, and APS standards.
* Direct data modeling practice across conceptual, logical, and physical layers, including dimensional models, semantic layers, and curated datasets.
* Supervise design and optimization of batch, streaming, and real‑time pipelines; enforce CI/CD, code quality, testing, and observability best practices.
* Collaborate with other departments in the organization to meet data needs.
* Evaluate and integrate new data platform technologies; drive automation, performance improvements, and platform innovation.
* Build strong stakeholder relationships and communicate progress, risks, and architectural decisions.
* Manage team budget, tooling investments, and vendor contracts.
* Familiarity with cloud technologies ( Oracle Cloud Analytics, Oracle Autonomous Data warehouse, OCI Data Integrator etc.).
**Export Compliance / EEO Statement**
-------------------------------------
This position may require access to and/or use of information subject to control under the Department of Energy's Part 810 Regulations (10 CFR Part 810\), the Export Administration Regulations (EAR) (15 CFR Parts 730 through 774\), or the International Traffic in Arms Regulations (ITAR) (22 CFR Chapter I, Subchapter M Part 120\) (collectively, 'U.S. Export Control Laws'). Therefore, some positions may require applicants to be a U.S. person, which is defined as a U.S. Citizen, a U.S. Lawful Permanent Resident (i.e. 'Green Card Holder'), a Political Asylee, or a Refugee under the U.S. Export Control Laws. All applicants will be required to confirm their U.S. person or non\-US person status. All information collected in this regard will only be used to ensure compliance with U.S. Export Control Laws, and will be used in full compliance with all applicable laws prohibiting discrimination on the basis of national origin and other factors. For positions at Palo Verde Nuclear Generating Stations (PVNGS) all openings will require applicants to be a U.S. person.  
Pinnacle West Capital Corporation and its subsidiaries and affiliates ('Pinnacle West') maintain a continuing policy of nondiscrimination in employment. It is our policy to provide equal opportunity in all phases of the employment process and in compliance with applicable federal, state, and local laws and regulations. This policy of nondiscrimination shall include, but not be limited to, recruiting, hiring, promoting, compensating, reassigning, demoting, transferring, laying off, recalling, terminating employment, and training for all positions without regard to race, color, religion, disability, age, national origin, gender, gender identity, sexual orientation, marital status, protected veteran status, or any other classification or characteristic protected by law.  
For more information on applicable equal employment regulations, please refer to EEO is the Law poster. Federal law requires all employers to verify the identity and employment eligibility of every person hired to work in the United States, refer to E\-Verify poster. View the employee rights and responsibilities under the Family and Medical Leave Act (FMLA).  
Arizona Public Service is a smoke free workplace.
**Hybrid Role:**
Employees in hybrid roles will work both in their home offices and alongside their colleagues at an APS facility or other work location for meaningful in person engagement.
As of January 2025, hybrid\-role employees will be asked to work about 40% of their time in person at an APS or other (non\-home office) location.
* Employees in Hybrid roles are required to reside in Arizona (or NM for Four Corners\-based employees). Role types are subject to change based on business need.
**Job Segment:** Nuclear, Energy</t>
        </is>
      </c>
    </row>
    <row r="69">
      <c r="A69" t="inlineStr">
        <is>
          <t>in-399d2226be784cbd</t>
        </is>
      </c>
      <c r="B69" t="inlineStr">
        <is>
          <t>Data Engineer</t>
        </is>
      </c>
      <c r="C69" t="inlineStr">
        <is>
          <t>Karbon</t>
        </is>
      </c>
      <c r="D69" t="inlineStr">
        <is>
          <t>indeed</t>
        </is>
      </c>
      <c r="E69">
        <f>HYPERLINK("https://www.indeed.com/viewjob?jk=399d2226be784cbd", "https://www.indeed.com/viewjob?jk=399d2226be784cbd")</f>
        <v/>
      </c>
      <c r="F69">
        <f>HYPERLINK("https://grnh.se/qzx5dln04us", "https://grnh.se/qzx5dln04us")</f>
        <v/>
      </c>
      <c r="G69" t="inlineStr">
        <is>
          <t>Remote, US</t>
        </is>
      </c>
      <c r="H69" s="3" t="n">
        <v>46027</v>
      </c>
      <c r="I69" t="inlineStr">
        <is>
          <t>**About Karbon**
Karbon is the global leader in practice management software for growth\-minded accounting firms. We provide an award\-winning, highly collaborative cloud platform that streamlines work and communication, enabling the average accounting firm using Karbon to save 18\.5 hours per week, per employee.
We have customers in 34 countries and have grown into a globally distributed team, with our people based throughout the US, Australia, New Zealand, Canada, the United Kingdom, and the Philippines. We are well\-funded, ranked \#1 on G2, have a fantastic team culture built on our values, are growing rapidly, and making a global impact.
**Role Overview**
-----------------
We're seeking a mid\-level Data Engineer to join our growing data team and drive customer\-focused analytics initiatives. This role will own end\-to\-end data infrastructure while maintaining a strong focus on understanding and improving customer outcomes. You'll work closely with Customer Success, GTM, and Product teams to ensure our data systems enable actionable insights that drive customer retention and growth.
**About the Role**
------------------
### **Data Infrastructure \&amp; Engineering (60%)**
* Design, build, and maintain scalable data pipelines using Snowflake, dbt, Fivetran, Stitch and Snowpipe
* Implement real\-time streaming architectures to reduce data latency from hours to minutes
* Manage schema evolution and data migrations for critical business entities
* Optimize data warehouse performance and cost efficiency
* Build robust monitoring and alerting systems for data pipeline health
* Ensure data quality, reliability, and governance across all systems
### **Customer\-Focused Analytics (20%)**
* Develop analytics frameworks to measure customer success and product adoption
* Build cohorted churn analysis models to identify retention patterns
* Create performance metrics that correlate with customer outcomes
* Partner with Customer Success team to understand data needs for customer health scoring
* Support implementation team analytics to improve onboarding effectiveness
### **Cross\-Functional Collaboration (10%)**
* Work with Product teams to instrument new features and track adoption
* Collaborate with Customer Success on quarterly business review data requirements
* Support sales and marketing teams with pipeline and funnel analytics
* Document data models and maintain technical specifications
* Mentor junior team members and contribute to best practices
### **AI\-Enabled Analytics \&amp; Tooling (10%)**
Leverage AI\-powered tools to improve development velocity, data quality, and customer insight generation across the analytics stack.
* Use AI\-assisted development tools (e.g., GitHub Copilot, Cursor, or similar) to accelerate SQL, dbt, and pipeline development while maintaining high standards for accuracy and maintainability
* Apply AI\-supported techniques for anomaly detection, data quality monitoring, and schema exploration in customer and product data
* Enable AI\-driven insights within analytics platforms to surface trends, risks, and early indicators of churn or onboarding friction
* Partner with analytics and business teams to support emerging predictive and proactive customer analytics use cases
**About You**
-------------
* 3\-5 years of experience in data engineering or analytics engineering roles
* Strong proficiency in SQL and experience with modern data warehouses (Snowflake preferred)
* Experience with dbt for data transformation and modeling
* Familiarity with streaming data architectures and real\-time processing
* Understanding of SaaS metrics (churn, retention, product adoption, customer health)
* Experience working with customer\-facing teams (Customer Success, Implementation, Product)
* Strong problem\-solving skills and attention to data quality
**Preferred Qualifications**
----------------------------
* Experience in B2B SaaS or professional services software environments
* Knowledge of customer success platforms and methodologies
* Familiarity with event tracking and product analytics tools
* Experience with cloud platforms (AWS/Azure) and infrastructure as code
* Understanding of accounting/finance business processes (bonus)
* Previous experience supporting non\-technical stakeholders with data needs
* **Databricks experience strongly preferred** \- our data platform will be migrating from Snowflake to Databricks in the coming months
**Technical Stack**
-------------------
* **Data Warehouse:** Snowflake (transitioning to Databricks)
* **Transformation:** dbt (data build tool)
* **ETL:** Fivetran, Stitch
* **Orchestration:** Snowpipe, scheduled jobs
* **Analytics Platform:** Netspring
* **Collaboration:** Linear, Slack, documentation tools
**Why work at Karbon?**
* Gain global experience across Australia, New Zealand, UK, and Canada
* Strong benefits package including:
* + Flexible Time Off with an encouraged 4 weeks use per year
	+ Company paid medical for you and eligible spouse/partner and dependents
	+ Paid dental and vision and eligible spouse/partner and dependents
	+ 401(k) with company matching
	+ Flexible Spending Account
	+ Up to 8 weeks paid parental leave
	+ Work\-from\-home stipend
* Work with (and learn from) an experienced, high\-performing team
* A collaborative, team\-oriented culture that embraces diversity, invests in development and provides consistent feedback
* Be part of a fast\-growing company that firmly believes in promoting high performers from within
Karbon embraces diversity and inclusion, aligning with our values as a business. Research has shown that women and underrepresented groups are less likely to apply to jobs unless they meet every single criteria. If you've made it this far in the job description but your past experience doesn't perfectly align, we do encourage you to still apply. You could still be the right person for the role!
We recruit and reward people based on capability and performance. We don't discriminate based on race, gender, sexual orientation, gender identity or expression, lifestyle, age, educational background, national origin, religion, physical or cognitive ability, and other diversity dimensions that may hinder inclusion in the organization.
Generally, if you are a good person, we want to talk to you.
If there are any adjustments or accommodations that we can make to assist you during the recruitment process, and your journey at Karbon, contact us at people.support@karbonhq.com for a confidential discussion.
***At this time, we request that agency referrals are not submitted for this position. We appreciate your understanding and encourage direct applications from interested candidates. Thank you!***</t>
        </is>
      </c>
    </row>
    <row r="70">
      <c r="A70" t="inlineStr">
        <is>
          <t>in-d9b49f2578222617</t>
        </is>
      </c>
      <c r="B70" t="inlineStr">
        <is>
          <t>Data Engineer</t>
        </is>
      </c>
      <c r="C70" t="inlineStr">
        <is>
          <t>The Friedkin Group</t>
        </is>
      </c>
      <c r="D70" t="inlineStr">
        <is>
          <t>indeed</t>
        </is>
      </c>
      <c r="E70">
        <f>HYPERLINK("https://www.indeed.com/viewjob?jk=d9b49f2578222617", "https://www.indeed.com/viewjob?jk=d9b49f2578222617")</f>
        <v/>
      </c>
      <c r="F70">
        <f>HYPERLINK("https://careers.friedkin.com/jobs/6415/job?utm_source=indeed_integration&amp;iis=Job%20Board&amp;iisn=Indeed&amp;indeed-apply-token=73a2d2b2a8d6d5c0a62696875eaebd669103652d3f0c2cd5445d3e66b1592b0f", "https://careers.friedkin.com/jobs/6415/job?utm_source=indeed_integration&amp;iis=Job%20Board&amp;iisn=Indeed&amp;indeed-apply-token=73a2d2b2a8d6d5c0a62696875eaebd669103652d3f0c2cd5445d3e66b1592b0f")</f>
        <v/>
      </c>
      <c r="G70" t="inlineStr">
        <is>
          <t>Houston, TX, US</t>
        </is>
      </c>
      <c r="H70" s="3" t="n">
        <v>46027</v>
      </c>
      <c r="I70" t="inlineStr">
        <is>
          <t>External Description:
**Living Our Values**  
All associates are guided by Our Values. Our Values are the unifying foundation of our companies. We strive to ensure that every decision we make and every action we take demonstrates Our Values. We believe that putting Our Values into practice creates lasting benefits for all of our associates, shareholders, and the communities in which we live.  
**Why Join Us**  
* Career Growth: Advance your career with opportunities for leadership and personal development.
* Culture of Excellence: Be part of a supportive team that values your input and encourages innovation.
* Competitive Benefits: Enjoy a comprehensive benefits package that looks after both your professional and personal needs.
**Total Rewards**  
Our Total Rewards package underscores our commitment to recognizing your contributions. We offer a competitive and fair compensation structure that includes base pay and performance\-based rewards. Compensation is based on skill set, experience, qualifications, and job\-related requirements. Our comprehensive benefits package includes medical, dental, and vision insurance, wellness programs, retirement plans, and generous paid leave. Discover more about what we offer by visiting our Benefits page. **A Day In The Life**  
We are embarking on a strategic migration of our on\-premises Microsoft SQL Server data warehouse to Azure, and we are seeking a motivated Data Engineer to play a key role in this transformation. The first phase of this initiative will be a complete lift\-and\-shift of our existing environment into Azure, followed by refactoring and modernizing many of our applications to fully leverage Azure\-native tools and services. In this role, you will help transition legacy ETL processes currently built in C\# and SQL stored procedures orchestrated through Windows Task Scheduler into scalable, maintainable pipelines using technologies such as Azure Data Factory, Synapse, and Functions. You will be instrumental in laying the foundation of our cloud\-based data platform while also gaining the opportunity to learn and apply new Azure technologies as we modernize. Beyond migration, you will collaborate across teams and gain exposure to both front\-end and back\-end applications, giving you a well\-rounded view of our evolving data ecosystem. This position is ideal for someone who enjoys problem\-solving, learning new tools, and shaping the future of a modern cloud\-first data environment.  
As a Data Engineer II you will:* Participate in the migration of our on\-prem SQL Server Data Warehouse to Azure SQL / Synapse.
* Maintain and enhance existing C\# ETL applications that call SQL stored procedures.
* Re\-architect legacy ETL jobs using Azure\-native services such as Azure Data Factory (ADF), Azure Functions, Logic Apps, or Azure Synapse Pipelines.
* Create and optimize stored procedures, views, and SQL scripts to ensure performance and reliability.
* Collaborate with front\-end developers, business users, and other technical staff to support both front\-end and back\-end data needs.
* Implement CI/CD pipelines and manage source control for ETL/SQL components.
* Monitor and troubleshoot performance and reliability issues in production ETL pipeline
 **What We Need From You**  
* Bachelor's Degree degree in Computer Science, Engineering, Information Systems, Data Science, or a related technical field; or equivalent practical experience Req and
* 3–4 years of experience with: o Microsoft SQL Server (T\-SQL, Stored Procedures, Performance Tuning) o C\#/.NET application development (ideally in ETL or backend automation contexts) o Windows Task Scheduler or equivalent scheduling tools • Experience working with Azure services, especially: o Azure Data Factory (pipelines, linked services, dataflows) o Azure SQL Database or Synapse Analytics o Azure Key Vault, Blob Storage, Functions (preferred) • Strong understanding of data warehouse principles, ETL workflows, and data integration best practices. • Familiarity with Git or other version control systems. • Exposure to front\-end technologies or integration with reporting tools and user interfaces. • Experience with Microsoft Power Platform (Power BI, Power Apps, Power Automate). • Experience modernizing legacy systems and ETL processes to cloud\-based architectures. • Knowledge of DevOps practices for data pipelines (CI/CD, Infrastructure as Code). • Familiarity with machine learning workflows, LLM integration, or AI driven data enrichment techniques.
* SQL (Programming Language) Intermediate\-Advanced Required
* Data Modeling Data modeling creates a visual representation of information or a system to communicate the activities or connections. Intermediate\-Advanced Required
* Business Intelligence Business intelligence allows organizations to identify trends, assess strengths and weaknesses against competitors, and detect business problems to provide insight as to where risks and opportunities exist. Intermediate\-Advanced Required
* Microsoft Azure Intermediate\-Advanced Required
* Power BI Intermediate\-Advanced Required
* Data Integration Data integration entails the combination of previously separate data sources to create a richer dataset. Intermediate\-Advanced Required
* Data Governance Data governance defines who in an organization has authority and control over data and how that data may be used. Intermediate\-Advanced Required
* Automation Automation refers to knowledge of technologies that minimize human intervention in processes. Intermediate\-Advanced Required
* Troubleshooting (Problem Solving) Intermediate\-Advanced Required
* SQL Server Integration Services (SSIS) Intermediate\-Advanced Required
* Microsoft SQL Servers Intermediate\-Advanced Required
* C\# (Programming Language) C\# (Programming Language) is a general\-purpose, object\-oriented programming language developed by Microsoft. Awareness\-Developing Required
* Machine Learning Intermediate\-Advanced Required
**Physical and Environmental Requirements**
The physical requirements described here are representative of those that must be met by an associate to successfully perform the essential functions of the job. While performing the duties of the job, the associate is required on a daily basis to analyze and interpret data, communicate, and remain in a stationary position for a significant amount of the work day and frequently access, input, and retrieve information from the computer and other office productivity devices. The associate is regularly required to move about the office and around the corporate campus. The associate must frequently move up to 10 pounds and occasionally move up to 25 pounds. **Travel Requirements**  
30% **Join Us**  
The Friedkin Group and its affiliates are committed to ensuring equal employment opportunities, including providing reasonable accommodations to individuals with disabilities. If you have a disability and would like to request an accommodation, please contact us at TalentAcquisition@friedkin.com. We celebrate diversity and are committed to creating an inclusive environment for all associates.  
We are seeking candidates legally authorized to work in the United States, without Sponsorship.</t>
        </is>
      </c>
    </row>
    <row r="71">
      <c r="A71" t="inlineStr">
        <is>
          <t>in-b3491644ec5ebefb</t>
        </is>
      </c>
      <c r="B71" t="inlineStr">
        <is>
          <t>Data Engineer</t>
        </is>
      </c>
      <c r="C71" t="inlineStr">
        <is>
          <t>KNOT</t>
        </is>
      </c>
      <c r="D71" t="inlineStr">
        <is>
          <t>indeed</t>
        </is>
      </c>
      <c r="E71">
        <f>HYPERLINK("https://www.indeed.com/viewjob?jk=b3491644ec5ebefb", "https://www.indeed.com/viewjob?jk=b3491644ec5ebefb")</f>
        <v/>
      </c>
      <c r="F71">
        <f>HYPERLINK("https://jobs.ashbyhq.com/knot/b9da167f-4da2-4e70-ada4-9e0e969d8764?utm_source=37k05nv9q7", "https://jobs.ashbyhq.com/knot/b9da167f-4da2-4e70-ada4-9e0e969d8764?utm_source=37k05nv9q7")</f>
        <v/>
      </c>
      <c r="G71" t="inlineStr">
        <is>
          <t>New York, NY, US</t>
        </is>
      </c>
      <c r="H71" s="3" t="n">
        <v>46027</v>
      </c>
      <c r="I71" t="inlineStr">
        <is>
          <t>**About Knot**
Knot’s mission is to empower consumers and businesses alike with connected merchant and banking experiences. Knot is like “Plaid for merchant connectivity.” We are building the platform connecting merchants to the many applications that consumers and businesses interact with everyday. Our flagship CardSwitcher product allows consumers to instantly update \&amp; manage their cards on file with online merchant accounts (e.g. Netflix or PayPal), while newer products like TransactionLink support the retrieval of receipt\-level transaction data and AgenticShopping enables 1\-click, native shopping experiences.
Founded in 2021, Knot was founded by two brothers and Thiel Fellows \- Rory and Kieran O’Reilly \- and today powers connected online payment experiences for hundreds of thousands of consumers. Companies like American Express, PayPal, Current, BILT, Step, and more choose to embed Knot’s SDK in their apps to power best\-in\-class experiences for their customers.
Knot is proudly backed by a select group of investors, including Nava Ventures, 8VC, American Express, Plaid, and co\-founders \&amp; CEOs of prominent companies like Twitter, Warby Parker, Allbirds, Casper, Intercom, Deel, Italic, DraftKings, and many more.
 **Working at Knot**  
We’re a world\-class team hailing from all over the globe with the vast majority of the company in engineering roles. We are looking to further solidify our presence in NYC to be at the heart of the financial services ecosystem.
Our team is relentlessly focused on building for our customers and every member of the financial services ecosystem. We take our work seriously and have fun while doing it. Both are equally important.  
**What you’ll do**
* Design, build, and maintain a modern data warehouse (BigQuery)
* Define and implement data models, schemas, and transformations that support scalable analytics.
* Build and maintain robust ETL/ELT pipelines to ingest data from databases, third\-party APIs, and external data sources.
* Manage batch and real\-time data processing workflows.
* Collaborate with product engineers to build data\-driven features and user\-facing functionality powered by analytics and aggregated data.
* Design data pipelines and models that support experimentation, personalization, scoring, or insight\-driven product features.
* Ensure production systems can safely and efficiently consume analytical data.
* Implement data quality checks, lineage, and monitoring to ensure trust in data.
* Enforce data governance, access controls, and security best practices.
* Document data models, pipelines, and architectural decisions.
**What you’ll need**
* Proven experience as a Data Engineer, ideally within a startup environment
* Strong SQL skills and experience designing analytics\-focused data models.
* Hands\-on experience with cloud data warehouses (BigQuery).
* Experience building and maintaining ETL/ELT pipelines using tools such as Airflow, dbt, Fivetran, or custom frameworks.
* Proficiency in at least one programming language (Python).
* Solid understanding of data architecture, performance optimization, and data quality practices.
**What we offer**
* Interesting and challenging work
* Competitive base salary (commensurate with experience) \+ up to 20% annual bonus \+ generous early employee equity
* 100% medical, dental, and vision insurance coverage for you and your dependents (U.S.)
* Unlimited PTO
* Parental leave
* Beautiful NYC office in the heart of Flatiron
* Herman Miller Aeron Desk Chair
* Food (snacks, frequent lunches, and often dinner for those working late)
Compensation Range: $150K \- $200K</t>
        </is>
      </c>
    </row>
    <row r="72">
      <c r="A72" t="inlineStr">
        <is>
          <t>in-30d049c0f132c94b</t>
        </is>
      </c>
      <c r="B72" t="inlineStr">
        <is>
          <t>Data Engineer</t>
        </is>
      </c>
      <c r="C72" t="inlineStr">
        <is>
          <t>Steerbridge</t>
        </is>
      </c>
      <c r="D72" t="inlineStr">
        <is>
          <t>indeed</t>
        </is>
      </c>
      <c r="E72">
        <f>HYPERLINK("https://www.indeed.com/viewjob?jk=30d049c0f132c94b", "https://www.indeed.com/viewjob?jk=30d049c0f132c94b")</f>
        <v/>
      </c>
      <c r="F72">
        <f>HYPERLINK("https://jobs.lever.co/steerbridge/e4e30644-aa4f-4dca-a1d5-d765e17406b5?lever-source=Indeed", "https://jobs.lever.co/steerbridge/e4e30644-aa4f-4dca-a1d5-d765e17406b5?lever-source=Indeed")</f>
        <v/>
      </c>
      <c r="G72" t="inlineStr">
        <is>
          <t>Washington, DC, US</t>
        </is>
      </c>
      <c r="H72" s="3" t="n">
        <v>46027</v>
      </c>
      <c r="I72" t="inlineStr">
        <is>
          <t>We're Hiring: Data Engineers (Mid\-Level 3\+ Years) Are you passionate about building data pipelines that power real\-time insights and smarter decision\-making?  
SteerBridge Strategies, a Veteran\-led small business, is seeking Data Engineers to join our growing team based at our headquarters in Tysons Corner (Vienna, VA). This role offers the chance to support a major federal transformation effort by modernizing and optimizing complex data systems at scale. At SteerBridge, we're more than government contractors we are a high\-impact team of Veterans and professionals solving meaningful problems with precision and purpose.
Our projects span AI/ML, cloud architecture, and large\-scale data engineering to help modernize critical federal systems.  
What You'll Do: As a Data Engineer, you'll work alongside architects, analysts, and scientists to design efficient data flows, enhance data quality, and ensure secure, reliable pipelines for both real\-time and batch processing environments.
You will: Develop, optimize, and maintain ETL/ELT pipelines for structured and unstructured data Use tools like dbt, Informatica, Azure Data Factory, and Databricks for transformation and workflow automation
Write performant SQL queries and Python/JavaScript scripts for data parsing, ingestion, and cleanup Conduct data profiling, linkage, validation, and quality checks across diverse sources Enable cloud\-based data processing (e.g., AWS S3, Azure Blob) and support API integration, collaborate across data science, engineering, and stakeholder teams to deliver accurate and actionable data products. Maintain technical documentation for pipelines, data structures, and infrastructure support secure data governance practices and performance tuning in modern cloud platforms  
Veteran\-strong leadership and collaborative team culture \_\_ Apply Now! If you're ready to engineer systems that make a difference, join SteerBridge and help modernize federal data operations that drive meaningful impact.  
SteerBridge Strategies is committed to equal employment opportunity and nondiscrimination for all employees and qualified applicants without regard to a person's race, color, gender, age, religion, national origin, ancestry, disability, veteran status, genetic information, sexual orientation, or any characteristic protected under applicable law. SteerBridge Strategies will make reasonable accommodations for qualified individuals with known disabilities in accordance with applicable law.
### **Qualifications**
* U.S. Citizenship and the ability to obtain a government security clearance
* Bachelor's degree in computer science or a related field 3\+ years of relevant experience in data engineering or data pipeline development
* Experience with SQL, Python, and cloud platforms like Azure, AWS, or GCP Familiarity with ETL tools and frameworks such as dbt, Informatica, or Apache Airflow
* Preferred Qualifications: Experience with modern data warehousing (Snowflake, Redshift) and orchestration tools (e.g., Spark, Airflow) Understanding of compliance and security protocols (e.g., HIPAA, CCPA, NIST)
* Strong data modeling skills and ability to translate requirements into scalable data solutions
* Excellent communication skills and ability to work in cross\-functional environments
* Location: Must be local to the Washington, D.C. area and able to work on\-site at our Vienna, VA office (5 days/week).
* Relocation assistance is available for non\-local candidates.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73">
      <c r="A73" t="inlineStr">
        <is>
          <t>in-d803b1dc36271826</t>
        </is>
      </c>
      <c r="B73" t="inlineStr">
        <is>
          <t>Java backend data engineer - Smithfield RI</t>
        </is>
      </c>
      <c r="C73" t="inlineStr">
        <is>
          <t>Photon</t>
        </is>
      </c>
      <c r="D73" t="inlineStr">
        <is>
          <t>indeed</t>
        </is>
      </c>
      <c r="E73">
        <f>HYPERLINK("https://www.indeed.com/viewjob?jk=d803b1dc36271826", "https://www.indeed.com/viewjob?jk=d803b1dc36271826")</f>
        <v/>
      </c>
      <c r="F73">
        <f>HYPERLINK("https://fa-ertb-saasfaprod1.fa.ocs.oraclecloud.com/hcmUI/CandidateExperience/en/sites/CX_2/requisitions/preview/24778", "https://fa-ertb-saasfaprod1.fa.ocs.oraclecloud.com/hcmUI/CandidateExperience/en/sites/CX_2/requisitions/preview/24778")</f>
        <v/>
      </c>
      <c r="G73" t="inlineStr">
        <is>
          <t>Smithfield, RI, US</t>
        </is>
      </c>
      <c r="H73" s="3" t="n">
        <v>46027</v>
      </c>
      <c r="I73" t="inlineStr">
        <is>
          <t>Looking for a highly motivated Data Engineer responsible for designing, building, and maintaining the operational and analytical capability in FI's data platforms. The work involves solution design, data analysis, end to end development, production rollout, and production support activities using Java Spring Batch, Python, AWS, Oracle, and Snowflake. The role will be involved in projects centered around maintaining and improving the quality of financial product information brought into our data ecosystem that will provide value to our compensation, sales, and reporting users. The role will be positioned as a more senior developer within a single squad.
**The skillset aligns with a Java backend data engineer. Top 3 required skills are Spring Batch, AWS, and SQL (Oracle, Snowflake).**
**The Expertise and Skills You Bring**
* Bachelor's or Master's Degree in a technology related field (e.g. Engineering, Computer Science, etc.) required with 5\+ years of working experience
* 3\+ years of Java development utilizing Spring frameworks. Experience writing batch jobs with Spring Batch is a must
* 2\+ years of experience developing batch / backend applications that run in AWS, with focus on AWS Batch and S3
* 3\+ years working with SQL (ANSI SQL, Oracle, Snowflake)
* 1\+ years of Python development
* Experience with Unix shell scripting (bash, ksh) and scheduling / orchestration tools (Control\-M)
* Strong data modeling skills with experience working with 3NF and Star Schema data models
* Proven data analysis skills; not afraid to work in a complex data ecosystem
* Hands\-on experience on SQL query optimization and tuning to improve performance is desirable
* Experience with DevOps, Continuous Integration and Continuous Delivery (Jenkins, Terraform, CloudFormation)
* Experience in Agile methodologies (SCRUM)
* Experience building and deploying containerized applications using Docker
* Work experience in the financial services industry is a plus
* Proven track record to handle ambiguity and work in a fast\-paced environment, either independently or in a collaborative manner
* Good interpersonal skills to work with multiple teams within the business unit and across the organization
**The Value You Deliver**
* Passion and intellectually curiosity to learn new technologies and business areas
* Working with our business partners to enhance their user experience and provide them curated data to help them drive business results more effectively
Enhancing data quality of financial product information in our systems that has large impact on sales, compensation, and reporting business users  
* 
**Compensation, Benefits and Duration**
Minimum Compensation: USD 40,000
Maximum Compensation: USD 142,000
Compensation is based on actual experience and qualifications of the candidate. The above is a reasonable and a good faith estimate for the role.
Medical, vision, and dental benefits, 401k retirement plan, variable pay/incentives, paid time off, and paid holidays are available for full time employees.
This position is not available for independent contractors
No applications will be considered if received more than 120 days after the date of this post</t>
        </is>
      </c>
    </row>
    <row r="74">
      <c r="A74" t="inlineStr">
        <is>
          <t>in-83a8e488fe88ee26</t>
        </is>
      </c>
      <c r="B74" t="inlineStr">
        <is>
          <t>Data Engineer</t>
        </is>
      </c>
      <c r="C74" t="inlineStr">
        <is>
          <t>Deltek</t>
        </is>
      </c>
      <c r="D74" t="inlineStr">
        <is>
          <t>indeed</t>
        </is>
      </c>
      <c r="E74">
        <f>HYPERLINK("https://www.indeed.com/viewjob?jk=83a8e488fe88ee26", "https://www.indeed.com/viewjob?jk=83a8e488fe88ee26")</f>
        <v/>
      </c>
      <c r="F74">
        <f>HYPERLINK("https://sjobs.brassring.com/TGnewUI/Search/home/HomeWithPreLoad?partnerid=25397&amp;siteid=5259&amp;PageType=JobDetails&amp;jobid=622110", "https://sjobs.brassring.com/TGnewUI/Search/home/HomeWithPreLoad?partnerid=25397&amp;siteid=5259&amp;PageType=JobDetails&amp;jobid=622110")</f>
        <v/>
      </c>
      <c r="G74" t="inlineStr">
        <is>
          <t>Remote, US</t>
        </is>
      </c>
      <c r="H74" s="3" t="n">
        <v>46027</v>
      </c>
      <c r="I74" t="inlineStr">
        <is>
          <t>As the recognized global standard for project\-based businesses, Deltek delivers software and information solutions to help organizations achieve their purpose. Our market leadership stems from the work of our diverse employees who are united by a passion for learning, growing and making a difference. At Deltek, we take immense pride in creating a balanced, values\-driven environment, where every employee feels included and empowered to do their best work. Our employees put our core values into action daily, creating a one\-of\-a\-kind culture that has been recognized globally. Thanks to our incredible team, Deltek has been named one of America's Best Midsize Employers by Forbes, a Best Place to Work by Glassdoor, a Top Workplace by The Washington Post and a Best Place to Work in Asia by World HRD Congress. www.deltek.com
**Position Responsibilities**
We’re seeking a Data Engineer to join our Enterprise Data \&amp; Intelligence team during an exciting transformation from a legacy SQL Server enterprise data warehouse to Snowflake as our Enterprise\-wide intelligent data platform. You’ll play a critical role in building and maintaining data pipelines that not only power today’s analytics but also lay the foundation for tomorrow’s unified trusted data foundation, self\-service analytics, semantic layers, and AI/ML capabilities to enable strategic data capabilities.  
This position requires someone who combines strong technical skills with deep understanding of data warehousing fundamentals and the ability to translate complex technical concepts for diverse stakeholders. You’ll work on everything from pipeline development to transformation logic in dbt, ensuring our intelligent data platform delivers reliable, well\-structured data that empowers both traditional reporting and advanced analytics use cases.* Design, develop, and maintain data pipelines that feed our Snowflake intelligent data platform using Python, Fivetran, and other modern ETL/ELT tools
* Build and maintain transformation logic in dbt, converting SQL Server stored procedures to modular, testable dbt models on Snowflake
* Develop dimensional data models following best practices, creating the foundation for semantic layers and self\-service analytics
* Translate complex SQL Server stored procedures and SSIS packages from our legacy EDW database to dbt models and cloud\-native solutions
* Implement proper grain definition, ensure additivity of facts, and maintain dimensional consistency across data marts to support both BI and future ML workloads
* Create dbt tests, documentation, and lineage to ensure data quality and transparency
* Partner with analytics teams, business stakeholders, and subject matter experts across the enterprise to understand requirements, validate business logic, and translate them into robust technical solutions that scale with our platform’s intelligence capabilities
* Develop and enforce data quality standards that ensure our platform remains trustworthy for both human and AI consumers
* Contribute to our migration strategy from traditional EDW database to intelligent data platform architecture through analytical problem\-solving and strategic thinking
* Containerize data applications using Docker and deploy to Kubernetes environments
* Facilitate knowledge transfer sessions and documentation to ensure the entire team understands new patterns and approaches
**Qualifications**
**Technical Skills*** **Strong SQL expertise** with ability to write complex, optimized queries and understand execution plans
* **Snowflake experience** including understanding of virtual warehouses, micro\-partitions, and cloud data warehouse best practices
* **dbt proficiency** including:
	+ Building modular, reusable data models
	+ Writing custom tests and macros
	+ Understanding materializations (tables, views, incremental models)
	+ Documentation and lineage best practices
	+ Converting stored procedure logic to dbt models
* **Python proficiency** for data engineering tasks (pandas, SQLAlchemy, pipeline orchestration)
* **Deep understanding of dimensional modeling and data warehousing fundamentals** including:
	+ Fact and dimension table design patterns
	+ Slowly changing dimensions (Type 1, 2, 3\)
	+ Grain declaration and consistency
	+ Additivity and semi\-additive measures
	+ Conformed dimensions and bus matrix design
* Experience building production data pipelines with proper error handling, logging, and monitoring
* Understanding of modern data stack concepts (ELT vs ETL, data lakehouse, streaming vs batch)
* Version control proficiency with Git
**Professional Skills*** Strong analytical mindset with the ability to break down complex problems and evaluate multiple solution approaches
* Clear communication skills to articulate technical decisions, trade\-offs, and recommendations to both technical and non\-technical audiences
* Demonstrated ability to work effectively across teams and business units, building consensus around enterprise data standards and driving solutions forward
* Experience mentoring others and sharing knowledge to elevate team capabilities
**Preferred Qualifications*** Fivetran experience or comparable tools
* SQL Server and SSIS background to aid in stored procedure to dbt migration
* Container orchestration with Docker and Kubernetes
* Azure DevOps and CI/CD pipeline development
	+ Building and maintaining deployment pipelines for dbt projects
	+ Automated testing and validation of data transformations
	+ DataOps practices and principles
* Understanding of data governance and data quality frameworks essential for platform intelligence
* Experience with federated BI approaches and semantic layer design
* Familiarity with Power BI
* Knowledge of availability groups, failover clusters, or similar HA/DR concepts
**Compensation Information**
The U.S. salary range for this position is $81500\.00 \- $142750\.00\. This range is subject to change as Deltek takes a number of factors into consideration when determining individual base pay, such as location, job\-related knowledge, skills and experience. Certain roles are eligible for additional rewards, including incentive compensation and equity.  
Benefits and perks listed here may vary depending on the nature of employment with Deltek. Employees have access to healthcare benefits, a 401(k) plan and company match, paid vacation time and holidays, well\-living programs, short\-term and long\-term disability coverage, basic life insurance and tuition reimbursement.
**Position Type**
FT
**Travel Requirements**
No
**Compliance Requirements**
Certain roles may have additional privacy, security and compliance requirements to the extent they support Costpoint GCCM or similar product offerings.
**EEO Statement**
*Deltek, Inc. is an Equal Opportunity / Affirmative Action employer. All qualified applicants will receive consideration for employment without regard to race, color, religion, sex, national origin, disability, or protected veteran status.*
**E\-Verify Statement**
Deltek, Inc., utilizes the E\-Verify program with every potential new hire. This makes it possible for us to make certain that every employee who works for Deltek is eligible to work in the United States. To learn more about E\-Verify you can call 1\-800\-255\-7688 or visit their website by clicking the logo below. E\-Verify® is a registered trademark of the United States Department of Homeland Security.
**Applicant Privacy Notice**
*Deltek is committed to the protection and promotion of your privacy. In connection with your application for employment with us at Deltek, it is necessary for us to collect, store and use information about you (“Personal Data”) to administer and evaluate your application. We are the “controller” of the Personal Data you provide us and will process any such Personal Data in accordance with applicable law and the statements contained in this* Employment Candidate Privacy Notice*. Additionally, we have not sold and do not sell Personal Data you provide to us through the job application process.*</t>
        </is>
      </c>
    </row>
    <row r="75">
      <c r="A75" t="inlineStr">
        <is>
          <t>in-5ecf3f4cdf66da53</t>
        </is>
      </c>
      <c r="B75" t="inlineStr">
        <is>
          <t>Senior Data Engineer</t>
        </is>
      </c>
      <c r="C75" t="inlineStr">
        <is>
          <t>PeerSpace</t>
        </is>
      </c>
      <c r="D75" t="inlineStr">
        <is>
          <t>indeed</t>
        </is>
      </c>
      <c r="E75">
        <f>HYPERLINK("https://www.indeed.com/viewjob?jk=5ecf3f4cdf66da53", "https://www.indeed.com/viewjob?jk=5ecf3f4cdf66da53")</f>
        <v/>
      </c>
      <c r="F75">
        <f>HYPERLINK("https://jobs.lever.co/peerspace/d176dd15-fed6-455f-801c-5b7284dc93bc", "https://jobs.lever.co/peerspace/d176dd15-fed6-455f-801c-5b7284dc93bc")</f>
        <v/>
      </c>
      <c r="G75" t="inlineStr">
        <is>
          <t>US</t>
        </is>
      </c>
      <c r="H75" s="3" t="n">
        <v>46027</v>
      </c>
      <c r="I75" t="inlineStr">
        <is>
          <t>**Senior Data Engineer****About Peerspace**
Peerspace is the leading and category defining online marketplace for venue rentals for meetings, productions, and events. We open doors to the most inspiring spaces around the world, from lofts and mansions to storefronts and studios. Over $500M has been transacted through the platform, and our investors include GV (Google Ventures) and Foundation Capital.  
**Role Overview**  
As a Senior Data Engineer, you will be a key leader within our data team, taking ownership of major components of Peerspace’s data infrastructure. You will design, build, and optimize robust and scalable data pipelines into our production BigQuery data warehouse, leveraging tools like DBT and Segment. Your work will directly empower our BI tools, reporting, Marketing, and Data Science initiatives by ensuring a highly reliable and performant data ecosystem. You will mentor other engineers, lead complex projects, and set high standards for data quality and engineering excellence. **Qualifications:**  
You are a great fit for this role if you have:* **Experience:** 5\-8 years in data engineering, with a proven track record of designing, building, and owning production data pipelines.
* **Technical Skills:**
* Deep expertise with cloud\-based data warehousing, particularly designing and optimizing schemas in BigQuery.
* Advanced proficiency with DBT for creating sophisticated, scalable, and maintainable data transformation models.
* Significant experience with tools like Segment for architecting data collection and event streaming strategies.
* Proven ability to integrate and model numerous third\-party data sources to build a comprehensive and authoritative data ecosystem.
* **Architectural Mindset:** Strong ability to design scalable, resilient data systems and make informed technical trade\-offs. You have an eye for detail and a passion for data integrity.
* **Collaboration \&amp; Mentorship:** A history of effective collaboration with cross\-functional teams and experience mentoring junior engineers on technical concepts and best practices.
* **Impact:** A track record of delivering high\-impact data projects from conception to completion, driving measurable improvements in data quality, availability, and utility. You are a domain expert in multiple business areas.
* **Ownership Mindset:** A proactive approach to identifying opportunities for improvement, leading technical initiatives, and staying at the forefront of data engineering technologies.
 **Responsibilities:**  
In this role, you will be responsible for:* **Data Warehousing:** Owning and evolving our data pipelines into BigQuery, leading efforts to improve performance, scalability, and cost\-efficiency.
* **Data Transformation:** Architecting and implementing advanced data models using DBT, establishing best practices for testing, documentation, and code quality.
* **Integration:** Leading the design and implementation of integrations with Segment and other third\-party sources, ensuring data consistency and reliability across the platform.
* **Project Leadership:** Taking ownership of complex data projects, from gathering requirements with BI, Marketing, and Data Science teams to delivering robust, production\-ready solutions.
* **Mentorship:** Guiding and mentoring other data engineers, leading code reviews, and fostering a culture of technical excellence and continuous improvement.
Why Peerspace?
Peerspace is proudly certified as a Great Place to Work™ and we're a remote first company with team members located in cities around the globe. Beyond competitive salary and equity compensation, we provide:
* 100% employee coverage of medical, dental and vision insurance
* $500 annual professional development allowance
* Discount on all Peerspace bookings
* Laptop, high res display, and stipend to setup home office
* Monthly cell phone and internet credit
* Coworking membership if needed (in lieu of home office)
* Flexible take it as you need it time off policy
* Wellness Fridays observed company wide
* Annual in\-person, all company offsites and team\-building events
The annual salary range for this role is $160,000 to $175,000\. The actual salary will vary depending on experience, skills, and abilities as well as internal equity and market data.
Diversity
At Peerspace, we're dedicated to creating a team that's diverse, equitable and inclusive. We believe bringing people together from different backgrounds and identities makes us stronger and better serves the Peerspace community. We'd especially like to encourage applicants from different backgrounds, locations, and experiences.  
At Peerspace, we are committed to maintaining a secure and transparent hiring experience. Please be aware that scammers sometimes impersonate companies like ours by posting fake job listings or reaching out to job seekers in misleading ways. All legitimate communication from Peerspace will come from an official @peerspace.com email address. We do not contact candidates through personal email accounts, third\-party messaging apps such as WhatsApp or Microsoft Teams, or through the Peerspace platform's internal messaging system. All Interviews are conducted only by phone or Zoom, and we will never ask for sensitive personal or financial information such as your Social Security number or bank details during the early stages of the hiring process. If you receive any message that seems suspicious or does not align with these practices, please contact us immediately at \[email protected] so we can investigate. We only post our job openings and process applications, through our official careers page at https://jobs.lever.co/peerspace.</t>
        </is>
      </c>
    </row>
    <row r="76">
      <c r="A76" t="inlineStr">
        <is>
          <t>in-8c78201bda7e9725</t>
        </is>
      </c>
      <c r="B76" t="inlineStr">
        <is>
          <t>Analytics Engineer</t>
        </is>
      </c>
      <c r="C76" t="inlineStr">
        <is>
          <t>Victory Live</t>
        </is>
      </c>
      <c r="D76" t="inlineStr">
        <is>
          <t>indeed</t>
        </is>
      </c>
      <c r="E76">
        <f>HYPERLINK("https://www.indeed.com/viewjob?jk=8c78201bda7e9725", "https://www.indeed.com/viewjob?jk=8c78201bda7e9725")</f>
        <v/>
      </c>
      <c r="F76">
        <f>HYPERLINK("https://ticketevolution.applytojob.com/apply/3d250e0a7756530c5f4e027d097e7945527a0a320532312b29083b042106224c19625e/Analytics-Engineer?sid=WJlUEfa9ow0H8KIqfBUj4deihBw1oLoyRVo&amp;source=INDE&amp;~", "https://ticketevolution.applytojob.com/apply/3d250e0a7756530c5f4e027d097e7945527a0a320532312b29083b042106224c19625e/Analytics-Engineer?sid=WJlUEfa9ow0H8KIqfBUj4deihBw1oLoyRVo&amp;source=INDE&amp;~")</f>
        <v/>
      </c>
      <c r="G76" t="inlineStr">
        <is>
          <t>Atlanta, GA, US</t>
        </is>
      </c>
      <c r="H76" s="3" t="n">
        <v>46027</v>
      </c>
      <c r="I76" t="inlineStr">
        <is>
          <t>**ABOUT VICTORY LIVE**  
Victory Live is a private equity backed technology company aimed at maximizing distribution and yield for live event ticket inventory. We provide an end\-to\-end software platform for the live ticketing industry, managing thousands of sports, theater and live music event tickets on behalf of artists, promotors, teams, venues and professional resellers. Victory Live’s comprehensive offerings include an established B2B marketplace along with both a full\-service and an automated SaaS platform to handle all elements of the ticket sales lifecycle, from ingestion to sales fulfillment.  
**THE POSITION**  
The Analytics Engineer will support the business intelligence team by building reliable data pipelines, modeling data for reporting, and ensuring stakeholders have timely, accurate information. You’ll work closely with senior engineers and analysts, gaining hands\-on experience with cloud data platforms, orchestration tools, and modern analytics workflows.  
**RESPONSIBILITIES*** Develop, test, and maintain ETL/ELT pipelines using tools like dbt, Snowflake, Airflow, Dagster, and Azure Data Factory under the guidance of senior team members.
* Write efficient SQL and Python code to clean, transform, and load data from multiple sources.
* Assist with creating and maintaining data models (e.g. fact/dimension tables) for reporting and analysis.
* Support BI and reporting platforms (e.g. Sigma) by ensuring data is well\-modeled and up to date.
* Help monitor pipelines and troubleshoot issues with data quality, performance, or reliability.
* Document data models, transformations, and workflows for knowledge sharing and reproducibility.
* Comfortable with APIs and integrating them into data pipelines.
* Collaborate with the BI team to translate business requirements into usable datasets and dashboards.
* Participate in code reviews, testing, and version control (Git) to ensure data integrity and consistency.
**REQUIREMENTS**  
What we’re looking for* 2–3 years of experience in data engineering, analytics engineering, or a similar role.
* Strong SQL skills and experience writing queries for analysis or transformation.
* Basic proficiency in Python for data processing and automation.
* Hands\-on experience with a cloud data warehouse (Snowflake preferred).
* Familiarity with dbt or similar transformation frameworks.
* Exposure to workflow orchestration tools (Airflow, Dagster, etc.) or ETL/ELT services (ADF, Fivetran, etc.).
* Understanding of core data concepts: relational databases, schemas, joins, data modeling.
* Strong communication and problem\-solving skills with an eagerness to learn new tools and techniques.
Preferred Qualifications* Experience with business intelligence tools (Sigma, Power BI, Looker, or Tableau).
* Familiarity with Git and collaborative software development practices.
* Knowledge of basic data governance, lineage, and data quality practices.
* Exposure to cloud environments (Azure, AWS, or GCP).
Victory Live is an equal opportunity employer. We are committed to equal employment opportunity regardless of race, color, ethnicity, ancestry, religion, creed, sex, national origin, sexual orientation, age, citizenship status, marital status, disability, gender identity, gender expression, Veteran status, or another other characteristic protected by state, local or federal law.  
b4ahRq3ojF</t>
        </is>
      </c>
    </row>
    <row r="77">
      <c r="A77" t="inlineStr">
        <is>
          <t>in-a32502cbeebe101e</t>
        </is>
      </c>
      <c r="B77" t="inlineStr">
        <is>
          <t>manager, Data Engineering- Enterprise Data &amp; Semantic Platforms (Seattle, WA)</t>
        </is>
      </c>
      <c r="C77" t="inlineStr">
        <is>
          <t>Starbucks</t>
        </is>
      </c>
      <c r="D77" t="inlineStr">
        <is>
          <t>indeed</t>
        </is>
      </c>
      <c r="E77">
        <f>HYPERLINK("https://www.indeed.com/viewjob?jk=a32502cbeebe101e", "https://www.indeed.com/viewjob?jk=a32502cbeebe101e")</f>
        <v/>
      </c>
      <c r="F77">
        <f>HYPERLINK("https://click.appcast.io/t/TZdfMwAGD7Wq3QvTs4u4XNq1ORCYa2p8WzTX4YbnmY4=", "https://click.appcast.io/t/TZdfMwAGD7Wq3QvTs4u4XNq1ORCYa2p8WzTX4YbnmY4=")</f>
        <v/>
      </c>
      <c r="G77" t="inlineStr">
        <is>
          <t>Seattle, WA, US</t>
        </is>
      </c>
      <c r="H77" s="3" t="n">
        <v>46027</v>
      </c>
      <c r="I77" t="inlineStr">
        <is>
          <t>**Now Brewing – engineering manager – Enterprise Data \&amp; Semantic Platforms!**  
From the beginning, Starbucks set out to be a different kind of company. One that not only celebrated coffee and the rich tradition, but that also brought a feeling of connection. We are known for developing extraordinary leaders who share this passion and are guided by their service to others.
As a manager, data engineering, you will . . .
Contribute to Starbucks success by managing the planning and execution of activities of a Data Engineering Team. As a manager in data engineering, you are responsible for managing a team of data engineers through planning, delivery and operations of solutions. This is a hands on technical role. You are also responsible for the evolvement, delivery and support the technology strategy and roadmaps for new and existing applications and platforms. This role requires managerial experience, technical expertise, domain proficiency, platform depth, and leadership. Models and acts in accordance with Starbucks guiding principles.
Are you an engineering leader passionate about **data, semantics, and AI**? Do you understand that AI is driven by **context, classification, and relationships**? If you want to **enable ethical AI at enterprise scale** while inspiring a high\-performing team, we’d love to hear from you.
**What You’ll Do...**
* **Lead \&amp; Inspire:** Set vision, goals, and priorities for a data engineering team; foster innovation and collaboration.
* **Drive Execution:** Align initiatives with business objectives, ensure transparency, and deliver measurable impact.
* **Mentor \&amp; Develop:** Build an environment of trust, coach team members, and support career growth.
* **Partner with Stakeholders:** Consult across business and technology teams to define data needs and deliver solutions.
* **Shape Data Strategy:** Define and maintain enterprise data products and frameworks for analytics, AI/ML, and operational reporting.
**We’d love to hear from people with**
* **Semantic Expertise**: Strong understanding of relationship data, graph technologies, taxonomy, and ontology.
* **Enterprise Data Leadership:** Experience building scalable data platforms and applying SDLC best practices.
* **Hands\-On Background:** Previous coding or data engineering experience (role is leadership\-focused, not coding\-heavy).
* **Execution Track Record:** Proven ability to deliver complex projects using Agile and Waterfall methodologies.
* **Preferred:** Background in Information Architecture, Library Science, or advanced Computer Science.
As a Starbucks partner, you (and your family) will have access to medical, dental, vision, basic and supplemental life insurance, and other voluntary insurance benefits. Partners have access to short\-term and long\-term disability, paid parental leave, family expansion reimbursement, paid vacation from date of hire\*, sick time (accrued at 1 hour for every 25 hours worked), eight paid holidays, and two personal days per year. Starbucks also offers eligible partners participation in a 401(k) retirement plan with employer match, a discounted company stock program (S.I.P.), Starbucks equity program (Bean Stock), incentivized emergency savings, and financial well\-being tools. Additionally, Starbucks offers 100% upfront tuition coverage for a first\-time bachelor’s degree through Arizona State University’s online program via the Starbucks College Achievement Plan, student loan management resources, and access to other educational opportunities. You will also have access to backup care and DACA reimbursement. Starbucks will comply with any applicable state and local laws regarding employee leave benefits, including, but not limited to providing time off pursuant to the Colorado Healthy Families and Workplaces Act, and in accordance with its plans and policies. This list is subject to change depending on collective bargaining in locations where partners have a certified bargaining representative. For additional information regarding partner perks and more detailed information about benefits, go to starbucksbenefits.com.
* If you are working in CA, CO, IL, LA, ME, MA, NE, ND or RI, you will accrue vacation up to a maximum of 120 hours (190 in CA) for roles below director and 200 hours (316 in CA) for roles at director or above. For roles in other states, you will be granted vacation time starting at 120 hours annually for roles below director and 200 hours annually for roles director and above.
The actual base pay offered to the successful candidate will be based on multiple factors, including but not limited to job\-related knowledge/skills, experience, geographical location, and internal equity. At Starbucks, it is not typical for an individual to be hired at the high end of the range for their role, and compensation decisions are dependent upon the facts and circumstances of each position and candidate.
We believe we do our best work when we're together, which is why we're onsite four days a week.
Join us and inspire with every cup. Apply today!
Starbucks Coffee Company is an equal opportunity employer. All qualified applicants will receive consideration for employment without regard to race, color, religion, sex, sexual orientation, gender identity, age, national origin, disability, or protected veteran status, or any other characteristic protected by law.
Qualified applicants with criminal histories will be considered for employment in a manner consistent with all federal, state and local ordinances.  
Starbucks Coffee Company is committed to offering reasonable accommodations to job applicants with disabilities. If you need assistance or an accommodation due to a disability, please contact us at applicantaccommodation@starbucks.com or 1(888\) 611\-2258\.</t>
        </is>
      </c>
    </row>
    <row r="78">
      <c r="A78" t="inlineStr">
        <is>
          <t>in-5ed1f1ae13e901b3</t>
        </is>
      </c>
      <c r="B78" t="inlineStr">
        <is>
          <t>Senior Data Engineer</t>
        </is>
      </c>
      <c r="C78" t="inlineStr">
        <is>
          <t>Cognizant Technology Solutions</t>
        </is>
      </c>
      <c r="D78" t="inlineStr">
        <is>
          <t>indeed</t>
        </is>
      </c>
      <c r="E78">
        <f>HYPERLINK("https://www.indeed.com/viewjob?jk=5ed1f1ae13e901b3", "https://www.indeed.com/viewjob?jk=5ed1f1ae13e901b3")</f>
        <v/>
      </c>
      <c r="F78">
        <f>HYPERLINK("https://click.appcast.io/t/ogxmAthzJd2wMCdaV5Q-e-krKY-lbhuRfmqsj5Or8Tw=", "https://click.appcast.io/t/ogxmAthzJd2wMCdaV5Q-e-krKY-lbhuRfmqsj5Or8Tw=")</f>
        <v/>
      </c>
      <c r="G78" t="inlineStr">
        <is>
          <t>Austin, TX, US</t>
        </is>
      </c>
      <c r="H78" s="3" t="n">
        <v>46027</v>
      </c>
      <c r="I78" t="inlineStr">
        <is>
          <t>**About Us:**
Cognizant is one of the world's leading professional services companies, redefining clients' business, operating, and technology models for the digital era. Our outstanding industry\-based, consultative approach helps clients envision, build, and run more innovative and efficient businesses. Headquartered in the U.S. Learn how Cognizant helps clients lead with digital at www.cognizant.com.
Work Location : Austin, TX
**Job Summary: \-**
As a Sr. Data Engineer, you will play a pivotal role in designing and implementing data\-driven solutions using Python Snowflake Tableau and Google Analytics. You will collaborate with cross\-functional teams to enhance data visualization and reporting capabilities. Your expertise will contribute to optimizing business processes and driving strategic decision\-making in a hybrid work model.
Responsibilities
* Develop and implement data visualization solutions using Tableau to enhance business insights and decision\-making processes.
* Collaborate with cross\-functional teams to gather requirements and translate them into effective data models and dashboards.
* Utilize Google Analytics to analyze web traffic and user behavior providing actionable insights to improve digital strategies.
* Ensure data accuracy and integrity by conducting regular audits and implementing best practices for data management.
* Optimize existing Tableau dashboards and reports to improve performance and user experience.
* Provide technical support and guidance to team members on Tableau and Google Analytics functionalities.
* Stay updated with the latest trends and advancements in data analytics and visualization tools to drive innovation.
* Conduct training sessions and workshops to empower stakeholders with the knowledge to leverage data effectively.
* Work closely with business analysts to understand key performance indicators and develop metrics for tracking success.
* Implement data governance policies to ensure compliance with industry standards and regulations.
* Collaborate with IT teams to integrate Tableau and Google Analytics with other business intelligence tools.
* Participate in project planning and execution ensuring timely delivery of data solutions.
* Contribute to the continuous improvement of data analytics processes to enhance organizational efficiency. Qualifications
* Possess a strong proficiency in Tableau with a proven track record of developing complex dashboards and reports.
* Demonstrate expertise in Google Analytics with the ability to interpret data and provide strategic recommendations.
* Hold a bachelors degree in Computer Science Information Technology or a related field.
* Have excellent problem\-solving skills and the ability to work independently in a hybrid work environment.
* Exhibit strong communication skills to effectively collaborate with diverse teams and stakeholders.
* Show a commitment to staying updated with industry trends and advancements in data analytics technologies.
\#LI\-SM1
Application Expire: 1/19/2026
The annual salary for this position is between $83,000 – $ 107,000 depending on experience and other qualifications of the successful candidate.
This position is also eligible for Cognizant’s discretionary annual incentive program and stock awards, based on performance and subject to the terms of Cognizant’s applicable plans.
Benefits:
Cognizant offers the following benefits for this position, subject to applicable eligibility requirements:
* Medical/Dental/Vision/Life Insurance
* Paid holidays plus Paid Time Off
* Long\-term/Short\-term Disability
* Paid Parental Leave
* Employee Stock Purchase Plan
Disclaimer:
The salary, other compensation, and benefits information is accurate as of the date of this posting. Cognizant reserves the right to modify this information at any time, subject to applicable law.</t>
        </is>
      </c>
    </row>
    <row r="79">
      <c r="A79" t="inlineStr">
        <is>
          <t>in-756927911f441ecb</t>
        </is>
      </c>
      <c r="B79" t="inlineStr">
        <is>
          <t>Data Engineer (SME)</t>
        </is>
      </c>
      <c r="C79" t="inlineStr">
        <is>
          <t>BAE Systems USA</t>
        </is>
      </c>
      <c r="D79" t="inlineStr">
        <is>
          <t>indeed</t>
        </is>
      </c>
      <c r="E79">
        <f>HYPERLINK("https://www.indeed.com/viewjob?jk=756927911f441ecb", "https://www.indeed.com/viewjob?jk=756927911f441ecb")</f>
        <v/>
      </c>
      <c r="F79">
        <f>HYPERLINK("https://jobs.baesystems.com/global/en/job/119841BR", "https://jobs.baesystems.com/global/en/job/119841BR")</f>
        <v/>
      </c>
      <c r="G79" t="inlineStr">
        <is>
          <t>Herndon, VA, US</t>
        </is>
      </c>
      <c r="H79" s="3" t="n">
        <v>46027</v>
      </c>
      <c r="I79" t="inlineStr">
        <is>
          <t>**Job Description**  
BAE Systems, a top\-ten prime contractor to the U.S. Department of Defense, enables the U.S. government to transform data into intelligence and provides engineering, integration and sustainment support for critical military platforms and systems. Intelligence \&amp; Security provides services and products to the Department of Defense, the government, federal law enforcement officials, and troops deployed around the world.  
At BAE Systems, we promote a strong, collaborative culture and provide our employees with the tools, skills and training they need to succeed. We are all about trust, camaraderie and a shared ambition to lead the world in defense technologies and national security services. We offer flexible work environment to support the balance in your life and keep you performing at your best. Be a part of a company that is part of the community; driven to improve our future and protect our freedom.  
As a Data Engineer, you are responsible for designing data models, building data warehouses and data lakes, automating data pipelines and working with datasets of all sizes. You will optimize overall data/information flow by reducing redundancy and enabling accessibility within security boundaries. You apply data extraction, transformation and loading techniques in order to connect large data sets from a variety of sources. You create data collection frameworks for structured and unstructured data. Your solutions and create cyber and operational analytic tools for consumers that assist them in building and optimizing downstream products inclusive of constructing dataset procedures that can help with data mining, modeling, and production. You use and develop standards, tools, processes and governance for capturing, modeling, storing, and delivering data for the enterprise.  
ABC  
\#LI\-EE1  
**Required Education, Experience, \&amp; Skills**  
We are actively seeking Systems Engineers to perform as a Data Engineer with a minimum of 16 years' experience. Information Technology or Engineer Bachelor's or Master’s Degrees are preferred. Specific skills should include the following:
* Experience integrating diverse data streams
* Experience with data transfer tools (Ex: NiFi, Cribl, etc)
* Establishes data standards and acts as custodian of IT and service delivery data sets and streams
* Experience in analyzing complex networks and systems
* Experience in analyzing log data from various network components and operating systems
* Knowledge of complex environments involving shared networks and multiple security enclaves
* Systems Engineer with Data Engineer background
* Ability to manage and troubleshoot data feeds
* Splunk familiarization
* Python
**Preferred Education, Experience, \&amp; Skills**  
* Security Development and Operations (SecDevOps)
* Hands on Splunk Experience and Certifications
* Scripting tools to include Python, ShellScript, or Ansible
* Cloud security controls and implementation
* Public, private and hybrid Cloud experience (AWS, Microsoft Azure, etc.)
* AWS Certified Security Specialty
**Pay Information**  
Full\-Time Salary Range: $146670 \- $249330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Intelligence \&amp; Security**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Intelligence \&amp; Security (I\&amp;S), based in McLean, Virginia, designs and delivers advanced defense, intelligence, and security solutions that support the important missions of our customers. Our pride and dedication shows in everything we do—from intelligence analysis, cyber operations and IT expertise to systems development, systems integration, and operations and maintenance services. Knowing that our work enables the U.S. military and government to recognize, manage and defeat threats inspires us to push ourselves and our technologies to new levels.  
This position will be posted for at least 5 calendar days. The posting will remain active until the position is filled, or a qualified pool of candidates is identified.</t>
        </is>
      </c>
    </row>
    <row r="80">
      <c r="A80" t="inlineStr">
        <is>
          <t>in-2c1b9da6801da796</t>
        </is>
      </c>
      <c r="B80" t="inlineStr">
        <is>
          <t>Senior Analytics Engineer</t>
        </is>
      </c>
      <c r="C80" t="inlineStr">
        <is>
          <t>Upstart</t>
        </is>
      </c>
      <c r="D80" t="inlineStr">
        <is>
          <t>indeed</t>
        </is>
      </c>
      <c r="E80">
        <f>HYPERLINK("https://www.indeed.com/viewjob?jk=2c1b9da6801da796", "https://www.indeed.com/viewjob?jk=2c1b9da6801da796")</f>
        <v/>
      </c>
      <c r="F80">
        <f>HYPERLINK("https://careers.upstart.com/jobs/senior-analytics-engineer-0c2f09a6-6f18-47f8-afc1-7518cdb48ae3", "https://careers.upstart.com/jobs/senior-analytics-engineer-0c2f09a6-6f18-47f8-afc1-7518cdb48ae3")</f>
        <v/>
      </c>
      <c r="G80" t="inlineStr">
        <is>
          <t>Remote, US</t>
        </is>
      </c>
      <c r="H80" s="3" t="n">
        <v>46027</v>
      </c>
      <c r="I80" t="inlineStr">
        <is>
          <t>**About Upstart**
Upstart is the leading AI lending marketplace partnering with banks and credit unions to expand access to affordable credit. By leveraging Upstart's AI marketplace, Upstart\-powered banks and credit unions can have higher approval rates and lower loss rates across races, ages, and genders, while simultaneously delivering the exceptional digital\-first lending experience their customers demand. More than 80% of borrowers are approved instantly, with zero documentation to upload.
Upstart is a digital\-first company, which means that most Upstarters live and work anywhere in the United States. However, we also have offices in San Mateo, California; Columbus, Ohio; Austin, Texas; and New York City, NY (opening Summer 2026\).
Most Upstarters join us because they connect with our mission of enabling access to effortless credit based on true risk. If you are energized by the impact you can make at Upstart, we’d love to hear from you!
**The Team**
As a Senior Analytics Engineer at Upstart, you will design and develop robust and scalable data models for analytical stakeholders to empower them to retrieve meaningful insights. Our analytics engineering team is centralized within the company and partners closely with data engineering, data platform, software engineers, ML engineers and cross functional analytics squads to stitch together datasets to create data models that are ready for consumption.
In addition to architecting data models, we implement Analytics Engineering best practices around Data Governance, Data Quality, Data Orchestration and pipeline optimization. We enable analysts to think like software engineers by defining, documenting and ensuring adoption of best practices when making contributions to the analytical code\-base.
***Position Location \-*** This role is available in the following locations: Remote, San Mateo, Columbus
***Time Zone Requirements \-*** The team operates in all US time zones.
***Travel Requirements \-*** This team has regular on\-site collaboration sessions. These occur 3 days per quarter at an Upstart office. If you need to travel to make these meetups, Upstart will cover all travel related expenses.
**How you’ll make an impact:**
* Understand how data is produced and consumed at a deep level \- you will need to be extremely collaborative with the teams that produce and consume the data to create an end\-to\-end solution that maximizes the value of our data
* Lead efforts to design data models and build curated data sets that are the foundation of reporting and analytics at Upstart
* Collaborate with data engineers and data platform teams to create analytics pipelines
* Meet consumers of data where they are by wearing an educator’s hat and training them on how to use BI tools and dashboards
* Be a close strategic partner to analytics squads to participate in decision making on the analytics road map for Upstart
**What we’re looking for:**
* Minimum requirements:
	+ 5\+ year(s) of experience as a Data Engineer / Analytics Engineer / BI Engineer
	+ Strong understanding of data modeling concepts in both transactional and analytical databases
	+ Proven ability to lead cross\-team projects to create data models for analytics/reporting purposes
	+ Excellent communication and collaboration skills, particularly when explaining technical or complex matters to less technical co\-workers
	+ Expertise in SQL, Python, and ETL optimization techniques
* Preferred qualifications:
	+ Familiarity with business intelligence visualization tools such as Mode, Looker, Tableau, Power BI, etc.
	+ Experience creating curated data models using a data mesh architecture
	+ Experience with cloud computing platforms such as Amazon Web Services (AWS), Azure and/or Google Cloud
	+ Experience with building Looker data models (LookML), analytics engineering frameworks like dbt, orchestration tools like Airflow, schema design, and dimensional data modeling
	+ Thorough understanding of data lake/warehouse architectures (BigQuery, Databricks, Redshift)
**What you'll love:**
* Competitive Compensation (base \+ bonus \&amp; equity)
* Comprehensive medical, dental, and vision coverage with Health Savings Account contributions from Upstart
* Generous 401(k) plan with Upstart matching $2 for every $1 contributed, up to $15,000 per year
* Employee Stock Purchase Plan (ESPP)
* Life and disability insurance
* Generous holiday, vacation, sick and safety leave
* Supportive parental, family care, and military leave programs
* Annual wellness, technology \&amp; ergonomic reimbursement programs
* Social activities including team events and onsites, all\-company updates, employee resource groups (ERGs), and other interest groups such as book clubs, fitness, investing, and volunteering
* Catered lunches \+ snacks \&amp; drinks when working in offices
At Upstart, your base pay is one part of your total compensation package. The anticipated base salary for this position is expected to be within the below range. Your actual base pay will depend on your geographic location–with our “digital first” philosophy, Upstart uses compensation regions that vary depending on location. Individual pay is also determined by job\-related skills, experience, and relevant education or training. Your recruiter can share more about the specific salary range for your preferred location during the hiring process.
In addition, Upstart provides employees with target bonuses, equity compensation, and generous benefits packages (including medical, dental, vision, and 401k).
United States \| Remote \- Anticipated Base Salary Range
$163,600—$226,400 USD
Upstart is a proud Equal Opportunity Employer. Just as we are dedicated to improving access to affordable credit for all, we are committed to inclusive and fair hiring practices.
*If you require reasonable accommodation in completing an application, interviewing, completing any pre\-employment testing, or otherwise participating in the employee selection process, please email* ***candidate\_accommodations@upstart.com***
**https://www.upstart.com/candidate\_privacy\_policy**</t>
        </is>
      </c>
    </row>
    <row r="81">
      <c r="A81" t="inlineStr">
        <is>
          <t>in-4cb16111ea9faaeb</t>
        </is>
      </c>
      <c r="B81" t="inlineStr">
        <is>
          <t>Senior Distinguished Data Engineer</t>
        </is>
      </c>
      <c r="C81" t="inlineStr">
        <is>
          <t>Information Technology Senior Management Forum</t>
        </is>
      </c>
      <c r="D81" t="inlineStr">
        <is>
          <t>indeed</t>
        </is>
      </c>
      <c r="E81">
        <f>HYPERLINK("https://www.indeed.com/viewjob?jk=4cb16111ea9faaeb", "https://www.indeed.com/viewjob?jk=4cb16111ea9faaeb")</f>
        <v/>
      </c>
      <c r="F81">
        <f>HYPERLINK("https://jobs.itsmfleaders.org/job/vm9nnb/senior-distinguished-data-engineer/mclean/va", "https://jobs.itsmfleaders.org/job/vm9nnb/senior-distinguished-data-engineer/mclean/va")</f>
        <v/>
      </c>
      <c r="G81" t="inlineStr">
        <is>
          <t>McLean, VA, US</t>
        </is>
      </c>
      <c r="H81" s="3" t="n">
        <v>46026</v>
      </c>
      <c r="I81" t="inlineStr">
        <is>
          <t>Posted Date
1/05/2026
Description
Senior Distinguished Data Engineer
Distinguished Data Engineers are individual contributors who strive to be diverse in thought so we visualize the problem space. At Capital One, we believe diversity of thought strengthens our ability to influence, collaborate and provide the most innovative solutions across organizational boundaries. Distinguished Engineers will significantly impact our trajectory and devise clear roadmaps to deliver next generation technology solutions.
**About the Team:**
You will join the Data Pipelines team within Enterprise Data, serving as a Senior Director\-level Individual Contributor (IC). This role demands a visionary and hands\-on leader to drive the technical strategy for data pipelines leveraged by all lines of business inclusive of both internal and external data availability. Your focus is on driving innovation, best practices, engineering / delivery acceleration, platform scalability, Operational Excellence, Performance, Resiliency, and being a beacon for other ICs. We require deep expertise in AWS infrastructure, Lakehouse architecture, Kafka, Flink, Spark, Snowflake, and Databricks mature these enterprise\-scale systems and execute technical strategy. You will be both visionary, influential, and hands\-on writing Python, SQL, Java, and/or Scala code.
**Our Sr. Distinguished Engineers Are:**
* Deep technical experts and thought leaders that help accelerate adoption of the very best engineering practices, while maintaining knowledge on industry innovations, trends and practices
* Visionaries, collaborating on Capital One’s toughest issues, to deliver on business needs that directly impact the lives of our customers and associates
* Role models and mentors, helping to coach and strengthen the technical expertise and know\-how of our engineering and product community
* Evangelists, both internally and externally, helping to elevate the Distinguished Engineering community and establish themselves as a go\-to resource on given technologies and technology\-enabled capabilities
**Responsibilities:**
* Build awareness, increase knowledge and drive adoption of modern technologies, sharing consumer and engineering benefits to gain buy\-in
* Strike the right balance between lending expertise and providing an inclusive environment where others’ ideas can be heard and championed; leverage expertise to grow skills in the broader Capital One team
* Promote a culture of engineering excellence, using opportunities to reuse and innersource solutions where possible
* Effectively communicate with and influence key stakeholders across the enterprise, at all levels of the organization
* Operate as a trusted advisor for a specific technology, platform or capability domain, helping to shape use cases and implementation in an unified manner
* Lead the way in creating next\-generation talent for Tech, mentoring internal talent and actively recruiting external talent to bolster Capital One’s Tech talent
**Basic Qualifications:**
* Bachelor’s Degree
* At least 9 years of experience in data engineering
* At least 5 years of experience in data architecture
* At least 3 years of experience in building applications in AWS
* At least 3 years of experience with Python, Scala, Java, or SQL
* At least 3 years of experience with Flink or Spark
* At least 3 years of experience with Kafka
* At least 3 years of experience with Delta Lake or Iceberg
* At least 3 years of experience building performant, resilient Big Data solutions
**Preferred Qualifications:**
* Masters’ Degree
* 10\+ years of experience in data engineering
* 3\+ years of data modeling experience
* 2\+ years of experience with ontology standards for defining a domain
* 3\+ years of experience deploying machine learning models
* 1\+ year of experience deploying Agentic AI solutions
* 3\+ years of experience implementing big data processing solutions on AWS or other cloud providers
* 3\+ years of experience with Snowflake or Databricks
* 3\+ years of experience with Data Observability tooling (lineage, data quality, monitoring or alerting)
***Capital One will consider sponsoring a new qualified applicant for employment authorization for this positio***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$314,800 \- $359,300 for Sr Distinguished Data Engineer  
New York, NY: $343,400 \- $392,000 for Sr Distinguished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Distinguished Data Engineer
Distinguished Data Engineers are individual contributors who strive to be diverse in thought so we visualize the problem space. At Capital One, we believe diversity of thought strengthens our ability to influence, collaborate and provide the most innovative solutions across organizational boundaries. Distinguished Engineers will significantly impact our trajectory and devise clear roadmaps to deliver next generation technology solutions.
**About the Team:**
You will join the Data Pipelines team within Enterprise Data, serving as a Senior Director\-level Individual Contributor (IC). This role demands a visionary and hands\-on leader to drive the technical strategy for data pipelines leveraged by all lines of business inclusive of both internal and external data availability. Your focus is on driving innovation, best practices, engineering / delivery acceleration, platform scalability, Operational Excellence, Performance, Resiliency, and being a beacon for other ICs. We require deep expertise in AWS infrastructure, Lakehouse architecture, Kafka, Flink, Spark, Snowflake, and Databricks mature these enterprise\-scale systems and execute technical strategy. You will be both visionary, influential, and hands\-on writing Python, SQL, Java, and/or Scala code.
**Our Sr. Distinguished Engineers Are:**
* Deep technical experts and thought leaders that help accelerate adoption of the very best engineering practices, while maintaining knowledge on industry innovations, trends and practices
* Visionaries, collaborating on Capital One’s toughest issues, to deliver on business needs that directly impact the lives of our customers and associates
* Role models and mentors, helping to coach and strengthen the technical expertise and know\-how of our engineering and product community
* Evangelists, both internally and externally, helping to elevate the Distinguished Engineering community and establish themselves as a go\-to resource on given technologies and technology\-enabled capabilities
**Responsibilities:**
* Build awareness, increase knowledge and drive adoption of modern technologies, sharing consumer and engineering benefits to gain buy\-in
* Strike the right balance between lending expertise and providing an inclusive environment where others’ ideas can be heard and championed; leverage expertise to grow skills in the broader Capital One team
* Promote a culture of engineering excellence, using opportunities to reuse and innersource solutions where possible
* Effectively communicate with and influence key stakeholders across the enterprise, at all levels of the organization
* Operate as a trusted advisor for a specific technology, platform or capability domain, helping to shape use cases and implementation in an unified manner
* Lead the way in creating next\-generation talent for Tech, mentoring internal talent and actively recruiting external talent to bolster Capital One’s Tech talent
**Basic Qualifications:**
* Bachelor’s Degree
* At least 9 years of experience in data engineering
* At least 5 years of experience in data architecture
* At least 3 years of experience in building applications in AWS
* At least 3 years of experience with Python, Scala, Java, or SQL
* At least 3 years of experience with Flink or Spark
* At least 3 years of experience with Kafka
* At least 3 years of experience with Delta Lake or Iceberg
* At least 3 years of experience building performant, resilient Big Data solutions
**Preferred Qualifications:**
* Masters’ Degree
* 10\+ years of experience in data engineering
* 3\+ years of data modeling experience
* 2\+ years of experience with ontology standards for defining a domain
* 3\+ years of experience deploying machine learning models
* 1\+ year of experience deploying Agentic AI solutions
* 3\+ years of experience implementing big data processing solutions on AWS or other cloud providers
* 3\+ years of experience with Snowflake or Databricks
* 3\+ years of experience with Data Observability tooling (lineage, data quality, monitoring or alerting)
***Capital One will consider sponsoring a new qualified applicant for employment authorization for this positio***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$314,800 \- $359,300 for Sr Distinguished Data Engineer  
New York, NY: $343,400 \- $392,000 for Sr Distinguished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314,800\.00 \- 359,300\.00 Annual
Type
Full\-time</t>
        </is>
      </c>
    </row>
    <row r="82">
      <c r="A82" t="inlineStr">
        <is>
          <t>in-10ae624d8a13fb76</t>
        </is>
      </c>
      <c r="B82" t="inlineStr">
        <is>
          <t>Sr. Data Engineer, AWS DC Bridge</t>
        </is>
      </c>
      <c r="C82" t="inlineStr">
        <is>
          <t>Amazon.com</t>
        </is>
      </c>
      <c r="D82" t="inlineStr">
        <is>
          <t>indeed</t>
        </is>
      </c>
      <c r="E82">
        <f>HYPERLINK("https://www.indeed.com/viewjob?jk=10ae624d8a13fb76", "https://www.indeed.com/viewjob?jk=10ae624d8a13fb76")</f>
        <v/>
      </c>
      <c r="F82">
        <f>HYPERLINK("https://www.amazon.jobs/jobs/3153018/sr-data-engineer-aws-dc-bridge?cmpid=DA_INAD200785B", "https://www.amazon.jobs/jobs/3153018/sr-data-engineer-aws-dc-bridge?cmpid=DA_INAD200785B")</f>
        <v/>
      </c>
      <c r="G82" t="inlineStr">
        <is>
          <t>Bellevue, WA, US</t>
        </is>
      </c>
      <c r="H82" s="3" t="n">
        <v>46026</v>
      </c>
      <c r="I82" t="inlineStr">
        <is>
          <t>**DESCRIPTION**
---------------
The AWS Data Center Bridge (DC Bridge) team is seeking an experienced Sr. Data Engineer (DE) to lead design and implementation of data and analytics for the data center Eva AI chat\-bot. This role will also work closely with Business Intelligence Engineers (BIE), Software Development Engineers (SDE) and Product teams to ensure robust data and infrastructure support for all DC Bridge analytics projects.
DC Bridge is responsible for multiple custom software services that ensure safe, secure, sustainable, and efficient processes in our data centers. This high velocity, forward looking, environment creates large opportunities for innovation, creativity, and exploring new technologies. As a Sr. DE with DC Bridge, you will be a technical leader responsible for designing, building, and maintaining large\-scale data processing systems. You also be a strong mentor for junior engineers setting a high quality bar and ensuring best practices.
A successful Sr. DE for DC Bridge will have strong technical and communication skills and experience with AI chat\-bot implementation. They will be knowledgeable with AWS offerings and leveraging the correct tools for long\-term scale. They will be confident in handling detailed conversations with technical teams, working closely with BIEs, and connecting with others across the AWS data community. A successful DC Bridge Sr. DE will also excel at navigating ambiguity, diving deep, and solving problems.  
Key job responsibilities  
* Design and Build Infrastructure: Architect, construct, and maintain scalable data pipelines and ETL processes using AWS technologies to support business intelligence, analytics, and machine learning initiatives.
* Lead Architectural Decisions: Guide data infrastructure projects to ensure optimal performance, scalability, and cost\-efficiency. Stay abreast of emerging technologies to enhance data engineering capabilities.
* Ensure Data Quality: Implement data quality controls, monitoring, and alerting systems to maintain data integrity, accuracy, and consistency.
* Optimize Systems: Enhance existing data systems and resolve complex data\-related issues.
* Mentor and Lead: Provide technical guidance and mentorship to junior engineers through design and code reviews, adherence to coding standards.
* Promote Best Practices: Drive data engineering best practices across the organization, contribute to software design reviews, and establish data governance policies and procedures.
About the team  
About AWS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Bachelor's degree in computer science, engineering, analytics, mathematics, statistics, IT or equivalent
* 7\+ years of data engineering experience
* Experience with data modeling, warehousing and building ETL pipelines
* Knowledge of distributed systems as it pertains to data storage and computing
* Experience with MPP databases such as Amazon Redshift
* Experience in at least one modern scripting or programming language, such as Python, Java, Scala, or NodeJS
* Knowledge of professional software engineering \&amp; best practices for full software development life cycle, including coding standards, software architectures, code reviews, source control management, continuous deployments, testing, and operational excellence
* Experience providing technical leadership and mentoring other engineers for best practices on data engineering
* Knowledge of cloud platforms, preferably AWS (S3, EMR, Redshift, Glue, Lambda)
**PREFERRED QUALIFICATIONS**
----------------------------
* Experience with big data technologies such as: Hadoop, Hive, Spark, EMR
* Master's degree in computer science, engineering, analytics, mathematics, statistics, IT or equivalent
* Familiarity with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$139,100/year in our lowest geographic market up to $240,500/year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in-12a015a39cb49bc6</t>
        </is>
      </c>
      <c r="B83" t="inlineStr">
        <is>
          <t>Data Engineer</t>
        </is>
      </c>
      <c r="C83" t="inlineStr">
        <is>
          <t>Amazon.com</t>
        </is>
      </c>
      <c r="D83" t="inlineStr">
        <is>
          <t>indeed</t>
        </is>
      </c>
      <c r="E83">
        <f>HYPERLINK("https://www.indeed.com/viewjob?jk=12a015a39cb49bc6", "https://www.indeed.com/viewjob?jk=12a015a39cb49bc6")</f>
        <v/>
      </c>
      <c r="F83">
        <f>HYPERLINK("https://www.amazon.jobs/jobs/3141339/data-engineer?cmpid=DA_INAD200785B", "https://www.amazon.jobs/jobs/3141339/data-engineer?cmpid=DA_INAD200785B")</f>
        <v/>
      </c>
      <c r="G83" t="inlineStr">
        <is>
          <t>Seattle, WA, US</t>
        </is>
      </c>
      <c r="H83" s="3" t="n">
        <v>46001</v>
      </c>
      <c r="I8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in-f57424fa463edfbb</t>
        </is>
      </c>
      <c r="B84" t="inlineStr">
        <is>
          <t>Data Engineer</t>
        </is>
      </c>
      <c r="C84" t="inlineStr">
        <is>
          <t>Amazon.com</t>
        </is>
      </c>
      <c r="D84" t="inlineStr">
        <is>
          <t>indeed</t>
        </is>
      </c>
      <c r="E84">
        <f>HYPERLINK("https://www.indeed.com/viewjob?jk=f57424fa463edfbb", "https://www.indeed.com/viewjob?jk=f57424fa463edfbb")</f>
        <v/>
      </c>
      <c r="F84">
        <f>HYPERLINK("https://www.amazon.jobs/jobs/3141339/data-engineer?cmpid=DA_INAD200785B", "https://www.amazon.jobs/jobs/3141339/data-engineer?cmpid=DA_INAD200785B")</f>
        <v/>
      </c>
      <c r="G84" t="inlineStr">
        <is>
          <t>San Francisco, CA, US</t>
        </is>
      </c>
      <c r="H84" s="3" t="n">
        <v>46001</v>
      </c>
      <c r="I8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in-b9428dd316a852c1</t>
        </is>
      </c>
      <c r="B85" t="inlineStr">
        <is>
          <t>Delivery Consultant - Data Engineer, Data and Machine Learning, WWPS US Federal</t>
        </is>
      </c>
      <c r="C85" t="inlineStr">
        <is>
          <t>Amazon Web Services</t>
        </is>
      </c>
      <c r="D85" t="inlineStr">
        <is>
          <t>indeed</t>
        </is>
      </c>
      <c r="E85">
        <f>HYPERLINK("https://www.indeed.com/viewjob?jk=b9428dd316a852c1", "https://www.indeed.com/viewjob?jk=b9428dd316a852c1")</f>
        <v/>
      </c>
      <c r="F85">
        <f>HYPERLINK("https://www.amazon.jobs/jobs/3134583/delivery-consultant--data-engineer-data-and-machine-learning-wwps-us-federal?cmpid=DA_INAD200785B", "https://www.amazon.jobs/jobs/3134583/delivery-consultant--data-engineer-data-and-machine-learning-wwps-us-federal?cmpid=DA_INAD200785B")</f>
        <v/>
      </c>
      <c r="G85" t="inlineStr">
        <is>
          <t>Arlington, VA, US</t>
        </is>
      </c>
      <c r="H85" s="3" t="n">
        <v>45991</v>
      </c>
      <c r="I85"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in-22d6df70d3fe67c5</t>
        </is>
      </c>
      <c r="B86" t="inlineStr">
        <is>
          <t>Delivery Consultant - Data Engineer, Data and Machine Learning, WWPS US Federal</t>
        </is>
      </c>
      <c r="C86" t="inlineStr">
        <is>
          <t>Amazon Web Services</t>
        </is>
      </c>
      <c r="D86" t="inlineStr">
        <is>
          <t>indeed</t>
        </is>
      </c>
      <c r="E86">
        <f>HYPERLINK("https://www.indeed.com/viewjob?jk=22d6df70d3fe67c5", "https://www.indeed.com/viewjob?jk=22d6df70d3fe67c5")</f>
        <v/>
      </c>
      <c r="F86">
        <f>HYPERLINK("https://www.amazon.jobs/jobs/3134583/delivery-consultant--data-engineer-data-and-machine-learning-wwps-us-federal?cmpid=DA_INAD200785B", "https://www.amazon.jobs/jobs/3134583/delivery-consultant--data-engineer-data-and-machine-learning-wwps-us-federal?cmpid=DA_INAD200785B")</f>
        <v/>
      </c>
      <c r="G86" t="inlineStr">
        <is>
          <t>Herndon, VA, US</t>
        </is>
      </c>
      <c r="H86" s="3" t="n">
        <v>45991</v>
      </c>
      <c r="I86"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in-dec6e20eab9fc532</t>
        </is>
      </c>
      <c r="B87" t="inlineStr">
        <is>
          <t>Data Engineer III, ITA</t>
        </is>
      </c>
      <c r="C87" t="inlineStr">
        <is>
          <t>Amazon.com</t>
        </is>
      </c>
      <c r="D87" t="inlineStr">
        <is>
          <t>indeed</t>
        </is>
      </c>
      <c r="E87">
        <f>HYPERLINK("https://www.indeed.com/viewjob?jk=dec6e20eab9fc532", "https://www.indeed.com/viewjob?jk=dec6e20eab9fc532")</f>
        <v/>
      </c>
      <c r="F87">
        <f>HYPERLINK("https://www.amazon.jobs/jobs/3071316/data-engineer-iii-ita?cmpid=DA_INAD200785B", "https://www.amazon.jobs/jobs/3071316/data-engineer-iii-ita?cmpid=DA_INAD200785B")</f>
        <v/>
      </c>
      <c r="G87" t="inlineStr">
        <is>
          <t>Arlington, VA, US</t>
        </is>
      </c>
      <c r="H87" s="3" t="n">
        <v>45893</v>
      </c>
      <c r="I87" t="inlineStr">
        <is>
          <t>**DESCRIPTION**
---------------
Do you want a role with deep meaning and the ability to make a major impact? As part of Intelligent Talent Acquisition (ITA), you'll have the opportunity to reinvent the hiring process and deliver unprecedented scale, sophistication, and accuracy for Amazon Talent Acquisition operations. ITA is an industry\-leading people science and technology organization made up of scientists, engineers, analysts, product professionals and more, all with the shared goal of connecting the right people to the right jobs in a way that is fair and precise. Last year we delivered over 6 million online candidate assessments, and helped Amazon deliver billions of packages around the world by making it possible to hire hundreds of thousands of workers in the right quantity, at the right location and at exactly the right time. You’ll work on state\-of\-the\-art research, advanced software tools, new AI systems, and machine learning algorithms, leveraging Amazon's in\-house tech stack to bring innovative solutions to life. Join ITA in using technologies to transform the hiring landscape and make a meaningful difference in people's lives. Together, we can solve the world's toughest hiring problems.  
Key job responsibilities  
Data team builds the foundational data infrastructure and analytics tools that power Amazon's hiring decisions. We create secure, scalable solutions that enable teams across ITA to access and analyze recruitment data effectively while maintaining data integrity.  
Key job responsibilities  
* Architect and implement scalable, reliable data pipelines and infrastructure, supporting analytics at scale
* Design and enforce data modeling standards, lineage, and governance frameworks while ensuring secure, compliant solutions
* Lead technical design/code reviews, evaluate emerging technologies, and drive engineering best practices across development lifecycle
* Work closely with business owners, developers, BI Engineers and Data Scientists to deliver scalable solutions enabling teams to access and analyze data effectively
* Mentor junior engineers, foster technical excellence, and empower team self\-service capabilities for handling complex data tasks independently
**BASIC QUALIFICATIONS**
------------------------
* 5\+ years of data engineering experience
* Experience with data modeling, warehousing and building ETL pipelines
* Experience with SQL
* Experience in at least one modern scripting or programming language, such as Python, Java, Scala, or NodeJS
* Experience mentoring team members on best practices
* Experience building modern cloud based data platforms for AI/ML and analytics usecases
**PREFERRED QUALIFICATIONS**
----------------------------
* Experience with big data technologies such as: Hadoop, Hive, Spark, EMR
* Experience operating large data warehouses
* Knowledge of professional software engineering \&amp; best practices for full software development life cycle, including coding standards, software architectures, code reviews, source control management, continuous deployments, testing, and operational excellence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$139,100/year in our lowest geographic market up to $240,500/year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in-23e551cff66dddaa</t>
        </is>
      </c>
      <c r="B88" t="inlineStr">
        <is>
          <t>Data Engineer III, ITA</t>
        </is>
      </c>
      <c r="C88" t="inlineStr">
        <is>
          <t>Amazon.com</t>
        </is>
      </c>
      <c r="D88" t="inlineStr">
        <is>
          <t>indeed</t>
        </is>
      </c>
      <c r="E88">
        <f>HYPERLINK("https://www.indeed.com/viewjob?jk=23e551cff66dddaa", "https://www.indeed.com/viewjob?jk=23e551cff66dddaa")</f>
        <v/>
      </c>
      <c r="F88">
        <f>HYPERLINK("https://www.amazon.jobs/jobs/3071316/data-engineer-iii-ita?cmpid=DA_INAD200785B", "https://www.amazon.jobs/jobs/3071316/data-engineer-iii-ita?cmpid=DA_INAD200785B")</f>
        <v/>
      </c>
      <c r="G88" t="inlineStr">
        <is>
          <t>Seattle, WA, US</t>
        </is>
      </c>
      <c r="H88" s="3" t="n">
        <v>45893</v>
      </c>
      <c r="I88" t="inlineStr">
        <is>
          <t>**DESCRIPTION**
---------------
Do you want a role with deep meaning and the ability to make a major impact? As part of Intelligent Talent Acquisition (ITA), you'll have the opportunity to reinvent the hiring process and deliver unprecedented scale, sophistication, and accuracy for Amazon Talent Acquisition operations. ITA is an industry\-leading people science and technology organization made up of scientists, engineers, analysts, product professionals and more, all with the shared goal of connecting the right people to the right jobs in a way that is fair and precise. Last year we delivered over 6 million online candidate assessments, and helped Amazon deliver billions of packages around the world by making it possible to hire hundreds of thousands of workers in the right quantity, at the right location and at exactly the right time. You’ll work on state\-of\-the\-art research, advanced software tools, new AI systems, and machine learning algorithms, leveraging Amazon's in\-house tech stack to bring innovative solutions to life. Join ITA in using technologies to transform the hiring landscape and make a meaningful difference in people's lives. Together, we can solve the world's toughest hiring problems.  
Key job responsibilities  
Data team builds the foundational data infrastructure and analytics tools that power Amazon's hiring decisions. We create secure, scalable solutions that enable teams across ITA to access and analyze recruitment data effectively while maintaining data integrity.  
Key job responsibilities  
* Architect and implement scalable, reliable data pipelines and infrastructure, supporting analytics at scale
* Design and enforce data modeling standards, lineage, and governance frameworks while ensuring secure, compliant solutions
* Lead technical design/code reviews, evaluate emerging technologies, and drive engineering best practices across development lifecycle
* Work closely with business owners, developers, BI Engineers and Data Scientists to deliver scalable solutions enabling teams to access and analyze data effectively
* Mentor junior engineers, foster technical excellence, and empower team self\-service capabilities for handling complex data tasks independently
**BASIC QUALIFICATIONS**
------------------------
* 5\+ years of data engineering experience
* Experience with data modeling, warehousing and building ETL pipelines
* Experience with SQL
* Experience in at least one modern scripting or programming language, such as Python, Java, Scala, or NodeJS
* Experience mentoring team members on best practices
* Experience building modern cloud based data platforms for AI/ML and analytics usecases
**PREFERRED QUALIFICATIONS**
----------------------------
* Experience with big data technologies such as: Hadoop, Hive, Spark, EMR
* Experience operating large data warehouses
* Knowledge of professional software engineering \&amp; best practices for full software development life cycle, including coding standards, software architectures, code reviews, source control management, continuous deployments, testing, and operational excellence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$139,100/year in our lowest geographic market up to $240,500/year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in-17aff7715fbbaf4f</t>
        </is>
      </c>
      <c r="B89" t="inlineStr">
        <is>
          <t>Sr. Software Engineer - API Development &amp; Data Engineering (Remote)</t>
        </is>
      </c>
      <c r="C89" t="inlineStr">
        <is>
          <t>Tealium</t>
        </is>
      </c>
      <c r="D89" t="inlineStr">
        <is>
          <t>indeed</t>
        </is>
      </c>
      <c r="E89">
        <f>HYPERLINK("https://www.indeed.com/viewjob?jk=17aff7715fbbaf4f", "https://www.indeed.com/viewjob?jk=17aff7715fbbaf4f")</f>
        <v/>
      </c>
      <c r="F89">
        <f>HYPERLINK("https://tealium.wd1.myworkdayjobs.com/en-US/Careers/job/Remote-USA/Sr-Software-Engineer---API-Development---Data-Engineering--Remote-_-2", "https://tealium.wd1.myworkdayjobs.com/en-US/Careers/job/Remote-USA/Sr-Software-Engineer---API-Development---Data-Engineering--Remote-_-2")</f>
        <v/>
      </c>
      <c r="G89" t="inlineStr">
        <is>
          <t>Remote, US</t>
        </is>
      </c>
      <c r="H89" s="3" t="n">
        <v>46027</v>
      </c>
      <c r="I89" t="inlineStr">
        <is>
          <t>*When applying for roles at Tealium, please use our official careers page or LinkedIn company profile. All other sites where Tealium careers may appear may not be legitimate.*
WHO WE ARE
Tealium is the trusted leader in real\-time Customer Data Platforms (CDP), helping organizations unify their customer data to deliver more personalized, privacy\-conscious experiences. As the demand for connected, intelligent customer engagement grows, Tealium’s leadership in CDP is translating directly into leadership in enabling enterprise AI strategies. By providing clean, consented, and actionable data, Tealium empowers its customers to accelerate the adoption of AI and machine learning, fueling smarter personalization, predictive insights, and business outcomes at scale.
More than 800 leading global brands trust Tealium to power their customer data strategies and deliver real\-time, personalized experiences at scale.
Team Tealium has team members present in nearly 20 countries worldwide, serving customers across more than 30 countries. We win together with respect and appreciation for the talents required of all positions and the people who contribute to each of these. We are intentional about our WOWs (Ways of Work) culture, our investment in our team members, and how we care and connect.
With an extraordinary portfolio of investors (including Georgian, Silver Lake Waterman, Battery, and others) and deep industry experience, Tealium has the financial backing, profitability, and expertise to continue to outpace competitors and lead the way in innovation. Today, Tealium holds over 50 patents, and a few of the recent industry recognitions include:* A Leader in the 2025 Gartner® Magic Quadrant™ for Customer Data Platforms
* 2025 TrustRadius Award Winner: Buyer’s Choice
* 2024 Invoca Partner Collaboration Award
* 2024 G2 Leader in Tag Management \&amp; Enterprise Data Governance
* Tealium Customer Data Hub achieved the Top Rated Award by TrustRadius (2024\)
* Named on Destination CRM’s 2024 Top 100 Technologies List for Sales
* Named on the 2024 Best and Brightest in the Nation list
* BuiltIn’s 2024 Best Place to Work
WHAT WE ARE LOOKING FOR  
We are seeking a talented Senior Software Engineer with deep expertise in API development, API management platforms (particularly Gravitee), and identity management protocols. This role requires a dynamic individual who can design and maintain robust API infrastructure while managing complex data transformation workflows.
YOUR DAY TO DAY
API Development \&amp; Management* Design, develop, and maintain scalable multi‑tenant, scalable RESTful and GraphQL APIs
* Implement and manage API gateway solutions using Gravitee API Management Platform, including policies, plugins, and multi‑environment configurations
* Develop API documentation, versioning strategies, and lifecycle management as part of a centralized API governance model (standards, review, and deprecation policies)
* Optimize API performance, rate limiting, and caching strategies
* Implement API security best practices including OAuth 2\.0, JWT, and API key management in collaboration with our security team
* Implement and manage SCIM (System for Cross\-domain Identity Management) protocols for user provisioning and identity synchronization across Tealium’s core platforms and strategic integrations
Backend Engineering* Build and maintain scalable backend systems supporting API infrastructure
* Integrate various services and third\-party APIs to enhance functionality
* Ensure backend infrastructure is optimized for performance, reliability, and scalability
* Implement security measures to protect data and applications
Data Engineering \&amp; ETL* Design, build, and maintain efficient ETL (Extract, Transform, Load) pipelines with privacy controls
* Develop data transformation logic to support business requirements and analytics
* Ensure data integrity, quality, and accessibility while maintaining privacy standards
* Develop and optimize database schemas with appropriate data masking and encryption
* Manage data warehousing solutions with privacy\-preserving techniques
* Implement data validation and quality checks throughout ETL processes
WHAT YOU BRING TO TEALIUM* Education: Bachelor's degree in Computer Science, Engineering, or related field.
* Experience:
	+ 5\+ years of experience in backend and API development
	+ 2\+ years of hands\-on experience with Gravitee API Management Platform (or similar platforms like Apigee, Kong)
	+ 2\+ years of experience designing and implementing ETL processes and data pipelines
	+ Experience with SCIM protocol for identity management and user provisioning
	+ Experience implementing authentication and authorization systems in production at scale (multi‑tenant, multi‑region preferred)
	+ Experience collaborating with multiple product/feature teams, setting technical standards, and guiding API design reviews.
	+ Experience with observability tooling (metrics, tracing, logging) as it applies to API platforms.
* Technical Skills:
	+ Expert in API design patterns, RESTful principles, and GraphQL
	+ Proficient in backend languages such as Java, Python, or Node.js
	+ Strong experience with Gravitee APIM (API design, policies, analytics, gateway management)
	+ Solid experience with ETL processes, data transformation, and pipeline orchestration
	+ Familiarity with SCIM 2\.0 protocol and identity provisioning workflows
	+ Experience with database technologies (SQL, NoSQL) and data encryption methods
	+ Proficiency with data pipeline tools (Apache Airflow, Kafka, or similar)
	+ Knowledge of authentication/authorization protocols (OAuth 2\.0, OIDC, SAML, SCIM)
* Tools \&amp; Platforms:
	+ Cloud platforms such as AWS, GCP, or Azure
	+ API management and gateway solutions (Gravitee required)
	+ ETL and data pipeline tools (Apache Airflow, Kafka, NiFi, Talend, or similar)
	+ Version control systems like Git
	+ CI/CD pipelines
	+ Identity management and SSO platforms
* Soft Skills:
	+ Strong problem\-solving abilities with a focus on root cause analysis and continuous improvement for platform reliability
	+ Excellent communication and teamwork skills
	+ Ability to work in a fast\-paced environment and manage multiple priorities
	+ Detail\-oriented with strong documentation skills
WAGE TRANSPARENCY
In many U.S. states, employers are required to include a pay range for posted positions. Although this isn't a requirement in every state, communicating transparently is a cornerstone of our operations at Tealium, and we believe in making this information available to all applicants.
The U.S. pay range for this full\-time position is listed below, however, base pay offered may vary depending on job\-related knowledge, skills, and experience. In addition to a competitive base salary, this position is eligible for a robust benefits package that includes the following:* Employees are eligible to receive an annual bonus and stock options.
* Employees and their families are eligible for medical, dental, vision, life, and disability insurance.
* Employees have the option to enroll in our 401k plan and are eligible to receive contributions for company matching.
* Employees are eligible for flexible paid time\-off and extended paid parental leave.
* We offer 11 paid holidays annually
* We offer 15 hours of paid work time for volunteer activities and programs.
* Our sick leave accrual is the following for our employees:
	+ Exempt CA employees (not including San Francisco) including NY : accrue 40 hours each year. Unused sick leave carries over into the next year. Employees cannot exceed 80 hours in a given year.
	+ Exempt Non \- CA employees (not including NY) including SF: Accrue 1 hour every 30 hours worked. Cannot exceed 180 hours in the calendar year.
	+ Non\-Exempt: accrue 1 hour every 30 hours worked. Unused carries over to the next year. Not to exceed 108 hours in a calendar year.
An overview of our benefits and perks can be found on our careers page, https://tealium.com/careers/. Additional details regarding the benefits package will be provided during your interview process.  
Compensation Range\- $140,000\- $185,000 Base \+ Variable \+ Equity
\#LI\-KK1
\#LI\-Remote
WHY YOU WANT TO WORK HERE
At Tealium, we don’t just offer the ordinary, we provide the extraordinary:* Tealium WOWs (Ways of Work), our award winning culture is how with think, act and connect together at Tealium
* Mosaic, our commitment to diversity, equity and inclusion is grounded in our mosaic of diverse perspectives and shared belonging as we live in work across the US and in nearly 20 countries
* Tealium Cares, to promote caring in our communities, 15 hours of paid work time for volunteer activities and programs is offered annually
* Tealium Connects (remote\-first working), enabling many of us to choose where we do our best work and offering new hire stipends to assist with purchasing things we need to support a successful home office environment
* Tealium Ownership, share in the success of Tealium by becoming an owner of Tealium beginning with new hire equity grants
* Tealium Time, paid time\-off policy to offer flexibility to take time when needed and robust leave programs, including extended paid parental leave and company holidays
* Healium, health and wellness programs to help us be our best selves in the experiences of health, physical, mental, social, and even financial well\-being and wellness
* Tealium LIFT (Learning is Facilitated at Tealium), offering a myriad of professional development opportunities with over 6,000 courses available on demand to best\-in\-class manager and leadership development programs
* Health and Related Benefits Programs, offering market competitive benefits programs
Collectively, we contribute our individual pieces (identity, experiences, heritage, backgrounds, religions, viewpoints, gender and more ) to form the mosaic of Team Tealium. It is our continuing philosophy to recruit and employ the best qualified individuals without regard to race, color, sex, religion, national origin, disability, age, sexual orientation, gender identity, and/or any other protected characteristic. Tealium does not tolerate unlawful discrimination of any kind and strives to be an inclusive and respectful workplace.
The highly relevant and differentiated positioning of Tealium’s solutions makes this a unique and rewarding career opportunity.* Offerings vary by level and location.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0"/>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li-4354684709</t>
        </is>
      </c>
      <c r="B2" t="inlineStr">
        <is>
          <t>Data Engineer (BI)</t>
        </is>
      </c>
      <c r="C2" t="inlineStr">
        <is>
          <t>Finubit</t>
        </is>
      </c>
      <c r="D2" t="inlineStr">
        <is>
          <t>linkedin</t>
        </is>
      </c>
      <c r="E2" t="inlineStr"/>
      <c r="F2" t="inlineStr"/>
      <c r="G2" t="inlineStr">
        <is>
          <t>Illinois, United States</t>
        </is>
      </c>
      <c r="H2" t="inlineStr"/>
      <c r="I2" t="inlineStr">
        <is>
          <t>Finubit is building the modern banking platform that empowers financial institutions to dramatically reduce time\-to\-market for new banking products.
 Our cloud\-first architecture meets the strictest regulatory requirements for security, auditing, and documentation demanded by the financial services industry.
 We combine engineering excellence with deep domain expertise to deliver solutions that are both innovative and compliant with banking
 regulations including SOC 2, PCI\-DSS, and local financial authority requirements.
 The Analytics Engineering team transforms raw banking data into trusted, analysis\-ready datasets.
 We build the data models and reporting infrastructure that power business intelligence across Finubit, enabling data\-driven decisions for product, operations, and
 compliance teams.
 As a Data Engineer (BI) You'll define the architecture for Finubit's data model and analytics layer, establishing patterns
 and practices that scale with business growth. You'll lead complex modeling initiatives, mentor team members, and drive the strategic direction of our analytics
 infrastructure.
 Responsibilities:
* Architect data models and schemas that support business intelligence at scale.
* Lead design and implementation of complex analytical data structures.
* Define standards and best practices for data modeling across the organization.
* Drive performance optimization for analytical queries and reporting workloads.
* Lead adoption of LLM\-powered development across the team, mentor engineers on effective usage, and develop enabling infrastructure.
* Mentor engineers and conduct technical reviews.
* Partner with leadership to translate business strategy into data architecture.
* Establish data quality and governance frameworks.
* Lead incident response and drive reliability improvements for BI systems.
* Evaluate and introduce new technologies and patterns.
 Requirements:
 Must have:
* Bachelor's degree in Computer Science, Data Sciences, Statistics, or related field, or equivalent experience.
* 5\+ years of experience in data engineering with focus on analytics/BI.
* Expert SQL skills with deep PostgreSQL expertise.
* Strong Python skills: advanced data manipulation, automation, testing.
* Track record of designing and implementing data models at scale.
* Demonstrated success integrating LLM\-powered tools into data engineering workflows.
* Performance optimization leadership.
* Experience establishing data quality and governance practices.
* Ability to translate business requirements into technical architecture.
* Experience mentoring engineers and leading technical initiatives.
 Nice to have:
* Experience architecting analytics platforms from scratch.
* Deep expertise in PostgreSQL internals and optimization.
* Track record of establishing data modeling standards across teams.
* Experience in fintech with understanding of compliance requirements.
* Contributions to analytics engineering community.</t>
        </is>
      </c>
    </row>
    <row r="3">
      <c r="A3" t="inlineStr">
        <is>
          <t>li-4351349257</t>
        </is>
      </c>
      <c r="B3" t="inlineStr">
        <is>
          <t>Data Engineer (All Levels)</t>
        </is>
      </c>
      <c r="C3" t="inlineStr">
        <is>
          <t>Silverthorne Advisory Group</t>
        </is>
      </c>
      <c r="D3" t="inlineStr">
        <is>
          <t>linkedin</t>
        </is>
      </c>
      <c r="E3" t="inlineStr"/>
      <c r="F3" t="inlineStr"/>
      <c r="G3" t="inlineStr">
        <is>
          <t>Arlington, VA</t>
        </is>
      </c>
      <c r="H3" t="inlineStr"/>
      <c r="I3" t="inlineStr">
        <is>
          <t>**Benefits:**
* Retirement Plan
* 401(k)
* 401(k) matching
* Bonus based on performance
* Company parties
* Competitive salary
* Dental insurance
* Health insurance
* Opportunity for advancement
* Paid time off
* Training \&amp; development
* Vision insurance
**Job Description**
 Silverthorne Advisory Group is seeking a skilled and highly motivated Data Engineer to join an
 exciting and growing opportunity within the Defense sector. As a Data Engineer, you will play a
 crucial role in designing, developing, and maintaining our Advana data infrastructure and
 systems. Your expertise in ETL, Databricks, Python, Spark, Scala, JavaScript/JSON, SQL, and
 Jupyter Notebooks will be essential in ensuring efficient data processing and analysis.
**Responsibilities**
* Design, develop, and implement end\-to\-end data pipelines, utilizing ETL processes and technologies such as Databricks, Python, Spark, Scala, JavaScript/JSON, SQL, and Jupyter Notebooks.
* Create and optimize data pipelines from scratch, ensuring scalability, reliability, and high\-performance processing.
* Perform data cleansing, data integration, and data quality assurance activities to maintain the accuracy and integrity of large datasets.
* Leverage big data technologies to efficiently process and analyze large datasets, particularly those encountered in a federal agency.
* Troubleshoot data\-related problems and provide innovative solutions to address complex data challenges.
* Implement and enforce data governance policies and procedures, ensuring compliance with regulatory requirements and industry best practices.
* Work closely with cross\-functional teams to understand data requirements and design optimal data models and architectures.
* Collaborate with data scientists, analysts, and stakeholders to provide timely and accurate data insights and support decision\-making processes.
* Maintain documentation for software applications, workflows, and processes.
* Stay updated with emerging trends and advancements in data engineering and recommend suitable tools and technologies for continuous improvement.
**Requirements**
* Secret clearance or higher required (can be sponsored).
* High level of proficiency in ETL processes and demonstrated, hands\-on experience with technologies such as Databricks, Python, Spark, Scala, JavaScript/JSON, SQL, and Jupyter Notebooks.
* Strong problem\-solving skills and ability to solve complex data\-related issues.
* Demonstrated experience working with large datasets and leveraging big data technologies to process and analyze data efficiently.
* Understanding of data modeling/visualization, database design principles, and data governance practices.
* Excellent communication and collaboration skills, with the ability to work effectively with cross\-functional teams.
* Detail\-oriented mindset with a commitment to delivering high\-quality results.
**Benefits**
* Compensation \- We carefully consider a wide range of compensation factors, including but not limited to prior experience, skills, expertise, location, and other considerations permitted by law.
* Healthcare \- We offer Health, Vision, and Dental Plans for our employees and their families.
* Retirement Plan – We invest in your future with a competitive 401(k) plan, where we match 100% of your contributions up to your first 6% and give you access to Vanguard Admiral funds.
* Paid Time Off \- Based on length of service, we offer a generous amount of paid leave.
* Bonus System – As you invest in us, we invest in you. We offer bonuses to all employees who meet and exceed goals throughout the year.
* Professional Development – Support for career growth through training programs and certifications.
* Company Retreats \&amp; Team Events – Sponsored trips, team\-building activities, and annual conferences related to your skillset.
 Flexible work from home options available.</t>
        </is>
      </c>
    </row>
    <row r="4">
      <c r="A4" t="inlineStr">
        <is>
          <t>li-4330405856</t>
        </is>
      </c>
      <c r="B4" t="inlineStr">
        <is>
          <t>Data Engineer</t>
        </is>
      </c>
      <c r="C4" t="inlineStr">
        <is>
          <t>Artisan</t>
        </is>
      </c>
      <c r="D4" t="inlineStr">
        <is>
          <t>linkedin</t>
        </is>
      </c>
      <c r="E4" t="inlineStr"/>
      <c r="F4" t="inlineStr"/>
      <c r="G4" t="inlineStr">
        <is>
          <t>New York, NY</t>
        </is>
      </c>
      <c r="H4" t="inlineStr"/>
      <c r="I4" t="inlineStr">
        <is>
          <t>**About Artisan**
 At Artisan, we’re building real AI employees \- not copilots, not assistants, but autonomous teammates.
 Our first, Ava, is an AI BDR. She finds and researches leads, writes emails in customers’ tone of voice, runs outbound sequences, self\-optimizes, and manages email deliverability infrastructure. She learns, adapts, and improves over time \- just like a human would.
 We went through Y Combinator (W24\) and have raised $35M\+ from top investors. We’re at $7M\+ ARR, with hundreds of customers including CookUnity, Quora, and SumUp.
 We’re currently working on Ava 2\.0, pushing the boundaries of what an AI employee can do. And we're hiring.
**Role Overview**
 You'll be the first Data Engineer on the Artisan team! We're managing a database of hundreds of millions of leads and creating real\-time intent signals which monitor data fields for those leads. You'll own everything data\-related at Artisan.
* Design, build, and maintain scalable data pipelines that process and transform large volumes of structured and unstructured data
* Manage ingestion from third\-party APIs, internal systems, and customer datasets
* Develop and maintain data models, data schemas, and storage systems optimized for ML and product performance
* Collaborate with ML engineers to prepare model\-ready datasets, embeddings, feature stores, and evaluation data
* Implement data quality monitoring, validation, and observability
* Work closely with product engineers to support new features that rely on complex data flows
* Optimize systems for performance, cost, and reliability
* Contribute to early architecture decisions, infrastructure design, and best practices for data governance
* Build tooling that enables the entire team to access clean, well\-structured data
**Location:** 
 San Francisco, New York, or Remote USA
**Team:** 
 Engineering
**Reports to:** 
 CPTO, Sam Stallings
**Who You Are**
* 3\+ years of experience as a Data Engineer
* Proficiency in Python, SQL, and modern data tooling (dbt, Airflow, Dagster, or similar)
* Comfort working in fast, ambiguous environments
* Experience designing and operating ETL/ELT pipelines in production
* Experience with cloud platforms (AWS, GCP, or Azure)
* Familiarity with data lakes, warehouses, and vector databases
* Experience integrating APIs and working with semi\-structured data (JSON, logs, event streams)
* Strong understanding of data modeling and optimization
* Bonus: experience supporting LLMs, embeddings, or ML training pipelines
* Bonus: startup experience
**Interview process**
* Introductory chat with our recruiter
* 45\-minute technical interview with an engineer
* Second 45\-minute technical interview with an engineer
* 30\-minute interview with Sam, our CPTO
* 30\-minute culture and values interview with Jaspar, our CEO
**Our culture and values**
* Founder mindset. Everyone acts like an owner: take initiative, think big, challenge ideas, and push for 10× outcomes
* Obsessed with impact. We apply the 80/20 rule, kill sunk costs quickly, and focus on what actually moves the needle
* Customer\-first, always. Every decision is made with the customer experience at the center
* High standards, every detail. Quality matters in everything we ship, from product and code to copy and design
* Clear, direct communication. We value candor, fast responses, and feedback
* Winning team energy. We bring positive vibes, low ego, zero drama, and genuinely enjoy building together</t>
        </is>
      </c>
    </row>
    <row r="5">
      <c r="A5" t="inlineStr">
        <is>
          <t>li-4330525771</t>
        </is>
      </c>
      <c r="B5" t="inlineStr">
        <is>
          <t>Data Engineer</t>
        </is>
      </c>
      <c r="C5" t="inlineStr">
        <is>
          <t>Artisan</t>
        </is>
      </c>
      <c r="D5" t="inlineStr">
        <is>
          <t>linkedin</t>
        </is>
      </c>
      <c r="E5" t="inlineStr"/>
      <c r="F5" t="inlineStr"/>
      <c r="G5" t="inlineStr">
        <is>
          <t>San Francisco, CA</t>
        </is>
      </c>
      <c r="H5" t="inlineStr"/>
      <c r="I5" t="inlineStr">
        <is>
          <t>**About Artisan**
 At Artisan, we’re building real AI employees \- not copilots, not assistants, but autonomous teammates.
 Our first, Ava, is an AI BDR. She finds and researches leads, writes emails in customers’ tone of voice, runs outbound sequences, self\-optimizes, and manages email deliverability infrastructure. She learns, adapts, and improves over time \- just like a human would.
 We went through Y Combinator (W24\) and have raised $35M\+ from top investors. We’re at $7M\+ ARR, with hundreds of customers including CookUnity, Quora, and SumUp.
 We’re currently working on Ava 2\.0, pushing the boundaries of what an AI employee can do. And we're hiring.
**Role Overview**
 You'll be the first Data Engineer on the Artisan team! We're managing a database of hundreds of millions of leads and creating real\-time intent signals which monitor data fields for those leads. You'll own everything data\-related at Artisan.
* Design, build, and maintain scalable data pipelines that process and transform large volumes of structured and unstructured data
* Manage ingestion from third\-party APIs, internal systems, and customer datasets
* Develop and maintain data models, data schemas, and storage systems optimized for ML and product performance
* Collaborate with ML engineers to prepare model\-ready datasets, embeddings, feature stores, and evaluation data
* Implement data quality monitoring, validation, and observability
* Work closely with product engineers to support new features that rely on complex data flows
* Optimize systems for performance, cost, and reliability
* Contribute to early architecture decisions, infrastructure design, and best practices for data governance
* Build tooling that enables the entire team to access clean, well\-structured data
**Location:** 
 San Francisco, New York, or Remote USA
**Team:** 
 Engineering
**Reports to:** 
 CPTO, Sam Stallings
**Who You Are**
* 3\+ years of experience as a Data Engineer
* Proficiency in Python, SQL, and modern data tooling (dbt, Airflow, Dagster, or similar)
* Comfort working in fast, ambiguous environments
* Experience designing and operating ETL/ELT pipelines in production
* Experience with cloud platforms (AWS, GCP, or Azure)
* Familiarity with data lakes, warehouses, and vector databases
* Experience integrating APIs and working with semi\-structured data (JSON, logs, event streams)
* Strong understanding of data modeling and optimization
* Bonus: experience supporting LLMs, embeddings, or ML training pipelines
* Bonus: startup experience
**Interview process**
* Introductory chat with our recruiter
* 45\-minute technical interview with an engineer
* Second 45\-minute technical interview with an engineer
* 30\-minute interview with Sam, our CPTO
* 30\-minute culture and values interview with Jaspar, our CEO
**Our culture and values**
* Founder mindset. Everyone acts like an owner: take initiative, think big, challenge ideas, and push for 10× outcomes
* Obsessed with impact. We apply the 80/20 rule, kill sunk costs quickly, and focus on what actually moves the needle
* Customer\-first, always. Every decision is made with the customer experience at the center
* High standards, every detail. Quality matters in everything we ship, from product and code to copy and design
* Clear, direct communication. We value candor, fast responses, and feedback
* Winning team energy. We bring positive vibes, low ego, zero drama, and genuinely enjoy building together</t>
        </is>
      </c>
    </row>
    <row r="6">
      <c r="A6" t="inlineStr">
        <is>
          <t>li-4333762331</t>
        </is>
      </c>
      <c r="B6" t="inlineStr">
        <is>
          <t>Analytics Engineer II</t>
        </is>
      </c>
      <c r="C6" t="inlineStr">
        <is>
          <t>StubHub</t>
        </is>
      </c>
      <c r="D6" t="inlineStr">
        <is>
          <t>linkedin</t>
        </is>
      </c>
      <c r="E6" t="inlineStr"/>
      <c r="F6" t="inlineStr"/>
      <c r="G6" t="inlineStr">
        <is>
          <t>Los Angeles, CA</t>
        </is>
      </c>
      <c r="H6" t="inlineStr"/>
      <c r="I6" t="inlineStr">
        <is>
          <t>StubHub is on a mission to redefine the live event experience on a global scale. Whether someone is looking to attend their first event or their hundredth, we’re here to delight them all the way from the moment they start looking for a ticket until they step through the gate. The same goes for our sellers. From fans selling a single ticket to the promoters of a worldwide stadium tour, we want StubHub to be the safest, most convenient way to offer a ticket to the millions of fans who browse our platform around the world.
 We are seeking talented
 **Analytics Engineer** 
 from mid to senior levels to join StubHub’s Data Engineering \&amp; Analytics organization. In this role you will be responsible for scaling both analytic products (data assets, dashboards, tools/services) and analytic frameworks (decision frameworks, metrics, analytical models). You will be a “force multiplier” who significantly improves and speeds up StubHub’s ability to make great data\-informed decisions.
****Location: Hybrid (3 days in office/2 days remote) – New York, NY or Santa Monica, CA****
**About The Team**
 The Analytics Engineering team exists to enable robust data\-informed decision making that steers our business growth goals, through the creation of high\-quality data products and scaled insights. Analytics Engineering helps solve the scale problems and common data access patterns encountered by analysts, data scientists, and other business data consumers. All data modules and tools owned by AE are then leveraged not only by members of that business domain, but also data consumers from across the company. We are looking for the right person who can operate and translate across all parts of the business.
**What You'll Do**
* Manage cross\-functional analytical data models, metric frameworks and implementations, and self\-serve dashboards/tools
* Specialize in one or more business domains, building deep expertise and anticipating the needs of that business vertical
* Collaborate cross functionally with business and product teams while simultaneously "speaking the language” of engineering teams, oftentimes acting as proxy for one or the other
**What You've Done**
* 3\-5 years of relevant analytics engineering, data engineering, or business intelligence experience in a fast paced, high growth environment
* Proficiency with transforming and analyzing large scale data with modern cloud computing platforms (e.g. SparkSQL, BigQuery, Snowflake, Databricks)
* High proficiency with SQL and experience with one or more programming languages (e.g. Python, Java) and markup/configuration languages (e.g. YAML)
* Proficiency in building data models and pipelines using orchestration software (e.g. Airflow, dbt)
* Experience building reports/dashboards with business intelligence (BI) tools, such as Tableau and Looker
* Exposure to both batch data processing and real\-time streaming technologies
* Familiarity with data cataloging and metadata management tools
* Passionate about working with non\-technical stakeholders to understand, anticipate, and deliver on their data needs
**What We Offer**
* Accelerated Growth Environment: An environment designed for swift skill and knowledge enhancement, where you have the autonomy to lead experiments and tests on a massive scale.
* Top Tier Compensation Package: Competitive base, equity, and upside that tracks with your impact.
* Flexible Time Off: Enjoy unlimited Flex Time Off, giving you the flexibility to manage your schedule and take time to recharge as needed.
* Comprehensive Benefits Package: Prioritize your well\-being with a comprehensive benefits package, featuring 401k, and premium Health, Vision, and Dental Insurance options.
 The anticipated gross base pay range is below for this role. Actual compensation will vary depending on factors such as a candidate’s qualifications, skills, experience, and competencies. Base annual salary is one component of StubHub’s total compensation and competitive benefits package, which includes equity, 401(k), paid time off, paid parental leave, and comprehensive health benefits.
 Salary Range
 $150,000—$200,000 USD
**About Us**
 StubHub is the world’s leading marketplace to buy and sell tickets to any live event, anywhere. Through StubHub in North America and viagogo, our international platform, we service customers in 195 countries in 33 languages and 49 available currencies. With more than 300 million tickets available annually on our platform to events around the world \-\- from sports to music, comedy to dance, festivals to theater \-\- StubHub offers the safest, most convenient way to buy or sell tickets to the most memorable live experiences. Come join our team for a front\-row seat to the action.
 For California Residents: California Job Applicant Privacy Notice found here
**We are an equal opportunity employer and value diversity on our team. We do not discriminate on the basis of race, color, religion, sex, national origin, gender, sexual orientation, age, disability, veteran status, or any other legally protected status.**</t>
        </is>
      </c>
    </row>
    <row r="7">
      <c r="A7" t="inlineStr">
        <is>
          <t>li-4306624785</t>
        </is>
      </c>
      <c r="B7" t="inlineStr">
        <is>
          <t>Sr. Data Engineer - High-Growth Tech Startup</t>
        </is>
      </c>
      <c r="C7" t="inlineStr">
        <is>
          <t>Andiamo</t>
        </is>
      </c>
      <c r="D7" t="inlineStr">
        <is>
          <t>linkedin</t>
        </is>
      </c>
      <c r="E7" t="inlineStr"/>
      <c r="F7" t="inlineStr"/>
      <c r="G7" t="inlineStr">
        <is>
          <t>San Francisco, CA</t>
        </is>
      </c>
      <c r="H7" t="inlineStr"/>
      <c r="I7" t="inlineStr">
        <is>
          <t>Senior Data Engineer – High\-Growth Tech Startup
**About The Role**
 We are looking for a
 **Senior Data Engineer** 
 to help build the next generation of data infrastructure at a $100M\+ tech startup in the data management space. You will play a critical role in designing, building, and scaling systems that enable customers to manage, govern, and extract value from their data in real time.
 This role is hands\-on and high\-impact: you will work closely with product managers, platform engineers, and data scientists to architect modern data pipelines and services. You will help shape the company’s data platform strategy, ensuring reliability, scalability, and performance as we grow rapidly and expand into new markets.
 What You’ll Do
* Design \&amp; Build Pipelines: Develop scalable ETL/ELT pipelines and streaming workflows that power data\-driven products and analytics.
* Architect Data Systems: Build and optimize data lakes, warehouses, and real\-time streaming infrastructure.
* Enable Analytics: Partner with data scientists and analysts to ensure high\-quality, well\-structured, and discoverable datasets.
* Ensure Reliability: Implement best practices for testing, monitoring, and observability across all data systems.
* Optimize Performance: Tune data infrastructure for speed, scale, and cost efficiency in cloud environments.
* Collaborate Cross\-Functionally: Work with product and engineering teams to deliver data solutions that meet business and customer needs.
* Mentor \&amp; Elevate: Provide technical guidance to junior engineers and help shape engineering culture in a fast\-growing startup.
 What We’re Looking For
* Professional Experience: 5–8 years of data engineering experience, ideally in a high\-growth or startup environment.
* Programming Skills: Strong proficiency in Python or Scala, with solid knowledge of SQL.
* Data Platforms: Hands\-on experience with modern data warehouses (Snowflake, BigQuery, Redshift) and data lake technologies.
* Streaming \&amp; Orchestration: Familiarity with Kafka, Spark, Flink, Airflow, dbt, or similar frameworks.
* Cloud Expertise: Strong experience with cloud\-native data services on AWS, GCP, or Azure.
* Data Modeling: Understanding of data modeling, governance, and performance optimization for large\-scale systems.
* Startup Mindset: Comfort working in a fast\-paced environment with shifting priorities and a strong sense of ownership.
* Education: Bachelor’s or Master’s in Computer Science, Engineering, or a related field.
 Why Join
 This is a rare chance to be part of a high\-growth startup at a pivotal stage. As a Senior Data Engineer, you will shape the foundation of our data platform, work with cutting\-edge technologies, and have a direct impact on products used by global customers. You’ll join a passionate, fast\-moving team where your ideas are valued, your work is visible, and your growth is unlimited.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8">
      <c r="A8" t="inlineStr">
        <is>
          <t>li-4306622874</t>
        </is>
      </c>
      <c r="B8" t="inlineStr">
        <is>
          <t>Sr. Data Engineer - High-Growth Tech Startup</t>
        </is>
      </c>
      <c r="C8" t="inlineStr">
        <is>
          <t>Andiamo</t>
        </is>
      </c>
      <c r="D8" t="inlineStr">
        <is>
          <t>linkedin</t>
        </is>
      </c>
      <c r="E8" t="inlineStr"/>
      <c r="F8" t="inlineStr"/>
      <c r="G8" t="inlineStr">
        <is>
          <t>New York, NY</t>
        </is>
      </c>
      <c r="H8" t="inlineStr"/>
      <c r="I8" t="inlineStr">
        <is>
          <t>Senior Data Engineer – High\-Growth Tech Startup
**About The Role**
 We are looking for a
 **Senior Data Engineer** 
 to help build the next generation of data infrastructure at a $100M\+ tech startup in the data management space. You will play a critical role in designing, building, and scaling systems that enable customers to manage, govern, and extract value from their data in real time.
 This role is hands\-on and high\-impact: you will work closely with product managers, platform engineers, and data scientists to architect modern data pipelines and services. You will help shape the company’s data platform strategy, ensuring reliability, scalability, and performance as we grow rapidly and expand into new markets.
 What You’ll Do
* Design \&amp; Build Pipelines: Develop scalable ETL/ELT pipelines and streaming workflows that power data\-driven products and analytics.
* Architect Data Systems: Build and optimize data lakes, warehouses, and real\-time streaming infrastructure.
* Enable Analytics: Partner with data scientists and analysts to ensure high\-quality, well\-structured, and discoverable datasets.
* Ensure Reliability: Implement best practices for testing, monitoring, and observability across all data systems.
* Optimize Performance: Tune data infrastructure for speed, scale, and cost efficiency in cloud environments.
* Collaborate Cross\-Functionally: Work with product and engineering teams to deliver data solutions that meet business and customer needs.
* Mentor \&amp; Elevate: Provide technical guidance to junior engineers and help shape engineering culture in a fast\-growing startup.
 What We’re Looking For
* Professional Experience: 5–8 years of data engineering experience, ideally in a high\-growth or startup environment.
* Programming Skills: Strong proficiency in Python or Scala, with solid knowledge of SQL.
* Data Platforms: Hands\-on experience with modern data warehouses (Snowflake, BigQuery, Redshift) and data lake technologies.
* Streaming \&amp; Orchestration: Familiarity with Kafka, Spark, Flink, Airflow, dbt, or similar frameworks.
* Cloud Expertise: Strong experience with cloud\-native data services on AWS, GCP, or Azure.
* Data Modeling: Understanding of data modeling, governance, and performance optimization for large\-scale systems.
* Startup Mindset: Comfort working in a fast\-paced environment with shifting priorities and a strong sense of ownership.
* Education: Bachelor’s or Master’s in Computer Science, Engineering, or a related field.
 Why Join
 This is a rare chance to be part of a high\-growth startup at a pivotal stage. As a Senior Data Engineer, you will shape the foundation of our data platform, work with cutting\-edge technologies, and have a direct impact on products used by global customers. You’ll join a passionate, fast\-moving team where your ideas are valued, your work is visible, and your growth is unlimited.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9">
      <c r="A9" t="inlineStr">
        <is>
          <t>li-4306618894</t>
        </is>
      </c>
      <c r="B9" t="inlineStr">
        <is>
          <t>Sr. Data Engineer - High-Growth Tech Startup</t>
        </is>
      </c>
      <c r="C9" t="inlineStr">
        <is>
          <t>Andiamo</t>
        </is>
      </c>
      <c r="D9" t="inlineStr">
        <is>
          <t>linkedin</t>
        </is>
      </c>
      <c r="E9" t="inlineStr"/>
      <c r="F9" t="inlineStr"/>
      <c r="G9" t="inlineStr">
        <is>
          <t>Boston, MA</t>
        </is>
      </c>
      <c r="H9" t="inlineStr"/>
      <c r="I9" t="inlineStr">
        <is>
          <t>Senior Data Engineer – High\-Growth Tech Startup
**About The Role**
 We are looking for a
 **Senior Data Engineer** 
 to help build the next generation of data infrastructure at a $100M\+ tech startup in the data management space. You will play a critical role in designing, building, and scaling systems that enable customers to manage, govern, and extract value from their data in real time.
 This role is hands\-on and high\-impact: you will work closely with product managers, platform engineers, and data scientists to architect modern data pipelines and services. You will help shape the company’s data platform strategy, ensuring reliability, scalability, and performance as we grow rapidly and expand into new markets.
 What You’ll Do
* Design \&amp; Build Pipelines: Develop scalable ETL/ELT pipelines and streaming workflows that power data\-driven products and analytics.
* Architect Data Systems: Build and optimize data lakes, warehouses, and real\-time streaming infrastructure.
* Enable Analytics: Partner with data scientists and analysts to ensure high\-quality, well\-structured, and discoverable datasets.
* Ensure Reliability: Implement best practices for testing, monitoring, and observability across all data systems.
* Optimize Performance: Tune data infrastructure for speed, scale, and cost efficiency in cloud environments.
* Collaborate Cross\-Functionally: Work with product and engineering teams to deliver data solutions that meet business and customer needs.
* Mentor \&amp; Elevate: Provide technical guidance to junior engineers and help shape engineering culture in a fast\-growing startup.
 What We’re Looking For
* Professional Experience: 5–8 years of data engineering experience, ideally in a high\-growth or startup environment.
* Programming Skills: Strong proficiency in Python or Scala, with solid knowledge of SQL.
* Data Platforms: Hands\-on experience with modern data warehouses (Snowflake, BigQuery, Redshift) and data lake technologies.
* Streaming \&amp; Orchestration: Familiarity with Kafka, Spark, Flink, Airflow, dbt, or similar frameworks.
* Cloud Expertise: Strong experience with cloud\-native data services on AWS, GCP, or Azure.
* Data Modeling: Understanding of data modeling, governance, and performance optimization for large\-scale systems.
* Startup Mindset: Comfort working in a fast\-paced environment with shifting priorities and a strong sense of ownership.
* Education: Bachelor’s or Master’s in Computer Science, Engineering, or a related field.
 Why Join
 This is a rare chance to be part of a high\-growth startup at a pivotal stage. As a Senior Data Engineer, you will shape the foundation of our data platform, work with cutting\-edge technologies, and have a direct impact on products used by global customers. You’ll join a passionate, fast\-moving team where your ideas are valued, your work is visible, and your growth is unlimited.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10">
      <c r="A10" t="inlineStr">
        <is>
          <t>li-4306621849</t>
        </is>
      </c>
      <c r="B10" t="inlineStr">
        <is>
          <t>Sr. Data Engineer - High-Growth Tech Startup</t>
        </is>
      </c>
      <c r="C10" t="inlineStr">
        <is>
          <t>Andiamo</t>
        </is>
      </c>
      <c r="D10" t="inlineStr">
        <is>
          <t>linkedin</t>
        </is>
      </c>
      <c r="E10" t="inlineStr"/>
      <c r="F10" t="inlineStr"/>
      <c r="G10" t="inlineStr">
        <is>
          <t>Seattle, WA</t>
        </is>
      </c>
      <c r="H10" t="inlineStr"/>
      <c r="I10" t="inlineStr">
        <is>
          <t>Senior Data Engineer – High\-Growth Tech Startup
**About The Role**
 We are looking for a
 **Senior Data Engineer** 
 to help build the next generation of data infrastructure at a $100M\+ tech startup in the data management space. You will play a critical role in designing, building, and scaling systems that enable customers to manage, govern, and extract value from their data in real time.
 This role is hands\-on and high\-impact: you will work closely with product managers, platform engineers, and data scientists to architect modern data pipelines and services. You will help shape the company’s data platform strategy, ensuring reliability, scalability, and performance as we grow rapidly and expand into new markets.
 What You’ll Do
* Design \&amp; Build Pipelines: Develop scalable ETL/ELT pipelines and streaming workflows that power data\-driven products and analytics.
* Architect Data Systems: Build and optimize data lakes, warehouses, and real\-time streaming infrastructure.
* Enable Analytics: Partner with data scientists and analysts to ensure high\-quality, well\-structured, and discoverable datasets.
* Ensure Reliability: Implement best practices for testing, monitoring, and observability across all data systems.
* Optimize Performance: Tune data infrastructure for speed, scale, and cost efficiency in cloud environments.
* Collaborate Cross\-Functionally: Work with product and engineering teams to deliver data solutions that meet business and customer needs.
* Mentor \&amp; Elevate: Provide technical guidance to junior engineers and help shape engineering culture in a fast\-growing startup.
 What We’re Looking For
* Professional Experience: 5–8 years of data engineering experience, ideally in a high\-growth or startup environment.
* Programming Skills: Strong proficiency in Python or Scala, with solid knowledge of SQL.
* Data Platforms: Hands\-on experience with modern data warehouses (Snowflake, BigQuery, Redshift) and data lake technologies.
* Streaming \&amp; Orchestration: Familiarity with Kafka, Spark, Flink, Airflow, dbt, or similar frameworks.
* Cloud Expertise: Strong experience with cloud\-native data services on AWS, GCP, or Azure.
* Data Modeling: Understanding of data modeling, governance, and performance optimization for large\-scale systems.
* Startup Mindset: Comfort working in a fast\-paced environment with shifting priorities and a strong sense of ownership.
* Education: Bachelor’s or Master’s in Computer Science, Engineering, or a related field.
 Why Join
 This is a rare chance to be part of a high\-growth startup at a pivotal stage. As a Senior Data Engineer, you will shape the foundation of our data platform, work with cutting\-edge technologies, and have a direct impact on products used by global customers. You’ll join a passionate, fast\-moving team where your ideas are valued, your work is visible, and your growth is unlimited.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11">
      <c r="A11" t="inlineStr">
        <is>
          <t>li-4358212370</t>
        </is>
      </c>
      <c r="B11" t="inlineStr">
        <is>
          <t>Data Engineer</t>
        </is>
      </c>
      <c r="C11" t="inlineStr">
        <is>
          <t>Calyptus</t>
        </is>
      </c>
      <c r="D11" t="inlineStr">
        <is>
          <t>linkedin</t>
        </is>
      </c>
      <c r="E11" t="inlineStr"/>
      <c r="F11" t="inlineStr"/>
      <c r="G11" t="inlineStr">
        <is>
          <t>New York, United States</t>
        </is>
      </c>
      <c r="H11" t="inlineStr"/>
      <c r="I11" t="inlineStr">
        <is>
          <t>**Want to put your job search on autopilot? Join our platform, complete a 6\-minute AI screening interview, and get auto\-applied to 100s of high\-paying roles.** 
**Sign up now at https://app.calyptus.co/auth/candidate/sign\-up and let the opportunities come to you.** 
 \_\_\_\_\_\_\_\_\_\_\_\_\_\_\_\_\_\_\_\_\_\_\_\_\_\_\_\_\_\_\_\_\_\_\_\_\_\_\_\_\_\_\_\_\_\_\_\_\_\_\_\_\_\_\_\_\_\_\_\_
**Responsibilities** 
* Build reliable pipelines to ingest on\-chain data into ClickHouse (or similar OLAP systems)
* Interact with Solana full nodes or RPC infrastructure to extract raw blockchain data
* Design and maintain dashboards to visualize key metrics
* Maintain data accuracy, uptime, and performance of analytics services
* Extract and process validator performance metrics and staking rewards data
**Requirements** 
* Deep familiarity with ClickHouse, Grafana, or equivalent data/visualization stacks
* 3\+ years of experience with Python and shell scripting
* 2\+ years of experience with Rust
* Experience with blockchain indexers or off\-chain data APIs
* Bonus: Understanding of Solana's account model, transaction structure, and program architecture
 \_\_\_\_\_\_\_\_\_\_\_\_\_\_\_\_\_\_\_\_\_\_\_\_\_\_\_\_\_\_\_\_\_\_\_\_\_\_\_\_\_\_\_\_\_\_\_\_\_\_\_\_\_\_\_\_\_\_\_\_
**Want to put your job search on autopilot? Join our platform, complete a 6\-minute AI screening interview, and get auto\-applied to 100s of high\-paying roles.** 
**Sign up now at https://app.calyptus.co/auth/candidate/sign\-up and let the opportunities come to you.**</t>
        </is>
      </c>
    </row>
    <row r="12">
      <c r="A12" t="inlineStr">
        <is>
          <t>li-4358341698</t>
        </is>
      </c>
      <c r="B12" t="inlineStr">
        <is>
          <t>Analytics Engineer</t>
        </is>
      </c>
      <c r="C12" t="inlineStr">
        <is>
          <t>James Search Group</t>
        </is>
      </c>
      <c r="D12" t="inlineStr">
        <is>
          <t>linkedin</t>
        </is>
      </c>
      <c r="E12" t="inlineStr"/>
      <c r="F12" t="inlineStr"/>
      <c r="G12" t="inlineStr"/>
      <c r="H12" t="inlineStr"/>
      <c r="I12" t="inlineStr">
        <is>
          <t>Analytics Engineer I / II (Remote\-First)
**James Search Group** 
 is partnering with a high\-growth, data\-driven
 **Property \&amp; Casualty Insurance carrier** 
 to hire an
 **Analytics Engineer I / II** 
 to support their expanding analytics enablement function.
 This role is
 **remote\-first** 
 , with the option to work hybrid or on\-site from any of
 **12 U.S. office locations** 
 .
**Compensation:** 
**$100,000–$120,000 base** 
 \+ bonus \+ 401(k) match \+ health benefits \+ additional perks
 About the Role
 As an Analytics Engineer I / II, you’ll play a hands\-on role in building, modeling, and maintaining high\-quality analytics\-ready data assets. Working closely with senior analytics engineers and analysts, you’ll help transform curated data into reliable models that power reporting, dashboards, and decision\-making across the business.
 This role is ideal for someone early in their analytics engineering career who has strong SQL fundamentals, growing dbt experience, and a desire to learn best practices for building scalable, production\-grade data models in a modern cloud environment.
 What You’ll Do
* Build and maintain analytics\-ready data models using
 **dbt**
* Develop well\-documented, reusable datasets to support reporting and insights
* Partner with analytics engineering and data teams to align with existing data layers
* Write clean, efficient SQL to transform and validate data
* Implement dbt tests to ensure data accuracy and reliability
* Support business teams including
 **Underwriting, Claims, Finance, and Product**
* Contribute to version\-controlled analytics workflows using Git
 What We’re Looking For
* **1–4 years** 
 of experience in data analytics or analytics engineering
* Strong SQL skills and hands\-on experience with
 **dbt**
* Exposure to
 **Databricks** 
 or similar cloud data platforms
* Familiarity with modern data modeling concepts and analytics workflows
* Experience working in collaborative, Git\-based environments
* Curiosity, attention to detail, and eagerness to learn and grow
 Nice to Have
* Experience supporting insurance or financial services analytics
* Familiarity with medallion architecture concepts
* Exposure to BI or analytics tools (e.g., dashboards, notebooks)
* Interest in improving data quality, documentation, and usability
 Interested in Applying? If you’re looking to grow your analytics engineering skills while contributing to meaningful, business\-critical data products, we’d love to connect.
**Apply directly or reach out to the James Search Group team** 
 to learn more about this opportunity.</t>
        </is>
      </c>
    </row>
    <row r="13">
      <c r="A13" t="inlineStr">
        <is>
          <t>li-4354609972</t>
        </is>
      </c>
      <c r="B13" t="inlineStr">
        <is>
          <t>Data Engineer</t>
        </is>
      </c>
      <c r="C13" t="inlineStr">
        <is>
          <t>First Citizens Bank</t>
        </is>
      </c>
      <c r="D13" t="inlineStr">
        <is>
          <t>linkedin</t>
        </is>
      </c>
      <c r="E13" t="inlineStr"/>
      <c r="F13" t="inlineStr"/>
      <c r="G13" t="inlineStr"/>
      <c r="H13" t="inlineStr"/>
      <c r="I13" t="inlineStr">
        <is>
          <t>**About The Company**
 First Citizens Bank is a reputable financial institution committed to delivering exceptional banking services to its clients. With a focus on innovation and operational excellence, the company leverages cutting\-edge technology to enhance its data infrastructure, ensuring compliance, security, and efficiency. As a forward\-thinking organization, First Citizens Bank fosters a collaborative environment that encourages continuous learning and professional growth. The company's dedication to integrity, customer satisfaction, and technological advancement makes it an ideal place for data professionals seeking to make a significant impact in the financial sector.
**About The Role**
 We are seeking a highly skilled Data Engineer to join our remote team, with the possibility of employment only in North Carolina, Texas, or Arizona. The ideal candidate will be responsible for designing, building, and maintaining secure, scalable, and compliant data pipelines on the Snowflake platform. This role involves working closely with cross\-functional teams to develop data ingestion frameworks, data models, and orchestration workflows that support business intelligence and analytics initiatives. The candidate will utilize a variety of tools including Qlik, Glue, ETLs, dbt Cloud, MWAA/Airflow, and Terraform to deliver robust data solutions. A strong understanding of Snowflake’s architecture, security, and governance practices is essential to meet regulatory and audit requirements while enabling efficient data operations.
**Qualifications**
* Bachelor's Degree in Computer Science, Data Engineering, or related field with a minimum of 6 years of experience in data engineering, enterprise architecture, or project leadership.
* Or High School Diploma or GED with at least 10 years of relevant experience in advanced data engineering roles.
* Hands\-on experience with Snowflake platform, including account setup, security, data protection, and workload management.
* Proficiency in dbt Cloud for data modeling, testing, and documentation, with experience in dimensional and Data Vault 2\.0 modeling.
* Strong knowledge of orchestration tools such as Airflow (MWAA) and dbt Cloud for scheduling and workflow management.
* Experience with infrastructure\-as\-code using Terraform and familiarity with CI/CD pipelines.
* Ability to implement and enforce data security policies, including RBAC, ABAC, masking, and row\-level security.
* Knowledge of data quality frameworks, observability practices, and monitoring using tools like Snowflake ACCOUNT\_USAGE, Splunk, or Datadog.
* Understanding of cloud services, especially AWS, including S3, IAM, and networking concepts like VPC and PrivateLink.
* Proficiency in SQL, Python, and basic cloud infrastructure management.
**Responsibilities**
* Design and implement scalable data ingestion frameworks to support various data sources and formats.
* Develop and maintain Raw DV 2\.0 data models, including Hubs, Links, and Satellites, with robust testing and validation in dbt Cloud.
* Create performant Snowflake objects such as tables, streams, tasks, and materialized views, optimizing for performance and cost\-efficiency.
* Build and manage orchestration workflows using Airflow (MWAA) and dbt Cloud, ensuring reliable, rerunnable, and lineage\-tracked processes.
* Enforce data security and governance policies including role\-based access control, network security, data masking, and classification.
* Operationalize audit\-ready controls, change management procedures, and evidence capture to meet compliance standards.
* Implement infrastructure\-as\-code using Terraform, manage code promotion through CI/CD pipelines, and maintain version control.
* Integrate data quality checks, contract tests, anomaly detection, and lineage visibility into workflows and dashboards.
* Monitor system performance, optimize resource utilization, and implement cost\-saving measures such as warehouse right\-sizing and resource monitoring.
* Build and maintain controls and documentation to support internal audits and regulatory compliance, including SOX, GLBA, PCI, and others.
* Collaborate with cross\-functional teams to deliver scalable, secure, and compliant data solutions that support business objectives.
**Benefits**
* Competitive salary and comprehensive health benefits.
* 401(k) retirement plan with company match.
* Paid time off and holidays.
* Professional development opportunities and ongoing training.
* Remote work flexibility within designated states.
* Wellness programs and employee assistance resources.
* Inclusive and collaborative work environment.
 Equal Opportunity
 First Citizens Bank is an equal opportunity employer. We celebrate diversity and are committed to creating an inclusive environment for all employees. All qualified applicants will receive consideration for employment without regard to race, color, religion, sex, national origin, age, disability, or any other protected status in accordance with applicable laws and regulations.</t>
        </is>
      </c>
    </row>
    <row r="14">
      <c r="A14" t="inlineStr">
        <is>
          <t>li-4330395929</t>
        </is>
      </c>
      <c r="B14" t="inlineStr">
        <is>
          <t>Data Engineer</t>
        </is>
      </c>
      <c r="C14" t="inlineStr">
        <is>
          <t>AARATECH</t>
        </is>
      </c>
      <c r="D14" t="inlineStr">
        <is>
          <t>linkedin</t>
        </is>
      </c>
      <c r="E14" t="inlineStr"/>
      <c r="F14" t="inlineStr"/>
      <c r="G14" t="inlineStr"/>
      <c r="H14" t="inlineStr"/>
      <c r="I14" t="inlineStr">
        <is>
          <t>Job Title: Data Engineer – Cloud \&amp; Big Data
 🏢 Company: Aaratech Inc
 🛑 Eligibility: Only U.S. Citizens and Green Card holders are eligible.
 Please note that we do not offer visa sponsorship.
 Job Summary:
 Aaratech Inc. is seeking an experienced
 **Data Engineer – Cloud \&amp; Big Data** 
 to design and manage large\-scale data platforms. This role focuses on cloud\-based data engineering solutions that support advanced analytics and business intelligence.
 Key Responsibilities:
 🔹 Big Data \&amp; Cloud Engineering
 Design and maintain cloud\-based data pipelines and architectures.
 Work with large\-scale datasets and distributed systems.
 🔹 Data Platform Management
 Build and optimize data lakes and data warehouses.
 Ensure scalability and reliability.
 🔹 Data Quality \&amp; Performance
 Implement monitoring, validation, and optimization strategies.
 🔹 Collaboration
 Work with analytics, data science, and engineering teams.
 🔹 Tools \&amp; Technologies
 Use SQL, Python, Spark, cloud services, and ETL frameworks.
 Qualifications:
 ✅ Bachelor’s degree in Computer Science, Engineering, or related field
 ✅ Minimum 2 years of Data Engineering experience
 ✅ Strong SQL and Python skills
 ✅ Experience with cloud and big data technologies
 ✅ Strong problem\-solving and communication skills</t>
        </is>
      </c>
    </row>
    <row r="15">
      <c r="A15" t="inlineStr">
        <is>
          <t>li-4330386004</t>
        </is>
      </c>
      <c r="B15" t="inlineStr">
        <is>
          <t>Data Engineer</t>
        </is>
      </c>
      <c r="C15" t="inlineStr">
        <is>
          <t>AARATECH</t>
        </is>
      </c>
      <c r="D15" t="inlineStr">
        <is>
          <t>linkedin</t>
        </is>
      </c>
      <c r="E15" t="inlineStr"/>
      <c r="F15" t="inlineStr"/>
      <c r="G15" t="inlineStr"/>
      <c r="H15" t="inlineStr"/>
      <c r="I15" t="inlineStr">
        <is>
          <t>Job Title: Data Engineer – Retail / E\-Commerce
 🏢 Company: Aaratech Inc
 🛑 Eligibility: Only U.S. Citizens and Green Card holders are eligible.
 Please note that we do not offer visa sponsorship.
 Job Summary:
 Aaratech Inc. is seeking a results\-driven
 **Data Engineer – Retail / E\-Commerce** 
 to support customer, sales, and product data platforms. The role focuses on building scalable pipelines that enable real\-time and batch analytics for business growth.
 Key Responsibilities:
 🔹 Data Pipeline Development
 Develop and maintain data pipelines for sales, customer, and product data.
 Integrate data from e\-commerce platforms and marketing systems.
 🔹 Data Modeling
 Design data models to support analytics and BI reporting.
 Optimize performance and scalability.
 🔹 Data Quality
 Ensure data accuracy, completeness, and consistency.
 Implement monitoring and error\-handling processes.
 🔹 Collaboration
 Work closely with data analysts, product, and marketing teams.
 🔹 Tools \&amp; Technologies
 Use SQL, Python, ETL tools, and cloud data platforms.
 Qualifications:
 ✅ Bachelor’s degree in Computer Science, Engineering, or related field
 ✅ Minimum 2 years of Data Engineering experience
 ✅ Strong SQL and Python skills
 ✅ Experience with data pipelines and analytics platforms
 ✅ Retail or e\-commerce data experience preferred
 ✅ Strong problem\-solving skills</t>
        </is>
      </c>
    </row>
    <row r="16">
      <c r="A16" t="inlineStr">
        <is>
          <t>li-4350074079</t>
        </is>
      </c>
      <c r="B16" t="inlineStr">
        <is>
          <t>Senior Data Engineer</t>
        </is>
      </c>
      <c r="C16" t="inlineStr">
        <is>
          <t>Atomic Machines</t>
        </is>
      </c>
      <c r="D16" t="inlineStr">
        <is>
          <t>linkedin</t>
        </is>
      </c>
      <c r="E16" t="inlineStr"/>
      <c r="F16" t="inlineStr"/>
      <c r="G16" t="inlineStr">
        <is>
          <t>Emeryville, CA</t>
        </is>
      </c>
      <c r="H16" t="inlineStr"/>
      <c r="I16" t="inlineStr">
        <is>
          <t>Atomic Machines is ushering in a new era of micromanufacturing with its Matter Compiler™ technology platform. This platform enables new classes of micromachines to be designed and built by providing manufacturing processes and a materials library that are inaccessible to semiconductor manufacturing methods. It unlocks MEMS manufacturing not only for device classes that could never be produced by semiconductor methods, but also for entirely new categories. Furthermore, this digital platform is fully programmable in the way 3D printing is digital—but whereas 3D printing produces parts of a single material using a single process, the Matter Compiler™ technology platform is a multi\-process, multi\-material system: bits and raw materials go in, and complete, functional micromachines come out. The Atomic Machines team has also created an exciting first device—made possible only through the Matter Compiler™ technology platform—that we will be unveiling to the world soon.
 Our offices are in Emeryville and Santa Clara, California.
 About The Role:
 We are seeking a Senior Data Engineer to join our growing team within the AI and Modeling and Simulation group and support manufacturing processes on our robotic manufacturing platform. The ideal candidate will be responsible for designing, implementing, and maintaining robust data pipelines and infrastructure to ensure the availability, integrity, traceability, and interpretability of manufacturing data. This role involves working closely with Process, Design, and AI engineers to validate manufacturing outcomes and monitor process performance through data\-driven insights.
 Experience in data engineering, data flows, and big\-data processing, as well as proficiency in Python, are essential for this role. Importantly, candidates will be expected to have an industry\-level understanding of manufacturing processes and sensors, and to be able to work with process engineers on metrology needs and hardware requirements. Experience in data science for manufacturing – e.g., building data\-driven predictive pipelines using statistics\- and/or ML\-based methods – is desirable.
 This is an excellent career opportunity for a professional with a proven track record of creating and deploying data pipelines in manufacturing environments. The ideal applicant thrives working in a cross\-functional environment, unifies and integrates efforts of a highly diverse team, actively engages in the development process, and is excellent at documenting and presenting work products.
 What You’ll Do:
* **Data Engineering \&amp; Infrastructure**
+ Design, build, and maintain scalable workflows for data collection, transformation, and storage.
+ Process and analyze structured or semi\-structured manufacturing data.
+ Develop data pipelines to process and prepare data for ML model training and data analysis.
+ Develop, customize, and maintain interactive dashboards, reports, and visualizations for experimentation results and business metrics.
+ Ensure real\-time data handling for ML applications (e.g., digital twins) and process monitoring.
* **Validation \&amp; Quality Control**
+ Work with inspection engineers/technicians to collect datasets and collaborate with process engineers to ensure quality control in manufacturing processes.
+ Experience with real\-time data processing frameworks (Apache Kafka, Spark Streaming, etc.)
+ Experienced with BI toolsets and data\-visualization frameworks (including Apache Superset) for reporting and analytics.
- Build validation tests to compare in\-house inspection algorithms with commercial tools.
* **Process Monitoring \&amp; Optimization**
+ Establish process monitoring frameworks by creating data storage solutions and implementing structured labeling for process input parameters and associated outputs.
+ Develop online statistics and analytics for process control and optimization.
+ Analyze observable time\-series data corresponding to different manufacturing process stages.
* **Documentation \&amp; Collaboration**
+ Work with process engineers on data collection requirements and communicate those requirements to hardware designers.
+ Collaborate with cross\-functional teams, including process engineers, chemical engineers, materials scientists, simulation engineers, software developers, data scientists, and AI engineers, to optimize data workflows and improve operational efficiency.
 What You’ll Need:
* 6\+ years after Bachelor’s / 4\+ years after Master’s of industry experience.
* A first\-principles mindset — you question assumptions, reframe problems from the ground up, and approach challenges with a foundational understanding rather than relying solely on precedent.
* Proven experience in data engineering, data flows, and big\-data processing.
* Proficiency in Python and programming languages such as SQL.
* Proficiency in data storage solutions (Data Lakes, Cloud Storage, SQL, NoSQL).
* Understanding of manufacturing processes, sensors, and process automation.
* Industry\-level experience in guiding and automating data collection and processing in manufacturing environments.
* Knowledge of DevOps practices.
* Strong problem\-solving skills and ability to work in a collaborative, fast\-paced environment.
* Strong analytical mindset, attention to data quality, and ability to translate complex data into clear insights for both technical and non\-technical stakeholders.
* Bachelor’s or Master’s degree in Computer Science, Data Engineering, Data Science, or a related STEM field.
 Bonus Points For:
* Experience with real\-time data processing frameworks (Apache Kafka, Spark Streaming, etc.)
* Experienced with BI toolsets and data\-visualization frameworks (including Apache Superset) for reporting and analytics.
 The compensation for this position also includes equity and benefits.
 Salary Range: $170,000 USD \- $230,000 USD</t>
        </is>
      </c>
    </row>
    <row r="17">
      <c r="A17" t="inlineStr">
        <is>
          <t>li-4351421113</t>
        </is>
      </c>
      <c r="B17" t="inlineStr">
        <is>
          <t>Senior Data Engineer</t>
        </is>
      </c>
      <c r="C17" t="inlineStr">
        <is>
          <t>AmTrust Financial Services, Inc.</t>
        </is>
      </c>
      <c r="D17" t="inlineStr">
        <is>
          <t>linkedin</t>
        </is>
      </c>
      <c r="E17" t="inlineStr"/>
      <c r="F17" t="inlineStr"/>
      <c r="G17" t="inlineStr">
        <is>
          <t>Dallas, TX</t>
        </is>
      </c>
      <c r="H17" t="inlineStr"/>
      <c r="I17" t="inlineStr">
        <is>
          <t>**Overview** 
 We are seeking a highly skilled
 **Senior Data Engineer** 
 to join our team and lead the modernization of our data ecosystem. This role will focus on migrating on\-premise systems to the cloud, consolidating data warehouses, and designing scalable architecture to support advanced analytics and reporting. The ideal candidate will have deep expertise in
 **Azure** 
 ,
 **data migrations** 
 , and
 **modern data warehouse design** 
 , along with strong communication skills to collaborate effectively with technical teams and business stakeholders.
**Qualifications** 
* Bachelor’s or Master’s degree in Computer Science, Engineering or equivalent work experience.
* 8\+ years of hands\-on experience in data engineering with on\-premise and cloud data platforms
* Highly effective in communicating complex information to non\-technical stakeholders.
* Develop and improve existing data models to accurately represent end\-to\-end business processes, ensuring they're scalable and fully integrate with the extensive data architecture
* Proven experience designing and building large\-scale data platforms.
* Implement best practices in data modeling, DevOps, ETL/ELT processes.
* Drive automation and CI/CD practice in data engineering workflows.
* Experience in Data Modeling tools such as Idera, ERWin
**Preferred Skills:** 
* Expert level (hands\-on) knowledge and understanding of recent versions of Microsoft SQL Server 2016, SSIS, Stored Procedures
* Strong expertise with Azure Data Factory, Databricks, PySpark, Synapse Analytics
* Data Modelling \- dimensional/reporting, data warehousing and transactional use cases (Physical and Logical modelling)
* Proficiency in programming languages such as C\#, Python, Java, or equivalent
 Nice to Have
* Hands\-on expertise with Snowflake and related technologies in the Snowflake ecosystem (dbt/Fivetran etc.) for both batch \&amp; streaming use cases.
* Experience in test automation tools \&amp; frameworks: Selenium, WebdriverIO, Appium, BrowserStack
*The expected salary range for this role is (* 
 $87,500\.00 \- $145,000\.00\)
*Please note that the salary information shown above is a general guideline only. Salaries are based upon a wide range of factors considered in making the compensation decision, including, but not limited to, candidate skills, experience, education and training, the scope and responsibilities of the role, as well as market and business considerations.* 
 \#LI\-IT1
 \#LI\-HYBRID
 \#AmTrust</t>
        </is>
      </c>
    </row>
    <row r="18">
      <c r="A18" t="inlineStr">
        <is>
          <t>li-4343880098</t>
        </is>
      </c>
      <c r="B18" t="inlineStr">
        <is>
          <t>Python Data Engineer - Global EnergyTech Market Leader</t>
        </is>
      </c>
      <c r="C18" t="inlineStr">
        <is>
          <t>Andiamo</t>
        </is>
      </c>
      <c r="D18" t="inlineStr">
        <is>
          <t>linkedin</t>
        </is>
      </c>
      <c r="E18" t="inlineStr"/>
      <c r="F18" t="inlineStr"/>
      <c r="G18" t="inlineStr">
        <is>
          <t>Houston, TX</t>
        </is>
      </c>
      <c r="H18" t="inlineStr"/>
      <c r="I18" t="inlineStr">
        <is>
          <t>Senior Python Data Engineer, Energy and Commodities
 This role supports a global energy and commodities organization that operates at massive scale, combining trading, analytics, and long term infrastructure investment. The technology teams build and maintain data systems that power decision making across markets, assets, and research, working closely with commercial and analytical stakeholders.
 This is a full time, on site position based in Houston, Texas, with in office collaboration required five days per week.
 The Opportunity
 As a Python Data Engineer, you will play a key role in expanding and maintaining high quality data assets that support advanced analytics and trading workflows. You will work directly with traders, analysts, researchers, and data scientists to understand requirements and deliver reliable, well structured data solutions.
 The role offers deep exposure to real world business problems, complex data sources, and a highly collaborative engineering culture that values clean code, shared standards, and practical impact.
 What You Will Be Working On
* Building modular, reusable Python components that connect external data sources with internal tools and databases.
* Partnering with business stakeholders to define requirements for data ingestion, transformation, and access.
* Translating business needs into well designed technical solutions.
* Maintaining a clean, centralized Python codebase while aligning with established design patterns and conventions.
* Contributing to shared developer tooling and internal Python based ETL frameworks.
* Collaborating efficiently with a distributed global engineering team.
* Participating in an internal Python development community and supporting evolving business initiatives.
 What We Are Looking For
* Seven or more years of professional experience developing Python applications in an enterprise environment.
* A degree in computer science, information systems, or a closely related discipline.
* Hands on experience designing and building data pipelines and data engineering solutions.
* Experience extracting data from external sources using web scraping techniques and automation tools.
* Strong experience with relational databases, including Oracle and PL SQL development with stored procedures.
* A solid understanding of object oriented programming, design patterns, and service oriented architectures.
* Previous experience working in Agile or Scrum based development teams.
* Proficiency with version control, peer code reviews, and issue tracking workflows.
* Working knowledge of data analysis libraries such as Pandas and NumPy.
* Strong written and verbal communication skills.
* Background in the energy or commodities sector is preferred.
* Exposure to containerization technologies such as Docker or Kubernetes is a plus.
 Work Environment
 This role is based in a professional office setting designed for close collaboration. The business operates in a fast paced, high energy environment where in person interaction is central to how teams work, solve problems, and deliver results.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19">
      <c r="A19" t="inlineStr">
        <is>
          <t>li-4330456036</t>
        </is>
      </c>
      <c r="B19" t="inlineStr">
        <is>
          <t>Data Engineer</t>
        </is>
      </c>
      <c r="C19" t="inlineStr">
        <is>
          <t>AARATECH</t>
        </is>
      </c>
      <c r="D19" t="inlineStr">
        <is>
          <t>linkedin</t>
        </is>
      </c>
      <c r="E19" t="inlineStr"/>
      <c r="F19" t="inlineStr"/>
      <c r="G19" t="inlineStr">
        <is>
          <t>California, United States</t>
        </is>
      </c>
      <c r="H19" t="inlineStr"/>
      <c r="I19" t="inlineStr">
        <is>
          <t>Job Title: Data Engineer – Banking \&amp; Finance
 🏢 Company: Aaratech Inc
 🛑 Eligibility: Only U.S. Citizens and Green Card holders are eligible.
 Please note that we do not offer visa sponsorship.
 Job Summary:
 Aaratech Inc. is seeking a reliable
 **Data Engineer – Banking \&amp; Finance** 
 to support financial data platforms and analytics initiatives. This role focuses on building secure, scalable data pipelines for transactional and financial datasets.
 Key Responsibilities:
 🔹 Data Pipeline Development
 Build and maintain ETL pipelines for banking and financial data.
 Ensure timely and accurate data ingestion.
 🔹 Data Architecture
 Design data warehouse schemas optimized for reporting and analytics.
 Support regulatory and compliance reporting needs.
 🔹 Data Quality \&amp; Security
 Ensure data accuracy, integrity, and security standards.
 Implement data validation and reconciliation processes.
 🔹 Collaboration
 Work with analysts, compliance, and engineering teams.
 Support downstream analytics and reporting.
 🔹 Tools \&amp; Technologies
 Use SQL, Python, cloud platforms, and ETL tools.
 Qualifications:
 ✅ Bachelor’s degree in Computer Science, Engineering, or related field
 ✅ 2\+ years of Data Engineering experience
 ✅ Strong SQL and Python skills
 ✅ Experience with data warehousing and cloud platforms
 ✅ Knowledge of financial data preferred
 ✅ Strong analytical and communication skills</t>
        </is>
      </c>
    </row>
    <row r="20">
      <c r="A20" t="inlineStr">
        <is>
          <t>li-4343840933</t>
        </is>
      </c>
      <c r="B20" t="inlineStr">
        <is>
          <t>Senior Data Engineer</t>
        </is>
      </c>
      <c r="C20" t="inlineStr">
        <is>
          <t>Curology</t>
        </is>
      </c>
      <c r="D20" t="inlineStr">
        <is>
          <t>linkedin</t>
        </is>
      </c>
      <c r="E20" t="inlineStr"/>
      <c r="F20" t="inlineStr"/>
      <c r="G20" t="inlineStr"/>
      <c r="H20" t="inlineStr"/>
      <c r="I20" t="inlineStr">
        <is>
          <t>****About Curology:****
**Curology's mission is to make effective, personalized skincare accessible.** 
 We were founded by dermatologists who believe everyone should have access to skincare products that actually work. Today, our licensed dermatology providers have helped millions of patients across all 50 states make that mission a reality.
 We combine expert medical care with personalized prescription formulas and dermatologist\-developed skincare essentials to deliver science\-backed solutions that meet people where they are. Join us in our mission to transform skin health and enhance lives—one patient at a time.
****Mission of the Role:****
 The mission of the
 **Senior Data Engineer** 
 is to own and evolve the data systems that power analytics, experimentation, and operational decision\-making across the business. Reporting to the Director, Data \&amp; Analytics, the Senior Data Engineer will build reliable, scalable, cloud\-native data infrastructure, partner closely with engineering and business teams, and help establish best practices that enable high\-quality, privacy\-safe data at scale. This role is ideal for an experienced, hands\-on engineer who thrives in production environments and enjoys turning complex requirements into durable data solutions.
****Essential Functions and Impact Areas:****
* Own the end\-to\-end design, build, and operation of core data infrastructure that delivers trusted, timely data for analytics, experimentation, and decision\-making
* Within the first six months, lead the rebuild and stabilization of core data pipelines, establishing a reliable, well\-documented foundation that enables accurate, scalable reporting and supports future analytics and experimentation needs
* Build and operate data pipelines using our modern data engineering stack, including Hevo, Fivetran, dbt, Snowflake, Airflow, AWS (S3, Data Lake, Glue), Paradime, Monte Carlo, Hex, and AI\-enabled tools such as ChatGPT, Claude, and SageMaker
* Act as a senior technical contributor on the data engineering team, establishing best practices for data modeling, testing, observability, and production readiness
* Partner cross\-functionally with Engineering, Product, Marketing, and Operations to translate business needs into durable, automated data solutions
* Improve developer and analyst productivity by reducing friction, standardizing tooling, and investing in self\-service data capabilities
* Drive continuous improvement of metrics, measurement, and experimentation systems to support insight generation and rapid iteration
* Ensure all data systems are designed and operated with privacy, security, and regulatory compliance as foundational requirements
* Support high\-priority business initiatives by delivering accurate data quickly while maintaining platform stability and long\-term scalability
**Requirements**
**Required Qualifications:**
* 5\-8 years of professional experience building and operating production data systems, with strong hands\-on expertise in Python
* Ability to write clean, idiomatic, and maintainable Python, including well\-structured, reusable, and testable code
* Strong foundation in software engineering best practices, including code reviews, documentation, testing, and CI/CD
* 6\+ years of experience designing and modeling data in relational and non\-relational databases, with a clear understanding of performance and scalability tradeoffs
* Proven ability to translate analytical or business problems into practical data models and pipelines, clearly articulating design decisions
* Experience working with modern data warehouses, including dimensional modeling, ELT workflows, and query optimization
* Hands\-on experience building, scheduling, and monitoring batch data pipelines using Airflow or comparable orchestration tools
* Strong understanding of data architecture fundamentals, including efficient storage, retrieval, and compute usage in cloud\-based systems
* Practical experience with AWS, including core data and infrastructure services
* Production experience with Snowflake, including schema design, performance tuning, and cost\-aware usage
* Experience working with sensitive or regulated data, and familiarity with compliance requirements such as HIPAA, GDPR, or CCPA
* Ability to independently own and deliver well\-scoped data engineering projects with minimal supervision
* Comfortable supporting high\-priority data requests and operational issues while maintaining code quality and system reliability
* Proficiency with core technologies such as Python, SQL (MySQL/Snowflake), Airflow, AWS, and Terraform
****Nice\-to\-Haves:****
* Experience with distributed data processing tools such as Apache Spark
* Familiarity with serverless architectures (e.g., AWS Lambda) for data ingestion or transformation use cases
* Experience collaborating with Marketing or Growth teams, including exposure to paid channel data and automation workflows
* Background working in consumer, e\-commerce, or DTC environments
****Location:****
* Remote (US)
**Benefits**
****Benefits \&amp; Perks:****
* 💰 Competitive compensation and equity package (RSUs)
* 🥼 Comprehensive benefits: Medical, dental, vision, FSA and HSA, supplemental coverages (critical illness, accident, hospitalization), and 401(k)
* 🧘🏻‍♀️ Access to wellbeing perks, including OneMedical, Spring Health, SoFi, and Employee Assistance Program
* 🌴 Flexible paid time off and holiday policy
* 🐣 Paid parental leave (birthing and non\-birthing parents)
* 💜 Employee donation matching program
* 🫱🏻‍🫲🏽 Culture Committee and employee resource groups for virtual and in\-person connectivity
* ✨ Complimentary VIP Subscription to Curology or Agency, plus online retail discount
****Compensation:****
 The estimated base salary range for this role is
 **$170,000 \- $190,000 per year** 
 , plus a competitive equity package and benefits. Actual compensation will be determined based on several factors, including location, skills, experience, and job\-related expertise.
****Our Typical Interview Process\*:****
* Subject to change based on role
* 30 minute Recruiter screen (phone)
* 30\-45 minute interview with a Hiring Manager (Google Meet or Zoom)
* 30\-45 minute technical assessment, case study, or peer interview(s) (Google Meet or Zoom)
* 30\-45 minute final round interview with Hiring Manager or Team Leader (Google Meet or Zoom)
**Candidates Using AI:**
 At Curology, we invest in responsible use of AI tools to help our teams innovate and solve challenges. Please feel free to use AI to:
* Refine and polish your application materials
* Research Curology and the role
* Prepare for your interviews
 Please refrain from using AI tools during live interviews, unless our hiring team has instructed you otherwise. (Note: These guidelines do not apply to reasonable accommodations. If you require a reasonable accommodation at any point during our interview process, please notify your recruiter.)
**Curology's Operating Principles:**
* One Curology, One Team
* Be Candid, Then Commit
* Lead with Curiosity
* Trust but Verify
* Use Peripheral Vision
* Move Quickly, Think Deeply
* Protect Trust at Every Touchpoint
***Equal Employment Opportunity:***
*Curology provides equal employment opportunities to all employees and applicants for employment and prohibits discrimination and harassment of any kind. Employment decisions are made without regard to race, color, religion, creed, ancestry, national origin, age, sex, gender, gender identity, gender expression, sexual orientation, marital status, medical condition, genetic information, disability status, military or veteran status, or any other characteristic protected by federal, state, or local law.*
*This policy applies to all terms and conditions of employment, including recruiting, hiring, placement, promotion, termination, layoff, recall, transfer, leaves of absence, compensation, and training. Curology is committed to creating an inclusive environment where all team members feel welcomed, supported, and empowered to do their best work.*
***Fair Chance Statement:***
*In accordance with the San Francisco Fair Chance Ordinance and other applicable laws, Curology will consider qualified applicants with arrest and conviction records for employment in a manner consistent with those requirements.*
***CCPA Notice:***
*As required under the California Consumer Privacy Act (CCPA), applicants residing in California can review our Privacy Notice to California Employees, Contractors and Applicants to learn more about how we collect and use personal information.*
***Disclaimer:***
*This job description is not designed to cover or contain a comprehensive listing of activities, duties, or responsibilities required of the employee. Duties, responsibilities, and activities may change at any time with or without notice.*</t>
        </is>
      </c>
    </row>
    <row r="21">
      <c r="A21" t="inlineStr">
        <is>
          <t>li-4330466576</t>
        </is>
      </c>
      <c r="B21" t="inlineStr">
        <is>
          <t>Data Engineer</t>
        </is>
      </c>
      <c r="C21" t="inlineStr">
        <is>
          <t>AARATECH</t>
        </is>
      </c>
      <c r="D21" t="inlineStr">
        <is>
          <t>linkedin</t>
        </is>
      </c>
      <c r="E21" t="inlineStr"/>
      <c r="F21" t="inlineStr"/>
      <c r="G21" t="inlineStr">
        <is>
          <t>Texas, United States</t>
        </is>
      </c>
      <c r="H21" t="inlineStr"/>
      <c r="I21" t="inlineStr">
        <is>
          <t>Job Title: Data Engineer – Healthcare
 🏢 Company: Aaratech Inc
 🛑 Eligibility: Only U.S. Citizens and Green Card holders are eligible.
 Please note that we do not offer visa sponsorship.
 Job Summary:
 Aaratech Inc. is seeking a skilled and detail\-oriented
 **Data Engineer – Healthcare** 
 to design, build, and maintain data pipelines that support healthcare analytics and reporting. The ideal candidate will work with large healthcare datasets to ensure data reliability, scalability, and availability for analytics and decision\-making.
 Key Responsibilities:
 🔹 Data Pipeline Development
 Design, build, and maintain scalable ETL/ELT pipelines for healthcare data.
 Integrate data from multiple internal and external sources.
 🔹 Data Engineering \&amp; Storage
 Develop and manage data warehouses and data lakes.
 Optimize data models for performance and analytics use cases.
 🔹 Data Quality \&amp; Reliability
 Ensure data accuracy, consistency, and integrity across systems.
 Implement monitoring and validation checks.
 🔹 Collaboration
 Work with data analysts, business teams, and IT stakeholders.
 Support analytics and reporting requirements.
 🔹 Tools \&amp; Technologies
 Use SQL, Python, cloud platforms, and ETL tools.
 Qualifications:
 ✅ Bachelor’s degree in Computer Science, Engineering, or related field
 ✅ Minimum 2 years of Data Engineering experience
 ✅ Strong SQL and Python skills
 ✅ Experience with data pipelines and data warehouses
 ✅ Knowledge of healthcare data is a plus
 ✅ Strong problem\-solving and communication skills</t>
        </is>
      </c>
    </row>
    <row r="22">
      <c r="A22" t="inlineStr">
        <is>
          <t>li-4326737966</t>
        </is>
      </c>
      <c r="B22" t="inlineStr">
        <is>
          <t>Data Engineer</t>
        </is>
      </c>
      <c r="C22" t="inlineStr">
        <is>
          <t>Acuity Analytics</t>
        </is>
      </c>
      <c r="D22" t="inlineStr">
        <is>
          <t>linkedin</t>
        </is>
      </c>
      <c r="E22" t="inlineStr"/>
      <c r="F22" t="inlineStr"/>
      <c r="G22" t="inlineStr">
        <is>
          <t>Chicago, IL</t>
        </is>
      </c>
      <c r="H22" t="inlineStr"/>
      <c r="I22" t="inlineStr">
        <is>
          <t>**Summary** 
 The Data Engineer will design, build, and optimize the data pipelines and models that support the firm’s evolving research, analytics, and systematic portfolio construction environment. This role is central to enabling data\-driven investment processes, including quantitative research, AI/ML capabilities, and front\-office automation.
 Candidates must have deep expertise with Snowflake, strong SQL skills, and experience integrating diverse datasets used across investment organizations. The role is highly collaborative and requires comfort working in an iterative, fast\-moving environment where data needs evolve rapidly based on stakeholder input.
**Responsibilities** 
* Design, build, and enhance ETL/ELT pipelines in Snowflake, ensuring high performance, reliability, and scalability.
* Integrate internal and external datasets, including pricing, research content, economic releases, market data, and security reference data.
* Support real\-time or near\-real\-time data flows where needed (e.g., pricing, indicative quotes, market\-sensitive inputs).
* Collaborate closely with Product Leads, Quant Developers, and UI/UX teams to ensure data structures meet the requirements of research workflows, analytical models, and user\-facing applications.
* Partner with front\-office stakeholders to rapidly iterate on evolving analytical and data needs.
* Implement data validation, monitoring, and quality frameworks to ensure accuracy and reliability across critical datasets.
* Translate prototype pipelines into production\-ready workflows with appropriate documentation, standards, and controls.
* Contribute to data modeling standards, metadata frameworks, and data governance practices across the platform.
**Requirements** 
* 10\+ years of data engineering experience within investment management, financial technology, or similar data\-intensive environments.
* Expert\-level SQL, including complex queries, schema design, and performance optimization.
* Deep hands\-on experience with Snowflake, including advanced features such as tasks, streams, performance tuning, and secure data sharing.
* Strong Python capabilities for ETL/ELT development, data processing, and workflow automation.
* Experience integrating APIs and working with structured, semi\-structured, and unstructured datasets.
* Familiarity with NLP or AI/ML\-oriented datasets (e.g., textual research content, PDFs) is a plus.
* Experience with Domino or willingness to work within a Domino\-based model environment.
* Working knowledge of investment data structures (holdings, benchmarks, pricing, exposures) is highly preferred.
* Ability to thrive in a rapid prototyping environment with evolving requirements and close partnership with front\-office teams.</t>
        </is>
      </c>
    </row>
    <row r="23">
      <c r="A23" t="inlineStr">
        <is>
          <t>li-4358340254</t>
        </is>
      </c>
      <c r="B23" t="inlineStr">
        <is>
          <t>Data Engineer</t>
        </is>
      </c>
      <c r="C23" t="inlineStr">
        <is>
          <t>Amazon</t>
        </is>
      </c>
      <c r="D23" t="inlineStr">
        <is>
          <t>linkedin</t>
        </is>
      </c>
      <c r="E23" t="inlineStr"/>
      <c r="F23" t="inlineStr"/>
      <c r="G23" t="inlineStr">
        <is>
          <t>Bellevue, WA</t>
        </is>
      </c>
      <c r="H23" t="inlineStr"/>
      <c r="I23" t="inlineStr">
        <is>
          <t>**Description**
 Amazon Leo is an initiative to increase global broadband access through a constellation of 3,236 satellites in low Earth orbit (LEO). Its mission is to bring fast, affordable broadband to unserved and underserved communities around the world. Leo will help close the digital divide by delivering fast, affordable broadband to a wide range of customers, including consumers, businesses, government agencies, and other organizations operating in places without reliable connectivity.
 As a Data Engineer in Leo's Global Business Operations (GBO), you will be one of the architects and engineers building up the cloud data infrastructure for use across Leo. You will be working directly on AWS to build internal tools used across the hundreds of Business Intelligence Engineers and Scientists to build business\-critical reports and ML Models. You will design the data models used by these teams to efficiently dive deep into the business and extract insights. Getting in pre\-launch, you have creative influence to drive this engineering direction on a native stack and your outputs will be critical to the success of Leo's ambitious mission.
 Key job responsibilities
**In This Role, You Will**
* Develop Leo data products, infrastructure and ETL pipelines to ingest, parse and transform Geospatial datasets from external \&amp; internal APIs using AWS big data technologies (Glue, S3, Redshift, MWAA, EMR, Data Zone, Lambda, etc.)
* Work alongside Data Scientists, Applied Scientists, Software Engineers and Simulation Engineers to develop appropriate data assets for statistical modeling, system integration and capacity simulations
* Improve existing solutions and come up with next generation Leo's Data Architecture to improve scale, quality and performance
* Implement data governance best practices to ensure data accuracy, consistency, and compliance with security and privacy regulations.
* Develop and maintain scripts to automate processes to generate structured datasets for forecasting POR and system inputs, with focus on efficiency and scalability
* Build data dictionary, catalog and governance plan and manage and audit all of the registered data via internal mechanisms
* Provide technical guidance and support to data consumers to leverage Global Planning data assets
**Export Control Requirement**
 Due to applicable export control laws and regulations, candidates must be a U.S. citizen or national, U.S. permanent resident (i.e., current Green Card holder), or lawfully admitted into the U.S. as a refugee or granted asylum.
**About The Team**
**BASIC QUALIFICATIONS**
* 3\+ years of data engineering experience
* Experience with data modeling, warehousing and building ETL pipelines
* Bachelor's degree
**Preferred Qualifications**
* Experience with AWS technologies like Redshift, S3, AWS Glue, EMR, Kinesis, FireHose, Lambda, and IAM roles and permissions
* Experience with non\-relational databases / data stores (object storage, document or key\-value stores, graph databases, column\-family databases)
* Experience in data warehouse technical architectures, data modeling, infrastructure components, ETL/ ELT and reporting/analytic tools and environments, data structures and hands\-on SQL coding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Kuiper Commercial Services LLC
 Job ID: A3152942</t>
        </is>
      </c>
    </row>
    <row r="24">
      <c r="A24" t="inlineStr">
        <is>
          <t>li-4330526248</t>
        </is>
      </c>
      <c r="B24" t="inlineStr">
        <is>
          <t>Healthcare Data Engineer / Data Analyst / Data Modeler</t>
        </is>
      </c>
      <c r="C24" t="inlineStr">
        <is>
          <t>SRI Tech Solutions Inc.</t>
        </is>
      </c>
      <c r="D24" t="inlineStr">
        <is>
          <t>linkedin</t>
        </is>
      </c>
      <c r="E24" t="inlineStr"/>
      <c r="F24" t="inlineStr"/>
      <c r="G24" t="inlineStr"/>
      <c r="H24" t="inlineStr"/>
      <c r="I24" t="inlineStr">
        <is>
          <t>**Job Title: Healthcare Data Engineer / Data Analyst / Data Modeler** 
**Domain: Healthcare (Medicare, Medicaid \&amp; Claims)** 
**Location: Remote Position in USA** 
**Job Description**
**We are seeking skilled Healthcare Data Professionals** 
 with strong experience across
 **Data Modeling, Data Analysis, and Data Engineering** 
 to support large\-scale healthcare data initiatives. The ideal candidate will have hands\-on exposure to
 **Medicare, Medicaid, and Claims data** 
 , along with strong technical and analytical capabilities.
 This role involves working with cross\-functional teams to design, analyze, build, and optimize data solutions that ensure accuracy, performance, and reliability across healthcare data platforms.
**Key Responsibilities**
**1\. Data Modeler** 
* Design and develop
 **data models** 
 for healthcare datasets, including
 **Medicare, Medicaid, and Claims data** 
 .
* Understand healthcare data structures and relationships to support analytics and reporting needs.
* Ensure data models align with business requirements and industry standards.
**2\. Data Analyst** 
* Perform
 **data analysis** 
 on large healthcare datasets (Medicare, Medicaid, Claims).
* Write complex
 **SQL queries** 
 and develop
 **STTMs** 
 .
* Analyze source\-to\-target mappings and validate data accuracy.
* Create and execute
 **test cases** 
 based on data analysis and business rules.
* Collaborate with business and technical teams to clarify data requirements.
**3\. Data Engineer** 
* Design and develop
 **ETL/ELT pipelines** 
 using
 **Databricks, PySpark, Delta Lake** 
 , and
 **AWS\-native services** 
 .
* Write optimized
 **PySpark code** 
 to handle large datasets.
* Tune Spark jobs to improve performance, scalability, and reliability.
* Build, test, troubleshoot, and deploy data pipelines across environments (Dev, QA, Prod).
* Ensure data quality, monitoring, and operational stability.
**Required Skills \&amp; Qualifications** 
* Strong experience in the
 **Healthcare domain** 
 (Medicare, Medicaid, Claims data).
* Proficiency in
 **SQL** 
 and data analysis techniques.
* Hands\-on experience with
 **Databricks, PySpark, Delta Lake** 
 .
* Experience working with
 **AWS cloud services** 
 .
* Strong analytical and problem\-solving skills.
* Experience in building, testing, and deploying data pipelines.
* Ability to work independently and collaboratively in a distributed environment.
**Nice to Have** 
* Knowledge of healthcare compliance and data standards.
* Experience with large\-scale distributed data systems.
* Exposure to CI/CD and higher environment deployments.</t>
        </is>
      </c>
    </row>
    <row r="25">
      <c r="A25" t="inlineStr">
        <is>
          <t>li-4351450678</t>
        </is>
      </c>
      <c r="B25" t="inlineStr">
        <is>
          <t>Data Engineer</t>
        </is>
      </c>
      <c r="C25" t="inlineStr">
        <is>
          <t>Find Great People | FGP</t>
        </is>
      </c>
      <c r="D25" t="inlineStr">
        <is>
          <t>linkedin</t>
        </is>
      </c>
      <c r="E25" t="inlineStr"/>
      <c r="F25" t="inlineStr"/>
      <c r="G25" t="inlineStr">
        <is>
          <t>Charleston, South Carolina Metropolitan Area</t>
        </is>
      </c>
      <c r="H25" t="inlineStr"/>
      <c r="I25" t="inlineStr">
        <is>
          <t>**Summary:** 
 We’re looking for a thoughtful, adaptable Data Engineer to join our Intelligence Team. In this role, you’ll work on a small number of strategic client projects, helping teams unlock the full value of their data through scalable, modern solutions. You won’t just build pipelines—you’ll collaborate directly with clients and internal teams to understand business goals, shape architecture, and ensure what we build delivers real impact.
**Responsibilities:** 
* **Design \&amp; build modern data solutions** 
 – Ingest, organize, and transform raw data into clean, analytics\-ready assets using best\-in\-class tools and practices.
* **Collaborate with clients \&amp; teams** 
 – Engage directly with clients to understand business needs, translate them into technical strategies, and help build trust through delivery.
* **Support diverse platform architectures** 
 – Work within or help shape modern data platforms (Snowflake, Databricks, Fabric, AWS, or similar); support medallion/lakehouse\-style architectures.
* **Own your workflows** 
 – Build robust pipelines using tools like notebooks, dataflows, and orchestration frameworks.
* **Document \&amp; communicate effectively** 
 – Ensure architecture, design decisions, and process documentation are clear for internal and external teams.
* **Maintain context** 
 – Connect the dots between technical choices and business outcomes; help stakeholders understand the “why” behind the “how.”
* **Practice quality\-first engineering** 
 – Test your own work, support peer review, and continuously optimize for performance and scale.
* **Stay agile \&amp; organized** 
 – Manage tasks and team collaboration using Azure DevOps (or similar).
**Requirements:** 
* 2\+ years of experience in a data engineering or development role
* Proficiency with SQL and Python (KQL, PySpark are a plus)
* Experience with or interest in modern data platforms like Snowflake, Databricks, Microsoft Fabric, or AWS data tools
* Familiarity with lakehouse, data warehouse, or event\-stream architectures
* Ability to think critically and adapt in dynamic client environments
* Strong communication skills and a collaborative approach to working with both technical and business stakeholders
**Work Style \&amp; Travel:** 
* This is a
 **remote\-first** 
 position, preferably in the
 **Eastern time zone** 
 (southeastern U.S. ideal).
* We aim to
 **gather in person once per quarter** 
 , and you may travel
 **4–6 times per year** 
 for key client or company events.
* Candidates should be located within reasonable distance of a major airport to support client visits as needed.</t>
        </is>
      </c>
    </row>
    <row r="26">
      <c r="A26" t="inlineStr">
        <is>
          <t>li-4228989525</t>
        </is>
      </c>
      <c r="B26" t="inlineStr">
        <is>
          <t>Senior Analytics Engineer</t>
        </is>
      </c>
      <c r="C26" t="inlineStr">
        <is>
          <t>Coinbase</t>
        </is>
      </c>
      <c r="D26" t="inlineStr">
        <is>
          <t>linkedin</t>
        </is>
      </c>
      <c r="E26" t="inlineStr"/>
      <c r="F26" t="inlineStr"/>
      <c r="G26" t="inlineStr"/>
      <c r="H26" t="inlineStr"/>
      <c r="I26" t="inlineStr">
        <is>
          <t>Ready to be pushed beyond what you think you’re capable of?
 At Coinbase, our mission is to increase economic freedom in the world. It’s a massive, ambitious opportunity that demands the best of us, every day, as we build the emerging onchain platform — and with it, the future global financial system.
 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
 Our work culture is intense and isn’t for everyone. But if you want to build the future alongside others who excel in their disciplines and expect the same from you, there’s no better place to be.
 The Analytics Engineering team bridges the gap between data engineering, data science, and business analytics by building scalable, impactful data solutions. We transform raw data into actionable insights through robust pipelines, well\-designed data models, and tools that empower stakeholders across the organization to make data\-driven decisions.
 Our team combines technical expertise with a deep understanding of the business to unlock the full potential of our data. We prioritize data quality, reliability, and usability, ensuring stakeholders can rely on our data to drive meaningful outcomes.
**What We Do:** 
* **Trusted Data Sources** 
 : Develop and maintain foundational data models that serve as the single source of truth for analytics across the organization.
* **Actionable Insights** 
 : Empower stakeholders by translating business requirements into scalable data models, dashboards, and tools.
* **Cross\-Functional Collaboration** 
 : Partner with engineering, data science, product, and business teams to ensure alignment on priorities and data solutions.
* **Scalable Data Products** 
 : Build frameworks, tools, and workflows that maximize efficiency for data users, while maintaining high standards of data quality and performance.
* **Outcome\-Focused Solutions** 
 : Use modern development and analytics tools to deliver value quickly, while ensuring long\-term maintainability.
**What you’ll be doing:** 
 Analytics engineer is a hybrid Data Engineer/Data Scientist/Business Analyst role that has the expertise to understand data flows end to end, and the engineering toolkit to extract the most value out of it indirectly (building tables) or directly (solving problems, delivering insights).
* **Be the expert:** 
 Quickly build subject matter expertise in a specific business area and data domain. Understand the data flows from creation, ingestion, transformation, and delivery.
	+ *Examples:* 
		- *Step into a new line of business and work with Engineering and Product partners to deliver first data pipelines and insights.*
		- *Communicate with engineering teams to fix data gaps for downstream data users.*
		- *Take initiative and accountability for fixing issues anywhere in the stack.*
* **Generate business value:** 
  Interface with stakeholders on data and product teams to deliver the most commercial value from data (directly or indirectly).
	+ *Examples:* 
		- *Build out a new data model allowing multiple downstream DS teams to more easily unlock business value through experimentation and ad hoc analysis.*
		- *Combine Eng details of the algo engine with stats and data expertise to come up with feasible solutions for Eng to make the algo better.*
		- *Work with PMs to tie together new x\-PG, and x\-Product data into one holistic framework to optimize key financing product business metrics.*
* **Focus on outcomes not tools:** 
  Use a variety of frameworks and paradigms to identify the best\-fit tools to deliver value.
	+ *Examples:* 
		- *Develop new abstractions (e.g. UDFs, Python packages, dashboards) to support scalable data workflows/infra.*
		- *Stand up a framework for building data apps internally, enabling other DS teams to quickly add value.* 
		*U*
		- *se established tools with mastery (e.g. Google Sheets, SQL) to quickly deliver impact when speed is top priority.*
**What We Look For in You:** 
 In addition to out of the box thinking, attention to detail, a sense of urgency and a high degree of autonomy and accountability, we expect you to have the following skills:
* **Data Modeling Expertise** 
 : Strong understanding of best practices for designing modular and reusable data models (e.g., star schemas, snowflake schemas).
* **Prompt Design and Engineering:** 
 Expertise in prompt engineering and design for LLMs (e.g., GPT), including creating, refining, and optimizing prompts to improve response accuracy, relevance, and performance for internal tools and use cases.
* **Advanced SQL** 
 : Proficiency in advanced SQL techniques for data transformation, querying, and optimization.
* **Intermediate to Advanced Python** 
 : Expertise in scripting and automation, with experience in Object\-Oriented Programming (OOP) and building scalable frameworks.
* **Collaboration and Communication** 
 : Strong ability to translate technical concepts into business value for cross\-functional stakeholders. Proven ability to manage projects and communicate effectively across teams.
* **Data Pipeline Development** 
 : Experience building, maintaining, and optimizing ETL/ELT pipelines, using modern tools like dbt, Airflow, or similar.
* **Data Visualization** 
 : Proficiency in building polished dashboards using tools like Looker, Tableau, Superset, or Python visualization libraries (Matplotlib, Plotly).
* **Development Tools** 
 : Familiarity with version control (GitHub), CI/CD, and modern development workflows.
* **Data Architecture** 
 : Knowledge of modern data lake/warehouse architectures (e.g., Snowflake, Databricks) and transformation frameworks.
* **Business Acumen** 
 : Ability to understand and address business challenges through analytics engineering.
* **Data savvy:** 
 Familiarity with statistics and probability.
* **Bonus Skills** 
 :
+ Experience with cloud platforms (e.g., AWS, GCP).
+ Familiarity with Docker or Kubernetes.
*Disclaimer: Applying for a specific role does not guarantee consideration for that exact position. Leveling and team matching are assessed throughout the interview process.* 
 ID: G2754
 Pay Transparency Notice: Depending on your work location, the target annual salary for this position can range as detailed below. Full time offers from Coinbase also include target bonus \+ benefits (including medical, dental, vision and 401(k)).
 Pay Range:: $180,000 USD \- $212,000 USD
 Please be advised that each candidate may submit a maximum of four applications within any 30\-day period. We encourage you to carefully evaluate how your skills and interests align with Coinbase's roles before applying.
 Commitment to Equal Opportunity
 Coinbase is committed to diversity in its workforce and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Know Your Rights notice
 here
 .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
 click here to download
 a free compatible screen reader
 (free step by step tutorial can be found here)
 .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For US applicants only, by submitting your application you are agreeing to arbitration of disputes as outlined here.</t>
        </is>
      </c>
    </row>
    <row r="27">
      <c r="A27" t="inlineStr">
        <is>
          <t>li-4330525313</t>
        </is>
      </c>
      <c r="B27" t="inlineStr">
        <is>
          <t>Data Engineer</t>
        </is>
      </c>
      <c r="C27" t="inlineStr">
        <is>
          <t>RemoteHunter</t>
        </is>
      </c>
      <c r="D27" t="inlineStr">
        <is>
          <t>linkedin</t>
        </is>
      </c>
      <c r="E27" t="inlineStr"/>
      <c r="F27" t="inlineStr"/>
      <c r="G27" t="inlineStr"/>
      <c r="H27" t="inlineStr"/>
      <c r="I27" t="inlineStr">
        <is>
          <t>About the Opportunity:
 This team is hiring a junior to mid\-level Data Engineer fluent in SQL and Python to build, debug, and maintain production data pipelines and system integrations. The role involves owning these pipelines end to end, partnering with the Business Intelligence team to deliver reliable data, actionable insights, and process automation across the business. The position requires comfort reading, understanding, and improving existing systems, not just building greenfield solutions. The technology stack includes SQL Server, Snowflake, Fivetran, and Python with an emphasis on the Pandas library. Experience with these exact tools is not required, but a solid foundation in SQL and Python is essential.
 Responsibilities:
 • Build and maintain ETL pipelines that ingest and validate source\-system data with minimal transformation.
 • Design and implement SQL transformation layers to create analyst\-ready data models.
 • Build and maintain data integrations via inbound and outbound APIs.
 • Troubleshoot data failures across the entire data pipeline independently.
 • Automate manual processes to improve data delivery and reliability.
 • Create clear documentation for ETL processes, object usage, and data models.
 • Test and validate code changes.
 Requirements:
 • Strong SQL skills to simplify complex logic and messy data into consistent models.
 • Practical experience with Python; familiarity with Pandas is beneficial.
 • Experience integrating external systems using inbound and outbound APIs.
 • Understanding of logging, error handling, and control flow in production data pipelines.
 • Solid knowledge of data architecture and modeling (normalized/denormalized, star/snowflake schemas).
 • Experience using version control with a team, preferably Git.
 • Excellent analytical thinking, problem solving, and communication skills.
 • Ability to work independently, manage priorities, and deliver in a rapidly changing environment.
 • Bachelor’s degree in Computer Science or equivalent experience; non\-traditional candidates encouraged to share relevant projects.
 • Experience maintaining data pipelines and integrations in SQL Server, Snowflake, or similar environments.
 • Experience supporting data ingestion from enterprise systems such as Workday, ERP, or HR platforms.
 • Experience with BI or reporting platforms; strong fundamentals valued over specific tool experience.
 • Relevant certifications are a plus but not required.
 Benefits \&amp; Perks:
 • Remote role based in the U.S. with working hours aligned to Eastern Time.
 • Candidates in Central Time are welcome if able to work an Eastern Time schedule.
 • Strong preference for candidates based in North Carolina.
 Compensation:
 • Determined by experience, skills, and role fit.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8">
      <c r="A28" t="inlineStr">
        <is>
          <t>li-4358311785</t>
        </is>
      </c>
      <c r="B28" t="inlineStr">
        <is>
          <t>Data Engineer</t>
        </is>
      </c>
      <c r="C28" t="inlineStr">
        <is>
          <t>Robert Half</t>
        </is>
      </c>
      <c r="D28" t="inlineStr">
        <is>
          <t>linkedin</t>
        </is>
      </c>
      <c r="E28" t="inlineStr"/>
      <c r="F28" t="inlineStr"/>
      <c r="G28" t="inlineStr">
        <is>
          <t>Lockbourne, OH</t>
        </is>
      </c>
      <c r="H28" t="inlineStr"/>
      <c r="I28" t="inlineStr">
        <is>
          <t>We are looking for a skilled and innovative Data Engineer to join our team in Grove City, Ohio. In this role, you will be responsible for designing and implementing advanced data pipelines, ensuring the seamless integration and accessibility of data across various systems. As a key player in our analytics and data infrastructure efforts, you will contribute to building a robust and scalable data ecosystem to support AI and machine learning initiatives.
 Responsibilities:
 • Design and develop scalable data pipelines to ingest, process, and transform data from multiple sources.
 • Optimize data models to support analytics, forecasting, and AI/ML applications.
 • Collaborate with internal teams and external partners to enhance data engineering capabilities.
 • Implement and enforce data governance, security, and quality standards across hybrid cloud environments.
 • Work closely with analytics and data science teams to ensure seamless data accessibility and integration.
 • Develop and maintain data products and services to enable actionable insights.
 • Troubleshoot and improve the performance of data workflows and storage systems.
 • Align data systems across departments to create a unified and reliable data infrastructure.
 • Support innovation by leveraging big data tools and frameworks such as Databricks and Spark.
 • Demonstrated experience in designing and developing data pipelines and performing ETL processes.
 • Proficiency in programming languages such as Python and big data tools like Apache Spark.
 • Hands\-on experience with cloud platforms, preferably Azure, including Azure Data Factory.
 • Strong understanding of data modeling, warehousing principles, and performance optimization.
 • Familiarity with relational and non\-relational databases, including legacy systems.
 • Knowledge of big data frameworks such as Hadoop and Kafka is highly desirable.
 • Ability to work collaboratively with cross\-functional teams and guide best practices.
 • Self\-motivated and capable of thriving in a fast\-paced environment focused on building new systems.
 Technology Doesn't Change the World, People Do.
 ®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 2025 Robert Half. An Equal Opportunity Employer. M/F/Disability/Veterans. By clicking “Apply Now,” you’re agreeing to Robert Half’s Terms of Use.</t>
        </is>
      </c>
    </row>
    <row r="29">
      <c r="A29" t="inlineStr">
        <is>
          <t>li-4343739504</t>
        </is>
      </c>
      <c r="B29" t="inlineStr">
        <is>
          <t>Senior Data Engineer</t>
        </is>
      </c>
      <c r="C29" t="inlineStr">
        <is>
          <t>ClickUp</t>
        </is>
      </c>
      <c r="D29" t="inlineStr">
        <is>
          <t>linkedin</t>
        </is>
      </c>
      <c r="E29" t="inlineStr"/>
      <c r="F29" t="inlineStr"/>
      <c r="G29" t="inlineStr"/>
      <c r="H29" t="inlineStr"/>
      <c r="I29" t="inlineStr">
        <is>
          <t>At ClickUp, we’re not just building software. We’re architecting the future of work! In a world overwhelmed by work sprawl, we saw a better way. That’s why we created the first truly converged AI workspace, unifying tasks, docs, chat, calendar, and enterprise search, all supercharged by context\-driven AI, empowering millions of teams to break free from silos, reclaim their time, and unlock new levels of productivity. At ClickUp, you’ll have the opportunity to learn, use, and pioneer AI in ways that shape not only our product, but the future of work itself. Join us and be part of a bold, innovative team that’s redefining what’s possible! 🚀
**About The Role**
 We’re looking for a Senior Data Engineer to help shape and scale our modern data platform. This role combines hands\-on technical ownership with strategic influence across our data ecosystem. You’ll work with AWS serverless technologies, Snowflake, dbt, and Terraform to design reliable, scalable, and cost\-effective data pipelines that empower analytics and AI\-driven applications.
 You’ll play a key role in building the foundation that allows us to make smarter, faster, and data\-driven decisions while also enabling AI\-powered products and insights.
 What You’ll Do
* Design, build, and maintain cloud\-native data infrastructure using Terraform for IaC.
* Develop and optimize data pipelines leveraging AWS services (Lambda, Fargate, Step Functions, S3, Kinesis, DynamoDB, Aurora, etc.) and Snowflake.
* Implement ELT workflows within dbt in partnership with our Analytics Engineering function
* Build and maintain LLM frameworks, ensuring high\-quality and cost effective outputs.
* Automate infrastructure and pipeline deployments with CI/CD best practices.
* Monitor, debug, and improve system performance with strong observability and logging practices.
* Partner with cross\-functional teams (analytics, data science, product, engineering) to deliver high\-quality data solutions.
* Mentor teammates and contribute to engineering standards, raising the technical bar across the team.
 What We’re Looking For
* 5\+ years of professional experience in data engineering or software engineering, with emphasis on scalable data systems.
* Deep experience with AWS cloud services (especially Lambda, Fargate, Step Functions, S3, DynamoDB, Aurora).
* Hands\-on expertise in Terraform and/or AWS CDK for managing infrastructure as code.
* Strong knowledge of SQL and experience with Snowflake or another cloud data warehouse.
* Proficiency with dbt and modern ELT patterns.
* Solid coding skills in Python (or another general\-purpose language).
* Experience building pipelines to support AI/ML workflows (feature engineering, training data pipelines, model monitoring).
* Understanding of CI/CD workflows, Git\-based development, and containerization (Docker).
* Knowledge of data quality, governance, and observability best practices.
 Nice to Have
* Experience in both startup and enterprise environments, with ability to adapt to fast\-changing priorities while maintaining quality.
* Familiarity with orchestration frameworks (Airflow, Dagster, Prefect).
* Knowledge of streaming/event\-driven architectures (Kinesis, Kafka).
* Prior experience mentoring or leading engineers.
 Why Join Us
* Work with a modern, cloud\-native stack (AWS serverless, Snowflake, dbt, Terraform/CDK).
* Enable AI use cases by building the pipelines and infrastructure that power them.
* High visibility and impact — your work will directly power decision\-making and revenue
* A culture that values autonomy, collaboration, and continuous learning.
* Competitive compensation, equity, and benefits.
* Opportunities for career growth and leadership as we scale our data function.
 Unsure if you meet all the qualifications of this job description but are deeply excited about the role? We hire based on ambition, grit, and a passion for improving the way people work. If you think ClickUp is the company for you, we encourage you to apply!
 At ClickUp, we assess every candidate based on the potential impact they can have. We hire the best people for the job and support each person’s journey to build their boldest career.
**Equal Opportunity Employer**
*ClickUp is an Equal Opportunity Employer, and qualified applicants will receive consideration for employment without regard to race, color, religion, sex, sexual orientation, gender identity, or national origin.*
**Privacy Notice**
*ClickUp collects and processes personal data in accordance with applicable data protection laws.*
* If you are a European Job Applicant, see our privacy policy for further details.
* If you are a Philippine Job Applicant, see our privacy policy and our Philippine Data Privacy Notice for further details.
**Visa Sponsorship**
*Please note we are unable to sponsor or take over sponsorship of an employment visa for roles outside of engineering and product at this time. Sponsorship for engineering and product roles is not guaranteed, but is instead based on the business needs for that specific role at that time. Please reach out to the recruiter with any questions.*
**Fraud Alert**
 ClickUp Talent Acquisition will only initiate contact via an
 **@** 
**clickup.com** 
 email or through our official careers portal on clickup.com. We will never request fees, payments, or sensitive personal information. Please disregard any offers received outside these channels and report them to support@clickup.com.
 Compensation Range: $145K \- $165K</t>
        </is>
      </c>
    </row>
    <row r="30">
      <c r="A30" t="inlineStr">
        <is>
          <t>li-4330476073</t>
        </is>
      </c>
      <c r="B30" t="inlineStr">
        <is>
          <t>Data Engineer</t>
        </is>
      </c>
      <c r="C30" t="inlineStr">
        <is>
          <t>Texas811</t>
        </is>
      </c>
      <c r="D30" t="inlineStr">
        <is>
          <t>linkedin</t>
        </is>
      </c>
      <c r="E30" t="inlineStr"/>
      <c r="F30" t="inlineStr"/>
      <c r="G30" t="inlineStr"/>
      <c r="H30" t="inlineStr"/>
      <c r="I30" t="inlineStr">
        <is>
          <t>**Classification** 
 Exempt
**Reports to** 
 Chief Innovation Officer (CiNO)
**Location** 
 North Texas (Dallas – Fort Worth area) Hybrid or Remote Option Available
**Summary/Objective** 
 The Data Engineer is a hands\-on technical contributor responsible for designing, developing, and optimizing data pipelines, integrations, and data products. This role ensures that enterprise data is reliable, accessible, and ready for use in BI dashboards, self\-service reporting, and predictive analytics. The Data Engineer partners with BI Engineers, analysts, and stakeholders to translate requirements into robust solutions while fostering a culture of scalability, reusability, and innovation.
**Direct Reports** 
 N/A
**Essential Functions** 
 Reasonable accommodations may be made to enable individuals with disabilities to perform the essential functions.
* Design, build, and maintain our modern data platform using Microsoft Fabric, including Dataflow Gen2, Lakehouse, and data pipelines.
* Support, enhance, and troubleshoot legacy ETL systems, primarily SSIS packages and related SQL Server jobs, to ensure business continuity.
* Develop and optimize complex SQL queries, stored procedures, and scripts to integrate and transform data from diverse sources, including Azure SQL and Azure PostgreSQL.
* Use Python for advanced data manipulation, automation, data quality checks, and transformation tasks within the Fabric environment.
* Lead the technical effort to translate complex, legacy SQL\-based logic from SSIS and stored procedures into modern, efficient Fabric pipelines and data models.
* Implement and manage data quality checks, monitoring, and alerts. You will be responsible for query performance tuning and ensuring data accuracy, reliability, and freshness.
* Partner with the BI Engineer to define data requirements, co\-design data models, and deliver high\-quality, conformed datasets ready for analysis.
* Champion data engineering best practices, including version control (Git), data governance, and comprehensive documentation.
**Competencies** 
* Builds and maintains a modern data platform using Microsoft Fabric, while supporting legacy SSIS\-based ETL systems.
* Develops and optimizes complex SQL queries and scripts across relational databases, including SQL Server, Azure SQL, and PostgreSQL.
* Uses Python for data manipulation, automation, data quality checks, and transformation tasks.
* Implements data quality monitoring, alerts, and performance tuning to ensure data accuracy and reliability.
* Partners with BI Engineers and stakeholders to define data requirements and deliver analysis\-ready datasets.
* Designs, builds, and maintains data pipelines and integrations to support analytics and reporting
**Required Education and Experience** 
* 5\+ years of progressive experience in data engineering, ETL development, or a backend\-focused data role.
* 5\+ years of advanced\-to\-expert proficiency with SQL and relational databases (e.g., MS SQL Server, Azure SQL, PostgreSQL).
* 5\+ years developing and maintaining data pipelines, with hands\-on experience in SSIS and a modern cloud ETL tool (e.g., Azure Data Factory or Fabric).
* 3\+ years of strong proficiency with Python for data manipulation and automation.
* Proven experience developing and maintaining data warehouses or lakehouses in a cloud environment (e.g., Azure Synapse, Snowflake, or Fabric).
**Preferred Skills:** 
* Bachelor’s degree in Computer Science, Data Engineering, or a related field.
* Direct, hands\-on experience with Microsoft Fabric components (Dataflow Gen2, Pipelines, Lakehouse) is a significant plus.
* Experience using BI tools like Power BI (to understand the end\-user's perspective).
* Proficiency with Git for collaboration and code management.
* Experience with Azure DevOps (or similar Agile tools).
**Travel** 
 This position requires the ability to conduct business travel as needed; which may include frequent travel outside the local area and overnight.
**Work Environment** 
 This job operates primarily in a remote professional office environment. 
 This role routinely uses standard office equipment such as computers, phones, photocopiers, filing 
 cabinets and fax machines.
**Physical Demands/ADA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talk or hear. This is largely a sedentary role; and individuals may need to sit or stand for long periods of time. Individuals must be able to type, operate telephones, computer equipment, and audio headphones. May require walking primarily on a level surface for periodic periods throughout the day. Reaching above shoulder heights, below the waist or lifting as required to file documents or store materials throughout the work day.
**Other Duties** 
 Please note this job description is not designed to cover or contain a comprehensive listing of activities; duties or responsibilities that are required of the employee for this job. Duties, responsibilities and activities may change at any time with or without notice.</t>
        </is>
      </c>
    </row>
    <row r="31">
      <c r="A31" t="inlineStr">
        <is>
          <t>li-4358371282</t>
        </is>
      </c>
      <c r="B31" t="inlineStr">
        <is>
          <t>Senior Data Engineer</t>
        </is>
      </c>
      <c r="C31" t="inlineStr">
        <is>
          <t>FOL Management</t>
        </is>
      </c>
      <c r="D31" t="inlineStr">
        <is>
          <t>linkedin</t>
        </is>
      </c>
      <c r="E31" t="inlineStr"/>
      <c r="F31" t="inlineStr"/>
      <c r="G31" t="inlineStr">
        <is>
          <t>Miami, FL</t>
        </is>
      </c>
      <c r="H31" t="inlineStr"/>
      <c r="I31" t="inlineStr">
        <is>
          <t>**About The Company**
 At Flow, we’re reimagining what it means to live, work, and connect. More than just a real estate company, Flow is a brand, a technology platform, and an operations ecosystem spanning condominiums, hotels, multifamily residences, and office spaces. We’re building a new kind of living experience: one that’s flexible, connected, and designed to create genuine community and real value for the people who call Flow home.
 Our mission is oneness: prioritizing our residents and their experiences, and fostering connection with ourselves, their neighbors, and the natural world. By putting people at the center of everything we do, we’re creating vibrant, human\-centered communities where life, work, creativity, and play all come together in one place.
**About The Role**
 As a member of Flow's data team, you will shape the data architecture and strategy that powers decision\-making across our multifamily real estate portfolio. We're seeking a Senior Data Engineer who excels at designing robust data solutions while working directly with the people who use them daily—property managers, leasing directors, and marketing teams.
 This isn't a role where you build pipelines in isolation and hand them off. You'll be embedded with operations teams, translating their real\-world problems into elegant technical solutions. When a property manager says "tours are down this week," you'll investigate data quality, understand operational context, and deliver actionable insights—not just a dashboard. Your work will directly impact leasing decisions, marketing budget allocation, and portfolio strategy.
 At Flow, we're building sophisticated data infrastructure for the modern real estate industry. We leverage cloud\-native technologies and AI\-assisted development to move fast while maintaining production\-grade quality. You'll use tools like Claude Code and GitHub Copilot as force multipliers, which means strong written communication isn't optional—it's how you work effectively. If you can write clear prompts, documentation, and stakeholder updates, AI amplifies your impact. If you can't, it becomes a liability.
 We value engineers who think critically, work independently, and own problems end\-to\-end. You'll have significant autonomy to scope projects, make architectural decisions, and challenge assumptions when data doesn't support stakeholder hypotheses.
 Finally, we believe employees are better together. Every position at Flow has an onsite or in\-office requirement.
**Responsibilities:**
* Design, build, and maintain data pipelines and architecture using Snowflake, dbt, and AWS
* Implement scalable ETL processes and data models that power analytics across the organization
* Build data solutions for complex challenges like entity resolution, multi\-system attribution, and household matching
* Work directly with operations teams (leasing, marketing, property management) to translate daily workflow challenges into data solutions
* Own problems end\-to\-end: from stakeholder conversations through implementation to dashboard deployment and adoption
* Document architectural decisions and explain technical tradeoffs to non\-technical stakeholders in clear, jargon\-free language
* Use AI coding assistants (Claude Code, GitHub Copilot) to accelerate development while maintaining production\-quality code
* Write effective prompts for AI tools and review generated solutions critically—knowing when to trust AI and when to take over
**Ideal Background:**
* A minimum of 7 years of data engineering experience building scalable data systems in operations\-heavy, data\-forward organizations (not big tech)
* Experience working in product \&amp; operations\-heavy environments where data directly impacts daily business decisions
* Deep expertise in data modeling with dbt—you understand how to model around the deficiencies and quirks of upstream operational systems
* Strong written and verbal communication skills—comfortable writing clear documentation, effective AI prompts, and explaining technical concepts to non\-technical stakeholders
* High proficiency in SQL, Python, and modern data stack technologies (Snowflake, Fivetran, Dagster/Airflow, dbt)
* Deep understanding of the principles and challenges of ensuring high availability, fault tolerance, and efficiency in distributed data systems
* A keen ability to strike a balance between elegant design and pragmatic tradeoffs, all while prioritizing continuous delivery of value to the business
* Experience building data solutions in fast\-moving startup environments
* Strong analytical skills with an inherent curiosity to understand and solve complex business problems through data
**Benefits**
* Comprehensive Benefits Package (Medical / Dental / Vision / Disability / Life)
* Paid time off and 13 paid holidays
* 401(k) retirement plan
* Healthcare and Dependent Care Flexible Spending Accounts (FSAs)
* Access to HSA\-compatible plans
* Pre\-tax commuter benefits
* Employee Assistance Program (EAP), free therapy through SpringHealth, acupuncture, and other wellness offerings
 Flow is proud to be an equal opportunity workplace and hires regardless of race, color, ancestry, religion, sex, national origin, sexual orientation, age, citizenship, marital status, disability, gender identity and/or expression, pregnancy, Veteran status any other characteristic protected by federal, state or local law. In addition, we provide reasonable accommodation for qualified individuals with disabilities.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2">
      <c r="A32" t="inlineStr">
        <is>
          <t>li-4343930198</t>
        </is>
      </c>
      <c r="B32" t="inlineStr">
        <is>
          <t>Software Engineer II - Data Engineer</t>
        </is>
      </c>
      <c r="C32" t="inlineStr">
        <is>
          <t>The Trade Desk</t>
        </is>
      </c>
      <c r="D32" t="inlineStr">
        <is>
          <t>linkedin</t>
        </is>
      </c>
      <c r="E32" t="inlineStr"/>
      <c r="F32" t="inlineStr"/>
      <c r="G32" t="inlineStr">
        <is>
          <t>Seattle, WA</t>
        </is>
      </c>
      <c r="H32" t="inlineStr"/>
      <c r="I32" t="inlineStr">
        <is>
          <t>The Trade Desk is a global technology company with a mission to create a better, more open internet for everyone through principled, intelligent advertising. Handling over 1 trillion queries per day, our platform operates at an unprecedented scale. We have also built something even stronger and more valuable: an award\-winning culture based on trust, ownership, empathy, and collaboration. We value the unique experiences and perspectives that each person brings to The Trade Desk, and we are committed to fostering inclusive spaces where everyone can bring their authentic selves to work every day.
 Do you have a passion for solving hard problems at scale? Are you eager to join a dynamic, globally\- connected team where your contributions will make a meaningful difference in building a better media ecosystem? Come and see why Fortune magazine consistently ranks The Trade Desk among the best small\- to medium\-sized workplaces globally.
**What We Do**
 This specialized role is within the Technology operations group of The Trade Desk’s Engineering. This group is focused on delivering world\-class solutions for Enterprise needs within The Trade Desk.
 We are seeking a skilled and motivated Software Engineer II \- Data Engineer to join our growing data team. In this mid\-level role, you will be instrumental in developing, building, and maintaining the data pipelines and architecture that enable our organization to turn raw data into actionable insights. You will work on complex data problems, collaborate with cross\-functional teams, and help ensure the reliability, efficiency, and quality of our data systems.
**What you’ll do:**
* Data Pipeline Development: Design, build, and optimize scalable ETL/ELT pipelines for both batch and real\-time data processing from disparate sources.
* Infrastructure Management: Assist in the design and implementation of data storage solutions, including data warehouses and data lakes (e.g., Snowflake, S3, Spark), ensuring they are optimized for performance and cost efficiency.
* Data Quality and Governance: Implement data quality checks, monitor data pipeline performance, and troubleshoot issues to ensure data accuracy, reliability, and security, adhering to compliance standards (e.g., GDPR, CCPA).
* Collaboration: Work closely with product managers, data scientists, business intelligence analysts, and other software engineers to understand data requirements and deliver robust solutions.
* Automation and Optimization: Automate data engineering workflows using orchestration tools (e.g., Apache Airflow, Dagster, Azure Data Factory) and implement internal process improvements for greater scalability.
* Mentorship: Participate in code reviews and provide guidance or mentorship to junior team members on best practices and technical skills.
* Documentation: Produce comprehensive and usable documentation for datasets, data models, and pipelines to ensure transparency and knowledge sharing across teams.
**Who you are:**
* Bachelor's degree in computer science, information security, or a related field, or equivalent work experience. Masters degree preferred.
* 4\+ years of experience in a Data engineering role and have a broad understanding of Data Modeling, SQL, OLAP, and ETL required. Experience working with data pipelines including data modeling at petabyte scale is a bonus.
* 4\+ years of experience working with multiple database platforms by designing and implementing data and analytics solutions using technologies such as Snowflake, Databricks, Vertica, SQL Server, andMySQL required.
* 4\+ years of experience required in one or more programming languages,particularly SQL. Proficiency in the following programming languages also required: PL/SQL, Python, C\#, Scala or Java.
* Experience with workflow technologies like Spark, Airflow, Glue, Prefect or Dagster required
* Experience with version control systems, specifically Git required.
* Familiarity with DevOps best practices and automation of processes like building, configuration, deployment, documentation, testing, and monitoring.
* Understanding BI and reporting platforms required, awareness of industry trends in the BI/reporting space, and how it can apply to an organization’s product strategies.
* AdTech industry and its trends preferred.
* Experience with containerization tools like Docker and Kubernetes preferred.
* Familiarity with data modeling and data warehousing concepts preferred.
* Basic understanding of machine learning concepts and how models work.
* Strong analytical and problem\-solving skills with attention to detail.
* Excellent communication and collaboration skills to work effectively with diverse teams and stakeholders.
* A proactive and continuous learning mindset.
*The Trade Desk does not accept unsolicited resumes from search firm recruiters. Fees will not be paid in the event a candidate submitted by a recruiter without an agreement in place is hired; such resumes will be deemed the sole property of The Trade Desk. The Trade Desk is an equal opportunity employer. All aspects of employment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***\[LA JOBS ONLY]** 
 The Trade Desk will consider qualified applicants with criminal histories for employment in a manner consistent with the requirements of the Los Angeles Fair Chance Initiative for Hiring, Ordinance No. 184652\.*
***\[SF JOBS ONLY]** 
 Pursuant to the San Francisco Fair Chance Ordinance, we will consider for employment qualified applicants with arrest and conviction records.*
**CO, CA, IL, NY, WA, and Washington DC residents only:** 
 In accordance with CO, CA, IL, NY, WA, and Washington DC law, the range provided is The Trade Desk's reasonable estimate of the base compensation for this role. The actual amount may differ based on non\-discriminatory factors such as experience, knowledge, skills, abilities, and location. All employees may be eligible to become The Trade Desk shareholders through eligibility for stock\-based compensation grants, which are awarded to employees based on company and individual performance. The Trade Desk also offers other compensation depending on the role such as sales\-based incentives and commissions. Plus, expected benefits for this role include comprehensive healthcare (medical, dental, and vision) with premiums paid in full for employees and dependents, retirement benefits such as a 401k plan and company match, short and long\-term disability coverage, basic life insurance, well\-being benefits, reimbursement for certain tuition expenses, parental leave, sick time of 1 hour per 30 hours worked, vacation time for full\-time employees up to 120 hours thru the first year and 160 hours thereafter, and around 13 paid holidays per year. Employees can also purchase The Trade Desk stock at a discount through The Trade Desk’s Employee Stock Purchase Plan.
 The Trade Desk also offers a competitive benefits package. Click here to learn more.
**Note:** 
 Interns are not eligible for variable incentive awards such as stock\-based compensation, retirement plan, vacation, tuition reimbursement or parental leave
 At the Trade Desk, Base Salary is one part of our competitive total compensation and benefits package and is determined using a salary range. The base salary range for this role is
 $103,200—$189,200 USD
 As an Equal Opportunity Employer, The Trade Desk is committed to creating an inclusive hiring experience where everyone has the opportunity to thrive.
 Please reach out to us at accommodations@ thetradedesk. com to request an accommodation or discuss any accessibility needs you may require to access our Company Website or navigate any part of the hiring process.
 When you contact us, please include your preferred contact details and specify the nature of your accommodation request or questions. Any information you share will be handled confidentially and will not impact our hiring decisions.</t>
        </is>
      </c>
    </row>
    <row r="33">
      <c r="A33" t="inlineStr">
        <is>
          <t>li-4343766937</t>
        </is>
      </c>
      <c r="B33" t="inlineStr">
        <is>
          <t>Analytics Engineer Manager</t>
        </is>
      </c>
      <c r="C33" t="inlineStr">
        <is>
          <t>StubHub</t>
        </is>
      </c>
      <c r="D33" t="inlineStr">
        <is>
          <t>linkedin</t>
        </is>
      </c>
      <c r="E33" t="inlineStr"/>
      <c r="F33" t="inlineStr"/>
      <c r="G33" t="inlineStr">
        <is>
          <t>Los Angeles, CA</t>
        </is>
      </c>
      <c r="H33" t="inlineStr"/>
      <c r="I33" t="inlineStr">
        <is>
          <t>StubHub is on a mission to redefine the live event experience on a global scale. Whether someone is looking to attend their first event or their hundredth, we’re here to delight them all the way from the moment they start looking for a ticket until they step through the gate. The same goes for our sellers. From fans selling a single ticket to the promoters of a worldwide stadium tour, we want StubHub to be the safest, most convenient way to offer a ticket to the millions of fans who browse our platform around the world.
 StubHub’s Finance and Strategy AE team builds the data foundations and analytics products that produce robust accounting primitives and enable accurate, timely, and actionable insights for Finance, Leadership, and strategic teams. Our mission is to empower high quality financial reporting, data\-informed decision making, and strategic planning by owning the models, pipelines, metrics, and executive tools that structure how the company understands performance.
**About The Role**
 This leader will shape the analytics engineering foundation for the finance domain and drive the systems that power executive visibility and company strategy. The team owns the definition and implementation of the company’s top level business KPIs, the data used for financial reporting, and the tools that guide strategic decisions. The role carries direct exposure to senior leadership, broad cross\-functional influence, and significant responsibility for aligning financial signals with business analytics.
 You will guide the ongoing development of critical pipelines, mature executive reporting, and accelerate our ability to generate insights efficiently. If you are comfortable blending data architecture, analytics engineering, and business strategy, and enjoy mentoring talent while shaping both systems and decisions, this is a high impact role you may be interested in!
*Location: Hybrid (3 days in office/2 days remote) – Santa Monica, CA or New York, NY*
**What You'll Do**
* Drive measurable impact \- Identify high leverage analytics engineering and financial data problems, define clear success metrics, and deliver solutions that improve reporting accuracy, operational efficiency, and decision quality. Champion efforts that tie together financial and business analytics into one coherent narrative.
* Raise the bar on talent density \- Hire and develop analytics engineers across multiple levels. Coach individuals through both technical and strategic problem solving. Build a culture that strengthens ownership, trust, and technical excellence.
* Advance data quality and governance \- Maintain a high quality data foundation for the finance domain. Champion modeling standards, documentation, observability, and structured KPI definitions. Ensure executive reporting and top level business metrics are accurate, consistent, and well understood.
* Elevate analytics platforms and architecture \- Own the evolution of pipelines, modeling frameworks, and analytics tooling across our data stack. Partner with DE and FinTech platform teams to elevate existing platform capabilities.
* Expand executive reporting and insights \- Guide product discovery and prioritization for new executive dashboards, KPIs, and decision support tools. Establish clear ownership models, improve adoption, and scale reporting that informs C\-staff and business leaders.
* Foster team health \- Build an inclusive environment with psychological safety, clarity, and shared accountability. Support teammates in their growth and careers.
* Partner across the business \- Collaborate with FP\&amp;A, Strategy, Finance, Data Science, and Engineering to align on priorities, integrate financial and operational signals, and deliver analytics products that directly influence company strategy.
**What Success Looks Like**
* A trusted, well governed financial data foundation that enables accurate and efficient reporting.
* Clear, stable ownership of top level KPIs and executive reporting tools.
* Demonstrable increases in data quality, modeling consistency, and reduction of legacy debt.
* Improved alignment between financial metrics and business analytics that enhances strategic storytelling.
* A high performing team with visible growth, strong engagement, and expanded analytical leverage through automation or AI assisted workflows.
**What You've Done**
* 10 or more years of experience in data engineering, analytics engineering, or similar roles building production grade datasets and analytical systems.
* 2 or more years of people leadership experience with a track record of hiring, developing, and inspiring technical teams.
* Deep experience with modern cloud computing (we use Airflow, dbt, and Snowflake) along with strong SQL and data modeling foundations.
* Background partnering with Finance and/or business analytics teams and familiarity with financial reporting, forecasting, and KPI development.
* Experience leading cross functional initiatives with Data Engineering, Data Science, and Finance.
* Ability to drive execution, define clear metrics, and communicate effectively with technical and executive stakeholders.
* Strong judgment, comfort with ambiguity, and a habit of candid, constructive feedback.
* A reputation for building trust, elevating talent, and serving as a cultural anchor for teams.
**What We Offer**
* Accelerated Growth Environment: An environment designed for swift skill and knowledge enhancement, where you have the autonomy to lead experiments and tests on a massive scale.
* Top Tier Compensation Package: Competitive base, equity, and upside that tracks with your impact.
* Flexible Time Off: Enjoy unlimited Flex Time Off, giving you the flexibility to manage your schedule and take time to recharge as needed.
* Comprehensive Benefits Package: Prioritize your well\-being with a comprehensive benefits package, featuring 401k, and premium Health, Vision, and Dental Insurance options.
 The anticipated gross base pay range is below for this role. Actual compensation will vary depending on factors such as a candidate’s qualifications, skills, experience, and competencies. Base annual salary is one component of StubHub’s total compensation and competitive benefits package, which includes equity, 401(k), paid time off, paid parental leave, and comprehensive health benefits.
 Salary Range
 $300,000—$400,000 USD
**About Us**
 StubHub is the world’s leading marketplace to buy and sell tickets to any live event, anywhere. Through StubHub in North America and viagogo, our international platform, we service customers in 195 countries in 33 languages and 49 available currencies. With more than 300 million tickets available annually on our platform to events around the world \-\- from sports to music, comedy to dance, festivals to theater \-\- StubHub offers the safest, most convenient way to buy or sell tickets to the most memorable live experiences. Come join our team for a front\-row seat to the action.
 For California Residents: California Job Applicant Privacy Notice found here
**We are an equal opportunity employer and value diversity on our team. We do not discriminate on the basis of race, color, religion, sex, national origin, gender, sexual orientation, age, disability, veteran status, or any other legally protected status.**</t>
        </is>
      </c>
    </row>
    <row r="34">
      <c r="A34" t="inlineStr">
        <is>
          <t>li-4358200054</t>
        </is>
      </c>
      <c r="B34" t="inlineStr">
        <is>
          <t>3-Senior Data Engineers Needed | Major NYC Hospital | Hybrid | Salary + Bonus</t>
        </is>
      </c>
      <c r="C34" t="inlineStr">
        <is>
          <t>Integris Group</t>
        </is>
      </c>
      <c r="D34" t="inlineStr">
        <is>
          <t>linkedin</t>
        </is>
      </c>
      <c r="E34" t="inlineStr"/>
      <c r="F34" t="inlineStr"/>
      <c r="G34" t="inlineStr"/>
      <c r="H34" t="inlineStr"/>
      <c r="I34" t="inlineStr">
        <is>
          <t>Integris Group is partnering with a leading New York City hospital to hire
 **(3\) Senior Data Engineers** 
 for full\-time, permanent roles.
 This is a
 **Hybrid position
 *(4 days Onsite, 1 Day Remote – no exceptions)***
 offering a competitive salary, annual bonus, 401(k), PTO, and top\-tier medical, dental, and vision benefits, along with additional excellent company perks.
**Job Title:** 
 5\-Senior Data Engineer's
**Location:** 
 New York, NY
**Position Type:** 
***Full\-Time, Hybrid (4 day's Onsite \| 1 day Remote)***
**About the Role:** 
 Our client is seeking 5 highly motivated and experienced Senior Data Engineer to join their data team and help design, build, and optimize their modern data platform. You will work with tools such as
 **Snowflake, Fivetran, and DBT** 
 to create scalable, high\-performance data pipelines and analytics solutions. This role will be instrumental in enabling advanced analytics, machine learning, and data\-driven decision\-making across the organization. The job itself is not just architecture (these senior engineers will do some as they are designing the data models, pipelines, version control, governance, etc.), but then they will also execute (engineer) \&amp; deliver that work.
**Key Responsibilities:** 
* Design, build, and maintain robust, scalable, and secure ETL/ELT pipelines.
* Develop and optimize data models to support analytics, BI, and machine learning use cases.
* Partner closely with data analysts, scientists, and business stakeholders to translate requirements into technical solutions.
* Monitor, tune, and optimize data processing workflows for efficiency, scalability, and cost\-effectiveness.
* Troubleshoot pipeline failures and performance issues quickly and effectively.
* Support production workflows through CI/CD pipelines and version control (Git).
* Ensure data quality, integrity, and governance across the data lifecycle.
* Prototype and research new tools, technologies, and architectures for improving the existing data infrastructure.
**The ideal candidate has:** 
* Bachelor’s or Master’s degree in Computer Science, Engineering, Information Systems, or equivalent experience.
* Hands\-on experience with cloud\-based data warehouse platforms (e.g.
 **Snowflake** 
 ).
* Experience designing and deploying data pipelines using orchestration tools like
 **DBT** 
*or* 
**Airflow.**
* 5\+ years’ experience supporting data\-driven or ML applications in production environments.
* Understanding of modern data architecture, ELT/ETL best practices, and cloud data platforms i.e. (Azure or AWS or GCP).
* Ability to analyze large datasets to identify data quality issues and other contextual insights.
* Experience in developing data models for integration and analysis that support business intelligence and data analytics initiatives.
* Experience with CI/CD and version control tools (e.g. Git).
* Proficiency with SQL and experience in at least one programming language (e.g., Python, Scala).
* A proven ability to operate in a fast\-paced work environment.
* Excellent communication and organizational skills with a demonstrated team orientation with strong ability to drive projects autonomously as needed.
**We’d like to see:** 
* Familiarity with Infrastructure as Code (IaC), and containerization (Docker, Kubernetes).
* Knowledge of data governance, security, and compliance frameworks.
* Experience in data modeling for large\-scale distributed data warehouses with a strong understanding of design trade\-offs and best practices.</t>
        </is>
      </c>
    </row>
    <row r="35">
      <c r="A35" t="inlineStr">
        <is>
          <t>li-4343549476</t>
        </is>
      </c>
      <c r="B35" t="inlineStr">
        <is>
          <t>Senior Data Engineer</t>
        </is>
      </c>
      <c r="C35" t="inlineStr">
        <is>
          <t>Berkley Technology Services</t>
        </is>
      </c>
      <c r="D35" t="inlineStr">
        <is>
          <t>linkedin</t>
        </is>
      </c>
      <c r="E35" t="inlineStr"/>
      <c r="F35" t="inlineStr"/>
      <c r="G35" t="inlineStr">
        <is>
          <t>Urbandale, IA</t>
        </is>
      </c>
      <c r="H35" t="inlineStr"/>
      <c r="I35" t="inlineStr">
        <is>
          <t>**Company Details**
 Company URL: https://www.berkleytechnologyservices.com/
 Berkley Technology Services (BTS) is the dynamic technology solution for W. R. Berkley Corporation, a Fortune 500 Commercial Lines Insurance Company. With key locations in Urbandale, IA and Wilmington, DE, BTS provides innovative and customer\-focused IT solutions to the majority of WRBC’s 60\+ operating units across the globe. BTS’s wide reach ensures that ideas and opinions are considered at every level of the organization to guarantee we find the best solutions possible.
 Driven by a commitment to collaboration, BTS acts as consultants to our customers and Operating Units by providing comprehensive solutions that not only address the challenge at hand, but proactively plan for the “What’s Next” in our industry and beyond.
 With a culture centered on innovation and entrepreneurial spirit, BTS stands as a community of technology leaders with eyes toward the future \-\- leaders who truly care about growing not only their team members, but themselves, and take pride in their employees who shine. BTS offers endless ways to get involved and have the chance to grow your career into a wide range of roles you'd never known existed. Come join us as we push forward into the future of industry leading technological solutions.
 Berkley Technology Services: Right Team, Right Technology, Simple and Secure.
**Responsibilities**
 This
 **Sr. Data Engineer** 
 will be providing data development at an advanced complexity level such as ETL, cube creation, adhoc and management reporting, dashboard and data extract creation. This individual will work within a team environment that provides data resource development and support for several companies. They will be responsible for analyzing, designing and coding solutions for rapidly growing companies supporting the property \&amp; casualty insurance industry.
* Requires an in depth understanding of insurance related reporting and insurance company operations
* Demonstrates a robust understanding of all the business data processes/processing, system interfaces, and where/how that data is used, and the related data structures
* Design and implementation of ETL process, data structure and the analytical/operational reporting environment
* Can design significant new system functionality with a consideration of performance, stability, and supportability
* Thorough understanding of industry best practices. Includes but not limited to modeling, workflow and presentation
* Design and implement data extracts both inbound and outbound for internal and external sources
* Requires strong organizational and communication skills
* Demonstrates problem\-solving skills that span the application, middleware, and infrastructure levels \- thorough upstream/downstream impact analysis
* Assists in defining standards and design patterns/paradigms for data processes and/or structures for development within a team
* Provides guidance on BTS development standards and quality expectations to BTS or company resources entering the job family
* Demonstrates understanding of data processes and/or structures
* Will be required to communicate directly with employees at all levels up to the senior level, within company and client companies
* Will provide mentorship to others
* Will develop sphere of influence with other teams
* Will be required to communicate and coordinate within the team
* May be responsible for on\-call rotation
* Some travel required up to 20%
**Qualifications**
* 10 \+ years \- reasonable single system / single technology knowledge
* 10 \+ years SQL experience. (queries, stored procedures, functions)
* Must have demonstrated the capability of meeting the key accountabilities, or have the ability to learn/perform them
* A self\-motivated individual with a passion for success
* Needs to be able to determine how changes impact customer and other systems
* Excellent communication and organizational skills
* Ability to work in a fast\-paced team environment
* Ability to quickly adapt and learn new technologies
* Ability to work independently
* Strong customer and business focus Behavioral Core Competencies
* Technically Astute
* Managing Information
* Customer Service Oriented
* Business Knowledge
* Influential
* Conceptual Thinking
* Bachelor’s degree with emphasis in related field or equivalent experience.
 The Company is an equal employment opportunity employer.
**Sponsorship Details**
 Sponsorship not Offered for this Role</t>
        </is>
      </c>
    </row>
    <row r="36">
      <c r="A36" t="inlineStr">
        <is>
          <t>li-4330078590</t>
        </is>
      </c>
      <c r="B36" t="inlineStr">
        <is>
          <t>Senior Analytics Engineer</t>
        </is>
      </c>
      <c r="C36" t="inlineStr">
        <is>
          <t>Gigster</t>
        </is>
      </c>
      <c r="D36" t="inlineStr">
        <is>
          <t>linkedin</t>
        </is>
      </c>
      <c r="E36" t="inlineStr"/>
      <c r="F36" t="inlineStr"/>
      <c r="G36" t="inlineStr"/>
      <c r="H36" t="inlineStr"/>
      <c r="I36" t="inlineStr">
        <is>
          <t>***Contiguous US states, 5\+ y of relevant exp, AWS, healthcare data, dbt, SQL, Snowflake or BigQuery or Redshift, Airflow, Git, CI/CD. No sponsorship available, sorry.***
**About Virtasant** 
 Virtasant is a global technology services company with a network of over 4,000 technology professionals across 130\+ countries. We specialize in cloud architecture, infrastructure, migration, and optimization, helping enterprises scale efficiently while maintaining cost control.
 Our clients range from Fortune 500 companies to fast\-growing startups, relying on us to build high\-performance infrastructure, optimize cloud environments, and enable continuous delivery at scale.
**About the role** 
 We’re looking for a Senior Analytics Engineer to join us and work with our client's Data Platform team. Our client is a leading healthcare technology company, dedicated to transforming the patient and provider experience through innovative, data\-driven solutions.
 You will bring deep expertise in data modeling, transformation design, and analytics\-focused engineering. In this role, you’ll build and optimize the semantic and transformation layers that power analytics across the organization. You’ll architect
 **dbt** 
 models, implement data quality frameworks, standardize metrics, and improve the discoverability and reliability of our client's analytics ecosystem. You’ll partner closely with data engineers, analysts, product, and platform teams to elevate how the company uses and trusts data.
**What You’ll Do** 
* **Build and optimize dbt models, dimensional structures, and semantic layers.**
* Develop high\-quality
 **SQL transformations** 
 and
 **reusable analytics datasets.**
* Implement
 **data tests, validation frameworks,** 
 and
 **lineage visibility.**
* Collaborate with data engineers and analysts to
 **productionize pipelines.**
* **Document models, metrics, and business logic** 
 for cross\-team use.
**What We’re Looking For** 
* You have to live in the
 **contiguous United States** 
 and have all the necessary documentation to work under an independent contractor agreement.
 **We cannot offer sponsorships or sponsorship transfers, so unfortunately, we CANNOT consider candidates on H1B, OPT, EAD, or CPT visas.**
**Must\-Have Experience** 
* **5\+ years** 
 of experience in
 **analytics engineering, BI engineering, or data engineering** 
 working with
 **AWS** 
 .
* 
* **3\+ years of experience in healthcare** 
 , particularly demonstrated experience with
 **processing healthcare data.**
* 
* **Expert SQL** 
 and
 **production\-grade dbt** 
 experience (
 **core or Cloud** 
 ) for building
 **modular, tested, and scalable transformation pipelines.**
* 
* Strong
 **data modeling skills** 
 , including
 **dimensional modeling, semantic layer design, and standardized metric definitions.**
* 
* Hands\-on experience with a major cloud data warehouse (
 **Snowflake, BigQuery, Redshift,** 
 etc.) and understanding of
 **performance optimization.**
* 
* Familiarity with orchestration tools (
 **Airflow, Dagster, Prefect)** 
 for scheduling and operationalizing
 **data transformations.**
* Solid engineering fundamentals, including
 **Git, CI/CD pipelines, testing, and documentation** 
 in a modern software development workflow.
* Proven cross\-functional collaboration with analysts, data engineers, and product teams to translate business needs into scalable data models.
**Nice\-to\-haves** 
* Experience building internal developer platforms or data portals
* Exposure to
 **Kafka, catalogs, or lineage tools**
* Experience with
 **Tableau**
**Our recruitment process** 
* Recruiter interview (30 min)
* Technical Interview (45 min)
* Screening interview with the client's hiring manager (30 min)
* Client technical interview (45 min)
* A team interview with the team's Project Manager (30 min)
 We strive to move efficiently from step to step so that the recruitment process can be as fast as possible.
**What we offer** 
* Totally remote within the contiguous United States, full\-time (40h/week)
* Stable, long\-term independent contract agreement
* Work hours \- US Eastern time office hours</t>
        </is>
      </c>
    </row>
    <row r="37">
      <c r="A37" t="inlineStr">
        <is>
          <t>li-4343747945</t>
        </is>
      </c>
      <c r="B37" t="inlineStr">
        <is>
          <t>Data Engineer, Life Sciences Technology Solutions</t>
        </is>
      </c>
      <c r="C37" t="inlineStr">
        <is>
          <t>Guidehouse</t>
        </is>
      </c>
      <c r="D37" t="inlineStr">
        <is>
          <t>linkedin</t>
        </is>
      </c>
      <c r="E37" t="inlineStr"/>
      <c r="F37" t="inlineStr"/>
      <c r="G37" t="inlineStr">
        <is>
          <t>District of Columbia, United States</t>
        </is>
      </c>
      <c r="H37" t="inlineStr"/>
      <c r="I37" t="inlineStr">
        <is>
          <t>**Job Family**
 Software Development \&amp; Support
**Travel Required**
 Up to 10%
**Clearance Required**
 None
**What You Will Do**
 : The Data Engineer (Life Sciences Technology Solutions) is responsible for designing, building, and maintaining robust data pipelines and backend systems that support scalable software solutions for biopharma clients. Working within the data science and technology domain, this role collaborates with solution architects and full stack developers under the direction of the Life Sciences AI \&amp; Data Lead. Success in this position is measured by the ability to deliver reliable, high\-performance data infrastructure that enables advanced analytics and digital transformation in life sciences.
**Responsibilities And Duties**
* Design, develop, and maintain ETL processes and data pipelines for large\-scale data integration.
* Implement and optimize data storage solutions using SQL and NoSQL databases.
* Build and manage big data frameworks such as Hadoop and Spark to support advanced analytics.
* Integrate cloud data services, including AWS Glue and Azure Data Factory, into enterprise data workflows.
* Develop backend solutions using Python and Java for data processing and transformation.
* Collaborate with solution architects and other team members to ensure seamless API integration.
* Orchestrate workflows using tools like Airflow and Luigi to automate data movement and processing.
* Ensure data quality, governance, and compliance with industry standards.
* Implement streaming technologies (Kafka) for real\-time data ingestion and processing.
* Monitor and tune system performance to maintain reliability and scalability.
* Document data engineering processes and provide technical support to project teams.
**What You Will Need**
* Bachelor’s degree in Computer Science, Information Systems, Engineering, or a related STEM field.
* Minimum 6 years of experience in data engineering, backend development, or related roles.
* Experience interconnecting multiple databases to better understand patient care and population health.
* Proficiency in ETL development, data pipeline design, and workflow orchestration.
* Competence in machine learning model development and applications.
* Advanced programming skills in Python and Javascript.
* Knowledge of data warehousing, constructing and integrating API calls, and documenting dataflows.
* Demonstrated ability to ensure data quality and governance.
* Excellent analytical, problem\-solving, and communication skills.
* Ability to work collaboratively in a fast\-paced, team\-oriented environment.
**What Would Be Nice To Have**
* Master’s degree.
* Experience building both application stacks in the biopharma industry or consulting environment.
* Demonstrated proficiency in building Databricks or Dataiku data pipelines to manage automation and CD/CI activities.
* Direct prior responsibility for data management in a biopharma or other life sciences context.
 The annual salary range for this position is $113,000\.00\-$188,000\.00\. Compensation decisions depend on a wide range of factors, including but not limited to skill sets, experience and training, security clearances, licensure and certifications, and other business and organizational needs.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Parental Leave
* 401(k) Retirement Plan
* Group Term Life and Travel Assistance
* Voluntary Life and AD\&amp;D Insurance
* Health Savings Account, Health Care \&amp; Dependent Care Flexible Spending Accounts
* Transit and Parking Commuter Benefits
* Short\-Term \&amp; Long\-Term Disability
* Tuition Reimbursement, Personal Development, Certifications \&amp; Learning Opportunities
* Employee Referral Program
* Corporate Sponsored Events \&amp; Community Outreach
* Care.com annual membership
* Employee Assistance Program
* Supplemental Benefits via Corestream (Critical Care, Hospital Indemnity, Accident Insurance, Legal Assistance and ID theft protection, etc.)
* Position may be eligible for a discretionary variable incentive bonus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All communication regarding recruitment for a Guidehouse position will be sent from Guidehouse email domains including @guidehouse.com or guidehouse@myworkday.com.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recruiting@guidehouse.com.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is>
      </c>
    </row>
    <row r="38">
      <c r="A38" t="inlineStr">
        <is>
          <t>li-4350074589</t>
        </is>
      </c>
      <c r="B38" t="inlineStr">
        <is>
          <t>Staff Data Engineer</t>
        </is>
      </c>
      <c r="C38" t="inlineStr">
        <is>
          <t>PayPal</t>
        </is>
      </c>
      <c r="D38" t="inlineStr">
        <is>
          <t>linkedin</t>
        </is>
      </c>
      <c r="E38" t="inlineStr"/>
      <c r="F38" t="inlineStr"/>
      <c r="G38" t="inlineStr">
        <is>
          <t>San Jose, CA</t>
        </is>
      </c>
      <c r="H38" t="inlineStr"/>
      <c r="I38"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What you need to know about the role: As a member of the engineering team, you will be responsible for the development and delivery of the applications and services that power the digital wallets ecosystem. You will work closely with product, design, and analytics teams to understand payments ecosystems that our software is enabling. We're looking for talented, motivated, and detail\-oriented technologists with a passion for building robust systems at scale. We value collaboration, communication, and a passion for achieving engineering and product excellence. Meet our team: We are a team of small and self\-driven engineers and product managers to deliver innovative solutions to drive business impact, on a mission to empower consumers with Digital Wallets and enable commerce globally.
**Job Description:**
**Your way to impact:**
 As
 **Staff Software Engineer** 
 in the team, you will provide technical leadership for your development team and you will lead the team’s participation in all phases of our software development lifecycle through technical leadership, implementation of technical designs, direct contributions to architectural decisions, influencing the technical direction of our client\-side applications and mentoring of junior engineers. You will be responsible for developing industry\-leading experiences that bring unquestionable value to both merchants and buyers. You will use your years of technical expertise and a solid understanding of the business domain to help us improve the scale, reliability, and performance of our platforms.
**Your day\-to\-day:**
* Provide technical leadership and guidance to a team of software engineers, fostering a culture of collaboration, innovation, and continuous improvement.
* Demonstrate end\-to\-end ownership of features, projects, modules, and services that you and your team deliver in all phases of the software development lifecycle.
* Lead your team’s design and implementation of end\-to\-end solutions towards new payment experiences using various technologies.
* Lead architectural discussions and contribute to overall technical direction, advocating for best practices and innovative solutions.
* Optimize software performance, identifying and resolving bottlenecks via monitoring, logging, and metrics to enhance the user experience.
* Act as a strong advocate for clean and scalable principles and practices in all areas, including coding, documentation, automation, etc.
* Be a champion of high\-performing, secure, and reliable software services.
* Identify critical non\-functional requirements for the work your team prioritizes (Availability, Security, Performance, Scalability, and Observability), and implement them with your team.
* Actively contribute improvements to our automated test strategies to enable speedy and reliable continuous integration.
* Guide continuous improvements to our build and deploy processes.
* Collaborate with other development teams to ensure seamless integration and deployment of client\-side applications, automating and enhancing build, test, and deployment processes.
* Collaborate and communicate effectively with all technical and non\-technical partners and stakeholders (Architecture, Developer Experience, Product, Design, Analytics, Legal, Marketing, etc.).
* Communicate frequently with your team to ensure a shared understanding of the new products and features under consideration.
* Conduct formal and informal code reviews, providing constructive feedback to team members to ensure code quality and adherence to clean and scalable coding principles.
* Mentor and guide junior engineers, fostering their professional growth and promoting a collaborative and knowledge\-sharing environment.
* Stay up\-to\-date with the latest industry standards, tools, and technologies related to Data Infrastructure development, and DevOps practices, and drive their adoption within the team.
* Collaborate frequently with other developers and teams to design and implement cutting\-edge reliable solutions
* Understand and apply our technical architecture to ensure consistent, reliable, and secure deployments.
* Enhance and maintain existing product capabilities as required.
* Bring fresh ideas for continuously improving our software and your team.
* Advocate for ways to avoid and remediate technical debt continuously.
* Participate in program planning, influencing the product and technology roadmap and driving outcomes.
**What you need to bring:**
* 8\+ years of professional experience in software development, with a strong emphasis on backend development in TypeScript and Java.
* Experience with modern data warehousing technologies (e.g., Snowflake, BigQuery, Databricks, Apache Iceberg) and has informed perspectives on their advantages, limitations, and how they fit into evolving data architectures.
* High proficiency and strong skills in Cloud Technologies, object\-oriented, and functional programming, and familiarity with AWS Lambda, Dynamo DB, and hands\-on Typescript experience.
* Experience in building high\-scale, high\-throughput, low\-latency systems.
* Strong problem\-solving skills, possessing the ability to work independently or collaboratively to analyze and address complex technical challenges.
* Experience with modern software development practices, version control systems, and agile methodologies.
* Excellent communication skills with the ability to collaborate effectively with cross\-functional teams.
* Strong attention to detail, as well as a passion for delivering high\-quality software solutions.
* Ability to mentor and up\-level team members.
* Proven track record of collaborating with teammates in non\-technical roles, such as marketing, finance, and legal.
**Additional Responsibilities And Preferred Qualifications**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$152,500 to $262,350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R0124436</t>
        </is>
      </c>
    </row>
    <row r="39">
      <c r="A39" t="inlineStr">
        <is>
          <t>li-4343736662</t>
        </is>
      </c>
      <c r="B39" t="inlineStr">
        <is>
          <t>IT Senior Data Engineer</t>
        </is>
      </c>
      <c r="C39" t="inlineStr">
        <is>
          <t>Core &amp; Main</t>
        </is>
      </c>
      <c r="D39" t="inlineStr">
        <is>
          <t>linkedin</t>
        </is>
      </c>
      <c r="E39" t="inlineStr"/>
      <c r="F39" t="inlineStr"/>
      <c r="G39" t="inlineStr">
        <is>
          <t>St Louis, MO</t>
        </is>
      </c>
      <c r="H39" t="inlineStr"/>
      <c r="I39" t="inlineStr">
        <is>
          <t>Based in St. Louis, Core \&amp; Main is a leader in advancing reliable infrastructure™ with local service, nationwide®. As a specialty distributor with a focus on water, wastewater, storm drainage and fire protection products and related services, Core \&amp; Main provides solutions to municipalities, private water companies and professional contractors across municipal, non\-residential and residential end markets, nationwide. With over 370 locations across the U.S., the company provides its customers local expertise backed by a national supply chain. Core \&amp; Main’s 5,700 associates are committed to helping their communities thrive with safe and reliable infrastructure. Visit
 **coreandmain.com** 
 to learn more.
**Job Summary**
**Design, develop, test, and maintain data solutions and pipelines. Serve as a subject matter expert in data engineering, data integration, and cloud\-based data platforms. Maintain, enhance, and provide solutions for data warehousing and analytics environments. Take ownership of technical deliverables and ensure high\-quality, reliable data solutions that meet business needs.**
**Major Tasks, Responsibilities And Key Accountabilities**
* Collaborate with stakeholders to analyze data solution requirements, identify gaps, and assess feasibility.
* Take responsibility for the design, documentation, and implementation of technical solutions that meet business and functional requirements.
* Develop, implement, and maintain data pipelines, data warehouses, and data lake solutions. Ensure data systems possess sufficient controls and meet compliance standards.
* Perform unit testing prior to moving code/configuration to the QA process. Evaluate and research upgrades, patches, and new functionality. Troubleshoot and resolve defects in data solutions.
* Contribute to the development and definition of test plans and scripts for performance, regression, and user acceptance testing; support QA activities as required.
* Build and maintain data models, data mappings, transformation rules, workflows, data extractions and imports, interfaces, and object models.
* Ensure data solutions comply with security protocols and data governance standards.
* Share expertise with team members and participate in peer reviews to uphold technical standards.
**Preferred Qualifications**
* Bachelor’s degree in computer science, Information Technology, or related field.
* 5\+ years of hands\-on development experience in SQL and/or Python for data warehouse management, data integration, and data lake management.
* Deep working knowledge in SQL development using T\-SQL code to design, implement, and optimize complex database objects, such as tables, views, stored procedures, indexes, and functions.
* Experience working with Azure data architecture, including a solid understanding of tools for building data pipelines on cloud\-based data platforms, such as Delta Lakehouse Medallion architecture and data warehousing solutions.
* Exposure to modern Spark\-based data platforms like Databricks or Microsoft Fabric for data engineering tasks, including leveraging their capabilities for scalable data processing, analytics, and machine learning workflows in a cloud\-based environment.
* Understanding of ELT vs ETL and how to build efficient data pipelines with modern Change Data Capture processes.
* Hands\-on experience with CI/CD pipelines in Azure DevOps and understanding of Agile development methodologies.
* Familiarity with common data mapping and transformation techniques for Dynamics 365 Data Entities and Data Management Framework for the Finance and Operations modules.
* Familiarity with Power BI and its integration with Microsoft Fabric for end\-to\-end analytics.
* Strong communication skills with the ability to translate complex technical concepts into business\-friendly language.
**Career Level Dimensions**
**Typical Training/Experience**
* Typically requires BS/BA in a related discipline. Generally, 5\-8 years of experience in a related field; certification is required in some areas OR MS/MA and generally 5\+ years of experience in a related field.
**Problem Complexity**
* Identifies key barriers/core problems and applies problem\-solving skills to deal creatively with complex situations. Troubleshoots and resolves complex problems. Makes decisions under conditions of uncertainty, sometimes with incomplete information, that produce effective end results.
**Autonomy**
* Independently performs assignments with instruction limited to the results expected.
* Determines and develops an approach to solutions.
* Receives technical guidance only on unusual or complex problems or issues.
**Collaboration**
* Works closely with other engineers, analysts, and business partners to deliver high\-quality solutions.
 Core \&amp; Main is an Equal Employment Opportunity employer. Employment at Core \&amp; Main is based solely on a person’s merit and qualifications directly related to professional competence. Core \&amp; Main does not discriminate against any employee or applicant on the basis of race, creed, color, religion, national origin, nationality, ancestry, age, disability, veteran status, pregnancy or related condition (including breastfeeding), affectional or sexual orientation, gender identity or expression, marital status, status with regard to public assistance, citizenship, or any other basis protected by law.
 None of the questions in this application are intended to elicit information regarding any protected characteristics, nor imply any limitation, illegal preferences or discrimination based upon non\-job\-related information or protected characteristics.
 For more information, please click here or visit https://www.eeoc.gov</t>
        </is>
      </c>
    </row>
    <row r="40">
      <c r="A40" t="inlineStr">
        <is>
          <t>li-4330485498</t>
        </is>
      </c>
      <c r="B40" t="inlineStr">
        <is>
          <t>Data Engineer - Databricks</t>
        </is>
      </c>
      <c r="C40" t="inlineStr">
        <is>
          <t>Jobs via Dice</t>
        </is>
      </c>
      <c r="D40" t="inlineStr">
        <is>
          <t>linkedin</t>
        </is>
      </c>
      <c r="E40" t="inlineStr"/>
      <c r="F40" t="inlineStr"/>
      <c r="G40" t="inlineStr"/>
      <c r="H40" t="inlineStr"/>
      <c r="I40" t="inlineStr">
        <is>
          <t>Dice is the leading career destination for tech experts at every stage of their careers. Our client, Contract Staffing Recruiters, is seeking the following. Apply via Dice today!
 Databricks experience is a must. Looking for a leader that loves Databricks and can work on fast moving team.
* Design and develop ETL Processes that will transform a variety of raw data, flat files, xl spreadsheets into SQL Databases
* Understands the concept of Data marts and Data lakes and experience with migrating legacy systems to data marts/lake
* Uses additional cloud technologies (e.g., understands concept of Cloud services like Azure SQL server)
* Maintain comprehensive project documentation
* Aptitude to learn new technologies and the ability to perform continuous research, analysis, and process improvement.
* Strong interpersonal and communication skills to be able to work in a team environment to include customer and contractor technical, end users, and management team members.
* Manage multiple projects, responsibilities and competing priorities.
**Experience Needed:**
* Programming languages, frameworks, and file formats such as: Python, SQL, PLSQL, and VB
* Database platforms such as: Oracle, SQL Server, MySQL
* Big data concepts and technologies such as Synapse \&amp; Databricks</t>
        </is>
      </c>
    </row>
    <row r="41">
      <c r="A41" t="inlineStr">
        <is>
          <t>li-4256853264</t>
        </is>
      </c>
      <c r="B41" t="inlineStr">
        <is>
          <t>CRM System Admin and Data Engineer</t>
        </is>
      </c>
      <c r="C41" t="inlineStr">
        <is>
          <t>Monolithic Power Systems, Inc.</t>
        </is>
      </c>
      <c r="D41" t="inlineStr">
        <is>
          <t>linkedin</t>
        </is>
      </c>
      <c r="E41" t="inlineStr"/>
      <c r="F41" t="inlineStr"/>
      <c r="G41" t="inlineStr">
        <is>
          <t>San Jose, CA</t>
        </is>
      </c>
      <c r="H41" t="inlineStr"/>
      <c r="I41" t="inlineStr">
        <is>
          <t>Monolithic Power Systems, Inc. (MPS) is one of the fastest growing companies in the Semiconductor industry. We are worldwide technical leaders in Integrated Power Semiconductors and Systems Power delivery architectures. At MPS, we cultivate creativity, are passionate about sustainability, and are committed to providing leading\-edge products and innovation to our customers. Our portfolio of technology helps power our world \-\-\-come join our team and see how YOU can make a difference.
**Overview**
**Job Description:**
 We are seeking an experienced professional to join our IT team as a CRM System Administrator and Data Engineer. This role requires hands\-on expertise with Microsoft Dynamics 365 (CRM), the Power Platform, and related Microsoft technologies. The successful candidate will be responsible not only for supporting Dynamics 365\-based architectural solutions but also for contributing to the management of the data warehouse within a global IT organization.
**Responsibilities**
* Proactively collaborate with CRM system users worldwide to translate business requirements into technical specifications.
* Analyze, design, and develop or configure Dynamics 365 modules—such as Sales, Customer Service, and Admin App—to optimize business processes and workflows.
* Demonstrate strong communication skills, supervise external consultants, and collaborate with functional teams on CRM system enhancement projects.
* Stay up to date with the latest features and best practices related to Microsoft Power Platform, Dynamics 365, and cloud technologies.
* Own and manage technical designs, configurations, and processes, maintaining comprehensive documentation for all developed solutions.
* Enable and support user adoption of Power Platform and Dynamics 365\-based solutions.
* Participate in multi\-system data integration projects, develop data processes, and maintain the data warehouse.
**Qualification**
* Bachelor’s degree in Computer Science or a related discipline
* 5\+ years of hands\-on experience with Microsoft Dynamics, Power Platform, Power Apps, Power Automate, and Azure network functions
* Experience in IT system ownership, including end\-user support
* Strong communication, organizational, and influencing skills
* Solid knowledge of data analytics, data/system integration, data warehousing, and data modeling
* Proficiency in Python, C\+\+, Java, and SQL
 MPS offers a comprehensive benefits package. We provide health care coverage, dental and vision, 401(K), Employee Stock Purchase Program (ESPP), up to 11 company paid holidays, and 15\- 20 days of paid time off depending on your tenure, generous discretionary company bonuses, and life and disability protection. Employees in sales positions may be eligible for our sales incentive bonuses. Employees in certain positions may be eligible for stock compensation. For more information on MPS’ benefits please view our company website at www.monolithicpower.com.
 Pay is based on market location and may vary based on factors including experience, skills, education and other job\-related reasons. The base salary range for this position in California is $130,000 \- $150,000\.
 Monolithic Power Systems, Inc. (MPS) is an Equal Opportunity Employer and embraces diversity in our employee population. It is the policy of MPS to provide equal opportunity to all qualified applicants and employees without regard to race, color, religion, sex, sexual orientation, gender identity, national origin, age, disability, protected veteran status or special disabled veteran, marital status, pregnancy, genetic information, or any other legally protected status.</t>
        </is>
      </c>
    </row>
    <row r="42">
      <c r="A42" t="inlineStr">
        <is>
          <t>li-4064370222</t>
        </is>
      </c>
      <c r="B42" t="inlineStr">
        <is>
          <t>Senior Staff Software Engineer – Advanced Data Engineering</t>
        </is>
      </c>
      <c r="C42" t="inlineStr">
        <is>
          <t>WEX</t>
        </is>
      </c>
      <c r="D42" t="inlineStr">
        <is>
          <t>linkedin</t>
        </is>
      </c>
      <c r="E42" t="inlineStr"/>
      <c r="F42" t="inlineStr"/>
      <c r="G42" t="inlineStr">
        <is>
          <t>Chicago, IL</t>
        </is>
      </c>
      <c r="H42" t="inlineStr"/>
      <c r="I42" t="inlineStr">
        <is>
          <t>This is a remote position; however, the candidate must reside within 30 miles of one of the following locations: Portland, ME; Boston, MA; Chicago, IL; San Francisco Bay Area, CA; and Seattle/WA.
**About The Team/Role**
 WEX is building a modern, enterprise\-wide Data\-as\-a\-Service (DaaS) platform—and at its heart lies the Semantic Data Modeling layer. This layer transforms raw data into trusted, consistent, and reusable 360° data objects that power analytics, automation, and product experiences across domains.
 As a Senior Staff Software Engineer, you will lead the design and engineering of large\-scale semantic data models that represent key business entities like Customer 360, Fleet 360, and Benefits 360\. You’ll architect systems that enforce data standardization, business logic, and semantic alignment—delivering high\-performance, versioned, and auditable data assets to stakeholders across the enterprise.
 This is more than data modeling—this is about building the shared language of the business. You’ll help define and scale the core data objects that every team at WEX will rely on. If you're motivated by systems\-level thinking, technical rigor, and semantic clarity, this is your role.
 This is a high\-impact, cross\-cutting engineering role that demands deep system thinking, platform mindset, and an ability to influence technical direction at scale.
****How you’ll make an impact****
* Architect and implement the platform foundations for semantic data modeling, including reusable modeling patterns, data versioning, and temporal semantics.
* Translate complex business definitions into scalable, interpretable, and trustworthy data entities used across analytics, AI/ML, APIs, and operational workflows.
* Own the modeling of high\-volume, high\-complexity domains—such as customers, fleets, transactions, and providers—at enterprise scale.
* Drive rigorous enforcement of data validation, referential integrity, and schema evolution, enabling semantic consistency across domains.
* Collaborate closely with business, product, and analytics teams to ensure semantic models reflect how WEX understands and uses its data.
* Define best practices for building modular, testable, and maintainable pipelines, and lead their implementation across a growing team.
* Guide platform evolution by partnering with Control Plane, Governance, and DataOps teams to embed observability, lineage, and traceability.
****Experience you’ll bring****
* 10\+ years of experience in software or data engineering, with a focus on large\-scale systems and data modeling platforms.
* Expertise in data architecture and semantic modeling—with proven experience in designing entity\-centric, reusable models (e.g., Customer 360, Provider 360\).
* Deep understanding of data structures, transformation patterns, temporal modeling, and business logic abstraction.
* Strong software engineering background with experience in building scalable systems using modern architectural patterns.
* Experience with data lifecycle management, including versioning, auditability, and reproducibility of derived data objects.
* Excellent communication skills and a track record of cross\-functional leadership across engineering, product, and business stakeholders.
* A passion for building platforms that promote trust, consistency, and scalability in enterprise data usage.
 The base pay range represents the anticipated low and high end of the pay range for this position. Actual pay rates will vary and will be based on various factors, such as your qualifications, skills, competencies, and proficiency for the role. Base pay is one component of WEX's total compensation package. Most sales positions are eligible for commission under the terms of an applicable plan. Non\-sales roles are typically eligible for a quarterly or annual bonus based on their role and applicable plan. WEX's comprehensive and market competitive benefits are designed to support your personal and professional well\-being. Benefits include health, dental and vision insurances, retirement savings plan, paid time off, health savings account, flexible spending accounts, life insurance, disability insurance, tuition reimbursement, and more. For more information, check out the "About Us" section.
 Pay Range: $158,000\.00 \- $210,000\.00</t>
        </is>
      </c>
    </row>
    <row r="43">
      <c r="A43" t="inlineStr">
        <is>
          <t>li-4358183767</t>
        </is>
      </c>
      <c r="B43" t="inlineStr">
        <is>
          <t>Foundry Data Engineer / Architect</t>
        </is>
      </c>
      <c r="C43" t="inlineStr">
        <is>
          <t>OKAYA INFOCOM</t>
        </is>
      </c>
      <c r="D43" t="inlineStr">
        <is>
          <t>linkedin</t>
        </is>
      </c>
      <c r="E43" t="inlineStr"/>
      <c r="F43" t="inlineStr"/>
      <c r="G43" t="inlineStr">
        <is>
          <t>Oakland, CA</t>
        </is>
      </c>
      <c r="H43" t="inlineStr"/>
      <c r="I43" t="inlineStr">
        <is>
          <t>**Palantir Foundry Data Engineer** 
**Oakland, CA** 
**Full Time** 
**Must Have Technical/Functional Skills** 
 We are seeking a Palantir Foundry Data Engineer to design, build, and maintain data pipelines and workflows that power advanced analytics and operational insights for the utility industry. This role focuses on leveraging Palantir Foundry to integrate diverse data sources, ensure data quality, and enable real\-time decision\-making for grid reliability, asset management, and regulatory compliance.
**Technical Expertise** 
 • Hands\-on experience with Palantir Foundry development and data integration.
 • Strong proficiency in Python, SQL, and Foundry\-specific frameworks.
 • Knowledge of utility data systems (SCADA, AMI, GIS, OMS).
 Experience
 • 3\+ years in data engineering or related roles, preferably in utilities or energy sector.
 • Familiarity with cloud platforms (AWS, Azure) and containerization (Docker, Kubernetes).
 Soft Skills
 • Strong problem\-solving and analytical skills.
 • Ability to work in cross\-functional teams and communicate effectively.
**Preferred Qualifications** 
 • Experience with real\-time data streaming technologies (Kafka, Spark).
 • Knowledge of grid modernization, DER integration, and renewable forecasting.
 • Certifications in Palantir Foundry or data engineering.
 Roles \&amp; Responsibilities
 Data Pipeline Development
 • Build and optimize ETL workflows in Palantir Foundry for ingesting data from SCADA, AMI, GIS, OMS, and ERP systems.
 • Develop scalable pipelines for real\-time sensor data and IoT streams.
 • Implement data transformations and enrichment to support analytics and reporting.
 Integration \&amp; Automation
 • Integrate structured and unstructured data sources into Foundry.
 • Automate data ingestion and validation processes to ensure accuracy and timeliness.
 • Collaborate with IT and OT teams to bridge operational and enterprise data systems.
 Data Quality \&amp; Governance
 • Monitor and maintain data integrity across all pipelines.
 • Apply data governance standards and ensure compliance with NERC CIP, FERC, and state regulations.
 • Implement robust security and access controls within Foundry.
 Collaboration \&amp; Support
 • Work closely with data scientists, analysts, and business teams to deliver reliable datasets for predictive analytics and reporting.
 • Provide technical support and documentation for Foundry workflows.
 Performance Optimization
 • Optimize workflows for high\-volume, high\-velocity data.
 • Troubleshoot and resolve pipeline failures and performance bottlenecks.
**Palantir Foundry Data Architect** 
**Oakland, CA** 
**Full Time** 
**Must Have Technical/Functional Skills** 
 We are seeking a highly skilled Palantir Foundry Architect to design, implement, and optimize data solutions using Palantir Foundry. The ideal candidate will have deep expertise in data architecture, integration, and governance, along with strong problem\-solving skills to enable scalable and secure data ecosystems.
 • Technical Expertise
 o Proven experience with Palantir Foundry architecture and development.
 o Strong understanding of data modeling, ETL processes, and distributed systems.
 o Proficiency in Python, SQL, and Foundry\-specific frameworks.
 • Experience
 o 5\+ years in data architecture or related roles.
 o Hands\-on experience with cloud platforms (AWS, Azure, GCP) and containerization (Docker, Kubernetes).
 • Soft Skills
 o Excellent problem\-solving and analytical skills.
 o Strong communication and stakeholder management abilities.
 • Preferred Qualifications
 o Experience with data governance frameworks and security best practices.
 o Familiarity with machine learning workflows and data science integration in Foundry.
 o Certifications in Palantir Foundry or related technologies.
**Roles \&amp; Responsibilities** 
 • Data Architecture \&amp; Solution Design
 o Architect scalable data platforms in Palantir Foundry to support grid operations, outage management, asset health monitoring, and energy forecasting.
 o Design workflows and pipelines for real\-time and batch data ingestion from SCADA, AMI, GIS, and ERP systems.
 o Ensure compliance with NERC, FERC, and state regulatory standards.
 • Integration \&amp; Development
 o Integrate diverse data sources (structured, semi\-structured, unstructured) into Foundry.
 o Develop custom applications and workflows using Foundry’s APIs and frameworks.
 o Collaborate with engineering teams to implement best practices for data ingestion and transformation.
 • Governance \&amp; Compliance
 o Establish data governance standards, access controls, and compliance frameworks.
 o Ensure adherence to regulatory requirements (GDPR, CCPA, etc.) and internal policies.
 • Stakeholder Collaboration
 o Work closely with business analysts, data scientists, and operations teams to translate requirements into technical solutions.
 o Provide technical guidance and mentorship to junior team members.
 • Performance Optimization
 o Monitor and optimize data pipelines for efficiency and reliability.
 o Troubleshoot and resolve issues related to data quality, latency, and system performance.
 o Optimize data pipelines for high\-volume sensor data and IoT streams.
**Thanks \&amp; Regards,** 
**Anmol Rathor** 
**Senior Talent Acquisition Specialist** 
**USA** 
**Okaya Inc.** 
**418 Broadway \#7195, Albany, NY 12207** 
**Landline: \+1\-631\-267\-4883 Ext: 181** 
**Direct Cell: 631 705 9048** 
**Email: Anmol.r@okayainc.com** 
**LinkedIn:** 
**linkedin.com/in/anmol\-rathor\-21785b1b2**</t>
        </is>
      </c>
    </row>
    <row r="44">
      <c r="A44" t="inlineStr">
        <is>
          <t>li-4351491299</t>
        </is>
      </c>
      <c r="B44" t="inlineStr">
        <is>
          <t>Data Engineer</t>
        </is>
      </c>
      <c r="C44" t="inlineStr">
        <is>
          <t>Cross Atlantic Partners</t>
        </is>
      </c>
      <c r="D44" t="inlineStr">
        <is>
          <t>linkedin</t>
        </is>
      </c>
      <c r="E44" t="inlineStr"/>
      <c r="F44" t="inlineStr"/>
      <c r="G44" t="inlineStr">
        <is>
          <t>New York, United States</t>
        </is>
      </c>
      <c r="H44" t="inlineStr"/>
      <c r="I44" t="inlineStr">
        <is>
          <t>**Data Engineer \- Global Asset Manager** 
 Leading global asset manager ($28B AUM) is seeking an experienced
 **Data Engineer** 
 to build and modernize our data infrastructure supporting trading, risk management, and alpha generation.
**The Role:** 
 Design and optimize data pipelines using modern cloud tools (Snowflake, DBT) while migrating legacy systems. Develop Python libraries, ensure data quality, and collaborate across technical and non\-technical teams to deliver high\-impact solutions.
**What You Need:** 
* 6\+ years development experience (2\+ years in data engineering)
* Strong Python \&amp; SQL skills
* Experience with ETL pipelines and cloud data platforms (Snowflake preferred)
* Hands\-on Docker/Kubernetes experience
* Bachelor's in Computer Science or related field
* Excellent problem\-solving and collaboration skills
**Nice to Have:** 
* Financial markets knowledge (equities, fixed income, derivatives)
* Data observability tools experience
* BI dashboard design
* Distributed processing (Spark, Dask)
**What We Offer:** 
* Competitive compensation \+ discretionary bonus
* Work with permanent capital and unconstrained mandate
* Ownership culture with autonomy and impact
* NYC headquarters with global offices</t>
        </is>
      </c>
    </row>
    <row r="45">
      <c r="A45" t="inlineStr">
        <is>
          <t>li-4354695320</t>
        </is>
      </c>
      <c r="B45" t="inlineStr">
        <is>
          <t>Data Engineer</t>
        </is>
      </c>
      <c r="C45" t="inlineStr">
        <is>
          <t>Gotham Technology Group</t>
        </is>
      </c>
      <c r="D45" t="inlineStr">
        <is>
          <t>linkedin</t>
        </is>
      </c>
      <c r="E45" t="inlineStr"/>
      <c r="F45" t="inlineStr"/>
      <c r="G45" t="inlineStr">
        <is>
          <t>New York, NY</t>
        </is>
      </c>
      <c r="H45" t="inlineStr"/>
      <c r="I45" t="inlineStr">
        <is>
          <t>Our client is seeking a Data Engineer with hands\-on experience in Web Scraping technologies to help build and scale a new scraping capability within their Data Engineering team. This role will work directly with Technology, Operations, and Compliance to source, structure, and deliver alternative data from websites, APIs, files, and internal systems. This is a unique opportunity to shape a new service offering and grow into a senior engineering role as the platform evolves.
**Responsibilities** 
* **Develop scalable Web Scraping solutions** 
 using AI\-assisted tools, Python frameworks, and modern scraping libraries.
* **Manage the full lifecycle of scraping requests** 
 , including intake, feasibility assessment, site access evaluation, extraction approach, data storage, validation, entitlement, and ongoing monitoring.
* **Coordinate with Compliance** 
 to review Terms of Use, secure approvals, and ensure all scrapes adhere to regulatory and internal policy guidelines.
* **Build and support AWS\-based data pipelines** 
 using tools such as Cron, Glue, EventBridge, Lambda, Python ETL, and Redshift.
* **Normalize and standardize raw, vendor, and internal datasets** 
 for consistent consumption across the firm.
* **Implement data quality checks and monitoring** 
 to ensure the reliability, historical continuity, and operational stability of scraped datasets.
* **Provide operational support** 
 , troubleshoot issues, respond to inquiries about scrape behavior or data anomalies, and maintain strong communication with users.
* **Promote data engineering best practices** 
 , including automation, documentation, repeatable workflows, and scalable design patterns.
**Required Qualifications** 
* Bachelor’s degree in Computer Science, Engineering, Mathematics, or related field.
* 2–5 years of experience in a similar Data Engineering or Web Scraping role.
* Capital markets knowledge with familiarity across asset classes and experience supporting trading systems.
* Strong hands\-on experience with AWS services (S3, Lambda, EventBridge, Cron, Glue, Redshift).
* Proficiency with modern Web Scraping frameworks (Scrapy, BeautifulSoup, Selenium, Playwright).
* Strong Python programming skills and experience with SQL and NoSQL databases.
* Familiarity with market data and time series datasets (Bloomberg, Refinitiv) is a plus.
* Experience with DevOps/IaC tooling such as Terraform or CloudFormation is desirable.</t>
        </is>
      </c>
    </row>
    <row r="46">
      <c r="A46" t="inlineStr">
        <is>
          <t>li-4351391535</t>
        </is>
      </c>
      <c r="B46" t="inlineStr">
        <is>
          <t>Sr. Staff Data Engineer</t>
        </is>
      </c>
      <c r="C46" t="inlineStr">
        <is>
          <t>Achieve</t>
        </is>
      </c>
      <c r="D46" t="inlineStr">
        <is>
          <t>linkedin</t>
        </is>
      </c>
      <c r="E46" t="inlineStr"/>
      <c r="F46" t="inlineStr"/>
      <c r="G46" t="inlineStr">
        <is>
          <t>San Mateo, CA</t>
        </is>
      </c>
      <c r="H46" t="inlineStr"/>
      <c r="I46" t="inlineStr">
        <is>
          <t>Achieve is a leading digital personal finance company. We help everyday people move from struggling to thriving by providing innovative, personalized financial solutions. By leveraging proprietary data and analytics, our solutions are tailored for each step of our member's financial journey to include personal loans, home equity loans, debt consolidation, financial tools and education. Every day, we get to help our members move their finances forward with care, compassion, and empathetic touch. We put people first and treat them like humans, not account numbers.
**Job Description**
 As a
 **Sr. Staff Data Engineer** 
 , you’ll impact the lives of everyday people and help them move from surviving to thriving with digital personal finance solutions. Behind our forward\-thinking technology is a group of curious, innovative problem solvers creating next\-level products backed by data and consumer\-centric strategy. At Achieve, you’re encouraged to explore new technologies while working on exciting projects that directly impact our member’s success.
**What you’ll do:**
* Lead product requirements and advanced analytics requirements gathering efforts, interfacing with Data Engineering, Data Scientists, Analytics, and stakeholder teams
* Work with analytics, data science, and wider engineering teams to help with automating data analysis and visualization needs, advise on transformation processes to populate data models, and explore ways to design and develop data infrastructure
* Use technology to solve business problems and drive positive outcomes
* Build a scalable technology platform to support a growing business
* Deliver high\-quality code to production, consistently
* Integrate with various third\-party systems
* Engage in building out a large scale distributed and event based Data Platform that serves as an underpinning for all of Achieve’s businesses and products
**Qualifications**
**What you’ll bring:**
* 10\+ years’ experience building large scale, real\-time distributed systems with solid coding, problem\-solving, and design skills
* Experience building API’s and micro services
* Experience working in highly collaborative teams
* Ability to demonstrate a team\-first attitude towards software development
* Hands\-on Experience with Python and SQL. Nice to have: Java/Scala
* Experience working with various data stores: SQL, NoSQL, and/or key\-value store
* Experience building large scale data pipelines, build data models, normalize and standardize data for the use by various consumers and analysts
* Ability to work in mature engineering practices (CI/CD, testing, secure coding, etc.)
* Preferred experience or desire to learn: Event\-driven architecture and messaging frameworks (Pub/Sub, Kafka, and/or RabbitMQ) and Cloud infrastructure (Google Cloud Platform, AWS, and/or Azure)
**Additional Information**
**Achieve well\-being with:**
* Hybrid and remote work opportunities
* 401 (k) with employer match
* Medical, dental, and vision with HSA and FSA options
* Competitive vacation and sick time off, as well as dedicated volunteer days
* Access to wellness support through Employee Assistance Program, Talkspace, and fitness discounts
* Up to $5,250 paid back to you on eligible education expenses
* Pet care discounts for your furry family members
* Financial support in times of hardship with our Achieve Care Fund
* A safe place to connect and a commitment to diversity and inclusion through our six employee resource groups
**Note: We will be unable to facilitate H1\-B Visa transfer or sponsorship, along with STEM\-OPT Visa.**
**Work from home/hybrid:**
 We are proudly offering hybrid options in the Phoenix, AZ and San Francisco, CA metro market. We are offering 100% remote work in other approved locations.
**Salary Range** 
 : $175,000 to $225,000 annually \+ bonus \+ benefits.
 This information represents the expected salary range for this role. Should we decide to make an offer for employment, we'll consider your location, experience, and other job\-related factors.
**Join Achieve, change the future.**
**At Achieve, we’re changing millions of lives.**
 From the single parent trying to catch up on bills to the entrepreneur needing a loan for the next phase of growth, you’ll get to be a part of their journey to a better financial future. We’re proud to have over 3,000 employees in mostly hybrid and 100% remote roles across the United States with hubs in Arizona, California, and Texas. We are strategically growing our teams with more remote, work\-from\-home opportunities every day to better serve our members. A career at Achieve is more than a job—it’s a place where you can make a true impact, have a sense of belonging, establish a fulfilling career, and put your well\-being first.
**Attention Agencies \&amp; Search Firms:** 
 We do not accept unsolicited candidate resumes or profiles. Please do not reach out to anyone within Achieve to market your services or candidates. All inquiries should be directed to Talent Acquisition only. We reserve the right to hire any candidates sent unsolicited and will not pay any fees without a contract signed by Achieve’s Talent Acquisition leader.</t>
        </is>
      </c>
    </row>
    <row r="47">
      <c r="A47" t="inlineStr">
        <is>
          <t>li-4354656947</t>
        </is>
      </c>
      <c r="B47" t="inlineStr">
        <is>
          <t>Senior Snowflake Data Engineer</t>
        </is>
      </c>
      <c r="C47" t="inlineStr">
        <is>
          <t>Largeton Group</t>
        </is>
      </c>
      <c r="D47" t="inlineStr">
        <is>
          <t>linkedin</t>
        </is>
      </c>
      <c r="E47" t="inlineStr"/>
      <c r="F47" t="inlineStr"/>
      <c r="G47" t="inlineStr">
        <is>
          <t>New York, NY</t>
        </is>
      </c>
      <c r="H47" t="inlineStr"/>
      <c r="I47" t="inlineStr">
        <is>
          <t>**Job Summary – Senior Snowflake Data Engineer**
* Design, build, and optimize scalable data pipelines using Python and Snowflake
* Develop robust backend services and implement advanced Snowflake data models
* Deliver end\-to\-end data engineering solutions in complex business environments
* Collaborate with cross\-functional teams to enhance data quality and performance
* Ensure secure, efficient delivery of data products and maintain data governance
* Optimize data pipelines for performance, cost, and quality
* Work onsite in NYC for a banking client (Capco/Jefferies)
* 6\-month contract with potential extension; must be USC or GC and local to NYC
* Required skills: Python, Snowflake development, advanced SQL, cloud platforms, data security and governance
* Prior banking experience required</t>
        </is>
      </c>
    </row>
    <row r="48">
      <c r="A48" t="inlineStr">
        <is>
          <t>li-4351461414</t>
        </is>
      </c>
      <c r="B48" t="inlineStr">
        <is>
          <t>Quant Data Engineer/Scientist : Alternative Data : Quant Trading : $300-400k+</t>
        </is>
      </c>
      <c r="C48" t="inlineStr">
        <is>
          <t>Hunter Bond</t>
        </is>
      </c>
      <c r="D48" t="inlineStr">
        <is>
          <t>linkedin</t>
        </is>
      </c>
      <c r="E48" t="inlineStr"/>
      <c r="F48" t="inlineStr"/>
      <c r="G48" t="inlineStr">
        <is>
          <t>Miami, FL</t>
        </is>
      </c>
      <c r="H48" t="inlineStr"/>
      <c r="I48" t="inlineStr">
        <is>
          <t>We are working with a fast\-growing quantitative investment fund at an early but well\-capitalised stage, looking to hire a Quant Data Engineer/Scientist to help build and scale their data platform supporting systematic equity and futures strategies.
 This is a highly technical role sitting close to the investment process, offering real ownership over market data infrastructure used in both research and live trading.
 As a Quant Developer / Data Engineer, you will play a key role in the acquisition, ingestion, and processing of large\-scale financial datasets. You’ll work closely with quantitative researchers to ensure data is robust, clean, and production\-ready.
 Key responsibilities include:
* Designing and maintaining data pipelines for market and alternative data
* Supporting historical backtesting and production deployment across equities and futures
* Managing data quality, validation, and versioning
* Optimising storage and retrieval for research and live systems
* Contributing to scalable, low\-latency infrastructure in a startup environment
 We’re looking for candidates with a strong background in financial data engineering, ideally within systematic trading or quant research environments.
 You should have experience with:
* Equity statistical arbitrage datasets, including core market data (Bloomberg, Refinitv, FactSet)
* Working with alternative datasets (e.g. fundamentals, events, sentiment, signals)
* Large\-scale time series data and cross\-sectional datasets
* Building data systems that support both research and production workflows
 Technical Skills
* Strong programming skills (Python essential; C\+\+/Java a plus)
* Experience with databases, data lakes, or columnar storage
* Familiarity with cloud\-based or distributed systems
* Solid understanding of market data structures for equities and futures
 Why Join?
* Start\-up culture with genuine roadmap to $1billion AUM
* Equity on offer alongside excellent base plus bonus
* Machine learning is core to the investment process, not an overlay
* Exposure to multiple asset classes within a unified research framework
* Opportunity to influence model design, data architecture and research standards</t>
        </is>
      </c>
    </row>
    <row r="49">
      <c r="A49" t="inlineStr">
        <is>
          <t>li-4329057296</t>
        </is>
      </c>
      <c r="B49" t="inlineStr">
        <is>
          <t>Data Engineer</t>
        </is>
      </c>
      <c r="C49" t="inlineStr">
        <is>
          <t>Precision Technologies</t>
        </is>
      </c>
      <c r="D49" t="inlineStr">
        <is>
          <t>linkedin</t>
        </is>
      </c>
      <c r="E49" t="inlineStr"/>
      <c r="F49" t="inlineStr"/>
      <c r="G49" t="inlineStr">
        <is>
          <t>New Jersey, United States</t>
        </is>
      </c>
      <c r="H49" t="inlineStr"/>
      <c r="I49" t="inlineStr">
        <is>
          <t>**Job Title:Data Engineer (10\+ Years)** 
**Location:** 
 New Jersey
 **(Onsite)** 
**Employment:** 
 Full Time/ W2
 **(NO C2C)** 
**Job Summary:** 
 We are seeking a
 **Senior Data Engineer with 10\+ years of hands\-on experience** 
 in designing, building, and optimizing
 **scalable, high\-performance data platforms and pipelines** 
 . The ideal candidate will have deep expertise in
 **data ingestion, ETL/ELT, data warehousing, big\-data processing, cloud\-native architectures, real\-time streaming, and analytics enablement** 
 , and will partner closely with
 **Analytics, Data Science, Product, and Engineering teams** 
 across the
 **full data lifecycle** 
 .
**Key Responsibilities:** 
* Design, develop, and maintain
 **end\-to\-end data pipelines** 
 for
 **structured, semi\-structured, and unstructured data** 
 using
 **batch and real\-time processing frameworks** 
 .
* Build and optimize
 **ETL/ELT pipelines** 
 using
 **Python, SQL, PySpark, Spark SQL** 
 , and orchestration tools such as
 **Apache Airflow, Azure Data Factory, AWS Glue, or Prefect** 
 .
* Develop
 **scalable big\-data solutions** 
 using
 **Apache Spark, Hadoop ecosystem** 
 , and distributed processing techniques for high\-volume data workloads.
* Design and manage
 **cloud\-based data platforms** 
 on
 **AWS, Azure, or GCP** 
 , including
 **Data Lakes, Lakehouse architectures, and Cloud Data Warehouses** 
 .
* Implement and optimize
 **data warehousing solutions** 
 using
 **Snowflake, Amazon Redshift, Google BigQuery, Azure Synapse** 
 , and dimensional modeling techniques.
* Develop
 **data transformation layers** 
 to support
 **analytics, reporting, and machine learning workloads** 
 , ensuring high data quality and performance.
* Build and maintain
 **real\-time and streaming data pipelines** 
 using
 **Apache Kafka, Kafka Streams, Spark Streaming, or Azure Event Hubs** 
 .
* Design and implement
 **data models** 
 using
 **star schema, snowflake schema, and normalized models** 
 , aligned with business and analytics requirements.
* Ensure
 **data quality, validation, reconciliation, and lineage** 
 using
 **data quality frameworks, metadata management, and governance tools** 
 .
* Implement
 **data security, access controls, encryption, and compliance** 
 standards across platforms, supporting
 **PII, GDPR, SOC, and regulatory requirements** 
 .
* Optimize
 **SQL performance, partitioning strategies, indexing, and query tuning** 
 across relational and analytical databases.
* Containerize and deploy data workloads using
 **Docker** 
 and orchestrate pipelines using
 **Kubernetes** 
 where applicable.
* Build and maintain
 **CI/CD pipelines for data engineering workflows** 
 using
 **Jenkins, GitHub Actions, Azure DevOps** 
 , and infrastructure\-as\-code tools.
* Monitor and troubleshoot data pipelines using
 **logging, alerting, and observability tools** 
 to ensure reliability and SLA adherence.
* Collaborate with
 **Data Architects, Data Scientists, BI Developers, and Product teams** 
 to deliver analytics\-ready datasets.
* Support
 **UAT, production releases, incident management, and root cause analysis** 
 for data platforms.
* Lead
 **architecture decisions** 
 , conduct
 **code reviews** 
 , mentor junior engineers, and enforce
 **data engineering best practices** 
 .
* Drive
 **data modernization, cloud migration, and performance optimization initiatives** 
 across enterprise data ecosystems.
**Required Skills:** 
* **Programming \&amp; Querying:** 
 Python, SQL, PySpark, Spark SQL
* **Big Data:** 
 Apache Spark, Hadoop, Kafka
* **Data Integration:** 
 Airflow, Azure Data Factory, AWS Glue
* **Data Warehousing:** 
 Snowflake, Redshift, BigQuery, Azure Synapse
* **Databases:** 
 PostgreSQL, Oracle, SQL Server, MongoDB
* **Cloud Platforms:** 
 AWS / Azure / GCP
* **Streaming:** 
 Kafka, Spark Streaming, Event Hubs
* **DevOps \&amp; Automation:** 
 Docker, Kubernetes, Jenkins, Git
* **Data Modeling:** 
 Star Schema, Snowflake Schema, Dimensional Modeling
* **Methodologies:** 
 Agile, SDLC, DataOps</t>
        </is>
      </c>
    </row>
    <row r="50">
      <c r="A50" t="inlineStr">
        <is>
          <t>li-4306615997</t>
        </is>
      </c>
      <c r="B50" t="inlineStr">
        <is>
          <t>Sr. Data Engineer - Fintech Leader (Series D)</t>
        </is>
      </c>
      <c r="C50" t="inlineStr">
        <is>
          <t>Andiamo</t>
        </is>
      </c>
      <c r="D50" t="inlineStr">
        <is>
          <t>linkedin</t>
        </is>
      </c>
      <c r="E50" t="inlineStr"/>
      <c r="F50" t="inlineStr"/>
      <c r="G50" t="inlineStr">
        <is>
          <t>Seattle, WA</t>
        </is>
      </c>
      <c r="H50" t="inlineStr"/>
      <c r="I50" t="inlineStr">
        <is>
          <t>Senior Data Engineer \- Fintech (Series D)
**About The Role**
 We are seeking a
 **Senior Data Engineer** 
 to help design and scale the data infrastructure powering a $200M Series D fintech firm. Our mission is to deliver secure, reliable, and intelligent financial technology products that serve customers globally. As a Senior Data Engineer, you’ll play a key role in building data systems that handle sensitive financial data, drive real\-time decisioning, and enable analytics across the organization.
 You’ll work closely with product managers, compliance experts, and engineering teams to ensure our data platforms not only scale with rapid growth but also meet the highest standards of accuracy, governance, and security. This is a hands\-on role with direct impact on how we manage, analyze, and deliver data across high\-value fintech applications.
 What You’ll Do
* Architect Scalable Pipelines: Build and optimize ETL/ELT workflows and real\-time streaming systems that power financial products and compliance reporting.
* Ensure Data Quality: Implement validation, lineage tracking, and governance practices to guarantee trustworthy financial datasets.
* Integrate Across Systems: Design data flows connecting payment processors, banking APIs, risk systems, and analytics platforms.
* Collaborate Cross\-Functionally: Work with risk, compliance, and product teams to deliver data solutions that satisfy regulatory and business requirements.
* Enable Advanced Analytics: Support data science and BI teams with reliable, structured, and high\-performance datasets.
* Drive Observability: Implement monitoring and alerting for data pipelines to ensure transparency and reliability in production.
* Mentor \&amp; Guide: Share best practices in data engineering with peers and contribute to shaping engineering culture in a scaling fintech environment.
 What We’re Looking For
* Professional Experience: 5\-8 years in data engineering, ideally within fintech, banking, or other regulated industries.
* Programming Skills: Expertise in Python or Scala, with strong SQL experience.
* Data Platforms: Hands\-on experience with modern warehouses (Snowflake, BigQuery, or Redshift) and data lakes.
* Streaming \&amp; Orchestration: Knowledge of Kafka, Spark, Flink, Airflow, dbt, or similar frameworks.
* Cloud Expertise: Proficiency with AWS, GCP, or Azure, including security and compliance tooling.
* Financial Data Understanding: Familiarity with transaction data, payments, or risk modeling systems is strongly preferred.
* Governance \&amp; Security: Experience with data privacy, encryption, and regulatory compliance (SOC 2, PCI, GDPR, etc.).
* Education: Bachelor’s or Master’s in Computer Science, Engineering, or related quantitative field.
 Why Join
 This is your opportunity to join a Series D fintech firm at an inflection point—scaling rapidly while redefining how financial services are built and delivered. As Senior Data Engineer, you’ll shape the systems that process sensitive financial data, ensure compliance at scale, and enable products trusted by customers worldwide. You’ll work with cutting\-edge technologies, a high\-performing team, and have the ability to leave a lasting mark on the fintech industry.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51">
      <c r="A51" t="inlineStr">
        <is>
          <t>li-4351570507</t>
        </is>
      </c>
      <c r="B51" t="inlineStr">
        <is>
          <t>Sr. Staff Data Engineer</t>
        </is>
      </c>
      <c r="C51" t="inlineStr">
        <is>
          <t>Achieve</t>
        </is>
      </c>
      <c r="D51" t="inlineStr">
        <is>
          <t>linkedin</t>
        </is>
      </c>
      <c r="E51" t="inlineStr"/>
      <c r="F51" t="inlineStr"/>
      <c r="G51" t="inlineStr">
        <is>
          <t>Tempe, AZ</t>
        </is>
      </c>
      <c r="H51" t="inlineStr"/>
      <c r="I51" t="inlineStr">
        <is>
          <t>Achieve is a leading digital personal finance company. We help everyday people move from struggling to thriving by providing innovative, personalized financial solutions. By leveraging proprietary data and analytics, our solutions are tailored for each step of our member's financial journey to include personal loans, home equity loans, debt consolidation, financial tools and education. Every day, we get to help our members move their finances forward with care, compassion, and empathetic touch. We put people first and treat them like humans, not account numbers.
**Job Description**
 As a
 **Sr. Staff Data Engineer** 
 , you’ll impact the lives of everyday people and help them move from surviving to thriving with digital personal finance solutions. Behind our forward\-thinking technology is a group of curious, innovative problem solvers creating next\-level products backed by data and consumer\-centric strategy. At Achieve, you’re encouraged to explore new technologies while working on exciting projects that directly impact our member’s success.
**What you’ll do:**
* Lead product requirements and advanced analytics requirements gathering efforts, interfacing with Data Engineering, Data Scientists, Analytics, and stakeholder teams
* Work with analytics, data science, and wider engineering teams to help with automating data analysis and visualization needs, advise on transformation processes to populate data models, and explore ways to design and develop data infrastructure
* Use technology to solve business problems and drive positive outcomes
* Build a scalable technology platform to support a growing business
* Deliver high\-quality code to production, consistently
* Integrate with various third\-party systems
* Engage in building out a large scale distributed and event based Data Platform that serves as an underpinning for all of Achieve’s businesses and products
**Qualifications**
**What you’ll bring:**
* 10\+ years’ experience building large scale, real\-time distributed systems with solid coding, problem\-solving, and design skills
* Experience building API’s and micro services
* Experience working in highly collaborative teams
* Ability to demonstrate a team\-first attitude towards software development
* Hands\-on Experience with Python and SQL. Nice to have: Java/Scala
* Experience working with various data stores: SQL, NoSQL, and/or key\-value store
* Experience building large scale data pipelines, build data models, normalize and standardize data for the use by various consumers and analysts
* Ability to work in mature engineering practices (CI/CD, testing, secure coding, etc.)
* Preferred experience or desire to learn: Event\-driven architecture and messaging frameworks (Pub/Sub, Kafka, and/or RabbitMQ) and Cloud infrastructure (Google Cloud Platform, AWS, and/or Azure)
**Additional Information**
**Achieve well\-being with:**
* Hybrid and remote work opportunities
* 401 (k) with employer match
* Medical, dental, and vision with HSA and FSA options
* Competitive vacation and sick time off, as well as dedicated volunteer days
* Access to wellness support through Employee Assistance Program, Talkspace, and fitness discounts
* Up to $5,250 paid back to you on eligible education expenses
* Pet care discounts for your furry family members
* Financial support in times of hardship with our Achieve Care Fund
* A safe place to connect and a commitment to diversity and inclusion through our six employee resource groups
**Note: We will be unable to facilitate H1\-B Visa transfer or sponsorship, along with STEM\-OPT Visa.**
**Work from home/hybrid:**
 We are proudly offering hybrid options in the Phoenix, AZ and San Francisco, CA metro market. We are offering 100% remote work in other approved locations.
**Salary Range** 
 : $175,000 to $225,000 annually \+ bonus \+ benefits.
 This information represents the expected salary range for this role. Should we decide to make an offer for employment, we'll consider your location, experience, and other job\-related factors.
**Join Achieve, change the future.**
**At Achieve, we’re changing millions of lives.**
 From the single parent trying to catch up on bills to the entrepreneur needing a loan for the next phase of growth, you’ll get to be a part of their journey to a better financial future. We’re proud to have over 3,000 employees in mostly hybrid and 100% remote roles across the United States with hubs in Arizona, California, and Texas. We are strategically growing our teams with more remote, work\-from\-home opportunities every day to better serve our members. A career at Achieve is more than a job—it’s a place where you can make a true impact, have a sense of belonging, establish a fulfilling career, and put your well\-being first.
**Attention Agencies \&amp; Search Firms:** 
 We do not accept unsolicited candidate resumes or profiles. Please do not reach out to anyone within Achieve to market your services or candidates. All inquiries should be directed to Talent Acquisition only. We reserve the right to hire any candidates sent unsolicited and will not pay any fees without a contract signed by Achieve’s Talent Acquisition leader.</t>
        </is>
      </c>
    </row>
    <row r="52">
      <c r="A52" t="inlineStr">
        <is>
          <t>li-4327757789</t>
        </is>
      </c>
      <c r="B52" t="inlineStr">
        <is>
          <t>Senior Data Engineer</t>
        </is>
      </c>
      <c r="C52" t="inlineStr">
        <is>
          <t>Skydio</t>
        </is>
      </c>
      <c r="D52" t="inlineStr">
        <is>
          <t>linkedin</t>
        </is>
      </c>
      <c r="E52" t="inlineStr"/>
      <c r="F52" t="inlineStr"/>
      <c r="G52" t="inlineStr">
        <is>
          <t>San Mateo, CA</t>
        </is>
      </c>
      <c r="H52" t="inlineStr"/>
      <c r="I52" t="inlineStr">
        <is>
          <t>Skydio is the leading US drone company and the world leader in autonomous flight, the key technology for the future of drones and aerial mobility. The Skydio team combines deep expertise in artificial intelligence, best\-in\-class hardware and software product development, operational excellence, and customer obsession to empower a broader, more diverse audience of drone users. From utility inspectors to first responders, soldiers in battlefield scenarios and beyond.
**About The Role**
 We are looking for a foundational member of the Data Team to enable Skydio to make data\-driven decisions and build data\-centric products.
 You’ll build the systems that collect, transform, and store data from tens of thousands of autonomous drones, powering insights that make our vehicles smarter, safer, and more capable. You’ll have the opportunity to define our data architecture, champion modern tooling in Databricks and Palantir Foundry, and bring AI\-assisted analytics to every corner of the company.
 This is not a back\-office data role — you’ll be working on problems at the intersection of autonomy, AI, and massive\-scale telemetry, helping Skydio turn raw flight data into intelligence that drives real\-world impact!
**Examples Of What You’ll Help Build**
* Predictive models that forecast hardware issues — like propeller or battery failures — before they happen, and automatically trigger the right mitigation steps.
* 3D maps of cellular and radio connectivity across the operational airspace, helping customers understand where their drones can safely and reliably fly.
* The company\-wide data lakehouse that powers analytics, dashboards, and machine learning — built to be secure, scalable, and lightning\-fast.
* AI\-driven data tools that let anyone at Skydio explore data, uncover insights, and build pipelines for their use cases — all in a truly self\-serve way.
**How You'll Make An Impact**
* Design and scale the data infrastructure that ingests live telemetry from tens of thousands of autonomous drones — reliably, efficiently, and with the scale to support the next generation of flight intelligence.
* Build and evolve our Databricks and Palantir Foundry environments to empower every Skydian to query data, define jobs, and build dashboards — turning raw telemetry into accessible, actionable insights.
* Develop data systems that make our products truly data\-driven — from predictive analytics that anticipate hardware failures, to 3D connectivity mapping, to in\-depth flight telemetry analysis that sharpens drone performance.
* Create and integrate AI\-powered tools for data analysis, transformation, and pipeline generation — lowering the technical barrier and democratizing how teams access and build with data.
* Champion a data\-driven culture by defining and enforcing best practices for data quality, lineage, and governance, keeping Skydio’s data lakehouse secure, performant, and cost\-effective at scale.
* Collaborate with autonomy, manufacturing, and operations teams to unify how data flows across the company — enabling faster, smarter decision\-making and unlocking AI\-driven insights end\-to\-end.
* Lead and mentor data engineers, analysts, and stakeholders across Skydio — guiding teams toward better architecture, more reliable data models, and a shared culture of excellence.
* Ensure platform reliability by implementing robust monitoring, observability, and contributing to the on\-call rotation for critical data systems.
**What Would Make You a Good Fit**
* 5\+ years of professional experience, including 2\+ years in software engineering and 2\+ years in data engineering with a bias towards getting your hands dirty.
* Deep experience with Databricks or Palantir Foundry, including building pipelines, managing datasets, and developing dashboards or analytical applications.
* Proven track record of operating scalable data platforms, defining company\-wide patterns that ensure reliability, performance, and cost effectiveness.
* Proficiency in SQL and at least one modern programming language (for example, Python or Java), and comfort working across the full data stack — from ingestion and transformation to orchestration and visualization.
* Strong communication skills, with the ability to collaborate effectively across all levels and functions — from engineers and analysts to senior leadership — and to translate data into clear narratives and decisions.
* Demonstrated ability to lead technical direction, mentor teammates, and promote engineering excellence and best practices across the organization.
* Familiarity with AI\-assisted data workflows, including tools that accelerate data transformations or enable natural\-language interfaces for analytics.
* Bonus: Experience in robotics, IoT, or autonomous systems, or building data systems that integrate with real\-world hardware.
**Why Join Us?**
 At Skydio, you’ll help shape the future of autonomous flight technology. You’ll work alongside world\-class engineers and domain experts, and you’ll be given ownership and autonomy to grow into a leadership role. We offer competitive compensation, excellent benefits, and an opportunity to make a tangible impact in an industry poised for massive growth.
**Compensation:** 
 At Skydio, our compensation packages for regular, full\-time employees include competitive base salaries, equity in the form of stock options, and comprehensive benefits packages. Compensation will vary based on factors, including skill level, proficiencies, transferable knowledge, and experience. Relocation assistance may also be provided for eligible roles. The annual base salary range for this position is $170,000\-230,000\*. Fundamentally, we believe that equity is the key to long\-term financial growth, and we ensure all regular, full\-time employees have the opportunity to significantly benefit from the company's success. Regular, full\-time employees are eligible to enroll in the Company’s group health insurance plans. Regular, full\-time employees are eligible to receive the following benefits: Paid vacation time, sick leave, holiday pay and 401K savings plan. This position and all associated benefits are subject to applicable federal, state, and local laws, as well as the Company’s policies and eligibility criteria.
* Compensation for certain positions may vary based on the position’s location.
 At Skydio we believe that diversity drives innovation. We have created a multidisciplinary environment that embraces the power of diverse perspectives to create elegant solutions for complex problems. We are committed to growing our network of people, programs, and resources to nurture an inclusive culture.
 Qualified applicants will receive consideration for employment without regard to race, color, religion, sex, sexual orientation, gender identity, national origin, disability, protected veteran status, or other characteristics protected by federal, state or local anti\-discrimination laws.
 For positions located in the United States of America, Skydio, Inc. uses E\-Verify to confirm employment eligibility. To learn more about E\-Verify, including your rights and responsibilities, please visit https://www.e\-verify.gov/</t>
        </is>
      </c>
    </row>
    <row r="53">
      <c r="A53" t="inlineStr">
        <is>
          <t>li-4358114061</t>
        </is>
      </c>
      <c r="B53" t="inlineStr">
        <is>
          <t>Senior Data Engineer</t>
        </is>
      </c>
      <c r="C53" t="inlineStr">
        <is>
          <t>Uneek Global</t>
        </is>
      </c>
      <c r="D53" t="inlineStr">
        <is>
          <t>linkedin</t>
        </is>
      </c>
      <c r="E53" t="inlineStr"/>
      <c r="F53" t="inlineStr"/>
      <c r="G53" t="inlineStr">
        <is>
          <t>Massachusetts, United States</t>
        </is>
      </c>
      <c r="H53" t="inlineStr"/>
      <c r="I53" t="inlineStr">
        <is>
          <t>**Senior Data Engineer \- Hybrid \- Boston** 
**$115,000–$170,000** 
 I am partnering with a leading consumer technology company to hire a
 **Senior Data Engineer** 
 for their Core Engineering Data Team. This is a hybrid US\-based role in Boston (2 days in office, 3 days remote).
**The Role:** 
 You’ll design and implement data systems powering analytics, ML, and engineering applications. If you’re passionate about building reliable data products, automating workflows, and working in cloud environments, this is a fantastic opportunity!
**Responsibilities:** 
* Build and maintain data pipelines, orchestration, storage, and analytics infrastructure
* Collaborate with engineers, analysts, and product teams on data workflows
* Optimize data structures and ensure data quality, security, and governance
* Contribute to team practices, norms, and standards
**Requirements:** 
* 4\+ years in software/data engineering, with 2\+ years in data infrastructure
* Strong SQL and Python skills, experience with ETL/ELT and data lakes
* Hands\-on experience with cloud platforms (AWS preferred), orchestration tools (Airflow, Dagster, Prefect), CI/CD, Docker/Kubernetes
* Familiarity with JSON, Parquet, Avro, Iceberg
**Nice to Haves:** 
* Experience with IoT or consumer tech
* Knowledge of streaming platforms (Kafka, Kinesis, Spark)
* Experience with cloud cost optimization
**Why Join:** 
* Hybrid flexibility and collaborative environment
* Inclusive, mission\-driven culture with a focus on growth and learning
* Employee perks including free home tech setup and wellness benefits
 If you’re ready to take your Data Engineering career to the next level and work on high\-impact projects, Please apply!</t>
        </is>
      </c>
    </row>
    <row r="54">
      <c r="A54" t="inlineStr">
        <is>
          <t>li-4330576332</t>
        </is>
      </c>
      <c r="B54" t="inlineStr">
        <is>
          <t>Data Engineer</t>
        </is>
      </c>
      <c r="C54" t="inlineStr">
        <is>
          <t>Canoe Intelligence</t>
        </is>
      </c>
      <c r="D54" t="inlineStr">
        <is>
          <t>linkedin</t>
        </is>
      </c>
      <c r="E54" t="inlineStr"/>
      <c r="F54" t="inlineStr"/>
      <c r="G54" t="inlineStr"/>
      <c r="H54" t="inlineStr"/>
      <c r="I54" t="inlineStr">
        <is>
          <t>**COMPANY:** 
 Canoe Intelligence
**WEBSITE** 
 : https://canoeintelligence.com/
**TITLE:** 
 Data Engineer
**LOCATION:** 
 New York City (hybrid) or Fully Remote in the United States
**SALARY** 
 : $110,000 \- $140,000 (based on NYC, will be adjusted for geo)
**The Role**
 We are seeking a Data Engineer to join our Data Engineering team. This team is building the data foundations of Canoe’s industry\-leading Alts Data Platform, and will play a critical role in its growth and expansion of offerings over the coming years. You will play a key role in designing and building scalable, reliable, and maintainable data systems, contributing to the architecture and development of our data platform, and helping define the Data Engineering team’s future direction.
**What You’ll Do**
* Contribute to the design and development of our Data platform.
* Work closely with AI / ML Engineers to build intelligence and automation into all Canoe systems.
* Design and implement data models, data pipelines, and data architectures in support of new Canoe product offerings.
* Participate in cross\-functional teams as Data Engineering’s representative.
* Build observable systems and be an organization leader in operational excellence.
**What We’re Looking For**
* Minimum 5 years of experience in software development, with at least two in a Data Engineering role
* Experience with SQL Databases and relational data modeling.
* Experience working with data at scale.
* A strong sense of ownership and accountability.
* Curiosity and a willingness to learn new technologies.
* Great communication skills.
* A history of working well with technical and non\-technical stakeholders.
* Bachelor’s degree in Computer Science, Engineering, or a related field (or equivalent experience).
* Experience with our core technologies: Kafka(preferred), PostgreSQL or similar relational database, AWS or similar cloud service, Snowflake or redshift , Dbt (preferred), Airflow or similar orchestration tool.
**What You’ll Get**
* Medical, dental, vision benefits
* Flexible PTO
* 401(k)
* Flexible work from home policy
* Home office stipend
* Employee Assistance Program
* Gym/Wifi reimbursement
* Education assistance
* Parental Leave
**Our Values**
* Client First —\&gt; Listen, and deliver client\-centric solutions
* Be An Owner —\&gt; Take initiative, improve situations, drive positive outcomes
* Excellence —\&gt; Always set the highest standard for yourself and others
* Win Together —\&gt; 1 \+ 1 \= 3
**Who We Are**
 Canoe is reimagining alternative investment data processes for hundreds of leading institutional investors, capital allocators, asset servicing firms and wealth managers. By combining industry expertise with the most sophisticated data capture technologies, Canoe’s technology automates the highly\-frustrating, time\-consuming, and costly manual workflows related to alternative investment document and data management, extraction and delivery. With Canoe, clients can refocus capital and human resources on business performance and growth, increase efficiency, and gain deeper access to their data. Canoe’s AI\-driven platform was developed in 2013 for Portage Partners LLC, a private investment firm.
 Canoe is an equal opportunity employer. All aspects of employment including the decision to hire, promote, discipline, or discharge,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Our mission is to unlock efficiencies in alternative investment processes by introducing purpose\-built automation into the workflows of institutional investors, asset servicers, capital allocators and wealth managers.</t>
        </is>
      </c>
    </row>
    <row r="55">
      <c r="A55" t="inlineStr">
        <is>
          <t>li-4351521313</t>
        </is>
      </c>
      <c r="B55" t="inlineStr">
        <is>
          <t>Quant Data Engineer/Scientist : Alternative Data : Quant Trading : $300-400k+</t>
        </is>
      </c>
      <c r="C55" t="inlineStr">
        <is>
          <t>Hunter Bond</t>
        </is>
      </c>
      <c r="D55" t="inlineStr">
        <is>
          <t>linkedin</t>
        </is>
      </c>
      <c r="E55" t="inlineStr"/>
      <c r="F55" t="inlineStr"/>
      <c r="G55" t="inlineStr">
        <is>
          <t>Connecticut, United States</t>
        </is>
      </c>
      <c r="H55" t="inlineStr"/>
      <c r="I55" t="inlineStr">
        <is>
          <t>We are working with a fast\-growing quantitative investment fund at an early but well\-capitalised stage, looking to hire a Quant Data Engineer/Scientist to help build and scale their data platform supporting systematic equity and futures strategies.
 This is a highly technical role sitting close to the investment process, offering real ownership over market data infrastructure used in both research and live trading.
 As a Quant Data Engineer, you will play a key role in the acquisition, ingestion, and processing of large\-scale financial datasets. You’ll work closely with quantitative researchers to ensure data is robust, clean, and production\-ready.
 Key responsibilities include:
* Designing and maintaining data pipelines for market and alternative data
* Supporting historical backtesting and production deployment across equities and futures
* Managing data quality, validation, and versioning
* Optimising storage and retrieval for research and live systems
* Contributing to scalable, low\-latency infrastructure in a startup environment
 We’re looking for candidates with a strong background in financial data engineering, ideally within systematic trading or quant research environments.
 You should have experience with:
* Equity statistical arbitrage datasets, including core market data (Bloomberg, Refinitv, FactSet)
* Working with alternative datasets (e.g. fundamentals, events, sentiment, signals)
* Large\-scale time series data and cross\-sectional datasets
* Building data systems that support both research and production workflows
 Technical Skills
* Strong programming skills (Python essential; C\+\+/Java a plus)
* Experience with databases, data lakes, or columnar storage
* Familiarity with cloud\-based or distributed systems
* Solid understanding of market data structures for equities and futures
 Why Join?
* Start\-up culture with genuine roadmap to $1billion AUM
* Equity on offer alongside excellent base plus bonus
* Machine learning is core to the investment process, not an overlay
* Exposure to multiple asset classes within a unified research framework
* Opportunity to influence model design, data architecture and research standards</t>
        </is>
      </c>
    </row>
    <row r="56">
      <c r="A56" t="inlineStr">
        <is>
          <t>li-4330436244</t>
        </is>
      </c>
      <c r="B56" t="inlineStr">
        <is>
          <t>Lead Data Engineer</t>
        </is>
      </c>
      <c r="C56" t="inlineStr">
        <is>
          <t>VSoft Consulting Group inc</t>
        </is>
      </c>
      <c r="D56" t="inlineStr">
        <is>
          <t>linkedin</t>
        </is>
      </c>
      <c r="E56" t="inlineStr"/>
      <c r="F56" t="inlineStr"/>
      <c r="G56" t="inlineStr">
        <is>
          <t>Redmond, WA</t>
        </is>
      </c>
      <c r="H56" t="inlineStr"/>
      <c r="I56" t="inlineStr">
        <is>
          <t>Title: Lead Data Engineer
 Location: Multiple locations across the USA
 Visa: USC, GC, H1B \&amp; EAD
 Duration: 12\+ months contract
 Experience: 10\+ years required
 \*\*\*\*\*Only W2\*\*\*\*\*\*\*
*Required Skills* 
 Databricks Python PySpark DBT AWS (S3\) Lead experience
*Additional Skills* 
*Job Description* 
 Lead Data Engineer
 About the Project:
 We are building out an Enterprise Data Platform (EDP) entirely on the cloud, utilizing Databricks on AWS. The project involves two teams focused on data ingestion, with a framework already established using Python and Spark for processing. The platform leverages DBT for data modeling. Our goal is to enhance data transformation capabilities while maintaining high standards for testing and data quality.
 Key Responsibilities:
* Lead Data Ingestion: Oversee and guide the data ingestion process, ensuring efficient and accurate data integration.
* Mentorship: Mentor junior engineers, promoting engineering excellence and improving delivery processes.
* Data Expertise: Utilize extensive knowledge of various data structures (Oracle, DB2, Mainframe, MongoDB, DynamoDB) to optimize data ingestion and transformation.
* Data Profiling: Analyze structured, unstructured, and semi\-structured data to determine the best methods for profiling and ingestion.
* Ownership: Take full ownership of data sources and datasets, determining the best methods for ingestion and understanding the data thoroughly.
* Collaboration: Work closely with staff engineers and other team members to schedule and conduct interviews, ensuring a collaborative and proactive work environment.
 Required Skills and Experience:
* Technical Proficiency: Strong experience with Databricks, AWS, Python, Spark, and DBT.
* Cloud Migration: Proven track record in cloud migration projects, particularly moving on\-premises systems to the cloud.
* Data Modeling: Expertise in data modeling and transformation, with a focus on the Medallion architecture.
* Leadership: Demonstrated ability to lead teams, mentor junior engineers, and drive engineering excellence.
* Data Structures: In\-depth knowledge of various data structures, including Oracle, DB2, Mainframe, MongoDB, and DynamoDB.
* Data Profiling: Experience with profiling structured, unstructured, and semi\-structured data to optimize ingestion processes.
* Soft Skills: Accountable, collaborative, and proactive, with strong communication and interpersonal skills.</t>
        </is>
      </c>
    </row>
    <row r="57">
      <c r="A57" t="inlineStr">
        <is>
          <t>li-4318093683</t>
        </is>
      </c>
      <c r="B57" t="inlineStr">
        <is>
          <t>Senior Data Engineer</t>
        </is>
      </c>
      <c r="C57" t="inlineStr">
        <is>
          <t>D'Addario &amp; Company, Inc.</t>
        </is>
      </c>
      <c r="D57" t="inlineStr">
        <is>
          <t>linkedin</t>
        </is>
      </c>
      <c r="E57" t="inlineStr"/>
      <c r="F57" t="inlineStr"/>
      <c r="G57" t="inlineStr">
        <is>
          <t>Farmingdale, NY</t>
        </is>
      </c>
      <c r="H57" t="inlineStr"/>
      <c r="I57" t="inlineStr">
        <is>
          <t>D’Addario \&amp; Company is the world’s largest manufacturer and distributor of musical instrument accessories. As a U.S.\-based manufacturing leader, we pride ourselves on high\-automation machinery, cutting\-edge technology, and a deep commitment to environmentally sustainable practices. Most importantly, we’re proud of our diverse team of individuals who embody our core values—family, curiosity, passion, candor, and responsibility—and bring them to life every day.
 D’Addario is seeking a Senior Data Engineer to help architect, build, and optimize the next generation of our global data infrastructure. In this role, you’ll design and maintain production\-grade data pipelines, support AI and machine learning initiatives, and serve as a technical mentor within a growing Business Intelligence team. You’ll work closely with the Global Director of BI to deliver scalable solutions that power insights and innovation across the organization. This position is ideal for someone who thrives on solving complex data challenges, enjoys bringing structure to large datasets, and is passionate about enabling smarter decision\-making through data.
**This is a hybrid role and will require the candidate to work on\-site in the Farmingdale office three days a week.**
 At D’Addario, we don’t just offer a job—we offer a career with one of the most iconic names in the music industry. We’re passionate about innovation, craftsmanship, and creating a workplace where diverse backgrounds, perspectives, and ideas thrive. We’re eager to connect with individuals who bring fresh thinking and a collaborative spirit. If you’re ready to make an impact, we’d love to hear how you’ll add value to our team.
**Some Perks \&amp; Benefits of Working at D'Addario:**
* Competitive compensation package
* Health, vision, and dental insurance
* 12 weeks of fully paid parental leave
* Fertility and family\-building benefits
* 401(k) retirement plan with generous employer contributions
* Career pathing and professional development via LinkedIn Learning
* Paid Time Off (PTO) and flexible sick day policy
* 12 Paid Holidays
* Life and AD\&amp;D Insurance
* Enhanced Short\-Term Disability Insurance
* Employee Assistance Program (EAP)
* Tuition Reimbursement
* Discounts on D’Addario products and merchandise
* Company jam nights, artist performances, holiday parties, and special events
* A passionate, talented team that loves what they do!
**Responsibilities**
* Build \&amp; Optimize Pipelines: Design, implement, and maintain robust, high\-performance data pipelines to support analytical models within Microsoft Fabric and our data environment .
* Data Integration: Connect and harmonize new data sources, including ERP, e\-commerce platforms, and external APIs.
* Mentorship \&amp; Standards: Guide junior BI team members , lead code reviews, and establish coding, documentation, and testing best practices.
* AI/ML Enablement: Partner on machine learning and AI projects from proof\-of\-concept through deployment, supporting predictive and prescriptive analytics into production workflows.
* Advanced Analytics Development: Team up with analysts to prepare data products and predictive models using Python, PySpark , and modern ML frameworks.
* Collaboration: Work with stakeholders across Sales, Marketing, Operations, and Product to translate business requirements and align priorities .
* Technical Leadership : Drive data engineering excellence through continuous improvement, quality assurance, and innovation in data architecture and governance.
**Qualifications**
* 5\+ years of experience building and maintaining production\-grade data pipelines.
* Advanced programming skills in Python, PySpark, and SQL.
* Strong background in data modeling and scalable analytics.
* Experience deploying machine learning models and data products in production environments.
* Solid understanding of cloud data platforms (Azure preferred).
* Bachelor’s degree in Computer Science, Engineering, Data Science, or equivalent experience.
* Clear communicator with the ability to simplify complex technical concepts.
* Proven leadership in mentoring and developing technical talent.
* Highly organized, self\-directed, and comfortable in fast\-paced environments.
* Passion for using data to drive innovation and business impact.
 The base salary range for this role would be commensurate with experience: $140k to $165k per year</t>
        </is>
      </c>
    </row>
    <row r="58">
      <c r="A58" t="inlineStr">
        <is>
          <t>li-4279842821</t>
        </is>
      </c>
      <c r="B58" t="inlineStr">
        <is>
          <t>Quantitative Data Engineer</t>
        </is>
      </c>
      <c r="C58" t="inlineStr">
        <is>
          <t>Harris | Oakmark</t>
        </is>
      </c>
      <c r="D58" t="inlineStr">
        <is>
          <t>linkedin</t>
        </is>
      </c>
      <c r="E58" t="inlineStr"/>
      <c r="F58" t="inlineStr"/>
      <c r="G58" t="inlineStr">
        <is>
          <t>Chicago, IL</t>
        </is>
      </c>
      <c r="H58" t="inlineStr"/>
      <c r="I58" t="inlineStr">
        <is>
          <t>At Harris, the true value of what makes us successful is found in our people. It is our unique mix of cultures, experiences, beliefs and backgrounds that sets Harris apart from the rest. We constantly strive to cultivate, nurture and amplify an unparalleled environment, where we value intellectual curiosity and uniqueness of thought. Inclusion is embedded in the very fabric of our culture of collaboration and openness.
 We understand that a job description only tells one part of a broader story, and Harris is seeking dynamic candidates who can add to our best\-in\-class environment. We recognize that qualifications can be gained through both traditional and non\-traditional paths, and we are committed to considering candidates who possess the potential to be excellent in this role regardless of prior experiences.
***Therefore we encourage ALL interested individuals to submit their applications, even if they do not meet every requirement outlined in the job description.***
**The Position**
 The Quantitative Engineering team is responsible for designing, building, and maintaining the firm’s data infrastructure, cloud platforms, and integration frameworks that empower the Quantitative Research function. This includes delivering highly reliable, data\-driven research capabilities, advanced analytics, and actionable portfolio insights to optimize portfolio construction, enhance risk reporting, and support ongoing research initiatives.
 The Quantitative Data Engineer plays a pivotal role in developing and managing scalable data pipelines, analytical tools, and cloud\-based infrastructure that enable the generation of actionable investment insights. Responsibilities include sourcing, curating, and integrating data from internal platforms and external market data providers into both research and production environments, while ensuring data accuracy, availability, and integrity. The role involves close collaboration with Quantitative Research leadership and cross\-functional engineering and technology teams to enhance system resiliency, infrastructure scalability, and data architecture. Success in this role requires curiosity, a proactive mindset, and a strong dedication to maintaining data accuracy and integrity.
**Responsibilities**
* Build pipelines and data infrastructure that support the Quantitative Research team in conducting historical analysis, back testing, and optimization, and assist in developing tools to aid portfolio managers with portfolio construction and management
* Contribute to the design, implementation, and maintenance of quantitative models, proprietary analytic tools that support portfolio construction and research
* Assist in the development and execution of risk attribution and reporting processes for investment teams and clients
* Support the Head of Quantitative Research, portfolio managers, analysts, and investment team members with custom research and client\-oriented projects
* Maintain development environments, operational workflows, and support systems for the firm’s quantitative technology and data platforms
* Develop expertise in vendor platforms (e.g., FactSet, Bloomberg) to enhance Quantitative Research workflows and data management, augmenting internal tools
* Implement data governance, lineage, and monitoring solutions to ensure data integrity, traceability, and operational reliability across quantitative systems
**Qualifications**
*Required*
* Bachelor’s degree in engineering, Finance, Statistics, Computer Science, or Data Science (STEM discipline preferred); advanced degree is a plus
* 1–3 years of experience, preferably in financial services or investment management
* Understanding of portfolio theory, risk management, and investment analytics
* Proficient in Python for data science, statistical analysis and ETL
* Proven ability to design data pipelines on Microsoft Azure with continuous delivery, automation, and orchestration
* Skilled in visualization tools and APIs
* Advanced SQL proficiency with in\-depth knowledge of relational databases, data warehousing, and modern data architecture
* Hands\-on experience managing proprietary platforms supporting quantitative research, order management, trading, and research operations
* Effective project management skills with a track record of fast\-paced, iterative delivery through proactive input gathering and cross\-functional collaboration
**Preferred**
* End\-to\-end experience with the software development lifecycle (SDLC), using Agile/Scrum frameworks and tools such as Jira
* Proficient in version control systems (e.g., SVN, Git), including branching and merging workflows.
* Skilled in building and maintaining scalable data pipelines using Databricks
* Familiarity with optimizers and factor risk models to support quantitative analysis and portfolio construction
* Experience with financial data platforms, including FactSet, Bloomberg, and Morningstar
* Understanding of cloud\-native principles and Software as a Service (SaaS) architecture
 We offer a comprehensive benefits package designed to integrate life and work and to support our employees and their families. Benefits include, but are not limited to; medical, prescription drug, dental and vision insurance, paid time off, profit sharing plan, 401k plan, tuition reimbursement, commuter and holistic wellness benefits along with volunteer programs.
 Actual annual base salaries may vary based on factors including but not limited to education, training, experience, and other job\-related factors. If hired, base pay will be determined on an individualized basis and is only one part of the total compensation package, which, depending on the position, may also include a discretionary performance bonus and other Harris sponsored benefit programs.
 Expected range for this Chicago\-based role
 $100,000 \- $125,000 USD
**Equal Employment Opportunity Policy Statement**
 Harris Associates L.P. pursues a policy of equal opportunity in all areas of employment including recruitment, hiring, training, compensation, benefits, advancement, and treatment on the job. This means that Harris does not discriminate against employees, or qualified applicants, based on an individual's race, color, religion, creed, sex, age, national origin, physical disability, sexual orientation, trans\-gender status, transsexual status, status as a veteran or disabled veteran, genetic information or for any other reason prohibited by law. Harris reserves the right to review publicly available information about applicants (i.e., via social networking sites), to the extent permissible under applicable law.
**Reasonable Accommodation Notice**
 We provide reasonable accommodation for individuals with disabilities and disabled veterans in job application procedures. If you have any difficulty using our online system and you need an accommodation due to a disability, you may use the alternative email address below to contact us about your interest in employment at HR@harrisassoc.com or you can call us at 312\-646\-3600\.
**Privacy Statement**
 The information you send to us is used for employment purposes only. What you send is kept confidential—we will not give your personal information to outside parties without your consent.</t>
        </is>
      </c>
    </row>
    <row r="59">
      <c r="A59" t="inlineStr">
        <is>
          <t>li-4327806534</t>
        </is>
      </c>
      <c r="B59" t="inlineStr">
        <is>
          <t>Data Engineer</t>
        </is>
      </c>
      <c r="C59" t="inlineStr">
        <is>
          <t>CAI</t>
        </is>
      </c>
      <c r="D59" t="inlineStr">
        <is>
          <t>linkedin</t>
        </is>
      </c>
      <c r="E59" t="inlineStr"/>
      <c r="F59" t="inlineStr"/>
      <c r="G59" t="inlineStr">
        <is>
          <t>Trenton, NJ</t>
        </is>
      </c>
      <c r="H59" t="inlineStr"/>
      <c r="I59" t="inlineStr">
        <is>
          <t>**Req Number**
 R6522
**Employment Type**
 Full time
**Worksite Flexibility**
 Hybrid
**Who We Are**
 CAI is a global technology services firm with over 8,500 associates worldwide and a yearly revenue of $1 billion\+. We have over 40 years of excellence in uniting talent and technology to power the possible for our clients, colleagues, and communities. As a privately held company, we have the freedom and focus to do what is right—whatever it takes. Our tailor\-made solutions create lasting results across the public and commercial sectors, and we are trailblazers in bringing neurodiversity to the enterprise.
**Job Summary**
 We are looking for a motivated Senior Data Modeler ready to take us to the next level! If you have experience working with AWS Redshift, S2, Dynamo DB, PostgreSQL, 6\+ years data modeling experience, and are looking for your next career move, apply now.
**Job Description**
 We are seeking a skilled
 **Senior Data Modeler** 
 (SOM) Specialist to design and implement modern data modeling solutions to meet our clients needs. This role involves creating conceptual, logical, and physical data models for various databases, including AWS Redshift, S3, Dynamo DB, DB2, and Postgres. The ideal candidate will have a strong background in data modeling, database tuning, and the development of structured and unstructured data models for business intelligence and analytics. This will be a
 **full\-time contract** 
 role and
 **hybrid** 
 in
 **Trenton, NJ.**
**What You'll Do**
* Design and implement modern data modeling solutions using relational, dimensional, snowflake, star schemas, and data lake models
* Collaborate with Application Development teams to build data strategies, data flows, and conceptual data models
* Optimize and update data models to support data initiative projects throughout various implementation phases
* Perform reverse engineering of physical data models and analyze variances across source systems
* Develop best practices for standard naming conventions and coding practices to ensure consistency
* Evaluate system integration challenges and recommend appropriate solutions
* Work with IT teams to address performance requirements, project limitations, and interfaces
* Review modifications to existing software to improve efficiency and performance
**Required**
**What You'll Need**
* 8\+ years of experience in data modeling for databases such as DB2, AWS Redshift, Dynamo DB, Postgres, SQL Server, and PEGA Applications
* 6\+ years of experience with data modeling software
* Proficiency in AWS and other cloud systems
* Strong SQL and data profiling skills across various relational databases
* Experience in building data lakes for structured and unstructured data
* Database tuning techniques
* Expertise in relational data, dimensional data, unstructured data, and master data
* Excellent communication skills and ability to collaborate with internal and external teams
* Self\-motivated and capable of working independently with minimal supervision
**Preferred**
* Exposure to Snowflake's Cloud Data Warehouse
* Knowledge of modern data management trends and modeling techniques
**Reasonable accommodation statement**
 If you require a reasonable accommodation in completing this application, interviewing, completing any pre\-employment testing, or otherwise participating in the employment selection process, please direct your inquiries to application.accommodations@cai.io or (888\) 824 – 8111\.
 $74 p/h \- $84p/h
 The pay range for this position is listed above. Exact compensation may vary based on several factors, including location, experience, and education. Benefit packages include medical, dental, and vision insurance, as well as 401k retirement account access. Employees in this role may also be entitled to paid sick leave and/or other paid time off as provided by applicable law.</t>
        </is>
      </c>
    </row>
    <row r="60">
      <c r="A60" t="inlineStr">
        <is>
          <t>li-4351381342</t>
        </is>
      </c>
      <c r="B60" t="inlineStr">
        <is>
          <t>Senior Data Engineer</t>
        </is>
      </c>
      <c r="C60" t="inlineStr">
        <is>
          <t>Employvision Inc.</t>
        </is>
      </c>
      <c r="D60" t="inlineStr">
        <is>
          <t>linkedin</t>
        </is>
      </c>
      <c r="E60" t="inlineStr"/>
      <c r="F60" t="inlineStr"/>
      <c r="G60" t="inlineStr">
        <is>
          <t>Miramar, FL</t>
        </is>
      </c>
      <c r="H60" t="inlineStr"/>
      <c r="I60" t="inlineStr">
        <is>
          <t>**Job Title: Data Engineer – Senior Consultant** 
**Location: Miramar, FL (Hybrid – 4 days onsite) (Local Only)** 
**Duration: Full\-Time \| Permanent** 
**Overview** 
 We are looking for a
 **Senior Data Engineer (Consultant level)** 
 with
 strong
**Databricks and cloud data engineering**
 experience to design and deliver scalable analytics solutions. This role requires a mix of hands\-on technical expertise, client\-facing communication, and end\-to\-end data pipeline ownership.
**What You’ll Do** 
* Design, build, and optimize
 **cloud\-based data architectures**
* Develop and maintain
 **end\-to\-end data pipelines** 
 (ingestion, transformation, storage)
* Implement data engineering solutions using
 **Databricks \&amp; Spark/
 PySpark**
* Translate business requirements into scalable technical solutions
* Ensure
 **data quality, security, and governance** 
 across platforms
* Collaborate directly with stakeholders and manage client expectations
* Provide technical leadership and mentor junior engineers
**Required Qualifications** 
* **5\+ years of data engineering experience** 
 , with strong cloud focus
* **Hands\-on expertise with
 Databricks and Apache Spark / PySpark**
* Strong programming skills in
 **Python, Scala, and/or SQL**
* Knowledge of data modeling, ETL, and data warehousing
* Proven delivery of
 **at least two end\-to\-end data engineering implementations**
* Excellent communication skills and client\-facing experience
* Bachelor’s degree in Computer Science, Engineering, or related field</t>
        </is>
      </c>
    </row>
    <row r="61">
      <c r="A61" t="inlineStr">
        <is>
          <t>li-4351551105</t>
        </is>
      </c>
      <c r="B61" t="inlineStr">
        <is>
          <t>GCP Data Engineer</t>
        </is>
      </c>
      <c r="C61" t="inlineStr">
        <is>
          <t>Headway Tek Inc</t>
        </is>
      </c>
      <c r="D61" t="inlineStr">
        <is>
          <t>linkedin</t>
        </is>
      </c>
      <c r="E61" t="inlineStr"/>
      <c r="F61" t="inlineStr"/>
      <c r="G61" t="inlineStr"/>
      <c r="H61" t="inlineStr"/>
      <c r="I61" t="inlineStr">
        <is>
          <t>**Position : GCP Data Engineer** 
**Location: Remote** 
**Full Time** 
**Summary:** 
 Strong experience architecting enterprise data platforms on Google Cloud (GCP). The architect will work as a strategic technical partner to design and build a GCP BigQuery\-based Data Lake \&amp; Data Warehouse ecosystem.
 The role requires deep hands\-on expertise in data ingestion, transformation, modeling, enrichment, and governance, combined with a strong understanding of clinical healthcare data standards, interoperability, and cloud architecture best practices.
**Key Responsibilities:** 
**1\. Data Lake \&amp; Data Platform Architecture (GCP)**
 • Architect and design an enterprise\-grade GCP\-based data lakehouse leveraging BigQuery, GCS, Dataproc, Dataflow, Pub/Sub, Cloud Composer, and BigQuery Omni.
 • Define data ingestion, hydration, curation, processing and enrichment strategies for large\-scale structured, semi\-structured, and unstructured datasets.
 • Create data domain models, canonical models, and consumption\-ready datasets for analytics, AI/ML, and operational data products.
 • Design federated data layers and self\-service data products for downstream consumers.
**2\. Data Ingestion \&amp; Pipelines**
 • Architect batch, near\-real\-time, and streaming ingestion pipelines using GCP Cloud Dataflow, Pub/Sub, and Dataproc.
 • Set up data ingestion for clinical (EHR/EMR, LIS, RIS/PACS) datasets including HL7, FHIR, CCD, DICOM formats.
 • Build ingestion pipelines for non\-clinical systems (ERP, HR, payroll, supply chain, finance).
 • Architect ingestion from medical devices, IoT, remote patient monitoring, and wearables leveraging IoMT patterns.
 • Manage on\-prem → cloud migration pipelines, hybrid cloud data movement, VPN/Interconnect connectivity, and data transfer strategies.
**3\. Data Transformation, Hydration \&amp; Enrichment**
 • Build transformation frameworks using BigQuery SQL, Dataflow, Dataproc, or dbt.
 • Define curation patterns including bronze/silver/gold layers, canonical healthcare entities, and data marts.
 • Implement data enrichment using external social determinants, device signals, clinical event logs, or operational datasets.
 • Enable metadata\-driven pipelines for scalable transformations.
**4\. Data Governance \&amp; Quality**
 • Establish and operationalize a data governance framework encompassing data stewardship, ownership, classification, and lifecycle policies.
 • Implement data lineage, data cataloging, and metadata management using tools such as Dataplex, Data Catalog, Collibra, or Informatica.
 • Set up data quality frameworks for validation, profiling, anomaly detection, and SLA monitoring.
 • Ensure HIPAA compliance, PHI protection, IAM/RBAC, VPC SC, DLP, encryption, retention, and auditing.
**5\. Cloud Infrastructure \&amp; Networking**
 • Work with cloud infrastructure teams to architect VPC networks, subnetting, ingress/egress, firewall policies, VPN/IPSec, Interconnect, and hybrid connectivity.
 • Define storage layers, partitioning/clustering design, cost optimization, performance tuning, and capacity planning for BigQuery.
 • Understand containerized processing (Cloud Run, GKE) for data services.
**6\. Stakeholder Collaboration**
 • Work closely with clinical, operational, research, and IT stakeholders to define data use cases, schema, and consumption models.
 • Partner with enterprise architects, security teams, and platform engineering teams on cross\-functional initiatives.
 • Guide data engineers and provide architectural oversight on pipeline implementation.
**7\. Hands\-on Leadership**
 • Be actively hands\-on in building pipelines, writing transformations, building POCs, and validating architectural patterns.
 • Mentor data engineers on best practices, coding standards, and cloud\-native development.
**Required Skills \&amp; Qualifications** 
**Technical Skills (Must\-Have)**
 • 10\+ years in data architecture, engineering, or data platform roles.
 • Strong expertise in GCP data stack (BigQuery, Dataflow, Composer, GCS, Pub/Sub, Dataproc, Dataplex).
 • Hands\-on experience with data ingestion, pipeline orchestration, and transformations.
 • Deep understanding of clinical data standards:
 • HL7 v2\.x, FHIR, CCD/C\-CDA
 • DICOM (for scans and imaging)
 • LIS/RIS/PACS data structures
 • Experience with device and IoT data ingestion (wearables, remote patient monitoring, clinical devices).
 • Experience with ERP datasets (Workday, Oracle, Lawson, PeopleSoft).
 • Strong SQL and data modeling skills (3NF, star/snowflake, canonical and logical models).
 • Experience with metadata management, lineage, and governance frameworks.
 • Solid understanding of HIPAA, PHI/PII handling, DLP, IAM, VPC security.
**Cloud \&amp; Infrastructure**
 • Solid understanding of cloud networking, hybrid connectivity, VPC design, firewalling, DNS, service accounts, IAM, and security models.
 • Cloud Native Data movement services
 • Experience with on\-prem to cloud migrations.</t>
        </is>
      </c>
    </row>
    <row r="62">
      <c r="A62" t="inlineStr">
        <is>
          <t>li-4330505954</t>
        </is>
      </c>
      <c r="B62" t="inlineStr">
        <is>
          <t>AWS Data Engineer</t>
        </is>
      </c>
      <c r="C62" t="inlineStr">
        <is>
          <t>Smart IT Frame LLC</t>
        </is>
      </c>
      <c r="D62" t="inlineStr">
        <is>
          <t>linkedin</t>
        </is>
      </c>
      <c r="E62" t="inlineStr"/>
      <c r="F62" t="inlineStr"/>
      <c r="G62" t="inlineStr">
        <is>
          <t>Reston, VA</t>
        </is>
      </c>
      <c r="H62" t="inlineStr"/>
      <c r="I62" t="inlineStr">
        <is>
          <t>**Role: AWS Data Engineer** 
**Location: Reston, VA \- Onsite** 
**Type: Full Time** 
**Interview Type: In person Client interview** 
**About Smart IT Frame:** 
**At Smart IT Frame,** 
 we connect top talent with leading organizations across the USA. With over a decade of staffing excellence, we specialize in IT, healthcare, and professional roles, empowering both clients and candidates to grow together.
**Job Description:** 
* Seeking an AWS Data Engineer to design, build, and maintain scalable data pipelines and ETL solutions using Python/Pyspark and AWS managed services to support analytics and data product needs.
**Responsibilities:** 
* Build and maintain ETL pipelines using Python and PySpark on AWS Glue and other compute platforms
* Orchestrate workflows with AWS Step Functions and serverless components (Lambda)
* Implement messaging and event\-driven patterns using AWS SNS and SQS
* Design and optimize data storage and querying in Amazon Redshift
* Write performant SQL for data transformations, validation, and reporting
* Ensure data quality, monitoring, error handling and operational support for pipelines
* Collaborate with data consumers, engineers, and stakeholders to translate requirements into solutions
* Contribute to CI/CD, infrastructure\-as\-code, and documentation for reproducible deployments
* Required Skills
* Strong experience with Python and Pyspark for large\-scale data processing
* Proven hands\-on experience with AWS services: Lambda, SNS, SQS, Glue, Redshift, Step Functions
* Solid SQLSQL skills and familiarity with data modelling and query optimization
* Experience with ETL best practices, data quality checks, and monitoring/alerting
* Familiarity with version control (Git) and basic DevOps/CI\-CD workflows
 Apply today or share profiles at
 **venkatesh@smartitframe.com**</t>
        </is>
      </c>
    </row>
    <row r="63">
      <c r="A63" t="inlineStr">
        <is>
          <t>li-4330595265</t>
        </is>
      </c>
      <c r="B63" t="inlineStr">
        <is>
          <t>Big Data Engineer</t>
        </is>
      </c>
      <c r="C63" t="inlineStr">
        <is>
          <t>RemoteHunter</t>
        </is>
      </c>
      <c r="D63" t="inlineStr">
        <is>
          <t>linkedin</t>
        </is>
      </c>
      <c r="E63" t="inlineStr"/>
      <c r="F63" t="inlineStr"/>
      <c r="G63" t="inlineStr"/>
      <c r="H63" t="inlineStr"/>
      <c r="I63" t="inlineStr">
        <is>
          <t>About the Opportunity:
 This team is seeking a seasoned Factory Data Engineer to lead the development of scalable data solutions in a cloud\-native environment. The role involves designing robust data pipelines, optimizing data warehouse performance, and working with in\-house tools to support data operations and management.
 Responsibilities:
 • Create Python, Spark, Perl, Shell Scripting programs to process data sets
 • Maintain existing Python, Spark, Perl, Shell Scripts and C programs
 • Collaborate with cross\-functional teams to understand data requirements and deliver high\-quality solutions
 • Learn and work extensively with in\-house data tools and frameworks, contributing to their enhancement and integration
 • Ensure data quality, governance, and security across all data assets
 • Mentor junior engineers and promote best practices in data engineering
 • Drive performance tuning, cost optimization, and automation of data workflows
 • Participate in Agile ceremonies, code reviews, and technical design discussions
 • Create required documentation and provide interface documentation to other team members on interfaces
 • Follow established SOPs and practices
 • Validate data generated to confirm that desired values are created
 Requirements:
 • Bachelor’s degree or equivalent in computer science
 • Minimum 5 years of experience in Python, Perl, C programming languages
 • Good understanding of Spark and pySpark
 • Good understanding of databases such as Hive, Postgres or Oracle
 • Familiarity with scheduling tools such as Airflow or Control\-M
 • Strong communication skills, ability to write technical documentation and present ideas
 Benefits \&amp; Perks:
 • Paid time off
 • Medical, dental, and vision insurance
 • 401(k) plan
 Compensation:
 • Salary range for this role is $90,000 to $115,000
 • Compensation will depend on factors such as education, experience, skills, location, and performance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64">
      <c r="A64" t="inlineStr">
        <is>
          <t>li-4343727414</t>
        </is>
      </c>
      <c r="B64" t="inlineStr">
        <is>
          <t>Analytics Engineer Manager</t>
        </is>
      </c>
      <c r="C64" t="inlineStr">
        <is>
          <t>StubHub</t>
        </is>
      </c>
      <c r="D64" t="inlineStr">
        <is>
          <t>linkedin</t>
        </is>
      </c>
      <c r="E64" t="inlineStr"/>
      <c r="F64" t="inlineStr"/>
      <c r="G64" t="inlineStr">
        <is>
          <t>New York, NY</t>
        </is>
      </c>
      <c r="H64" t="inlineStr"/>
      <c r="I64" t="inlineStr">
        <is>
          <t>StubHub is on a mission to redefine the live event experience on a global scale. Whether someone is looking to attend their first event or their hundredth, we’re here to delight them all the way from the moment they start looking for a ticket until they step through the gate. The same goes for our sellers. From fans selling a single ticket to the promoters of a worldwide stadium tour, we want StubHub to be the safest, most convenient way to offer a ticket to the millions of fans who browse our platform around the world.
 StubHub’s Finance and Strategy AE team builds the data foundations and analytics products that produce robust accounting primitives and enable accurate, timely, and actionable insights for Finance, Leadership, and strategic teams. Our mission is to empower high quality financial reporting, data\-informed decision making, and strategic planning by owning the models, pipelines, metrics, and executive tools that structure how the company understands performance.
**About The Role**
 This leader will shape the analytics engineering foundation for the finance domain and drive the systems that power executive visibility and company strategy. The team owns the definition and implementation of the company’s top level business KPIs, the data used for financial reporting, and the tools that guide strategic decisions. The role carries direct exposure to senior leadership, broad cross\-functional influence, and significant responsibility for aligning financial signals with business analytics.
 You will guide the ongoing development of critical pipelines, mature executive reporting, and accelerate our ability to generate insights efficiently. If you are comfortable blending data architecture, analytics engineering, and business strategy, and enjoy mentoring talent while shaping both systems and decisions, this is a high impact role you may be interested in!
*Location: Hybrid (3 days in office/2 days remote) – Santa Monica, CA or New York, NY*
**What You'll Do**
* Drive measurable impact \- Identify high leverage analytics engineering and financial data problems, define clear success metrics, and deliver solutions that improve reporting accuracy, operational efficiency, and decision quality. Champion efforts that tie together financial and business analytics into one coherent narrative.
* Raise the bar on talent density \- Hire and develop analytics engineers across multiple levels. Coach individuals through both technical and strategic problem solving. Build a culture that strengthens ownership, trust, and technical excellence.
* Advance data quality and governance \- Maintain a high quality data foundation for the finance domain. Champion modeling standards, documentation, observability, and structured KPI definitions. Ensure executive reporting and top level business metrics are accurate, consistent, and well understood.
* Elevate analytics platforms and architecture \- Own the evolution of pipelines, modeling frameworks, and analytics tooling across our data stack. Partner with DE and FinTech platform teams to elevate existing platform capabilities.
* Expand executive reporting and insights \- Guide product discovery and prioritization for new executive dashboards, KPIs, and decision support tools. Establish clear ownership models, improve adoption, and scale reporting that informs C\-staff and business leaders.
* Foster team health \- Build an inclusive environment with psychological safety, clarity, and shared accountability. Support teammates in their growth and careers.
* Partner across the business \- Collaborate with FP\&amp;A, Strategy, Finance, Data Science, and Engineering to align on priorities, integrate financial and operational signals, and deliver analytics products that directly influence company strategy.
**What Success Looks Like**
* A trusted, well governed financial data foundation that enables accurate and efficient reporting.
* Clear, stable ownership of top level KPIs and executive reporting tools.
* Demonstrable increases in data quality, modeling consistency, and reduction of legacy debt.
* Improved alignment between financial metrics and business analytics that enhances strategic storytelling.
* A high performing team with visible growth, strong engagement, and expanded analytical leverage through automation or AI assisted workflows.
**What You've Done**
* 10 or more years of experience in data engineering, analytics engineering, or similar roles building production grade datasets and analytical systems.
* 2 or more years of people leadership experience with a track record of hiring, developing, and inspiring technical teams.
* Deep experience with modern cloud computing (we use Airflow, dbt, and Snowflake) along with strong SQL and data modeling foundations.
* Background partnering with Finance and/or business analytics teams and familiarity with financial reporting, forecasting, and KPI development.
* Experience leading cross functional initiatives with Data Engineering, Data Science, and Finance.
* Ability to drive execution, define clear metrics, and communicate effectively with technical and executive stakeholders.
* Strong judgment, comfort with ambiguity, and a habit of candid, constructive feedback.
* A reputation for building trust, elevating talent, and serving as a cultural anchor for teams.
**What We Offer**
* Accelerated Growth Environment: An environment designed for swift skill and knowledge enhancement, where you have the autonomy to lead experiments and tests on a massive scale.
* Top Tier Compensation Package: Competitive base, equity, and upside that tracks with your impact.
* Flexible Time Off: Enjoy unlimited Flex Time Off, giving you the flexibility to manage your schedule and take time to recharge as needed.
* Comprehensive Benefits Package: Prioritize your well\-being with a comprehensive benefits package, featuring 401k, and premium Health, Vision, and Dental Insurance options.
 The anticipated gross base pay range is below for this role. Actual compensation will vary depending on factors such as a candidate’s qualifications, skills, experience, and competencies. Base annual salary is one component of StubHub’s total compensation and competitive benefits package, which includes equity, 401(k), paid time off, paid parental leave, and comprehensive health benefits.
 Salary Range
 $300,000—$400,000 USD
**About Us**
 StubHub is the world’s leading marketplace to buy and sell tickets to any live event, anywhere. Through StubHub in North America and viagogo, our international platform, we service customers in 195 countries in 33 languages and 49 available currencies. With more than 300 million tickets available annually on our platform to events around the world \-\- from sports to music, comedy to dance, festivals to theater \-\- StubHub offers the safest, most convenient way to buy or sell tickets to the most memorable live experiences. Come join our team for a front\-row seat to the action.
 For California Residents: California Job Applicant Privacy Notice found here
**We are an equal opportunity employer and value diversity on our team. We do not discriminate on the basis of race, color, religion, sex, national origin, gender, sexual orientation, age, disability, veteran status, or any other legally protected status.**</t>
        </is>
      </c>
    </row>
    <row r="65">
      <c r="A65" t="inlineStr">
        <is>
          <t>li-4358233475</t>
        </is>
      </c>
      <c r="B65" t="inlineStr">
        <is>
          <t>Intermediate Data Engineer - Commerce Ordering</t>
        </is>
      </c>
      <c r="C65" t="inlineStr">
        <is>
          <t>Publix Super Markets</t>
        </is>
      </c>
      <c r="D65" t="inlineStr">
        <is>
          <t>linkedin</t>
        </is>
      </c>
      <c r="E65" t="inlineStr"/>
      <c r="F65" t="inlineStr"/>
      <c r="G65" t="inlineStr">
        <is>
          <t>Lakeland, FL</t>
        </is>
      </c>
      <c r="H65" t="inlineStr"/>
      <c r="I65" t="inlineStr">
        <is>
          <t>**Description**
 Please note, this is a hybrid position requiring 8 days per month on\-site in Lakeland, FL. Join Publix Technology \- Where Innovation Meets Impact
 Publix Super Markets, Inc., the largest employee\-owned company in the U.S., is powered by a dynamic technology team of 2,100\+ associates. We deliver modern, cutting\-edge solutions to 1,400\+ stores and over 200,000 internal team members across 8 states. Whether you're passionate about IT security, platform engineering, architecture, software development, or infrastructure, we offer exciting career paths at every level \- from internships to technical leadership. Be part of a Fortune “100 Best Companies to Work For” and help us build more than just great subs \- build the future of technology for Publix. Become a part of the Commerce \- Ordering team! As an Intermediate Software Engineer, you will play a key role in designing, delivering, and maintaining high\-impact data reports, dashboards, and analytics solutions for leadership and business stakeholders. This position is ideal for individuals who excel at the intersection of software engineering and data analytics, with a strong emphasis on building and optimizing data pipelines, transforming complex datasets into actionable insights, and enabling data\-driven decision\-making across the portfolio.
**Job Responsibilities**
* Design, develop, and maintain scalable and automated data pipelines using Azure Databricks, Data Factory, and Python.
* Perform deep\-dive exploratory data analysis using Excel, Power BI, and Python to uncover trends, anomalies, and actionable insights.
* Develop and optimize complex SQL queries to support data modeling, reporting, and analytics.
* Create and maintain robust workflows for data ingestion, transformation, and integration from multiple systems like SQL Server, COSMOS, Azure SQL, Application insights, Snowflake DB
* Automate data refresh processes to ensure timely and accurate data availability for business users.
* Provide analytical insights and business performance reporting to senior leadership.
* Build intuitive and effective data visualizations to communicate findings to both technical and non\-technical stakeholders.
* Collaborate with cross\-functional teams to understand data needs and deliver scalable solutions.
* Monitor, troubleshoot, and optimize data workflows and pipelines in production environments.
* Document data processes, pipeline architecture, and best practices to support knowledge sharing and maintainability.
**Required Qualifications**
* Bachelor’s degree in management information systems, Computer Science, Business, or other analytical disciplines or equivalent experience
* 3\+ years of experience in application design, development, and delivery in an enterprise environment
* 3\+ years of Proficiency in Python for data manipulation and transformation.
* 3\+ years of Hands\-on experience with Azure Databricks, Data Factory, and cloud\-based data engineering tools.
* 3\+ years of Strong SQL skills with the ability to write and optimize complex queries.
* 3\+ years of Experience with Excel, Power BI for data analysis and visualization.
* Familiarity with data modeling concepts and integrating data from diverse sources.
**Preferred Qualifications**
* 5\+ years of experience in application design, development, and delivery in an enterprise environment
* 5\+ years of experience developing large\-scale data manipulation processes.
* 4\+ years of experience utilizing Databricks for Python
* 5\+ years of experience working with relational databases.
* 5\+ years of experience implementing large scale enterprise applications.
* 5\+ years of experience in analyzing complex, enterprise business problems or processes and translating business requirements into technology solutions that factor in system performance, usability, quality, cross\-system interdependencies, scalability, and total cost of ownership.
* Experience in implementing enterprise applications using platform services like azure App service, COSMOS, Azure SQL, event hubs, Microservices, Snowflake DB, application insights, etc.
* Experience with Azure DevOps for managing project tasks, managing code repositories, and creating YAML pipelines for CI/CD builds and deployments.
* Experience with C\# and/or Angular development
* Relevant Certifications in Data Engineering
**Benefits Information**
* Employee stock ownership plan that contributes Publix stock to associates each year at no cost
* An opportunity to purchase additional shares of our privately\-held stock
* 401(k) retirement savings plan
* Group health, dental and vision plans
* Paid Time Off
* Paid Parental Leave
* Short\- and long\-term disability insurance
* Tuition reimbursement
* Free hot lunches (buffet\-style) at facilities with a cafeteria
* Visit our website to see all of our benefits: https://jobs\-beta.publix.com/benefits/
**Year End Bonus**
 As a year\-end bonus to associates, Publix issues one month’s extra pay (pro\-rated in the first year) each year if associate remains employed through issue date of the bonus check that year. This is calculated as a 13th month of pay in the Potential Annual Pay with Bonus line above.
**Additional Information**
 Your application may have additional steps that you will need to complete in order to remain eligible for consideration. Please be sure to monitor your email, including your spam folder, on a daily basis for critical, time\-sensitive emails that could require action within 24\-48 hours. Please do not use your Publix email address when applying. Once your application has been successfully submitted you will receive a confirmation email.
* Relocation/Household Good Shipment Allowance will NOT be provided.\*\*\*Please note that Publix will not sponsor any hire for this position for an H\-1B visa or permanent residence.</t>
        </is>
      </c>
    </row>
    <row r="66">
      <c r="A66" t="inlineStr">
        <is>
          <t>li-4313045414</t>
        </is>
      </c>
      <c r="B66" t="inlineStr">
        <is>
          <t>Data Engineer</t>
        </is>
      </c>
      <c r="C66" t="inlineStr">
        <is>
          <t>Jobs via eFinancialCareers</t>
        </is>
      </c>
      <c r="D66" t="inlineStr">
        <is>
          <t>linkedin</t>
        </is>
      </c>
      <c r="E66" t="inlineStr"/>
      <c r="F66" t="inlineStr"/>
      <c r="G66" t="inlineStr">
        <is>
          <t>Bedminster, NJ</t>
        </is>
      </c>
      <c r="H66" t="inlineStr"/>
      <c r="I66" t="inlineStr">
        <is>
          <t>**Benefits Summary**
* Flexible and hybrid work arrangements
* Paid time off/Paid company holidays
* Medical plan options/prescription drug plan
* Dental plan/vision plan options
* Flexible spending and health savings accounts
* 401(k) retirement savings plan with a Roth savings option and company matching contributions
* Educational assistance program
**Overview**
 The Data Engineer will be responsible for designing, building, and optimizing scalable data solutions to support a wide range of business needs. This role requires a strong ability to work both independently and collaboratively in a fast\-paced, agile environment. The ideal candidate will engage with cross\-functional teams to gather data requirements, propose enhancements to existing data pipelines and structures, and ensure the reliability and efficiency of data processes.
**Responsibilities**
* Develop and maintain scripts and tools using Python, PowerShell, and R
* Design, write, and optimize SQL queries for performance and scalability
* Help modernize 'legacy' solutions to realign with our current code base and tech stack
* Assist in redevelopment, improvement and ongoing maintenance of existing data, analytics, and reporting solutions
* Ensure accurate and efficient data integration of diverse data sources and formats
* Enhance and support database functions and procedures
* Optimize data access and data processing workflows for performance, scalability, and efficiency
* Implement data quality checks and validations to ensure the accuracy, consistency, and completeness of data
* Identify and resolve performance bottlenecks, investigate and troubleshoot data related issues, and provide solutions to address defects
* Seamlessly transition between production support and development tasks based on business needs
* Deploy and manage code utilizing engineering best practices in non\-prod and prod environments
**Qualifications**
* Bachelors Degree in computer science, data science, software engineering, information systems, or related quantitative field.
* Minimum 4 years of experience working as a Python Developer, Solutions Engineer, Data Engineer, or similar roles.
**Skills**
* 4\+ years of solid continuous experience in Python
* 3\+ years of solid experience writing SQL and PL/SQL code
* 3\+ years of experience working with relational databases (solid understanding of Oracle preferred)
* 2\+ years of experience scripting with PowerShell
* Experience programming in R
* Experience with web application frameworks including Shiny, Dash, Streamlit
* Experience with CI/CD utilizing git/Azure DevOps
* Knowledge of alternative storage formats including Parquet/Arrow/Avro
* Ability to collaborate within and across teams of different technical knowledge to support delivery of solutions
* Expert problem\-solving skills, including debugging skills, enabling the determination of sources of issues in unfamiliar code or systems
 Pluses, but not required: Any work experience in the following:
 ETL / ELT tools: Spark, Kafka, Azure Data Factory (ADF)
 NoSQL databases: MongoDB, Cosmos DB, DocumentDB or similar
 Languages: SAS, Java, Scala, .Net</t>
        </is>
      </c>
    </row>
    <row r="67">
      <c r="A67" t="inlineStr">
        <is>
          <t>li-4335528120</t>
        </is>
      </c>
      <c r="B67" t="inlineStr">
        <is>
          <t>Lead Data Engineer (P4031)</t>
        </is>
      </c>
      <c r="C67" t="inlineStr">
        <is>
          <t>84.51˚</t>
        </is>
      </c>
      <c r="D67" t="inlineStr">
        <is>
          <t>linkedin</t>
        </is>
      </c>
      <c r="E67" t="inlineStr"/>
      <c r="F67" t="inlineStr"/>
      <c r="G67" t="inlineStr">
        <is>
          <t>Cincinnati, OH</t>
        </is>
      </c>
      <c r="H67" t="inlineStr"/>
      <c r="I67" t="inlineStr">
        <is>
          <t>**84\.51° Overview**
 84\.51° is a retail data science, insights and media company. We help The Kroger Co., consumer packaged goods companies, agencies, publishers and affiliates create more personalized and valuable experiences for shoppers across the path to purchase.
 Powered by cutting\-edge science, we utilize first\-party retail data from more than 62 million U.S. households sourced through the Kroger Plus loyalty card program to fuel a more customer\-centric journey using 84\.51° Insights, 84\.51° Loyalty Marketing and our retail media advertising solution, Kroger Precision Marketing.
 Join us at 84\.51°!
 \_\_\_\_\_\_\_\_\_\_\_\_\_\_\_\_\_\_\_\_\_\_\_\_\_\_\_\_\_\_\_\_\_\_\_\_\_\_\_\_\_\_\_\_\_\_\_\_\_\_\_\_\_\_\_\_\_\_
**Lead Data Engineer (P4031\)**
**Cincinnati / Chicago**
**Summary**
 The Lead Data Engineer serves as both a technical leader and an individual contributor within the data engineering team, embodying a player/coach role. This position is responsible for guiding and mentoring a team of data engineers while actively participating in data engineering projects to deliver results that support organizational objectives. As a technical lead, you will balance team leadership with hands\-on contributions to drive innovation and excellence in data engineering. You will cultivate strategies and solutions to ingest, store and distribute our big data. Our developers use Python (PySpark, FastAPI), Databricks, and Azure cloud services in 6 week long scrum cycles to develop the products, tools and features.
**RESPONSIBILITIES** 
**:** 
 Take ownership of features and drive them to completion through all phases of the entire 84\.51° SDLC. This includes external facing and internal applications as well as process improvement activities such as:
* Lead design and perform development of Python (PySpark, FastAPI) / Databricks / Azure based solutions
* Develop and execute unit and integration testing
* Collaborate with senior resources to ensure consistent development practices
* Provide mentoring to junior resources
* Bring new perspectives to problems and be driven to improve yourself and the way things are done
* Manage resourcing across key initiatives in support of domain roadmaps and initiatives
**Qualifications, Skills, And Experience**
* Bachelor’s degree typically in Computer Science, Management Information Systems, Mathematics, Business Analytics or another technically strong program.
* 5\+ years proven ability of professional data development experience
* Strong understanding of Agile Principles (Scrum)
* 5\+ years proven ability of developing Spark based solutions in a cloud environment
* Full understanding of ETL concepts and data warehousing concepts
* 3\+ year developing experience with Python
* Experience with Databricks, REST APIs, and Microsoft Azure cloud services
**Pay Transparency And Benefits**
* The stated salary range represents the entire span applicable across all geographic markets from lowest to highest. Actual salary offers will be determined by multiple factors including but not limited to geographic location, relevant experience, knowledge, skills, other job\-related qualifications, and alignment with market data and cost of labor. In addition to salary, this position is also eligible for variable compensation.
* Below is a list of some of the benefits we offer our associates:
+ Health: Medical: with competitive plan designs and support for self\-care, wellness and mental health. Dental: with in\-network and out\-of\-network benefit. Vision: with in\-network and out\-of\-network benefit.
+ Wealth: 401(k) with Roth option and matching contribution. Health Savings Account with matching contribution (requires participation in qualifying medical plan). AD\&amp;D and supplemental insurance options to help ensure additional protection for you.
+ Happiness: Paid time off with flexibility to meet your life needs, including 5 weeks of vacation time, 7 health and wellness days, 3 floating holidays, as well as 6 company\-paid holidays per year. Paid leave for maternity, paternity and family care instances.
 Pay Range
 $121,000—$201,250 USD</t>
        </is>
      </c>
    </row>
    <row r="68">
      <c r="A68" t="inlineStr">
        <is>
          <t>li-4358223718</t>
        </is>
      </c>
      <c r="B68" t="inlineStr">
        <is>
          <t>Senior Data Engineer | Corporate Real Estate PMO</t>
        </is>
      </c>
      <c r="C68" t="inlineStr">
        <is>
          <t>Mace</t>
        </is>
      </c>
      <c r="D68" t="inlineStr">
        <is>
          <t>linkedin</t>
        </is>
      </c>
      <c r="E68" t="inlineStr"/>
      <c r="F68" t="inlineStr"/>
      <c r="G68" t="inlineStr">
        <is>
          <t>New York, United States</t>
        </is>
      </c>
      <c r="H68" t="inlineStr"/>
      <c r="I68" t="inlineStr">
        <is>
          <t>At Mace, our purpose is to redefine the boundaries of ambition. We believe in creating places that are responsible, bringing transformative impact to our people, communities and societies across the globe. To learn more about our purpose, culture, and priorities, visit our strategy site.
 Within our business we harness our unique combination of leading\-edge practical expertise and project delivery to unlock the potential in every project.
 Our Values Shape The Way We Consult, And Define The People We Want To Join Us On Our Journey, They Are
* Safety First \- Going Home Safe And Well
* Client Focus \- Deliver On Our Promise
* Integrity \- Always Do The Right Thing
* Create Opportunity \- For Our People To Excel
 Data Engineer responsible for extending the data lake and data warehouse that underpins the reporting and analytics solutions within the corporate Digital team by ingesting, egressing and transforming data from multiple sources. Manages, mentors and coaches team members to help improve team skills and gain experience. Deputises for Head of Data and Analytics when necessary.
**You’ll Be Responsible For**
* Overall technical design of data lake/data warehouse working alongside data architecture team.
* Ensuring best practice and governance are adhered to.
* Providing comprehensive use of services and tools to ingest, egress and transform data from multiple sources.
* Managing and securing the flow of structured and unstructured data from multiple sources.
* Building and optimizing data flows for use across the organisation.
* Building robust end\-to\-end systems with long\-term maintenance and support in mind.
* Maintaining expert knowledge of technology platforms and looking to implement new innovations and features.
* Collaborating with the data architecture team to scope out changes to data and information architecture.
* Building strong relationships and engagement with IT Service management software engineering partners to successfully transition deliverables into service.
* Working collaboratively towards the common goal of net zero carbon transition and share responsibility for the proactive identification and management of the associated carbon emissions and reductions during the delivery of work.
**You’ll Need To Have**
* Strong data engineering experience using Python and SQL core Microsoft Azure technologies including Data Factory, Databricks, Data Lake, Azure SQL, LogicApps, PowerShell.
* Strong technical communication skills.
* Ability to understand and clarify ambiguous requirements from business stakeholders.
* Initiative to persistently engage stakeholders and find solutions to execute complex technical projects.
* Ability to quickly synthesize and apply new information in a rapidly changing and highly specialized environment.
* Strong attention to detail.
* Experience with Power BI.
* Experience managing a delivery team that is fully responsible for the quality of the solutions they build and deploy.
* Self\-motivated and able to work independently yet open and collaborative.
* Manages and influences Key/Senior stakeholders.
* Track record of delivering well\-engineered solutions using best practices such as TDD CI/CD, Peer review.
* Experience of working in a similar role on a large programme.
* Full project lifecycle experience across a number of large projects.
* Knowledge of IT Service management based on ITIL practices.
**You’ll Also Have**
* Experience building ML models and pipelines.
* Experience in real estate, architecture, or construction industry.
* Experience building data analytics and business intelligence solutions.
* Experience working with common enterprise software platforms including HRMS, ERP, CRM, PLM, Finance.
* Oracle and experience advantageous.
* Experience of implementing big data/analytics services.
* Previous experience in the construction sector is advantageous but not essential.
* Microsoft cloud and data platform\-related certifications.
* Personal effectiveness e.g. stakeholder management, effective communicator
* Direct line management experience.
* Experience in managing a team of technical IT specialists.
* Experience with offshore delivery models.
**Please Note:** 
 The estimated salary for this position is $125K. Starting salary may vary based on permissible, non\-discriminatory factors such as experience, skills and qualifications.”
 Mace is an inclusive employer and welcomes interest from a diverse range of candidates. Even if you feel you do not fulfil all of the criteria, please apply as you may still be the best candidate for this role or another role within our organization.
 We are also open to discussing part time, flexible, and hybrid working options if suitable within the role.
* site</t>
        </is>
      </c>
    </row>
    <row r="69">
      <c r="A69" t="inlineStr">
        <is>
          <t>li-4279814534</t>
        </is>
      </c>
      <c r="B69" t="inlineStr">
        <is>
          <t>Sr. Data Engineer</t>
        </is>
      </c>
      <c r="C69" t="inlineStr">
        <is>
          <t>Jobs via eFinancialCareers</t>
        </is>
      </c>
      <c r="D69" t="inlineStr">
        <is>
          <t>linkedin</t>
        </is>
      </c>
      <c r="E69" t="inlineStr"/>
      <c r="F69" t="inlineStr"/>
      <c r="G69" t="inlineStr">
        <is>
          <t>Bedminster, NJ</t>
        </is>
      </c>
      <c r="H69" t="inlineStr"/>
      <c r="I69" t="inlineStr">
        <is>
          <t>**Benefits Summary**
* Flexible and hybrid work arrangements
* Paid time off/Paid company holidays
* Medical plan options/prescription drug plan
* Dental plan/vision plan options
* Flexible spending and health savings accounts
* 401(k) retirement savings plan with a Roth savings option and company matching contributions
* Educational assistance program
**Overview**
 The Sr. Data Engineer requires expertise in DataOps and is responsible for guaranteeing dependable, scalable and effective data processes and solutions by combining components, functions and skills from data engineering, software engineering and IT Operations. This role is critical to AM Best's goal of developing, maintaining and scaling a sophisticated platform for data and analytics.
**Responsibilities**
**Create and support scalable data solutions:**
* Build high performance data systems including databases, APIs, and data integration pipelines
* Implement a metadata\-driven architecture and infrastructure as code approach to automate and simplify the design, deployment, and management of data systems
* Facilitate the adoption of data and software engineering best practices, including code review, testing, and continuous integration and delivery (CI/CD)
* Develop and establish a data governance framework
* Continuous monitoring of process performance and implement improvements for efficiency including fine\-tuning existing ETL processes, optimizing queries, or refactoring code
* Assess and make optimal use of cloud platforms and technologies, especially Azure and Databricks to enhance system architecture
* Implement data quality checks and build processes to identify and resolve data issues
* Create and maintain documentation for data architecture, standards, and best practices
* Contribute designs, code, tooling, testing, and operational support
**Increase operational efficiency:**
* Identify opportunities for process optimization and automation to enhance data operations efficiency
**Leadership and innovation:**
* Provide technical leadership to the data engineering team and actively lead design discussions
* Ensure that the new data infrastructure remains modern and efficient by staying knowledgeable of the latest tools, technologies, and methodologies in the data and analytics space
**Qualifications**
* 7 plus years of experience working as a Data Engineer, Data Architect, Database Developer or similar roles
* Bachelor's Degree in Computer Science, Data Science, Engineering or related field
**Skills**
* 7\+ years of experience in programming languages such as Python, Scala, Java, Rust or similar
* 7\+ years of experience in Oracle OLTP database design and development
* 7\+ years of experience in building ETL / ELT data pipelines using Apache Spark, Airflow, dbt or similar
* 7 years of experience in developing APIs that include REST, SOAP, RPC, GraphQL or similar
* 7 years of experience in OLAP / data warehouse design and development using dimensional (Kimball star\-schema), data vault or Inmon methodologies
* 5 years of experience in NoSQL database design and development preferably on MongoDB or similar
* 5 years of experience working with message broker platforms like RabbitMQ, Apache Kafka, Red Hat AMQ or similar
* 5 years of experience working with Azure or AWS cloud\-native technologies / services
* Working knowledge of CI/CD automation tools or services like Jenkins, Ansible, Chef, Puppet or similar
* Working knowledge of containerized platform or services like Docker, Kubernetes or similar
* Must be hands\-on, have a passion for data and problem solving, and an innovative mind\-set to help deliver results across projects
 Pluses:
* Experience working with Databricks data intelligence platform
* Experience working with business intelligence tools / platforms like PowerBI, Cognos, Tableau or similar
* Experience working with caching databases: Memcache,Redis or similar
* Experience working with search databases and platforms: Elasticsearch, Apache Solr or similar
* Experience working with data modeling tools: ERwin, ERStudio, Navicat, SqlDBM or similar
* Knowledge of data governance tools: Colibra, Alation or similar
* Knowledge of master data management tools: Informatica, TIBCO, Riversand, Ataccama or similar</t>
        </is>
      </c>
    </row>
    <row r="70">
      <c r="A70" t="inlineStr">
        <is>
          <t>li-4343912373</t>
        </is>
      </c>
      <c r="B70" t="inlineStr">
        <is>
          <t>Sr. AI Platform Data Engineer, Ring Decision Science, Ring Decision Science</t>
        </is>
      </c>
      <c r="C70" t="inlineStr">
        <is>
          <t>Amazon</t>
        </is>
      </c>
      <c r="D70" t="inlineStr">
        <is>
          <t>linkedin</t>
        </is>
      </c>
      <c r="E70" t="inlineStr"/>
      <c r="F70" t="inlineStr"/>
      <c r="G70" t="inlineStr">
        <is>
          <t>Hawthorne, CA</t>
        </is>
      </c>
      <c r="H70" t="inlineStr"/>
      <c r="I70" t="inlineStr">
        <is>
          <t>**Description**
 We seek an AI Platform Builder—a Data Engineer focused on developing Platforms and Agentic AI solution—who embraces prompt\-driven development with strong technical, analytical, communication, and stakeholder management skills. This role sits at the intersection of data engineering, business intelligence, and platform engineering—requiring partnership with software development engineers, scientists, data analysts, and business stakeholders across various verticals. You will design, evangelize, and implement platform features and curated datasets that power Artificial Intelligence/Machine Learning (AI/ML) initiatives and self\-service analytics, helping us provide a great neighbor experience at greater velocity.
 This role requires a first\-principles approach to leveraging AI at every layer of the data stack—from using AI agents to write and optimize code, to building AI\-powered platforms that serve AI models, to deploying intelligent agents that make data accessible. You will use AI to build AI infrastructure, automate the automation, and create self\-improving systems that continuously enhance data quality, discoverability, and usability.
 Key job responsibilities
 You will build and maintain efficient, scalable, and privacy/security\-compliant data pipelines, curated datasets for AI/ML consumption, and AI\-native self\-service data platforms using an AI\-first development methodology. As a trusted technical partner to business stakeholders and data science teams, you'll deliver well\-modeled, easily discoverable data optimized for specific use cases while leveraging AI\-powered solutions and agentic frameworks to build continuously improving systems.
 A day in the life
* Lead AI\-assisted stakeholder engagement sessions across verticals like Subscriptions, Security, Sales, and Marketing
* Design and build curated datasets leveraging AI code generation and Agentic AI tools
* Build and maintain data pipelines using AI\-assisted development with AWS services and internal Amazon tools
**This Role Will**
* Implement AI\-powered self\-service platforms with natural language interfaces
* Create intelligent governance systems for data classification, PII detection, and lineage tracking
* Facilitate AI\-augmented workshops for stakeholders to explore data capabilities collaboratively
**About The Team**
 The Analytics \&amp; Science team for Decision Sciences is at the forefront of Ring's transformation into an AI\-powered organization. We address cross\-organizational data models, develop governance frameworks, provide direct Business Intelligence (BI) support across multiple teams, and build customer\-facing and internal AI tools that fundamentally improve how effectively and quickly the organization makes decisions.
**Basic Qualifications**
* Experience mentoring team members on best practices
* 5\+ years of data engineering experience
* 3\+ years of data querying languages (e.g. SQL), scripting languages (e.g. Python) or statistical/mathematical software (e.g. R, SAS, Matlab, etc.) experience
* Experience developing, deploying and managing AI products at scale
* Experience with data modeling, warehousing and building Extract, Transform, and Load (ETL) pipelines for both analytics and ML use cases
* Experience building datasets or features for machine learning models or self\-service analytics
* Extensive hands\-on experience with Generative AI (GenAI) enhanced development pipelines, AI coding assistants, and prompt engineering
* Demonstrated ability to build tools, frameworks, or platforms that enable others
**Preferred Qualifications**
* Experience operating large data warehouses
* Experience with non\-relational databases / data stores (object storage, document or key\-value stores, graph databases, column\-family databases)
* Experience with AWS technologies like Redshift, S3, AWS Glue, EMR, Kinesis, FireHose, Lambda, and IAM roles and permissions
* Experience in at least one modern scripting or programming language, such as Python, Java, Scala, or NodeJS
* Experience building multi\-agent systems, LangChain/LangGraph applications, or custom AI agent frameworks
* Experience with prompt engineering, Retrieval\-Augmented Generation (RAG) systems, and Large Language Model (LLM) fine\-tuning
* Experience with BI tools (QuickSight, Tableau, Looker) and designing datasets for analytical consumption
* Experience building or contributing to AI\-native self\-service data platforms, feature stores, or intelligent data cataloging 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$139,100/year in our lowest geographic market up to $240,500/year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A3143688</t>
        </is>
      </c>
    </row>
    <row r="71">
      <c r="A71" t="inlineStr">
        <is>
          <t>li-4343699952</t>
        </is>
      </c>
      <c r="B71" t="inlineStr">
        <is>
          <t>Software Engineer II - Data Engineer</t>
        </is>
      </c>
      <c r="C71" t="inlineStr">
        <is>
          <t>The Trade Desk</t>
        </is>
      </c>
      <c r="D71" t="inlineStr">
        <is>
          <t>linkedin</t>
        </is>
      </c>
      <c r="E71" t="inlineStr"/>
      <c r="F71" t="inlineStr"/>
      <c r="G71" t="inlineStr">
        <is>
          <t>Bellevue, WA</t>
        </is>
      </c>
      <c r="H71" t="inlineStr"/>
      <c r="I71" t="inlineStr">
        <is>
          <t>The Trade Desk is a global technology company with a mission to create a better, more open internet for everyone through principled, intelligent advertising. Handling over 1 trillion queries per day, our platform operates at an unprecedented scale. We have also built something even stronger and more valuable: an award\-winning culture based on trust, ownership, empathy, and collaboration. We value the unique experiences and perspectives that each person brings to The Trade Desk, and we are committed to fostering inclusive spaces where everyone can bring their authentic selves to work every day.
 Do you have a passion for solving hard problems at scale? Are you eager to join a dynamic, globally\- connected team where your contributions will make a meaningful difference in building a better media ecosystem? Come and see why Fortune magazine consistently ranks The Trade Desk among the best small\- to medium\-sized workplaces globally.
**What We Do**
 This specialized role is within the Technology operations group of The Trade Desk’s Engineering. This group is focused on delivering world\-class solutions for Enterprise needs within The Trade Desk.
 We are seeking a skilled and motivated Software Engineer II \- Data Engineer to join our growing data team. In this mid\-level role, you will be instrumental in developing, building, and maintaining the data pipelines and architecture that enable our organization to turn raw data into actionable insights. You will work on complex data problems, collaborate with cross\-functional teams, and help ensure the reliability, efficiency, and quality of our data systems.
**What you’ll do:**
* Data Pipeline Development: Design, build, and optimize scalable ETL/ELT pipelines for both batch and real\-time data processing from disparate sources.
* Infrastructure Management: Assist in the design and implementation of data storage solutions, including data warehouses and data lakes (e.g., Snowflake, S3, Spark), ensuring they are optimized for performance and cost efficiency.
* Data Quality and Governance: Implement data quality checks, monitor data pipeline performance, and troubleshoot issues to ensure data accuracy, reliability, and security, adhering to compliance standards (e.g., GDPR, CCPA).
* Collaboration: Work closely with product managers, data scientists, business intelligence analysts, and other software engineers to understand data requirements and deliver robust solutions.
* Automation and Optimization: Automate data engineering workflows using orchestration tools (e.g., Apache Airflow, Dagster, Azure Data Factory) and implement internal process improvements for greater scalability.
* Mentorship: Participate in code reviews and provide guidance or mentorship to junior team members on best practices and technical skills.
* Documentation: Produce comprehensive and usable documentation for datasets, data models, and pipelines to ensure transparency and knowledge sharing across teams.
**Who you are:**
* Bachelor's degree in computer science, information security, or a related field, or equivalent work experience. Masters degree preferred.
* 4\+ years of experience in a Data engineering role and have a broad understanding of Data Modeling, SQL, OLAP, and ETL required. Experience working with data pipelines including data modeling at petabyte scale is a bonus.
* 4\+ years of experience working with multiple database platforms by designing and implementing data and analytics solutions using technologies such as Snowflake, Databricks, Vertica, SQL Server, andMySQL required.
* 4\+ years of experience required in one or more programming languages,particularly SQL. Proficiency in the following programming languages also required: PL/SQL, Python, C\#, Scala or Java.
* Experience with workflow technologies like Spark, Airflow, Glue, Prefect or Dagster required
* Experience with version control systems, specifically Git required.
* Familiarity with DevOps best practices and automation of processes like building, configuration, deployment, documentation, testing, and monitoring.
* Understanding BI and reporting platforms required, awareness of industry trends in the BI/reporting space, and how it can apply to an organization’s product strategies.
* AdTech industry and its trends preferred.
* Experience with containerization tools like Docker and Kubernetes preferred.
* Familiarity with data modeling and data warehousing concepts preferred.
* Basic understanding of machine learning concepts and how models work.
* Strong analytical and problem\-solving skills with attention to detail.
* Excellent communication and collaboration skills to work effectively with diverse teams and stakeholders.
* A proactive and continuous learning mindset.
*The Trade Desk does not accept unsolicited resumes from search firm recruiters. Fees will not be paid in the event a candidate submitted by a recruiter without an agreement in place is hired; such resumes will be deemed the sole property of The Trade Desk. The Trade Desk is an equal opportunity employer. All aspects of employment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***\[LA JOBS ONLY]** 
 The Trade Desk will consider qualified applicants with criminal histories for employment in a manner consistent with the requirements of the Los Angeles Fair Chance Initiative for Hiring, Ordinance No. 184652\.*
***\[SF JOBS ONLY]** 
 Pursuant to the San Francisco Fair Chance Ordinance, we will consider for employment qualified applicants with arrest and conviction records.*
**CO, CA, IL, NY, WA, and Washington DC residents only:** 
 In accordance with CO, CA, IL, NY, WA, and Washington DC law, the range provided is The Trade Desk's reasonable estimate of the base compensation for this role. The actual amount may differ based on non\-discriminatory factors such as experience, knowledge, skills, abilities, and location. All employees may be eligible to become The Trade Desk shareholders through eligibility for stock\-based compensation grants, which are awarded to employees based on company and individual performance. The Trade Desk also offers other compensation depending on the role such as sales\-based incentives and commissions. Plus, expected benefits for this role include comprehensive healthcare (medical, dental, and vision) with premiums paid in full for employees and dependents, retirement benefits such as a 401k plan and company match, short and long\-term disability coverage, basic life insurance, well\-being benefits, reimbursement for certain tuition expenses, parental leave, sick time of 1 hour per 30 hours worked, vacation time for full\-time employees up to 120 hours thru the first year and 160 hours thereafter, and around 13 paid holidays per year. Employees can also purchase The Trade Desk stock at a discount through The Trade Desk’s Employee Stock Purchase Plan.
 The Trade Desk also offers a competitive benefits package. Click here to learn more.
**Note:** 
 Interns are not eligible for variable incentive awards such as stock\-based compensation, retirement plan, vacation, tuition reimbursement or parental leave
 At the Trade Desk, Base Salary is one part of our competitive total compensation and benefits package and is determined using a salary range. The base salary range for this role is
 $103,200—$189,200 USD
 As an Equal Opportunity Employer, The Trade Desk is committed to creating an inclusive hiring experience where everyone has the opportunity to thrive.
 Please reach out to us at accommodations@ thetradedesk. com to request an accommodation or discuss any accessibility needs you may require to access our Company Website or navigate any part of the hiring process.
 When you contact us, please include your preferred contact details and specify the nature of your accommodation request or questions. Any information you share will be handled confidentially and will not impact our hiring decisions.</t>
        </is>
      </c>
    </row>
    <row r="72">
      <c r="A72" t="inlineStr">
        <is>
          <t>li-4330477020</t>
        </is>
      </c>
      <c r="B72" t="inlineStr">
        <is>
          <t>Data Engineer</t>
        </is>
      </c>
      <c r="C72" t="inlineStr">
        <is>
          <t>The Walt Disney Company</t>
        </is>
      </c>
      <c r="D72" t="inlineStr">
        <is>
          <t>linkedin</t>
        </is>
      </c>
      <c r="E72" t="inlineStr"/>
      <c r="F72" t="inlineStr"/>
      <c r="G72" t="inlineStr">
        <is>
          <t>Burbank, CA</t>
        </is>
      </c>
      <c r="H72" t="inlineStr"/>
      <c r="I72" t="inlineStr">
        <is>
          <t>At Disney, we’re storytellers. We make the impossible, possible. The Walt Disney Company is a world\-class entertainment and technological leader. Walt’s passion was to continuously envision new ways to move audiences around the world—a passion that remains our touchstone in an enterprise that stretches from theme parks, resorts and a cruise line to sports, news, movies and a variety of other businesses. Uniting each endeavor is a commitment to creating and delivering unforgettable experiences — and we’re constantly looking for new ways to enhance these exciting experiences.
 The Enterprise Technology mission is to deliver technology solutions that align to business strategies while enabling enterprise efficiency and promoting cross\-company collaborative innovation. Our group drives competitive advantage by enhancing our consumer experiences, enabling business growth, and advancing operational excellence.
 The Enterprise Technology FinOps team provides unique insights that help inform the Company’s technology strategy. We partner with engineering teams to ensure optimal system architectures, technology vendors to build data pipelines that enable the extraction of key insights, and our finance team to build reporting that serves as a key input to executive decision\-making and strategy.
**Responsibilities**
* Develop and maintain automated data solutions that ingest, transform and generate insights in the form of curated data.
* Support and maintain the data and infrastructure that powers a shared customer data platform
* Analyze and model data to design data solutions that provide business insights.
* Recognizing patterns and opportunities to consolidate implementations and/or create standards
* Have a growth mindset and a desire to learn
* Be proactive and have initiative
* Provide clear and concise communication to technical and non\-technical audiences
**Must Haves**
* A minimum of 3 years of Data Engineering experience
* A minimum of 3 years of cloud experience (AWS required, Azure and GCP preferred)
* Data Engineering, ETL development and data warehousing experience
* SQL and Python proficiency
* Experience building data pipelines in Databricks
* Data Visualization (Tableau, PowerBI, Databricks AI/BI)
* Data Analysis and Modeling
**Nice to Haves**
* Azure and GCP experience
* PySpark experience
* Experience building and interacting with MCP servers for data analysis
* Experience applying AI to data engineering techniques
**Education**
* Bachelor’s degree in Computer Science, Information Systems, Software, Electrical or Electronics Engineering, or comparable field of study, and/or equivalent work experience
* A plus if you have a Masters Degree
 The hiring range for this position in Burbank, CA is $104,600 to $140,200 per year and in Seattle, WA is $109,500 to $146,800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73">
      <c r="A73" t="inlineStr">
        <is>
          <t>li-4351760289</t>
        </is>
      </c>
      <c r="B73" t="inlineStr">
        <is>
          <t>Senior Data Engineer</t>
        </is>
      </c>
      <c r="C73" t="inlineStr">
        <is>
          <t>ATPCO</t>
        </is>
      </c>
      <c r="D73" t="inlineStr">
        <is>
          <t>linkedin</t>
        </is>
      </c>
      <c r="E73" t="inlineStr"/>
      <c r="F73" t="inlineStr"/>
      <c r="G73" t="inlineStr">
        <is>
          <t>Herndon, VA</t>
        </is>
      </c>
      <c r="H73" t="inlineStr"/>
      <c r="I73" t="inlineStr">
        <is>
          <t>ATPCO is the world's primary source for air fare content, holding over 200 million fares across 160 countries. Every day, the travel industry relies on ATPCO's technology and data solutions to help millions of travelers reach their destinations efficiently. Join us and contribute to the development of innovative applications that power global travel. ATPCO is everywhere people buy flights.
 We’re not just shaping the future of air travel– we’re redefining how and where great work happens. At ATPCO, we believe in flexibility, trust, and a culture where your wellbeing comes first
**Why Join Us?**
 ✅ Remote\-First Culture – Flexibility to work from home in your country of hire
 ✅ “Leave Your Way” PTO– Take the time you need, when you need it
 ✅ 401(k) with Generous Employer Match– Invest in your future
 ✅ Comprehensive Benefits– Medical, dental, vision, \&amp; mental health
 ✅ Global Tuition and Gym Reimbursement– Learn and grow on us
 ✅ Standby Flight Program– Explore the world
 ✅ Inclusive, Collaborative Culture– Be seen, heard, and valued
**Our Culture:**
 We’ve built a remote\-first culture rooted in trust, transparency, and belonging. With open\-door leadership, weekly 1:1s, and real\-time recognition, we keep our people connected and valued—no matter where they work.
 Our cultural pillars of Collaboration, Empowerment, Innovation, Learning, Transparency, and Trust guide how we show up for one another and grow together.
**Job Description**
 As a Senior Data Engineer, you will be responsible for building and optimizing data pipelines, managing data storage and processing systems, and ensuring the availability, scalability, and reliability of our data platform. You will collaborate with cross\-functional teams, including data scientists, software engineers, and business stakeholders to understand data requirements and deliver efficient high\-quality data solutions. We are seeking an accomplished individual to join our esteemed team of ATPCO data engineers, dedicated to tackling intricate data processing challenges within the Airline industry. This role offers an opportunity to work on cutting\-edge solutions that involve handling hundreds of terabytes of data daily, leveraging the latest AWS services.
 You Will:
* Collaborate with data scientists, analysts, and other stakeholders to understand data requirements and design data models and schemas that facilitate data analysis and reporting
* Design, develop, and maintain scalable and efficient data pipelines and ETL processes to ingest, process, and transform large volumes of data from various sources into usable formats
* Build and optimize data storage and processing systems, including data warehouses, data lakes, and big data platforms, using AWS services such as Amazon Redshift, AWS Glue, AWS EMR, AWS S3, and AWS Lambda, to enable efficient data retrieval and analysis
* Implement and manage real\-time data streaming architectures using AWS services like Amazon Kinesis or Apache Kafka to enable real\-time data processing and analytics
* Perform data profiling, data cleansing, and data transformation tasks to prepare data for analysis and reporting
* Implement data security and privacy measures to protect sensitive and confidential data using AWS security services and features
* Design and implement data architectures following Data Mesh principles within the AWS environment, including domain\-oriented data ownership, self\-serve data infrastructure, and federated data governance
* Provide technical guidance and mentorship to junior data engineers, reviewing their work and ensuring adherence to best practices and standards
 Qualifications:
* Strong programming skills in languages like Python, Java, or Scala, with experience in data manipulation and transformation frameworks
* Proven experience as a data engineer, with experience in designing and building large\-scale data processing systems
* Strong understanding of data modeling concepts and data management principles
* In\-depth knowledge of SQL and experience working with relational and non\-relational databases
* Knowledge of Data Mesh principles and experience designing and implementing data architectures following Data Mesh concepts within the AWS ecosystem
* Experience with real\-time data streaming architectures using AWS services like Amazon Kinesis or Apache Kafka
* Familiarity with AWS cloud services, such as AWS Glue, AWS Lambda, AWS EMR, AWS S3, Amazon Redshift, and their data\-related features and functionalities
* Familiarity with AWS security services and features for data security and privacy
* Bachelor's or Master's degree in Computer Science, Information Systems, or a related field
**Salary Range** 
 : $110,572 – $145000
 \*The disclosed range estimate has not been adjusted for applicable geographic differential associated with the United States\*
**Additional Information**
 At ATPCO, we are deeply committed to diversity, equity, and inclusion. Our supportive policies promote work\-life balance through flexible work arrangements, and we cultivate a workplace where every employee feels valued, respected, and a true sense of belonging.
 We consider qualified applicants for employment without regard to race, gender, age, color, religion, national origin, citizenship status, marital status, disability, sexual orientation, protected military/veteran status, gender identity or expression, genetic information, marital status, medical condition, or any other legally protected factor
 All your information will be kept confidential according to EEO guidelines.</t>
        </is>
      </c>
    </row>
    <row r="74">
      <c r="A74" t="inlineStr">
        <is>
          <t>li-4358254900</t>
        </is>
      </c>
      <c r="B74" t="inlineStr">
        <is>
          <t>Data Engineer</t>
        </is>
      </c>
      <c r="C74" t="inlineStr">
        <is>
          <t>BlueMatrix</t>
        </is>
      </c>
      <c r="D74" t="inlineStr">
        <is>
          <t>linkedin</t>
        </is>
      </c>
      <c r="E74" t="inlineStr"/>
      <c r="F74" t="inlineStr"/>
      <c r="G74" t="inlineStr">
        <is>
          <t>New York, United States</t>
        </is>
      </c>
      <c r="H74" t="inlineStr"/>
      <c r="I74" t="inlineStr">
        <is>
          <t>We're looking for a motivated Data Engineer to help build and scale our cloud\-native data pipelines using Snowflake and dbt. This role is ideal for someone who enjoys solving data challenges, improving performance, and delivering trusted data to stakeholders across the business.
**Responsibilities**
* Design, develop, and maintain ELT pipelines using dbt and Snowflake.
* Build and support data ingestion processes from internal and external sources using both batch and streaming pipelines.
* Create and maintain data models and transformations in dbt, following version control and CI/CD practices.
* Implement robust data quality checks, lineage, and testing processes.
* Collaborate with DevOps and cloud teams to monitor pipeline health and optimize infrastructure in AWS.
* Automate recurring workflows and contribute to self\-service data tooling for internal teams.
**Required Skills \&amp; Qualifications**
* 3–6 years of experience as a data engineer in a cloud\-based environment.
* Hands\-on experience with dbt and Snowflake (must\-have).
* Strong SQL skills and Python scripting for data manipulation and automation.
* Familiarity with data orchestration tools like Airflow or Dagster.
* Experience with cloud data ecosystems, especially AWS (S3, Glue, Lambda).
* Understanding of data warehouse design, ELT pipelines, and performance tuning.
**Preferred Skills \&amp; Qualifications**
* Experience with data observability and quality tools (e.g., Great Expectations, Monte Carlo).
* Exposure to infrastructure\-as\-code (e.g., Terraform).
* Prior involvement in cloud migration or legacy\-to\-modern data stack projects
**What We Do**
 Street Context is an entity of BlueMatrix. Together they develop one\-of\-a\-kind web applications for the authoring, distribution, and analysis of investment research, and for internal knowledge management and digital communications. Our mission is to streamline the publishing process on a global scale.
**WHY WORK WITH US**
 The BlueMatrix and Street Context teams are made up of ambitious and passionate people who have turned technology development and client service into an art. Many have dedicated the majority of their career to growing the BlueMatrix brand and helping shape the investment research marketplace.
 With locations in Toronto, New York City, Durham, London, Edinburgh, and Timisoara, Romania, we collaborate across the globe for a unique perspective on the impact of technology in our industry.
**You Can Also Count On**
* Competitive Compensation (based on experience)
* Health Care Plan
* Generous Vacation/Personal Days
* Generous Referral Program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75">
      <c r="A75" t="inlineStr">
        <is>
          <t>li-4358322619</t>
        </is>
      </c>
      <c r="B75" t="inlineStr">
        <is>
          <t>Senior Data Engineer</t>
        </is>
      </c>
      <c r="C75" t="inlineStr">
        <is>
          <t>Tiger Analytics</t>
        </is>
      </c>
      <c r="D75" t="inlineStr">
        <is>
          <t>linkedin</t>
        </is>
      </c>
      <c r="E75" t="inlineStr"/>
      <c r="F75" t="inlineStr"/>
      <c r="G75" t="inlineStr">
        <is>
          <t>McLean, VA</t>
        </is>
      </c>
      <c r="H75" t="inlineStr"/>
      <c r="I75" t="inlineStr">
        <is>
          <t>Tiger Analytics is a global leader in AI and advanced analytics consulting, empowering Fortune 1000 companies to solve their toughest business challenges. We are on a mission to push the boundaries of what AI can do, providing data\-driven certainty for a better tomorrow. Our diverse team of over 6,000 technologists and consultants operates across five continents, building cutting\-edge ML and data solutions at scale. Join us to do great work and shape the future of enterprise AI
 Do you love building and pioneering in the technology space? Do you enjoy solving complex business problems in a fast\-paced, collaborative,inclusive, and iterative delivery environment? At Tiger Analytics, you'll be part of a big group of makers, breakers, doers and disruptors, who solve real problems and meet real customer needs. We are seeking Data Engineers who are passionate about marrying data with emerging technologies.
**Requirements**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**Qualifications:**
* 6\+ years of experience in application development including Python, SQL
* 4\+ years of experience with Azure cloud
* 4\+ years of experience with distributed data/computing tools (MapReduce, Hadoop, Hive, EMR, Kafka, Spark, Gurobi, or MySQL)
* 4\+ years of experience working on real\-time data and streaming applications
* 4\+ years of experience with NoSQL implementation (Mongo, Cassandra)
* 4\+ years of data warehousing experience (Redshift or Snowflake)
* 4\+ years of experience with UNIX/Linux including basic commands and shell scripting
* 2\+ years of experience with Agile engineering practices
**Benefits**
 Significant career development opportunities exist as the company grows. The position offers a unique opportunity to be part of a small, fast\-growing, challenging and entrepreneurial environment, with a high degree of individual responsibility.
***Tiger Analytics provides equal employment opportunities to applicants and employees without regard to race, color, religion, age, sex, sexual orientation, gender identity/expression, pregnancy, national origin, ancestry, marital status, protected veteran status, disability status, or any other basis as protected by federal, state, or local law.***</t>
        </is>
      </c>
    </row>
    <row r="76">
      <c r="A76" t="inlineStr">
        <is>
          <t>li-4358254393</t>
        </is>
      </c>
      <c r="B76" t="inlineStr">
        <is>
          <t>Senior Data Engineer</t>
        </is>
      </c>
      <c r="C76" t="inlineStr">
        <is>
          <t>Tiger Analytics</t>
        </is>
      </c>
      <c r="D76" t="inlineStr">
        <is>
          <t>linkedin</t>
        </is>
      </c>
      <c r="E76" t="inlineStr"/>
      <c r="F76" t="inlineStr"/>
      <c r="G76" t="inlineStr">
        <is>
          <t>Chicago, IL</t>
        </is>
      </c>
      <c r="H76" t="inlineStr"/>
      <c r="I76" t="inlineStr">
        <is>
          <t>Tiger Analytics is a global leader in AI and advanced analytics consulting, empowering Fortune 1000 companies to solve their toughest business challenges. We are on a mission to push the boundaries of what AI can do, providing data\-driven certainty for a better tomorrow. Our diverse team of over 6,000 technologists and consultants operates across five continents, building cutting\-edge ML and data solutions at scale. Join us to do great work and shape the future of enterprise AI
 Do you love building and pioneering in the technology space? Do you enjoy solving complex business problems in a fast\-paced, collaborative,inclusive, and iterative delivery environment? At Tiger Analytics, you'll be part of a big group of makers, breakers, doers and disruptors, who solve real problems and meet real customer needs. We are seeking Data Engineers who are passionate about marrying data with emerging technologies.
**Requirements**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**Qualifications:**
* 6\+ years of experience in application development including Python, SQL
* 4\+ years of experience with Azure cloud
* 4\+ years of experience with distributed data/computing tools (MapReduce, Hadoop, Hive, EMR, Kafka, Spark, Gurobi, or MySQL)
* 4\+ years of experience working on real\-time data and streaming applications
* 4\+ years of experience with NoSQL implementation (Mongo, Cassandra)
* 4\+ years of data warehousing experience (Redshift or Snowflake)
* 4\+ years of experience with UNIX/Linux including basic commands and shell scripting
* 2\+ years of experience with Agile engineering practices
**Benefits**
 Significant career development opportunities exist as the company grows. The position offers a unique opportunity to be part of a small, fast\-growing, challenging and entrepreneurial environment, with a high degree of individual responsibility.
***Tiger Analytics provides equal employment opportunities to applicants and employees without regard to race, color, religion, age, sex, sexual orientation, gender identity/expression, pregnancy, national origin, ancestry, marital status, protected veteran status, disability status, or any other basis as protected by federal, state, or local law.***</t>
        </is>
      </c>
    </row>
    <row r="77">
      <c r="A77" t="inlineStr">
        <is>
          <t>li-4358233542</t>
        </is>
      </c>
      <c r="B77" t="inlineStr">
        <is>
          <t>Data Engineer</t>
        </is>
      </c>
      <c r="C77" t="inlineStr">
        <is>
          <t>Qloo</t>
        </is>
      </c>
      <c r="D77" t="inlineStr">
        <is>
          <t>linkedin</t>
        </is>
      </c>
      <c r="E77" t="inlineStr"/>
      <c r="F77" t="inlineStr"/>
      <c r="G77" t="inlineStr">
        <is>
          <t>New York, NY</t>
        </is>
      </c>
      <c r="H77" t="inlineStr"/>
      <c r="I77" t="inlineStr">
        <is>
          <t>**About Us** 
 At Qloo, we harness large\-scale behavioral and catalog data to power recommendations and insights across entertainment, dining, travel, retail, and more. Our platform is built on a modern AWS data stack and supports analytics, APIs, and machine\-learning models used by leading brands. We are looking for an experienced Data Engineer to help evolve and scale this platform.
**Role Overview** 
 As a Data Engineer at Qloo, you will design, build, and operate the pipelines that move data from external vendors, internal systems, and public sources into our S3\-based data lake and downstream services. You’ll work across AWS Glue, EMR (Spark), Athena/Hive, and Airflow (MWAA) to ensure that our data is accurate, well\-modeled, and efficiently accessible for analytics, indexing, and machine\-learning workloads.
 You should be comfortable owning end\-to\-end data flows, from ingestion and transformation to quality checks, monitoring, and performance tuning.
**Responsibilities** 
* Design, develop, and maintain batch data pipelines using Python, Spark (EMR), and AWS Glue, loading data from S3, RDS, and external sources into Hive/Athena tables.
* Model datasets in our S3/Hive data lake to support analytics (Hex), API use cases, Elasticsearch indexes, and ML models.
* Implement and operate workflows in Airflow (MWAA), including dependency management, scheduling, retries, and alerting via Slack.
* Build robust data quality and validation checks (schema validation, freshness/volume checks, anomaly detection) and ensure issues are surfaced quickly with monitoring and alerts.
* Optimize jobs for cost and performance (partitioning, file formats, join strategies, proper use of EMR/Glue resources).
* Collaborate closely with data scientists, ML engineers, and application engineers to understand data requirements and design schemas and pipelines that serve multiple use cases.
* Contribute to internal tooling and shared libraries that make working with our data platform faster, safer, and more consistent.
* Document pipelines, datasets, and best practices so the broader team can easily understand and work with our data.
**Qualifications** 
 \- Bachelor’s degree in Computer Science, Software Engineering, or a related field, or equivalent practical experience.
 \- Experience with Python and distributed data processing using Spark (PySpark) on EMR or a similar environment.
 \- Hands\-on experience with core AWS data services, ideally including:
 \- S3 (data lake, partitioning, lifecycle management)
 \- AWS Glue (jobs, crawlers, catalogs)
 \- EMR or other managed Spark platforms
 \- Athena/Hive and SQL for querying large datasets
 \- Relational databases such as RDS (PostgreSQL/MySQL or similar)
 \- Experience building and operating workflows in Airflow (MWAA experience is a plus).
 \- Strong SQL skills and familiarity with data modeling concepts for analytics and APIs.
 \- Solid understanding of data quality practices (testing, validation frameworks, monitoring/observability).
 \- Comfortable working in a collaborative environment, managing multiple projects, and owning systems end\-to\-end.
**We Offer** 
* Competitive salary and benefits package, including health insurance, retirement plan, and paid time off.
* The opportunity to shape a modern cloud\-based data platform that powers real products and ML experiences.
* A collaborative, low\-ego work environment where your ideas are valued and your contributions are visible.
* Flexible work arrangements (remote and hybrid options) and a healthy respect for work\-life balance.</t>
        </is>
      </c>
    </row>
    <row r="78">
      <c r="A78" t="inlineStr">
        <is>
          <t>li-4358115230</t>
        </is>
      </c>
      <c r="B78" t="inlineStr">
        <is>
          <t>Senior Data Engineer</t>
        </is>
      </c>
      <c r="C78" t="inlineStr">
        <is>
          <t>Tiger Analytics</t>
        </is>
      </c>
      <c r="D78" t="inlineStr">
        <is>
          <t>linkedin</t>
        </is>
      </c>
      <c r="E78" t="inlineStr"/>
      <c r="F78" t="inlineStr"/>
      <c r="G78" t="inlineStr">
        <is>
          <t>Richmond, VA</t>
        </is>
      </c>
      <c r="H78" t="inlineStr"/>
      <c r="I78" t="inlineStr">
        <is>
          <t>Tiger Analytics is a global leader in AI and advanced analytics consulting, empowering Fortune 1000 companies to solve their toughest business challenges. We are on a mission to push the boundaries of what AI can do, providing data\-driven certainty for a better tomorrow. Our diverse team of over 6,000 technologists and consultants operates across five continents, building cutting\-edge ML and data solutions at scale. Join us to do great work and shape the future of enterprise AI
 Do you love building and pioneering in the technology space? Do you enjoy solving complex business problems in a fast\-paced, collaborative,inclusive, and iterative delivery environment? At Tiger Analytics, you'll be part of a big group of makers, breakers, doers and disruptors, who solve real problems and meet real customer needs. We are seeking Data Engineers who are passionate about marrying data with emerging technologies.
**Requirements**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**Qualifications:**
* 6\+ years of experience in application development including Python, SQL
* 4\+ years of experience with Azure cloud
* 4\+ years of experience with distributed data/computing tools (MapReduce, Hadoop, Hive, EMR, Kafka, Spark, Gurobi, or MySQL)
* 4\+ years of experience working on real\-time data and streaming applications
* 4\+ years of experience with NoSQL implementation (Mongo, Cassandra)
* 4\+ years of data warehousing experience (Redshift or Snowflake)
* 4\+ years of experience with UNIX/Linux including basic commands and shell scripting
* 2\+ years of experience with Agile engineering practices
**Benefits**
 Significant career development opportunities exist as the company grows. The position offers a unique opportunity to be part of a small, fast\-growing, challenging and entrepreneurial environment, with a high degree of individual responsibility.
***Tiger Analytics provides equal employment opportunities to applicants and employees without regard to race, color, religion, age, sex, sexual orientation, gender identity/expression, pregnancy, national origin, ancestry, marital status, protected veteran status, disability status, or any other basis as protected by federal, state, or local law.***</t>
        </is>
      </c>
    </row>
    <row r="79">
      <c r="A79" t="inlineStr">
        <is>
          <t>li-4358234349</t>
        </is>
      </c>
      <c r="B79" t="inlineStr">
        <is>
          <t>Senior Data Engineer</t>
        </is>
      </c>
      <c r="C79" t="inlineStr">
        <is>
          <t>Tiger Analytics</t>
        </is>
      </c>
      <c r="D79" t="inlineStr">
        <is>
          <t>linkedin</t>
        </is>
      </c>
      <c r="E79" t="inlineStr"/>
      <c r="F79" t="inlineStr"/>
      <c r="G79" t="inlineStr">
        <is>
          <t>Wilmington, DE</t>
        </is>
      </c>
      <c r="H79" t="inlineStr"/>
      <c r="I79" t="inlineStr">
        <is>
          <t>Tiger Analytics is a global leader in AI and advanced analytics consulting, empowering Fortune 1000 companies to solve their toughest business challenges. We are on a mission to push the boundaries of what AI can do, providing data\-driven certainty for a better tomorrow. Our diverse team of over 6,000 technologists and consultants operates across five continents, building cutting\-edge ML and data solutions at scale. Join us to do great work and shape the future of enterprise AI
 Do you love building and pioneering in the technology space? Do you enjoy solving complex business problems in a fast\-paced, collaborative,inclusive, and iterative delivery environment? At Tiger Analytics, you'll be part of a big group of makers, breakers, doers and disruptors, who solve real problems and meet real customer needs. We are seeking Data Engineers who are passionate about marrying data with emerging technologies.
**Requirements**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**Qualifications:**
* 6\+ years of experience in application development including Python, SQL
* 4\+ years of experience with Azure cloud
* 4\+ years of experience with distributed data/computing tools (MapReduce, Hadoop, Hive, EMR, Kafka, Spark, Gurobi, or MySQL)
* 4\+ years of experience working on real\-time data and streaming applications
* 4\+ years of experience with NoSQL implementation (Mongo, Cassandra)
* 4\+ years of data warehousing experience (Redshift or Snowflake)
* 4\+ years of experience with UNIX/Linux including basic commands and shell scripting
* 2\+ years of experience with Agile engineering practices
**Benefits**
 Significant career development opportunities exist as the company grows. The position offers a unique opportunity to be part of a small, fast\-growing, challenging and entrepreneurial environment, with a high degree of individual responsibility.
***Tiger Analytics provides equal employment opportunities to applicants and employees without regard to race, color, religion, age, sex, sexual orientation, gender identity/expression, pregnancy, national origin, ancestry, marital status, protected veteran status, disability status, or any other basis as protected by federal, state, or local law.***</t>
        </is>
      </c>
    </row>
    <row r="80">
      <c r="A80" t="inlineStr">
        <is>
          <t>li-4321134405</t>
        </is>
      </c>
      <c r="B80" t="inlineStr">
        <is>
          <t>Founding Data Engineer (ML Pipelines)</t>
        </is>
      </c>
      <c r="C80" t="inlineStr">
        <is>
          <t>Greylock Partners</t>
        </is>
      </c>
      <c r="D80" t="inlineStr">
        <is>
          <t>linkedin</t>
        </is>
      </c>
      <c r="E80" t="inlineStr"/>
      <c r="F80" t="inlineStr"/>
      <c r="G80" t="inlineStr">
        <is>
          <t>Redwood City, CA</t>
        </is>
      </c>
      <c r="H80" t="inlineStr"/>
      <c r="I80" t="inlineStr">
        <is>
          <t>Early\-stage, cybersecurity investment (valued over $100M at Seed), founded by a successful serial entrepreneur, is looking to hire a Founding Data Engineer with a strong background supporting full ML pipelines. Bonus points for prior industry exp in cybersecurity.
**Summary:** 
 Supporting machine learning efforts by focusing on building and maintaining the real\-time data pipelines that feed models with reliable, high\-quality information. Your work will center on ingesting, transforming, and organizing massive data streams so that training and inference systems have consistent, accurate inputs. In this role, you will handle the backbone of ML workflows — ensuring scalability, low latency, and data governance. Your success will be measured by how efficiently and reliably data flows through the ecosystem, from raw sources to feature stores and production endpoints.
**Key Qualifications:** 
* Degree in CS (or a related field) with 4\+ years related industry experience in data engineering
* Prior experience with a zero\-to\-one a strong plus
* Proven ability to collaborate across different teams and adapt to new fields
**Responsibilities:** 
* Design and maintain real\-time data pipelines to support large\-scale machine learning workflows, ensuring low\-latency ingestion and high reliability.
* Build and optimize data infrastructure for feature extraction, model training, and online inference using modern streaming and orchestration frameworks.
* Collaborate with ML researchers and platform engineers to integrate models into production systems and enable continuous data feedback loops.
* Implement robust data quality, observability, and governance practices to ensure scalability, compliance, and reproducibility across enterprise environments.
 Please note:
 There are no fees associated with any of the support we provide our investments. Greylock Talent provides free candidate referrals/introductions to all of our active investments (one of the many services we provide).
 Due to the volume of applicants we typically receive, a follow\-up email will not be sent unless a match is identified.</t>
        </is>
      </c>
    </row>
    <row r="81">
      <c r="A81" t="inlineStr">
        <is>
          <t>li-4351453710</t>
        </is>
      </c>
      <c r="B81" t="inlineStr">
        <is>
          <t>Senior Data Engineer</t>
        </is>
      </c>
      <c r="C81" t="inlineStr">
        <is>
          <t>Flow</t>
        </is>
      </c>
      <c r="D81" t="inlineStr">
        <is>
          <t>linkedin</t>
        </is>
      </c>
      <c r="E81" t="inlineStr"/>
      <c r="F81" t="inlineStr"/>
      <c r="G81" t="inlineStr">
        <is>
          <t>Miami, FL</t>
        </is>
      </c>
      <c r="H81" t="inlineStr"/>
      <c r="I81" t="inlineStr">
        <is>
          <t>**About The Company**
 At Flow, we’re reimagining what it means to live, work, and connect. More than just a real estate company, Flow is a brand, a technology platform, and an operations ecosystem spanning condominiums, hotels, multifamily residences, and office spaces. We’re building a new kind of living experience: one that’s flexible, connected, and designed to create genuine community and real value for the people who call Flow home.
 Our mission is oneness: prioritizing our residents and their experiences, and fostering connection with ourselves, their neighbors, and the natural world. By putting people at the center of everything we do, we’re creating vibrant, human\-centered communities where life, work, creativity, and play all come together in one place.
**About The Role**
 As a member of Flow's data team, you will shape the data architecture and strategy that powers decision\-making across our multifamily real estate portfolio. We're seeking a Senior Data Engineer who excels at designing robust data solutions while working directly with the people who use them daily—property managers, leasing directors, and marketing teams.
 This isn't a role where you build pipelines in isolation and hand them off. You'll be embedded with operations teams, translating their real\-world problems into elegant technical solutions. When a property manager says "tours are down this week," you'll investigate data quality, understand operational context, and deliver actionable insights—not just a dashboard. Your work will directly impact leasing decisions, marketing budget allocation, and portfolio strategy.
 At Flow, we're building sophisticated data infrastructure for the modern real estate industry. We leverage cloud\-native technologies and AI\-assisted development to move fast while maintaining production\-grade quality. You'll use tools like Claude Code and GitHub Copilot as force multipliers, which means strong written communication isn't optional—it's how you work effectively. If you can write clear prompts, documentation, and stakeholder updates, AI amplifies your impact. If you can't, it becomes a liability.
 We value engineers who think critically, work independently, and own problems end\-to\-end. You'll have significant autonomy to scope projects, make architectural decisions, and challenge assumptions when data doesn't support stakeholder hypotheses.
 Finally, we believe employees are better together. Every position at Flow has an onsite or in\-office requirement.
**Responsibilities**
* Design, build, and maintain data pipelines and architecture using Snowflake, dbt, and AWS
* Implement scalable ETL processes and data models that power analytics across the organization
* Build data solutions for complex challenges like entity resolution, multi\-system attribution, and household matching
* Work directly with operations teams (leasing, marketing, property management) to translate daily workflow challenges into data solutions
* Own problems end\-to\-end: from stakeholder conversations through implementation to dashboard deployment and adoption
* Document architectural decisions and explain technical tradeoffs to non\-technical stakeholders in clear, jargon\-free language
* Use AI coding assistants (Claude Code, GitHub Copilot) to accelerate development while maintaining production\-quality code
* Write effective prompts for AI tools and review generated solutions critically—knowing when to trust AI and when to take over
**Ideal Background**
* A minimum of 7 years of data engineering experience building scalable data systems in operations\-heavy, data\-forward organizations (not big tech)
* Experience working in product \&amp; operations\-heavy environments where data directly impacts daily business decisions
* Deep expertise in data modeling with dbt—you understand how to model around the deficiencies and quirks of upstream operational systems
* Strong written and verbal communication skills—comfortable writing clear documentation, effective AI prompts, and explaining technical concepts to non\-technical stakeholders
* High proficiency in SQL, Python, and modern data stack technologies (Snowflake, Fivetran, Dagster/Airflow, dbt)
* Deep understanding of the principles and challenges of ensuring high availability, fault tolerance, and efficiency in distributed data systems
* A keen ability to strike a balance between elegant design and pragmatic tradeoffs, all while prioritizing continuous delivery of value to the business
* Experience building data solutions in fast\-moving startup environments
* Strong analytical skills with an inherent curiosity to understand and solve complex business problems through data
**Benefits**
* Comprehensive Benefits Package (Medical / Dental / Vision / Disability / Life)
* Paid time off and 13 paid holidays
* 401(k) retirement plan
* Healthcare and Dependent Care Flexible Spending Accounts (FSAs)
* Access to HSA\-compatible plans
* Pre\-tax commuter benefits
* Employee Assistance Program (EAP), free therapy through SpringHealth, acupuncture, and other wellness offerings
 Flow is proud to be an equal opportunity workplace and hires regardless of race, color, ancestry, religion, sex, national origin, sexual orientation, age, citizenship, marital status, disability, gender identity and/or expression, pregnancy, Veteran status any other characteristic protected by federal, state or local law. In addition, we provide reasonable accommodation for qualified individuals with disabilities.</t>
        </is>
      </c>
    </row>
    <row r="82">
      <c r="A82" t="inlineStr">
        <is>
          <t>li-4330556922</t>
        </is>
      </c>
      <c r="B82" t="inlineStr">
        <is>
          <t>Data Engineer</t>
        </is>
      </c>
      <c r="C82" t="inlineStr">
        <is>
          <t>Quadrant IQ Solutions LLC</t>
        </is>
      </c>
      <c r="D82" t="inlineStr">
        <is>
          <t>linkedin</t>
        </is>
      </c>
      <c r="E82" t="inlineStr"/>
      <c r="F82" t="inlineStr"/>
      <c r="G82" t="inlineStr">
        <is>
          <t>New York, NY</t>
        </is>
      </c>
      <c r="H82" t="inlineStr"/>
      <c r="I82" t="inlineStr">
        <is>
          <t>**Job Title: Senior Data Engineer (Spark / AWS / Snowflake)** 
 Location: New york, New York
 Job Type: W2
 Visa's Accepted: H4\-EAD, GC\-EAD, L2S, GC, USC, H1B
**Must\-Have Skills** 
* **Python \&amp; PySpark** 
 – Expert\-level proficiency with
 **very strong Apache Spark** 
 experience (large\-scale data processing, optimization, performance tuning).
* **AWS Cloud**
* **ECS (Elastic Container Service)** 
 –
 **Required**
* **AWS Glue** 
 and/or
 **AWS Lake Formation** 
 – Strongly preferred
* **Data Warehousing**
* **Snowflake** 
*or* 
**Teradata** 
 (hands\-on experience with large analytical datasets)
**Core Responsibilities** 
* Design, build, and optimize
 **high\-performance Spark\-based data pipelines** 
 using Python/PySpark.
* Develop and maintain
 **ETL/ELT workflows** 
 for large\-scale structured and semi\-structured data.
* Deploy and manage data workloads on
 **AWS ECS** 
 .
* Implement data ingestion, transformation, and governance using
 **AWS Glue / Lake Formation** 
 .
* Integrate data pipelines with
 **Snowflake or Teradata** 
 for analytics and reporting.
* Ensure scalability, reliability, and performance of distributed data processing systems.
* Collaborate with analytics, platform, and cloud engineering teams.</t>
        </is>
      </c>
    </row>
    <row r="83">
      <c r="A83" t="inlineStr">
        <is>
          <t>li-4354677426</t>
        </is>
      </c>
      <c r="B83" t="inlineStr">
        <is>
          <t>Data Engineer</t>
        </is>
      </c>
      <c r="C83" t="inlineStr">
        <is>
          <t>Caterpillar Inc.</t>
        </is>
      </c>
      <c r="D83" t="inlineStr">
        <is>
          <t>linkedin</t>
        </is>
      </c>
      <c r="E83" t="inlineStr"/>
      <c r="F83" t="inlineStr"/>
      <c r="G83" t="inlineStr">
        <is>
          <t>Irving, TX</t>
        </is>
      </c>
      <c r="H83" t="inlineStr"/>
      <c r="I83" t="inlineStr">
        <is>
          <t>**Career Area**
 Technology, Digital and Data
**Job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**Data Engineer**
**Role Definition**
 Employs data analytics to assess an organization's technical performance and makes system enhancement recommendations.
**What You Will Do**
* Design conceptual, logical, and physical data models to support data marts and business data objects.
* Name relevant data sources and define relationships, dependencies, and mappings.
* Create reusable schemas for Snowflake data marts, ensuring alignment with business processes.
* Maintain data dictionaries and metadata to support governance and auditability.
**What You Have**
* Expertise in ER modeling and tools like ERwin or Power Designer.
* Strong SQL and database design concepts such as data vault, star schemas, etc.
* Experience with big data platforms for performance and cost like Snowflake and Cloudera.
* Ability to translate business requirements into technical specifications.
* Understanding of data governance and metadata standards.
**Skill Descriptors**
**Value Realization:**
* Knowledge of value realization methods; ability to plan, execute, watch and manage business activities and resources to find and achieve the actual value from a business initiative as estimated in an associated business case
**Communicating Complex Concepts**
* Knowledge of effective presentation tools and techniques to ensure clear understanding; ability to use summarization and simplification techniques to explain complex technical concepts in simple, clear language right to the audience.
**Agile Development**
* Knowledge of agile methodologies and the agile development lifecycle; ability to use formal agile methodologies, disciplines, practices and techniques for the delivery of new and enhanced applications.
**Cloud Computing**
* Knowledge of the concepts, technologies and services of cloud computing; ability to design, deploy and implement cloud computing solutions in various business environments.
**Database Design (Physical)**
* Knowledge of database systems; ability to set up a data model for designing an organization's database that runs effectively and efficiently for better business outcome.
**ETL Process**
* Knowledge of the extraction, transformation and loading (ETL) process; ability to develop a database through the ETL process.
**Information Management**
* Knowledge of an organization's existing and planned Information Architecture and Information Management (IM) method; ability to collect and manage information from different sources and distribute this information to enhance operational efficiency.
**Modeling**
* Data, Process, Events, Objects: Knowledge of data, process and events; ability to use tools and techniques for analyzing and documenting logical relationships among data, processes or events.
**Additional Info**
* The primary locations for this position are Dallas, TX or Mossville, IL.
* Sponsorship is NOT available.
* Relocation is available for qualified candidates.
* This role requires 5 DAYS IN OFFICE.
**About Caterpillar \-**
 Caterpillar Inc. is the world’s leading manufacturer of construction and mining equipment, off\-highway diesel and natural gas engines, industrial gas turbines and diesel\-electric locomotives. For nearly 100 years, we’ve been helping customers build a better, more sustainable world and are committed and contributing to a reduced\-carbon future. Our innovative products and services, backed by our global dealer network, provide exceptional value that helps customers succeed.
**Summary Pay Range**
 $97,530\.00 \- $146,290\.00
 Compensation and benefits offered may vary depending on multiple individualized factors, job level, market location, job\-related knowledge, skills, individual performance and experience. Please note that salary is only one component of total compensation at Caterpillar.
**Benefits**
 Subject to plan eligibility, terms, and guidelines. This is a summary list of benefits.
* Medical, dental, and vision benefits\*
* Paid time off plan (Vacation, Holidays, Volunteer, etc.)\*
* 401(k) savings plans\*
* Health Savings Account (HSA)\*
* Flexible Spending Accounts (FSAs)\*
* Health Lifestyle Programs\*
* Employee Assistance Program\*
* Voluntary Benefits and Employee Discounts\*
* Career Development\*
* Incentive bonus\*
* Disability benefits
* Life Insurance
* Parental leave
* Adoption benefits
* Tuition Reimbursement
* These benefits also apply to part\-time employees
 This position requires working onsite five days a week.
 Relocation is available for this position.
 Visa Sponsorship is not available for this position. 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at www.caterpillar.com/careers.
**Posting Dates**
 January 6, 2026 \- January 17, 2026
 Any offer of employment is conditioned upon the successful completion of a drug screen.
 Caterpillar is an Equal Opportunity Employer, Including Veterans and Individuals with Disabilities. Qualified applicants of any age are encouraged to apply.
 Not ready to apply? Join our Talent Community.</t>
        </is>
      </c>
    </row>
    <row r="84">
      <c r="A84" t="inlineStr">
        <is>
          <t>li-4330527481</t>
        </is>
      </c>
      <c r="B84" t="inlineStr">
        <is>
          <t>Data Engineer</t>
        </is>
      </c>
      <c r="C84" t="inlineStr">
        <is>
          <t>Precision Technologies</t>
        </is>
      </c>
      <c r="D84" t="inlineStr">
        <is>
          <t>linkedin</t>
        </is>
      </c>
      <c r="E84" t="inlineStr"/>
      <c r="F84" t="inlineStr"/>
      <c r="G84" t="inlineStr"/>
      <c r="H84" t="inlineStr"/>
      <c r="I84" t="inlineStr">
        <is>
          <t>**Job Description – Data Engineer** 
 We are seeking a highly skilled
 **Data Engineer** 
 to design, build, optimize, and maintain
 **scalable data pipelines and data platforms** 
 that support analytics, reporting, and business intelligence initiatives. The ideal candidate will have strong experience in
 **Python, SQL, cloud platforms (AWS/Azure/GCP), ETL/ELT pipelines, and modern data architectures** 
 .
**Roles \&amp; Responsibilities :** 
* Design, develop, and maintain
 **end\-to\-end data pipelines** 
 using
 **ETL/ELT frameworks** 
 .
* Build and optimize
 **data ingestion pipelines** 
 from structured and unstructured data sources.
* Develop scalable
 **data models, schemas, and transformations** 
 for analytics and reporting.
* Write efficient, optimized
 **SQL queries** 
 and
 **Python code** 
 for large\-scale data processing.Implement and manage
 **cloud\-based data solutions** 
 on
 **AWS, Azure, or GCP** 
 .
* Work with
 **data warehouses and lake architectures** 
 such as
 **Snowflake, Redshift, BigQuery, Synapse, or Databricks.**
* Ensure
 **data quality, data validation, data governance, and data integrity** 
 across platforms
* Implement
 **orchestration and scheduling** 
 using tools like
 **Airflow, Azure Data Factory, or Glue** 
 .
* Support
 **real\-time and batch data processing** 
 using streaming technologies when required.Implement
 **CI/CD pipelines** 
 and follow
 **DevOps and Agile best practices** 
 .
* Maintain technical documentation for
 **data pipelines, data models, and architecture** 
 .Support
 **security, compliance, and access control** 
 requirements.Participate in
 **Agile/Scrum ceremonies** 
 , sprint planning, and backlog refinement.
**Required Skills** 
* **Programming:** 
 Python, SQL
* **Databases:** 
 PostgreSQL, MySQL, Oracle, SQL Server
* **Data Warehousing:** 
 Snowflake, Redshift, BigQuery, Azure Synapse
* **ETL / ELT Tools:** 
 Airflow, Azure Data Factory (ADF), AWS Glue, Informatica
* **Cloud Platforms:** 
 AWS / Azure / GCP
* **Big Data:** 
 Spark, PySpark, Hadoop (Good to Have)
* **Version Control:** 
 Git, GitHub, Bitbucket
* **Methodologies:** 
 Agile, Scrum, SDLC
* **Data Concepts:** 
 Data Modeling, Data Lakes, Data Pipelines, Data Governance
* Experience with
 **Databricks**
* Knowledge of
 **Kafka / Streaming data pipelines**
* Exposure to
 **BI tools** 
 (Power BI, Tableau, Looker)
* Experience with
 **API integrations and JSON/XML data**
* Cloud certifications (AWS/Azure/GCP)
**Education** 
* Bachelor’s degree in
 **Computer Science, Engineering, Data Science, or related field**</t>
        </is>
      </c>
    </row>
    <row r="85">
      <c r="A85" t="inlineStr">
        <is>
          <t>li-4358204353</t>
        </is>
      </c>
      <c r="B85" t="inlineStr">
        <is>
          <t>Staff Analytics Engineer</t>
        </is>
      </c>
      <c r="C85" t="inlineStr">
        <is>
          <t>The Nuclear Company</t>
        </is>
      </c>
      <c r="D85" t="inlineStr">
        <is>
          <t>linkedin</t>
        </is>
      </c>
      <c r="E85" t="inlineStr"/>
      <c r="F85" t="inlineStr"/>
      <c r="G85" t="inlineStr">
        <is>
          <t>Seattle, WA</t>
        </is>
      </c>
      <c r="H85" t="inlineStr"/>
      <c r="I85" t="inlineStr">
        <is>
          <t>The Nuclear Company is the fastest growing startup in the nuclear and energy space creating a never before seen fleet\-scale approach to building nuclear reactors. Through its design\-once, build\-many approach and coalition building across communities, regulators, and financial stakeholders, The Nuclear Company is committed to delivering safe and reliable electricity at the lowest cost, while catalyzing the nuclear industry toward rapid development in America and globally.
**About The Role**
 The Staff Analytics Engineer is a senior technical role responsible for designing, building, and maintaining the data infrastructure, analytics pipelines, and business intelligence systems that power Nuclear OS. This position combines expertise in data engineering, analytics, and business intelligence to transform raw data into actionable insights that drive decision\-making across nuclear construction projects. You'll work at the intersection of data engineering and analytics, building sophisticated data models, ETL/ELT pipelines, and visualization tools that enable predictive analytics, real\-time monitoring, and AI\-driven optimization for nuclear project delivery.
**Key Responsibilities**
 Data Architecture \&amp; Modeling
* Lead the design and implementation of sophisticated data models in data warehouses/lakes, optimizing for performance, scalability, and ease of consumption by analytics tools and data scientists
* Design data storage and analytics systems that support predictive maintenance and business intelligence goals
* Build unified data ontology that creates a "digital twin" of nuclear projects integrating diverse data sources
* Create centralized data lake for all project data including construction performance metrics, quality incidents, schedule deviations, and cost data
* Develop data governance frameworks and quality assurance protocols for enterprise data
 Data Pipeline Development
* Develop ingestion pipelines for diverse datasets using ETL/ELT tools (Apache NiFi, Apache Airflow)
* Build automated data pipelines integrating Primavera schedules, BIM models, IoT sensor telemetry, and other sources
* Perform complex data transformations, aggregations, and feature engineering to prepare data for advanced analytics, machine learning, and reporting
* Integrate real\-time data from IoT sensors, AR devices, and field operations into analytics systems
* Ensure data quality through validation, cleansing, and monitoring processes
 Analytics \&amp; Business Intelligence
* Create dashboards and analyses that demonstrate Nuclear OS's value using BI tools (Tableau, PowerBI, Superset)
* Build business intelligence systems for data analysis and decision\-making
* Develop analytics tools tailored to project and operational needs
* Drive innovation in complex data visualization and project management interfaces that make nuclear construction data accessible and actionable
* Create standardized performance metrics and reporting frameworks
* Build real\-time dashboards with data connectivity for monitoring construction progress and operational performance
 AI/ML Support \&amp; Predictive Analytics
* Support predictive analytics and machine learning models that learn from historical and real\-time data
* Build data pipelines for training and running ML models at scale
* Enable AI\-driven predictive analytics for schedule optimization, risk detection, and anomaly identification
* Support AI models for predictive scheduling, ITAAC automation, and risk assessment
* Prepare feature\-engineered datasets for data scientists and ML engineers
* Monitor model performance and data drift for production ML systems
 Cross\-Functional Collaboration
* Work closely with data scientists, principal/senior data engineers, software developers, and business leaders to understand complex data needs and deliver impactful solutions
* Collaborate with engineering, construction, and operations teams to translate business problems into analytics solutions
* Partner with product teams to define analytics requirements and success metrics
* Support regulatory and compliance teams with data\-driven insights
* Enable business leaders to make data\-driven decisions through accessible analytics
 Platform Development \&amp; Optimization
* Build analytics infrastructure on Palantir Foundry and associated platforms 17
* Optimize data pipelines for performance, cost, and reliability
* Implement data observability and monitoring systems
* Ensure scalability of analytics systems for fleet\-wide deployment
* Develop APIs for analytics services and data access
* Create reusable analytics components and templates
 Technical Leadership \&amp; Mentorship
* Provide technical guidance and mentorship to junior analytics engineers, fostering their growth and ensuring adherence to best practices
* Establish analytics engineering standards and best practices
* Lead code reviews and technical design discussions
* Drive continuous improvement in analytics processes and tools
* Share knowledge through documentation and training
**Required Qualifications**
 Education \&amp; Experience
* Bachelor’s degree in computer science, Data Science, Statistics, Engineering, or related field (Master's preferred)
* 7\+ years of experience in analytics engineering, data engineering, or business intelligence
* 3\+ years working with enterprise data platforms and analytics systems
* Experience in construction, industrial, or complex project environments preferred
 Technical Skills \- Data Engineering
* Expert proficiency in SQL and database technologies (PostgreSQL, Snowflake, BigQuery, or similar)
* Strong experience with ETL/ELT tools (Apache Airflow, Apache NiFi, dbt, or similar)
* Proficiency in data modeling techniques (dimensional modeling, data vault, etc.)
* Experience with data warehousing and data lake architectures
* Knowledge of data pipeline orchestration and workflow management
* Understanding of data governance, quality, and lineage
 Technical Skills \- Analytics \&amp; BI
* Strong skills in data analysis, statistical modeling, and data visualization tools
* Expert proficiency in BI tools (Tableau, PowerBI, Looker, or similar)
* Experience with business analytics and KPI development
* Knowledge of statistical analysis and A/B testing
* Understanding of data storytelling and visualization best practices
 Technical Skills \- Programming \&amp; Platforms
* Strong programming skills in Python and/or Scala
* Experience with Palantir Foundry or similar enterprise data platforms
* Proficiency in version control (Git) and CI/CD practices
* Knowledge of cloud platforms (AWS, Azure, GCP)
* Familiarity with containerization (Docker, Kubernetes)
* Understanding of API development and microservices
 Domain Knowledge
* Understanding of construction project management and workflows
* Knowledge of engineering data, BIM models, and project controls
* Familiarity with IoT data, sensor networks, and real\-time analytics
* Awareness of nuclear industry requirements (preferred)
* Understanding of supply chain, procurement, and compliance data
 Soft Skills
 Strong analytical and problem\-solving skills with ability to translate business problems into analytics solutions
* Excellent communication skills to explain complex data concepts to technical and non\-technical stakeholders
* Ability to work independently and lead analytics initiatives
* Collaborative mindset to work across teams and functions
* Attention to detail with focus on data quality and accuracy
* Strategic thinking to align analytics with business objectives
**Preferred Qualifications**
* Master's degree or Ph.D. in Data Science, Statistics, or related field
* Experience with Palantir Foundry platform
* Background in machine learning and AI systems
* Knowledge of real\-time streaming analytics (Kafka, Flink, Spark Streaming)
* Experience with graph databases and network analysis
* Familiarity with blockchain and distributed ledger data
* Certifications in data engineering or analytics (AWS, GCP, Databricks)
* Experience in nuclear, energy, or highly regulated industries
**Benefits**
* Competitive compensation packages
* 401k with company match
* Medical, dental, vision plans
* Generous vacation policy, plus holidays
**Estimated Starting Salary Range**
 The estimated starting salary range for this role is $150,000 \- $173,000 annually less applicable withholdings and deductions, paid on a bi\-weekly basis. The actual salary offered may vary based on relevant factors as determined in the Company’s discretion, which may include experience, qualifications, tenure, skill set, availability of qualified candidates, geographic location, certifications held, and other criteria deemed pertinent to the particular role.
**EEO Statement**
 The Nuclear Company is an equal opportunity employer committed to fostering an environment of inclusion in the workplace. We provide equal employment opportunities to all qualified applicants and employees without regard to race, color, religion, sex, sexual orientation, gender identity, national origin, age, disability, veteran status, or any other protected characteristic. We prohibit discrimination in all aspects of employment, including hiring, promotion, demotion, transfer, compensation, and termination.
**Export Control**
 Certain positions at The Nuclear Company may involve access to information and technology subject to export controls under U.S. law. Compliance with these export controls may result in The Nuclear Company limiting its consideration of certain applicants.
**Recruiting Fraud Alert**
 Your safety is our priority. We want to ensure your job search stays secure. Please note that the team at The Nuclear Company only communicates through official
 **@thenuclearcompany.com** 
 email addresses. We will never ask for payments or sensitive financial information at any stage of our recruitment process. For your peace of mind, please verify all openings and submit your applications directly through our official careers page: Careers</t>
        </is>
      </c>
    </row>
    <row r="86">
      <c r="A86" t="inlineStr">
        <is>
          <t>li-4358125844</t>
        </is>
      </c>
      <c r="B86" t="inlineStr">
        <is>
          <t>Data Engineer</t>
        </is>
      </c>
      <c r="C86" t="inlineStr">
        <is>
          <t>American Heritage Credit Union</t>
        </is>
      </c>
      <c r="D86" t="inlineStr">
        <is>
          <t>linkedin</t>
        </is>
      </c>
      <c r="E86" t="inlineStr"/>
      <c r="F86" t="inlineStr"/>
      <c r="G86" t="inlineStr">
        <is>
          <t>Philadelphia, PA</t>
        </is>
      </c>
      <c r="H86" t="inlineStr"/>
      <c r="I86" t="inlineStr">
        <is>
          <t>American Heritage Credit Union, a $5\+ billion credit union, has an immediate opening for a Data Engineer. This position is responsible for designing, developing, and maintaining data infrastructure to support efficient data storage, processing, and analysis across American Heritage.
 Focus on building and optimizing data pipelines while ensuring data systems are scalable, reliable, aligned with business needs, and compliant with organizational guidelines and applicable regulations. Collaborate with data scientists, analysts, and other technical teams to ensure high\-quality data delivery, supporting advanced analytics, machine learning, and other initiatives.
**Responsibilities Include**
* Design, build, and maintain scalable ETL (Extract, Transform, Load) pipelines to ingest structured and unstructured data into enterprise data platforms.
* Integrate cloud, on\-premise, and vendor\-managed data sources aligned to business and innovation priorities.
* Support the technical enablement of analytics, artificial intelligence (AI), and machine learning (ML) platforms such as Datava and BlastPoint.
* Apply cleansing, filtering, enrichment, and standardization processes to ensure usable and trustworthy data.
* Support metadata tagging and data mapping for data cataloging and curated dataset efforts.
* Optimize performance for data lakehouse and warehouse environments.
* Embed data quality checks and automated validations within pipelines.
* Align data engineering work with governance policies, standards, and RACI (Responsible, Accountable, Consulted, Informed) project management responsibilities.
* Ensure data systems are secure, compliant, and aligned to AI TRiSM (Trust, Risk, Security Management) and other responsible AI frameworks.
* Continuously monitor and maintain data systems, ensuring performance optimization and troubleshooting issues as they arise.
* Monitor data flows, troubleshoot pipeline issues, and optimize processing routines.
* Implement and manage caching, indexing, and other performance\-enhancing strategies to support efficient data querying.
* Work cross\-functionally with analysts, data scientists, governance, and innovation teams.
* Support innovation projects involving GenAI (Generative AI), predictive modeling, and member personalization.
* Contribute reusable code assets, templates, and notebooks to shared libraries for data science use.
**Qualifications**
* One to three years of similar or related experience.
* Experience with server, networking, and database management.
* Experience with modern data tools and platforms such as cloud services (AWS, Azure, GCP) or data warehouse solutions like Snowflake or Databricks is a plus but not mandatory.
* Experience with database technologies (SQL, NoSQL) and an understanding of data modeling concepts.
* Understanding of data governance principles and best practices to ensure data quality and compliance.
* Strong familiarity with data integration processes and basic SQL knowledge.
* Familiarity with data pipeline tools and frameworks such as Kafka, Airflow, or Spark.
* Proficiency in or ability to learn programming or scripting languages such as Python, Java, or similar.
* Proficiency with Microsoft Office suite (Outlook, Word, Excel, PowerPoint).
* Self\-starter with willingness to learn and adapt to new tools, technologies, and methodologies in data engineering.
* Project management skills and familiarity with project management tools.
* Demonstrated ability to work effectively with cross\-functional teams to deliver data solutions that meet business needs.
 Our commitment to your success is enhanced by our competitive salary commensurate with experience and an extensive benefits package including paid time off, health benefits, 401(k) with a generous company match, and future growth opportunities within the company. We work to maintain the best possible professional and environmentally friendly atmosphere for our employees.
**EOE M/F/D/V**</t>
        </is>
      </c>
    </row>
    <row r="87">
      <c r="A87" t="inlineStr">
        <is>
          <t>li-4330447412</t>
        </is>
      </c>
      <c r="B87" t="inlineStr">
        <is>
          <t>Data Engineer</t>
        </is>
      </c>
      <c r="C87" t="inlineStr">
        <is>
          <t>Tygart Technology, Inc.</t>
        </is>
      </c>
      <c r="D87" t="inlineStr">
        <is>
          <t>linkedin</t>
        </is>
      </c>
      <c r="E87" t="inlineStr"/>
      <c r="F87" t="inlineStr"/>
      <c r="G87" t="inlineStr">
        <is>
          <t>Quantico, VA</t>
        </is>
      </c>
      <c r="H87" t="inlineStr"/>
      <c r="I87" t="inlineStr">
        <is>
          <t>We are seeking an experienced Data Engineer to join our team in Quantico, VA supporting a DOJ client. The successful candidate will be responsible for moving data between environments, integrating systems, and ensuring data is properly linked, structured, and accessible to support mission\-critical operations. This role requires onsite support and an active Top Secret clearance.
**Key Responsibilities**
* Design, develop, and implement data pipelines to move data between disparate environments
* Architect and support data integration solutions that link systems and datasets
* Ensure data integrity, availability, and performance across environments
* Work closely with technical teams and government stakeholders to understand data requirements
* Troubleshoot and resolve data\-related issues across systems
* Support data modeling, transformation, and optimization efforts
* Maintain documentation for data flows, architectures, and processes
**Required Qualifications**
* Minimum of 5 years of experience in data engineering, data architecture, or related roles
* Active Top Secret (TS) clearance (required to start)
* Experience moving and integrating data across multiple environments
* Strong understanding of data architectures, ETL/ELT processes, and data pipelines
* Strong problem\-solving skills and attention to detail</t>
        </is>
      </c>
    </row>
    <row r="88">
      <c r="A88" t="inlineStr">
        <is>
          <t>li-4358174386</t>
        </is>
      </c>
      <c r="B88" t="inlineStr">
        <is>
          <t>Data Engineer - Python</t>
        </is>
      </c>
      <c r="C88" t="inlineStr">
        <is>
          <t>ClassLink</t>
        </is>
      </c>
      <c r="D88" t="inlineStr">
        <is>
          <t>linkedin</t>
        </is>
      </c>
      <c r="E88" t="inlineStr"/>
      <c r="F88" t="inlineStr"/>
      <c r="G88" t="inlineStr">
        <is>
          <t>New Jersey, United States</t>
        </is>
      </c>
      <c r="H88" t="inlineStr"/>
      <c r="I88" t="inlineStr">
        <is>
          <t>At
 **ClassLink** 
 , we believe learning should be accessible, engaging, and empowering—for every student, every educator, everywhere. That’s why we build secure, intuitive tools that empower more than 26 million students and educators worldwide. From simplifying access with single sign\-on, to advancing equity with usage analytics, to automating secure rostering, our platform helps schools focus on what matters most: teaching and learning.
 We’re not just building tools—we’re building what’s next in education. By removing barriers and enabling data\-driven decisions, our solutions help educators lead with confidence and students thrive in and out of the classroom every day.
 Our team is driven by purpose and grounded in three core values:
* ***Strive to Grow***
 \- always learning, improving, and innovating.
* ***Deliver Worthwhile Experiences***
 \- for our users, our partners, and each other.
* ***Contribute with Heart***
 \- putting people first in everything we do.
 These values shape how we work, innovate, and support the communities we serve. If you’re ready to do work that makes a real difference—and grow alongside a team that values collaboration, support, and continuous improvement—ClassLink is the place for you.
 The
 **Data Engineer** 
 is essential to our
 **OneData** 
 team, specializing in integrating data from multiple sources into our pipeline, implementing complex transformations, and extending REST APIs as required. This role includes contributing to new development projects and improving current processes. In this role, you'll collaborate closely with Data and Software Engineers to enhance the platform as new features are developed.
**Responsibilities:** 
* Develop and improve existing multi\-tenant architectures and designs to facilitate secure and scalable pipelines for customers.
* Extend ETL functionality to ingest more vendor sources through various data transfer methods, such as external APIs, SFTP files, or direct interactions with vendors.
* Develop new endpoints in a REST API serving a frontend application, ensuring they are performant and meet acceptance criteria.
* Implement consistent testing across APIs and build test cases to cover ETL processes.
* Work in a fast\-paced, Agile/Scrum engineering environment and deliver incremental product software with high quality.
* Support the development of highly scalable data management systems on AWS.
* Extend data models for databases by adding new fields or tables and create corresponding migrations to ensure smooth schema updates and data consistency.
**This role is 100% remote eligible, with quarterly strategy meetings that are in\-person.** 
**NOTE** 
 : This job description is not intended to be all\-inclusive. Employees may be asked to perform other related duties as negotiated to meet the ongoing needs of the organization.
**Required:** 
* Extensive experience with SQLAlchemy ORM \&amp; Alembic migrations
* 5\+ years of advanced Python experience, including object\-oriented programming, context managers, decorators, and type hinting.
* Experience with Terraform
**Preferred Education and Experience:** 
* Experience working in a multi\-tenant environment
* Experience building REST APIs with the FastAPI framework or similar
* Proficiency in relational databases, especially Postgres.
* Experience working with a major cloud provider, especially AWS.
* Experience with data warehouse solutions, including Snowflake.
* You are a self\-starter, who enjoys working in a fast\-paced environment.
* Internally motivated, able to work proficiently both independently and in a team environment.
* Strong initiative to find ways to improve solutions, systems, and processes.
* Strong analytic skills related to working with unstructured datasets.
* Understanding of the fundamental technologies of the web: HTTP, SSL, HTML, CSS, JavaScript, and JSON.
* Bachelor’s degree in computer programming, computer science, or a related field
**It would be great if you have or are pursuing the following:** 
* AWS Certifications
**We prefer that you have experience with:** 
* JIRA and Confluence
* Visual Studio Code
**This role is 100% remote eligible, with quarterly strategy meetings that are in\-person.** 
**Benefits:** 
* **Generous Paid Time Off** 
 : 4\+ weeks of vacation and 13\+ paid holidays
* **Parental Leave** 
 : 12 weeks fully paid for all parents
* **Retirement** 
 : 401(k) with 0\.5:1 company match
* **Comprehensive Health Coverage** 
 : Medical, dental, and vision plans
* **Insurance** 
 : Company\-paid life, short\-term disability, and long\-term disability, plus voluntary options including supplemental life, accident, and pet insurance
**Perks:** 
* **Volunteer Time Off:** 
 Give back through
 *ClassLink Cares* 
 paid volunteer days
* **Lifelong Learning:** 
 Tuition reimbursement for continued education
* **Growth \&amp; Development:** 
 Coaching and internal programs to support career and personal growth
* **Supportive Culture:** 
 A workplace that values curiosity, compassion, and continuous learning
* **Connection \&amp; Community:** 
 Annual company retreats and team events with bright, fun coworkers
*At ClassLink, we believe the best ideas come from bringing together diverse perspectives. We are committed to building a team that reflects the diversity of the communities we serve and fostering a workplace where every team member feels valued, respected, and empowered to grow.* 
*ClassLink is proud to be an equal opportunity employer. We welcome candidates of all identities, backgrounds, and experiences, and we do not discriminate on the basis of race, color, religion, sex, gender identity, sexual orientation, national origin, age, disability, veteran status, or any other legally protected characteristic.* 
 ClassLink is powered by passionate people dedicated to improving learning in classrooms everywhere. We do this by creating and delivering great products and having fun along the way. Learn more about us at
 www.classlink.com
 .</t>
        </is>
      </c>
    </row>
    <row r="89">
      <c r="A89" t="inlineStr">
        <is>
          <t>li-4358400421</t>
        </is>
      </c>
      <c r="B89" t="inlineStr">
        <is>
          <t>Senior Big Data Engineer</t>
        </is>
      </c>
      <c r="C89" t="inlineStr">
        <is>
          <t>TP-Link Systems Inc.</t>
        </is>
      </c>
      <c r="D89" t="inlineStr">
        <is>
          <t>linkedin</t>
        </is>
      </c>
      <c r="E89" t="inlineStr"/>
      <c r="F89" t="inlineStr"/>
      <c r="G89" t="inlineStr">
        <is>
          <t>Irvine, CA</t>
        </is>
      </c>
      <c r="H89" t="inlineStr"/>
      <c r="I89" t="inlineStr">
        <is>
          <t>**ABOUT US:**
 Headquartered in the United States,
 **TP\-Link Systems Inc.** 
 is a global provider of reliable networking devices and smart home products, consistently ranked as the world's top provider of Wi\-Fi devices. The company is committed to delivering innovative products that enhance people's lives through faster, more reliable connectivity. With a commitment to excellence, TP\-Link serves customers in over 170 countries and continues to grow its global footprint.
 We believe technology changes the world for the better! At TP\-Link Systems Inc, we are committed to crafting dependable, high\-performance products to connect users worldwide with the wonders of technology.
 Embracing professionalism, innovation, excellence, and simplicity, we aim to assist our clients in achieving remarkable global performance and enable consumers to enjoy a seamless, effortless lifestyle.
**Key Responsibilities**
* Develop and maintain the Big Data Platform by performing data cleansing, data warehouse modeling, and report development on large datasets. Collaborate with cross\-functional teams to provide actionable insights for decision\-making
* Manage the operation and administration of the Big Data Platform, including system deployment, task scheduling, proactive monitoring, and alerting to ensure stability and security
* Handle data collection and integration tasks, including ETL development, data de\-identification, and managing data security
* Provide support for other departments by processing data, writing queries, developing solutions, performing statistical analysis, and generating reports
* Troubleshoot and resolve critical issues, conduct fault diagnosis, and optimize system performance
**Requirements**
**REQUIRED QUALIFICATIONS**
* Bachelor's degree or higher in Computer Science or a related field, with at least three years of experience maintaining a Big Data platform
* Strong understanding of Big Data technologies such as Hadoop, Flink, Spark, Hive, HBase, and Airflow, with proven expertise in Big Data development and performance optimization
* Familiarity with Big Data OLAP tools like Kylin, Impala, and ClickHouse, as well as experience in data warehouse design, data modeling, and report generation
* Proficiency in Linux development environments and Python programming
* Excellent communication, collaboration, and teamwork skills, with a proactive attitude and a strong sense of responsibility
**Preferred Qualificaitons**
* Experience with cloud\-based deployments, particularly AWS EMR, with familiarity in other cloud platforms being a plus
* Proficiency in additional languages such as Java or Scala is a plus
**Benefits**
 Salary Range: $150,000 \- $180,000
* Free snacks and drinks, and provided lunch on Fridays
* Fully paid medical, dental, and vision insurance (partial coverage for dependents)
* Contributions to 401k funds
* Bi\-annual reviews, and annual pay increases
* Health and wellness benefits, including free gym membership
* Quarterly team\-building events
*At TP\-Link Systems Inc., we are continually searching for ambitious individuals who are passionate about their work. We believe that diversity fuels innovation, collaboration, and drives our entrepreneurial spirit. As a global company, we highly value diverse perspectives and are committed to cultivating an environment where all voices are heard, respected, and valued. We are dedicated to providing equal employment opportunities to all employees and applicants, and we prohibit discrimination and harassment of any kind based on race, color, religion, age, sex, national origin, disability status, genetics, protected veteran status, sexual orientation, gender identity or expression, or any other characteristic protected by federal, state, or local laws. Beyond compliance, we strive to create a supportive and growth\-oriented workplace for everyone. If you share our passion and connection to this mission, we welcome you to apply and join us in building a vibrant and inclusive team at TP\-Link Systems Inc.*
*Please, no third\-party agency inquiries, and we are unable to offer visa sponsorships at this time.*</t>
        </is>
      </c>
    </row>
    <row r="90">
      <c r="A90" t="inlineStr">
        <is>
          <t>li-4330468646</t>
        </is>
      </c>
      <c r="B90" t="inlineStr">
        <is>
          <t>Power BI Analytics Engineer</t>
        </is>
      </c>
      <c r="C90" t="inlineStr">
        <is>
          <t>Capgemini</t>
        </is>
      </c>
      <c r="D90" t="inlineStr">
        <is>
          <t>linkedin</t>
        </is>
      </c>
      <c r="E90" t="inlineStr"/>
      <c r="F90" t="inlineStr"/>
      <c r="G90" t="inlineStr"/>
      <c r="H90" t="inlineStr"/>
      <c r="I90" t="inlineStr">
        <is>
          <t>**About the job you’re considering** 
 As a Power BI Analytics Engineer, you are responsible for designing, creating, and deploying analytical assets, including data connections, semantic models, data products, visualizations, and reports/dashboards.
**Location:** 
 Open for Atlanta, GA , TX\- Chicago,IL,NJ,NYC
**Need Good Communication skills** 
**Visa status:** 
 Sponsorship for this role is
 **not available** 
**Your role :** 
* Work closely with stakeholders to identify business \&amp; technical requirements.
* Source, transform, prepare, secure, and validate data for analysis.
* Design and manage semantic models.
* Leverage Power Query and Data Analysis Expressions (DAX).
* Optimize data connections for performance and cost mitigation.
* Deliver substantial business value through well\-aligned, insightful visualizations.
* Design powerful dashboards to provide enterprise visibility and full functionality.
* Enable various types of users to perform self\-service analytics.
* Collaborate with architects, analysts, data engineers, and administrators.
**Your skills and experience** 
* 5\+ years of Microsoft Power BI experience plus Microsoft certifications
* Strong SQL and data analysis skills
* Strong business communication skills
* Advanced visual analytics development skills
* Expert\-level data preparation skills
* Analytics development lifecycle knowledge
* Analytics performance optimization skills
* Troubleshooting \&amp; Error Resolution skills
* Flexible with changing priorities and timelines
* Hybrid work locations (remote, office, client travel)
**Preferred Skills:** 
* Microsoft Fabric and Azure knowledge
* Data Management knowledge (e.g., Databricks, Snowflake, Google Big Query)
* Experience with other leading BI \&amp; Analytics tools (e.g., Tableau, Looker)
* Embedded Analytics \&amp; Mobile Deployment experience
* UX/UI Visual Design knowledge
* Python
**Life at Capgemini** 
 Capgemini supports all aspects of your well\-being throughout the changing stages of your life and career. For eligible employees, we offer:
* Flexible work
* Healthcare including dental, vision, mental health, and well\-being programs
* Financial well\-being programs such as 401(k) and Employee Share Ownership Plan
* Paid time off and paid holidays
* Paid parental leave
* Family building benefits like adoption assistance, surrogacy, and cryopreservation
* Social well\-being benefits like subsidized back\-up child/elder care and tutoring
* Mentoring, coaching and learning programs
* Employee Resource Groups
* Disaster Relief</t>
        </is>
      </c>
    </row>
    <row r="91">
      <c r="A91" t="inlineStr">
        <is>
          <t>li-4351481482</t>
        </is>
      </c>
      <c r="B91" t="inlineStr">
        <is>
          <t>Lead Data Engineer</t>
        </is>
      </c>
      <c r="C91" t="inlineStr">
        <is>
          <t>SoTalent</t>
        </is>
      </c>
      <c r="D91" t="inlineStr">
        <is>
          <t>linkedin</t>
        </is>
      </c>
      <c r="E91" t="inlineStr"/>
      <c r="F91" t="inlineStr"/>
      <c r="G91" t="inlineStr">
        <is>
          <t>Plano, TX</t>
        </is>
      </c>
      <c r="H91" t="inlineStr"/>
      <c r="I91" t="inlineStr">
        <is>
          <t>**Job Title: Lead Data Engineer** 
**Location: Plano, Texas, United States** 
**Type: Full Time** 
 Our client, a leading technology\-driven organization, is looking for skilled software engineers to build and scale modern, data\-intensive platforms. This role offers the opportunity to work in agile, cross\-functional teams delivering cloud\-native solutions that power intelligent, high\-impact customer experiences.
**What You’ll Do** 
* Partner across agile teams to design, build, test, deploy, and support full\-stack solutions using modern development tools and frameworks
* Collaborate with engineers experienced in machine learning, distributed microservices, and scalable system design
* Develop solutions using languages such as Java, Scala, and Python, along with open\-source relational and NoSQL databases and cloud\-based data platforms
* Contribute to cloud data warehousing initiatives using platforms such as Snowflake and Redshift
* Stay current with emerging technologies, experiment with new tools, and actively participate in engineering communities while mentoring peers
* Work closely with product leaders to deliver resilient, cloud\-based systems that create meaningful customer impact
* Write high\-quality, performant code supported by thorough unit testing and collaborative code reviews
**Basic Qualifications** 
* Bachelor’s degree
* 4\+ years of professional application development experience
* 2\+ years working with big data or large\-scale data technologies
* 1\+ year of hands\-on experience with public cloud platforms (AWS, Azure, or GCP)
**Preferred Qualifications** 
* 7\+ years of software development experience using Python, Java, Scala, or SQL
* 4\+ years of experience building solutions on public cloud platforms
* Strong experience with distributed data and processing technologies such as Spark, Kafka, Hadoop, Hive, or similar tools
* Background developing real\-time and streaming data applications
* Experience implementing NoSQL databases such as MongoDB or Cassandra
* Hands\-on experience with cloud data warehouses including Snowflake or Redshift
* Proficiency with UNIX/Linux environments, including shell scripting
* Experience working in Agile engineering teams</t>
        </is>
      </c>
    </row>
    <row r="92">
      <c r="A92" t="inlineStr">
        <is>
          <t>li-4358184021</t>
        </is>
      </c>
      <c r="B92" t="inlineStr">
        <is>
          <t>Data Engineer - Quant Hedge Fund</t>
        </is>
      </c>
      <c r="C92" t="inlineStr">
        <is>
          <t>Capital Markets Recruitment</t>
        </is>
      </c>
      <c r="D92" t="inlineStr">
        <is>
          <t>linkedin</t>
        </is>
      </c>
      <c r="E92" t="inlineStr"/>
      <c r="F92" t="inlineStr"/>
      <c r="G92" t="inlineStr"/>
      <c r="H92" t="inlineStr"/>
      <c r="I92" t="inlineStr">
        <is>
          <t>Our client, a major Quantitative Hedge fund, is looking to hire an experienced Data Engineer to work closely with quantitative portfolio managers and researchers in a collaborative environment.
 This role gives you the opportunity to join one of the world's most successful hedge funds, collaborate with an exceptionally talented team operating in a hybrid approach, and earn market\-leading compensation packages.
**Responsibilities:** 
* Design and evolve data systems required to enable the quantitative investment process
* Work closely with data vendors such as Bloomberg, Refinitiv and help standardise this for internal consumption
* Automate and support the Extract, Transform, and Load (ETL) processes from various market data vendors and internal operational data stores
**Desirable Candidates:** 
* 3\+ years of relevant Python development experience, ideally on the buyside
* 2\+ years of Data Engineering experience
* Experience with LLM / ML pipelines a benefit
* Strong AWS data pipeline skills
* Proficient database skills – SQL
* BS in Computer Science, Engineering, Statistics, or related discipline with excellent academic credentials
 To discuss the role in confidence, please reach out to Rhys at rhys.nugent@capitalmarkets.ie.</t>
        </is>
      </c>
    </row>
    <row r="93">
      <c r="A93" t="inlineStr">
        <is>
          <t>li-4351541693</t>
        </is>
      </c>
      <c r="B93" t="inlineStr">
        <is>
          <t>Sr. Data Platform Engineer</t>
        </is>
      </c>
      <c r="C93" t="inlineStr">
        <is>
          <t>Oscar</t>
        </is>
      </c>
      <c r="D93" t="inlineStr">
        <is>
          <t>linkedin</t>
        </is>
      </c>
      <c r="E93" t="inlineStr"/>
      <c r="F93" t="inlineStr"/>
      <c r="G93" t="inlineStr">
        <is>
          <t>San Francisco County, CA</t>
        </is>
      </c>
      <c r="H93" t="inlineStr"/>
      <c r="I93" t="inlineStr">
        <is>
          <t>**About the Company** 
 A fast\-growing AI technology company building advanced analytics and optimization platforms for complex, large\-scale systems. The team operates globally and focuses on delivering enterprise\-grade, data\-driven solutions.
 As a Senior Data Platform Engineer, you will design and scale the core data infrastructure powering the company's AI and analytics platform. Your work will focus on taking an existing system to an enterprise\-grade, highly reliable data platform supporting large\-scale workloads across cloud and on\-prem environments.
 You'll build high\-performance data connectors, governance frameworks, object storage and lakehouse components, and backend services. This includes developing S3\-compatible object storage, Delta Lake\-compatible services, and integrations with modern data ecosystems such as Snowflake, Databricks, and BigQuery.
*\*Unfortunately, this role does not offer sponsorships. U.S. Citizens or Greencard Holders Only!\** 
**Details:** 
* Full\-Time, Permanent Position
* $180,000 \- $200,000 \+ Equity \+ Benefits
* San Francisco, CA \| 5 Days On\-Site
**Key Responsibilities** 
* Build secure, scalable data connectors and ingestion frameworks across cloud and on\-prem systems.
* Develop core data platform components, including S3\-compatible object storage and table/metadata services.
* Implement Delta Lake\-compatible services (ACID transactions, schema evolution, time travel).
* Create platform APIs supporting Spark, Pandas, and distributed compute frameworks.
* Optimize performance, reliability, and scalability in multi\-cloud and hybrid environments.
* Improve observability and high\-availability for mission\-critical data services.
**Qualifications** 
* 10\+ years of experience in data platform engineering, data infrastructure, or distributed systems.
* Strong backend development skills (Python or similar).
* Deep understanding of lakehouse architectures (Delta Lake, Iceberg) and object storage.
* Experience building large\-scale data platforms or pipelines.
* Strong cloud experience (AWS, Azure, or GCP).
**Preferred** 
* Experience with data governance or metadata platforms.
* Familiarity with streaming, CDC, and modern ingestion patterns.
* Experience with Spark, Kubernetes, or performance tuning.
 Oscar Associates Limited (US) is acting as an Employment Agency in relation to this vacancy.</t>
        </is>
      </c>
    </row>
    <row r="94">
      <c r="A94" t="inlineStr">
        <is>
          <t>li-4358174811</t>
        </is>
      </c>
      <c r="B94" t="inlineStr">
        <is>
          <t>Data Engineer</t>
        </is>
      </c>
      <c r="C94" t="inlineStr">
        <is>
          <t>Best Job Tool</t>
        </is>
      </c>
      <c r="D94" t="inlineStr">
        <is>
          <t>linkedin</t>
        </is>
      </c>
      <c r="E94" t="inlineStr"/>
      <c r="F94" t="inlineStr"/>
      <c r="G94" t="inlineStr"/>
      <c r="H94" t="inlineStr"/>
      <c r="I94" t="inlineStr">
        <is>
          <t>**About The Company**
 Guidehouse is a leading global consultancy dedicated to delivering innovative solutions that address complex challenges across various industries. With a focus on technology, strategy, and management consulting, Guidehouse partners with organizations to drive transformation, improve operational efficiency, and achieve sustainable growth. Our commitment to excellence and integrity has established us as a trusted advisor to government agencies, Fortune 500 companies, and non\-profit organizations worldwide. We foster a collaborative and inclusive work environment that encourages professional development and continuous learning, ensuring our team members are equipped to deliver impactful results.
**About The Role**
 We are seeking a highly motivated and experienced professional to join our team in the role of Senior Consultant. This position offers an exciting opportunity to work on high\-impact projects that influence policy, technology implementation, and organizational strategy. As a Senior Consultant, you will be responsible for leading project teams, conducting comprehensive research and analysis, and developing strategic recommendations tailored to client needs. You will serve as a key point of contact for clients, ensuring deliverables are met with the highest standards of quality and professionalism. This role requires a proactive approach, excellent communication skills, and the ability to work effectively in a fast\-paced environment. The ideal candidate will possess a strong background in management consulting, with demonstrated experience in project management, stakeholder engagement, and problem\-solving.
**Qualifications**
 The ideal candidate should possess a bachelor’s degree in Business Administration, Management, Economics, or a related field; a master’s degree is preferred. A minimum of 5 years of experience in management consulting, public policy, or a related area is required. Strong analytical and quantitative skills are essential, along with proficiency in data analysis tools and software. Excellent written and verbal communication skills are necessary to articulate complex ideas clearly and effectively. Demonstrated leadership capabilities, project management experience, and the ability to manage multiple priorities are highly valued. Familiarity with industry\-specific regulations, standards, and best practices will be considered an advantage. A commitment to continuous learning and professional development is expected.
**Responsibilities**
 Leading and managing consulting projects from initiation to completion, ensuring deliverables meet client expectations and deadlines.
 Conducting thorough research, data collection, and analysis to provide actionable insights and strategic recommendations.
 Engaging with clients to understand their needs, presenting findings, and facilitating discussions to drive consensus and decision\-making.
 Collaborating with cross\-functional teams to develop innovative solutions and implement project strategies effectively.
 Preparing comprehensive reports, presentations, and documentation to communicate project outcomes and recommendations.
 Mentoring junior team members, providing guidance and support to foster their professional growth.
 Staying updated on industry trends, regulations, and best practices to ensure the delivery of relevant and impactful solutions.
 Supporting business development activities by contributing to proposal development and client engagement initiatives.
**Benefits**
 Guidehouse offers a competitive compensation package, including base salary, performance\-based incentives, and comprehensive health benefits. Employees have access to professional development programs, training opportunities, and mentorship initiatives to support their career growth. The company promotes a healthy work\-life balance through flexible working arrangements and wellness programs. Additional benefits include paid time off, retirement savings plans, and opportunities for international assignments and collaboration. We foster a diverse and inclusive workplace where every team member’s contributions are valued and recognized.
 Equal Opportunity
 Guidehouse is an equal opportunity employer committed to fostering an inclusive environment for all employees. We do not discriminate based on race, color, religion, gender, sexual orientation, gender identity or expression, national origin, age, disability, or any other protected characteristic. We believe that diversity enriches our culture and enhances our ability to serve our clients effectively. We encourage candidates from all backgrounds to apply and join our team in making a meaningful impact across industries and communities.</t>
        </is>
      </c>
    </row>
    <row r="95">
      <c r="A95" t="inlineStr">
        <is>
          <t>li-4358135119</t>
        </is>
      </c>
      <c r="B95" t="inlineStr">
        <is>
          <t>Data Engineer</t>
        </is>
      </c>
      <c r="C95" t="inlineStr">
        <is>
          <t>Harnham</t>
        </is>
      </c>
      <c r="D95" t="inlineStr">
        <is>
          <t>linkedin</t>
        </is>
      </c>
      <c r="E95" t="inlineStr"/>
      <c r="F95" t="inlineStr"/>
      <c r="G95" t="inlineStr">
        <is>
          <t>Austin, TX</t>
        </is>
      </c>
      <c r="H95" t="inlineStr"/>
      <c r="I95" t="inlineStr">
        <is>
          <t>About the Team
 This team supports the development of self\-driving vehicles and delivery robots by turning massive volumes of raw data into clear, actionable insights. The systems generate data at significant scale, and making that data usable across the organization is critical to both technical progress and business decisions.
 This is an opportunity to join a growing data team and have direct, tangible impact on product quality, operational efficiency, and leadership decision\-making.
 About the Role
 We are looking for a
 **Data Analytics Engineer** 
 who sits at the intersection of data engineering and analytics. In this role, you will transform raw, messy data from vehicles, APIs, and operational systems into clean, reliable datasets that are trusted and widely used—from engineering teams to executive leadership.
 You will own data pipelines end to end and build dashboards that surface insights, track performance, and help teams quickly identify issues.
 What You’ll Do
* Build and maintain ETL pipelines that ingest data from diverse internal systems into a centralized analytics warehouse
* Work with unique and high\-volume datasets, including vehicle telemetry, sensor\-derived signals, logistics data, and system test results
* Write efficient, well\-structured SQL to model and prepare data for analysis and reporting
* Design, build, and maintain dashboards (e.g., Grafana or similar) used to monitor system performance and operational health
* Partner closely with engineering, operations, and leadership teams to understand data needs and deliver actionable datasets
* Explore internal AI\- and LLM\-based tools to automate analysis and uncover new insights
 What You’ll Need
* Strong hands\-on experience with
 **Python** 
 and data libraries such as pandas, Polars, or similar
* Advanced
 **SQL** 
 skills, including complex joins, window functions, and query optimization
* Proven experience building and operating
 **ETL pipelines** 
 using modern data tooling
* Experience with
 **BI and visualization tools** 
 (e.g., Grafana, Tableau, Looker)
* Familiarity with
 **workflow orchestration** 
 tools such as Airflow, Dagster, or Prefect
* High\-level understanding of
 **LLMs** 
 and interest in applying them to data and analytics workflows
* Strong ownership mindset and commitment to data quality and reliability
 Nice to Have
* Experience with
 **ClickHouse** 
 or other analytical databases (e.g., Snowflake, BigQuery, Redshift)
* Background working with
 **vehicle, sensor, or logistics data**
* Prior experience in
 **autonomous systems, robotics, or other data\-intensive hardware\-driven domains**</t>
        </is>
      </c>
    </row>
    <row r="96">
      <c r="A96" t="inlineStr">
        <is>
          <t>li-4330427550</t>
        </is>
      </c>
      <c r="B96" t="inlineStr">
        <is>
          <t>Senior Data Engineer</t>
        </is>
      </c>
      <c r="C96" t="inlineStr">
        <is>
          <t>Careforth</t>
        </is>
      </c>
      <c r="D96" t="inlineStr">
        <is>
          <t>linkedin</t>
        </is>
      </c>
      <c r="E96" t="inlineStr"/>
      <c r="F96" t="inlineStr"/>
      <c r="G96" t="inlineStr"/>
      <c r="H96" t="inlineStr"/>
      <c r="I96" t="inlineStr">
        <is>
          <t>**About Us**
 A pioneer in the caregiving space, Careforth supports family caregivers across the United States to confidently care for their loved ones at home. Through a combination of in\-person home visits, remote coaching and our proprietary digital collaboration app, we provide caregivers with support, guidance, confidence, and connection to resources they need. The Caregivers and families we support stay with Careforth for many years, building lasting relationships along the way. Join us today and live our values:
 *lead with heart, cultivate trust, go beyond.*
**Position Summary**
 This individual will contribute to the evolution of the enterprise DataHub/Delta Lake architecture, driving best practices in cloud\-native, Spark\-based data engineering. The ideal candidate has hands\-on expertise with Databricks, AWS Cloud services, and Apache Spark (Python/Scala), and can serve as both a technical leader and mentor for junior engineers.
**What You Will Do**
* Architect and build robust, scalable, and secure data pipelines leveraging Databricks, Apache Spark, and AWS Cloud (EMR, Redshift, S3, Glue, Lambda).
* Participate and represent the data team in critical design discussions with technical leads across various product lines.
* Collaborate closely with application developers, product managers, and business analysts to translate requirements into data models, ETL/ELT workflows, and analytics\-ready datasets.
* Conduct pull request reviews and enforce engineering excellence in code quality, testing, and performance optimization.
* Troubleshoot and optimize production data workflows while ensuring observability, resilience, and cost\-efficiency at scale.
* Research, evaluate, and apply emerging tools and technologies to continuously modernize the data engineering ecosystem.
* Act as a mentor to junior engineers, fostering a culture of collaboration, innovation, and continuous learning.
**What You Will Bring**
* Bachelor’s or Master’s degree in Computer Science, Data Engineering, or a related field.
* 7\-10 years of professional data engineering experience, including at least 3\+ years with modern cloud\-based data lake architectures.
* Deep expertise in Apache Spark (PySpark, Scala, or Java) for large\-scale distributed data processing.
* Strong experience with Databricks for collaborative data engineering and advanced analytics.
* Hands\-on experience with AWS services including EMR, Redshift, S3, Glue, Lambda, IAM, and related cloud\-native data tools.
* Proficiency in Python (preferred) as well as Java or Scala.
* Strong understanding of data modeling, data pipelines, and workflow orchestration (Airflow, Step Functions, or similar).
* Solid foundation in algorithms, data structures, and software engineering best practices.
* Excellent communication skills and a proven ability to work cross\-functionally with product and engineering teams.
**You'll Benefit From**
 At Careforth your well\-being matters. With flexible schedules, a remote\-first culture, and a nationally recognized wellness program, our benefits are designed to help you thrive, both professionally and personally. Discover how we invest in you:
 **https://careforth.com/careers/\#benefits**
 The pay range for this position is $125K \- $185K. The actual wage offered may be lower or higher depending on budget and candidate experience, knowledge, skills, qualifications, and geographic location.
 (exceptions NYC, CA, and CO)
**Join Our Award Winning Team**
 Founded in Boston, Careforth's caregiver programs and services improve health outcomes, keeping care at home longer. Additionally, our programs provide financial benefit to caregivers and cost savings to state agencies and health plans. At Careforth, we understand the challenges of caregiving and are committed to supporting family caregivers at every turn.
 Caregivers play a critical role in the future of healthcare—and so can you.
 Apply now!
 For more information, please visit www.Careforth.com.
 Careforth is an Equal Opportunity Employer\*
 DISCLAIMER: Please note this job description is not designed to cover or contain a comprehensive listing of activities, duties or responsibilities that are required of the employee for this job.
* Careforth supports families with diverse backgrounds and as an equal opportunity employer, we seek employees who reflect the diverse population we serve. Careforth complies with all applicable laws concerning hiring and employment practices and is firmly committed to fostering and maintaining a workplace free from discrimination. We pledge to hire, train, and promote our employees without regard to race, religion, gender, gender identity, genetic information, age, national origin, sexual orientation, disability, veteran status, or any other category protected by applicable law.
 Careforth strives to create experiences that are accessible and welcoming to everyone, including making www.careforth.com and the careers site accessible to any and all users. If you would like to contact us regarding the company’s diversity, equity and inclusion initiatives, inquire about a specific accessibility need or the accessibility of our website, or if you need assistance completing an application process, please contact People \&amp; Culture at 866\-797\-2333\.</t>
        </is>
      </c>
    </row>
    <row r="97">
      <c r="A97" t="inlineStr">
        <is>
          <t>li-4330367141</t>
        </is>
      </c>
      <c r="B97" t="inlineStr">
        <is>
          <t>Senior Data Engineer</t>
        </is>
      </c>
      <c r="C97" t="inlineStr">
        <is>
          <t>Avaya</t>
        </is>
      </c>
      <c r="D97" t="inlineStr">
        <is>
          <t>linkedin</t>
        </is>
      </c>
      <c r="E97" t="inlineStr"/>
      <c r="F97" t="inlineStr"/>
      <c r="G97" t="inlineStr"/>
      <c r="H97" t="inlineStr"/>
      <c r="I97" t="inlineStr">
        <is>
          <t>**About Avaya**
 Avaya is an enterprise software leader that helps the world’s largest organizations and government agencies forge unbreakable connections.
 The Avaya Infinity™ platform unifies fragmented customer experiences, connecting the channels, insights, technologies, and workflows that together create enduring customer and employee relationships.
 We believe success is built through strong connections – with each other, with our work, and with our mission. At Avaya, you'll find a community that values your contributions and supports your growth every step of the way.
 Learn more at https://www.avaya.com
**Overview**
 You’ll build and scale the real\-time and batch data platform that powers a large enterprise contact center solution. Our products demand ultra\-low\-latency decisioning for live interactions and cost\-efficient big\-data analytics for historical insights. We’re primarily on Azure today and expanding to GCP and AWS. Data is the backbone for our AI features and product intelligence.
**Primary charte** 
 r: complex contact center analytics and operational intelligence: an AI\-enabled enterprise contact center analytics. Our vision is a flexible AI\-enabled data platform that unifies contact center KPIs, customer/business outcomes, and AI quality/performance, and pervasively applies AI to deliver advanced features that help users easily leverage rich contact center data alongside business data and AI performance monitoring to drive decisions end\-to\-end.
**Job Description**
**Team \&amp; Tech**
  Cloud: Azure (primary), expanding to GCP/AWS
  Platform: Databricks, Spark (batch \+ streaming), Airflow, Apache Superset, Kafka
  Data \&amp; governance: Delta Lake, Unity Catalog, Delta Sharing
  Infra \&amp; delivery: Terraform, Docker/Kubernetes, CI/CD (GitHub Actions/Azure DevOps)
  Interfaces: REST/gRPC; schemas with Avro/Protobuf
  Processing alternatives: Apache Flink/Apache Beam where appropriate; custom
 processors/services in Go for specialized low\-latency needs
  App stack: React \+ TypeScript (front\-end), Go (preferred) and Java (backend)
  Focus: Real\-time streaming, lakehouse analytics, reliability, and cost efficiency
  Experimentation \&amp; metrics: MLflow for experiment tracking and AI quality/performance
 metrics
  Tooling integration: MCP (Model Context Protocol) to expose/consume data tools for agents
**What You’ll Do**
  Design, build, and operate low\-latency streaming pipelines (Kafka, Spark Structured
 Streaming) and robust batch ETL/ELT on Databricks Lakehouse.
  Establish reliable orchestration and dependency management (Airflow), with strong SLAs
 and on\-call readiness for business\-critical data flows.
  Model, optimize, and document curated datasets and interfaces that serve analytics, product
 features, and AI workloads.
  Implement data quality checks, observability, and backfills; drive root\-cause analysis and
 incident prevention.
  Partner with application teams (Go/Java), analytics, and ML/AI to ship data products into
 production.
  Build and maintain datasets and services that power RAG pipelines and agentic AI workflows
 (tool\-use/function calling).
  When Spark/Databricks isn’t optimal, design and operate custom processors/services in Go
 to meet strict latency or specialized transformation requirements.
  Instrument prompt/response and token usage telemetry to support LLMOps evaluation and
 cost optimization; provide datasets for labeling and golden sets.
  Improve performance and cost (storage/compute), review code, and raise engineering
 standards.
**Security \&amp; Compliance**
  Design data solutions aligned to enterprise security, privacy, and compliance requirements
 (e.g., SOC 2, ISO 27001, GDPR/CCPA as applicable), partnering with Security/Legal.
  Implement RBAC/ABAC and least\-privilege access; manage service principals, secrets, and
 key rotation; enforce encryption in transit and at rest.
  Govern sensitive data: classification, PII handling, masking/tokenization, retention/archival,
 lineage, and audit logging across pipelines and storage.
  Build observability for data security and quality; support incident response, access reviews,
 and audit readiness.
  Embed controls in CI/CD (policy checks, dependency vulnerability scanning) and ensure
 infra\-as\-code adheres to guardrails.
  Partner with security engineering on penetration tests, threat modeling, and red\-team
 exercises; remediate findings and document controls.
  Contribute to compliance audits (e.g., SOC 2/ISO 27001\) with evidence collection and
 continuous control monitoring; support DPIAs/PIAs where required.
**Qualifications**
  6\+ years building production\-grade data pipelines at scale (streaming and batch).
  Deep proficiency in Python and SQL; strong Spark experience on Databricks (or similar).
  Advanced SQL: window functions, CTEs, partitioning/z\-ordering, query planning and tuning
 in lakehouse environments.
  Hands\-on with Kafka (or equivalent) and an orchestrator (Airflow preferred).
  Strong data modeling skills and performance tuning for low latency and high throughput.
  Production mindset: SLAs, monitoring, alerting, CI/CD, and on\-call participation.
  Proficient using AI coding assistants (Cursor, Claude Code) as part of daily development.
  Proficiency building data services/processors in Go (or willingness to ramp quickly), and
 familiarity with alternative frameworks (e.g., Flink/Beam) is a plus.
**Preferred Qualifications**
  Experience in multi\-cloud or cloud migration (Azure plus either GCP or AWS).
  Exposure to building data for AI/RAG, LLM\-powered features, and agentic AI patterns (tool\-
 use/function calling, planning/execution, memory).
  Familiarity with LLMOps telemetry (prompt/response logs, token budgets) and agent
 evaluation pipelines.
  Background in high\-scale product engineering (vs. internal IT\-only projects).
  Contact center or CRM data familiarity (nice\-to\-have, not required).
  Bachelor’s or Master’s in CS/EE/Math or similar; strong academic background and/or top\-tier
 companies.
 The pay range for this opportunity is from $128,200 to $157,000 \+ performance\-related bonus \+ benefits. This range represents the anticipated low and high end of the salary for this position. This role is also eligible to receive an annual bonus that aligns with individual and company performance. Actual salaries will vary and are based on factors such as a candidate’s qualifications, skills, competencies.
**Experience**
 4 \- 6 Years of Experience
 Education
 Bachelor degree or equivalent experience
 Advance Degree preferred
**Preferred Certifications**
 Footer
 Applicants must be currently authorized to work in the United States without the need for visa sponsorship now or in the future.
 Avaya is an Equal Opportunity employer and a U.S. Federal Contractor. Our commitment to equality is a core value of Avaya. All qualified applicants and employees receive equal treatment without consideration for race, religion, sex, age, sexual orientation, gender identity, national origin, disability, status as a protected veteran or any other protected characteristic. In general, positions at Avaya require the ability to communicate and use office technology effectively. Physical requirements may vary by assigned work location. This job brief/description is subject to change. Nothing in this job description restricts Avaya right to alter the duties and responsibilities of this position at any time for any reason.</t>
        </is>
      </c>
    </row>
    <row r="98">
      <c r="A98" t="inlineStr">
        <is>
          <t>li-4358164868</t>
        </is>
      </c>
      <c r="B98" t="inlineStr">
        <is>
          <t>Data Engineer</t>
        </is>
      </c>
      <c r="C98" t="inlineStr">
        <is>
          <t>NBCUniversal</t>
        </is>
      </c>
      <c r="D98" t="inlineStr">
        <is>
          <t>linkedin</t>
        </is>
      </c>
      <c r="E98" t="inlineStr"/>
      <c r="F98" t="inlineStr"/>
      <c r="G98" t="inlineStr">
        <is>
          <t>New York, NY</t>
        </is>
      </c>
      <c r="H98" t="inlineStr"/>
      <c r="I98" t="inlineStr">
        <is>
          <t>NBCUniversal is one of the world's leading media and entertainment companies. We create world\-class content, which we distribute across our portfolio of film, television, and streaming, and bring to life through our global theme park destinations, consumer products, and experiences. We own and operate leading entertainment and news brands, including NBC, NBC News, NBC Sports, Telemundo, NBC Local Stations, Bravo, and Peacock, our premium ad\-supported streaming service. We produce and distribute premier filmed entertainment and programming through our powerhouse film and television studios, including Universal Pictures, DreamWorks Animation, and Focus Features, and the four global television studios under the Universal Studio Group banner, and operate industry\-leading theme parks and experiences around the world through Universal Destinations \&amp; Experiences, including Universal Orlando Resort, home to Universal Epic Universe, and Universal Studios Hollywood. NBCUniversal is a subsidiary of Comcast Corporation. Visit www.nbcuniversal.com for more information.
 Our impact is rooted in improving the communities where our employees, customers, and audiences live and work. We have a rich tradition of giving back and ensuring our employees have the opportunity to serve their communities. We champion an inclusive culture and strive to attract and develop a talented workforce to create and deliver a wide range of content reflecting our world.
**Job Description**
 Our Media Group portfolio is a powerhouse collection of consumer\-first brands, supported by media industry leaders, Comcast, NBCUniversal, and Sky. When you join our team, you’ll work across our dynamic portfolio including Peacock, NOW, Fandango, SkyShowtime, Showmax, and TV Everywhere, powering streaming across more than 70 countries globally. And the evolution doesn’t stop there. With an unequaled scale, our teams make the most out of every opportunity to collaborate and learn from one another. We’re always looking for ways to innovate faster, accelerate our growth, and consistently offer the very best in the consumer experience. But most of all, we’re backed by a culture of respect. We embrace authenticity and inspire people to thrive.
 As part of the Media Group Decision Sciences team, the Data Engineer will be responsible for creating a connected data ecosystem that unleashes the power of our streaming data with a focus on international propositions. We gather data from across all customer/prospect journeys in near real\-time, to allow fast feedback loops across territories; combined with our strategic data platform, this data ecosystem is at the core of being able to make intelligent customer and business decisions.
 In this role, the Data Engineer will share responsibilities in the development and maintenance of optimized and highly available data pipelines that facilitate deeper analysis and reporting by the business, as well as support ongoing operations related to the Media Group data ecosystem.
**Responsibilities include, but are not limited to:**
* Develop and maintain batch and streaming data pipelines according to business and technical requirements.
* Deliver observable, reliable and secure software, embracing “you build it, you run it” mentality, and focus on automation.
* Continually work on improving the codebase and have active participation in all aspects of the team, including agile ceremonies.
* Take an active role in story definition, assisting business stakeholders with acceptance criteria.
* Work with Principal Engineers and Architects to share and contribute to the broader technical vision.
* Practice and champion best practices, striving towards excellence and raising the bar within the department.
* Operationalize data processing systems (DevOps) and system observability (SRE)
* Contribute to the team in design, build, testing, scaling and maintaining data pipelines from a variety of source systems and streams (Internal, third party, cloud based, etc.), according to business and technical requirements.
* Deliver observable, reliable and secure software, embracing “you build it you run it” mentality, and focus on automation and GitOps.
* Continually work on improving the codebase and have active participation and oversight in all aspects of the team, including agile ceremonies.
* Take an active role in story definition, assisting business stakeholders with acceptance criteria.
* Work with Principal Engineers and Architects to share and contribute to the broader technical vision.
* Develop and champion best practices, striving towards excellence and raising the bar within the department.
* Develop solutions combining data blending, profiling, mining, statistical analysis, and machine learning, to better define and curate models, test hypothesis, and deliver key insights
* Operationalize data processing systems (dev ops)
**Qualifications**
* 1\-3 years relevant experience in Data Engineering
* Experience of near Real Time \&amp; Batch Data Pipeline development in a similar Big Data Engineering role.
* Programming skills with an OOP language (e.g., Java, C\+\+)
* Proficient with SQL
* Experience working in a cloud environment such as Google Cloud Platform or AWS
* Hands on programming experience of the following (or similar) technologies:
	+ Kubernetes, Docker
	+ Apache Beam, Apache Flink, Apache Spark
	+ Google BigQuery, Snowflake
	+ Google BigTable
	+ Google Pub/Sub, Kafka
	+ Apache Airflow
* Experience implementing observability around data pipelines using SRE best practices.
* Experience in processing structured and unstructured data into a form suitable for analysis and reporting with integration with a variety of data metric providers ranging from advertising, web analytics, and consumer devices.
* Bachelors’ degree with a specialization in Computer Science, Engineering, Physics, other quantitative field or equivalent industry experience.
**Desired Characteristics**
* Strong Test\-Driven Development background, with understanding of levels of testing required to continuously deliver value to production.
* Experience with large\-scale video assets
* Ability to work effectively across functions, disciplines, and levels
* Team\-oriented and collaborative approach with a demonstrated aptitude, enthusiasm and willingness to learn new methods, tools, practices, and skills
* Ability to recognize discordant views and take part in constructive dialogue to resolve them
* Pride and ownership in your work and confident representation of your team to other parts of the business
**Additional Requirements**
* This position has been designated as hybrid, generally contributing from the office a minimum of three days per week.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$100,000 \- $130,000 (Not bonus eligible)
**Additional Information**
 As part of our selection process, external candidates may be required to attend an in\-person interview with an NBCUniversal employee at one of our locations prior to a hiring decision.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If you are a qualified individual with a disability or a disabled veteran and require support throughout the application and/or recruitment process as a result of your disability, you have the right to request a reasonable accommodation. You can submit your request to AccessibilitySupport@nbcuni.com.</t>
        </is>
      </c>
    </row>
    <row r="99">
      <c r="A99" t="inlineStr">
        <is>
          <t>li-4358136014</t>
        </is>
      </c>
      <c r="B99" t="inlineStr">
        <is>
          <t>Lead Big Data Engineer - PySpark</t>
        </is>
      </c>
      <c r="C99" t="inlineStr">
        <is>
          <t>Logic20/20, Inc.</t>
        </is>
      </c>
      <c r="D99" t="inlineStr">
        <is>
          <t>linkedin</t>
        </is>
      </c>
      <c r="E99" t="inlineStr"/>
      <c r="F99" t="inlineStr"/>
      <c r="G99" t="inlineStr">
        <is>
          <t>Seattle, WA</t>
        </is>
      </c>
      <c r="H99" t="inlineStr"/>
      <c r="I99" t="inlineStr">
        <is>
          <t>We’re a nine\-time “Best Company to Work For,” where intelligent, talented people come together to do outstanding work—and have a lot of fun while they’re at it. We offer a solution\-focused environment full of collaboration and dedication, to our goals and to each other. You’ll have the opportunity to drive your own success in a supportive, globally connected environment. From advanced tools and technology to an immersive company culture, working at Logic20/20 means working on the leading edge, with a community of the right people around you.
**Job Description**
 As a Lead Developer joining our Advanced Analytics practice, you'll be responsible for delivering client value and ensuring high client satisfaction. You'll be expected to be adept at recognizing, subscribing, and applying best practices, methodologies, tools, and techniques to meet client requirements, timelines, and budgets.
**Role Responsibilities**
* Perform data assessment, analysis, and data model design.
* Develop CI/CD pipelines and other DataOps fundamentals.
* Communicate at the appropriate level to both business and technology teams to understand business needs and pain points.
* Be creative in meeting the client’s core needs with their technology.
* Explain technical benefits and deficits to non\-technical audiences.
**About The Team**
 The Logic20/20 Advanced Analytics team is where skilled professionals in data engineering, data science, and visual analytics join forces to build simple solutions for complex data problems. We make it look like magic, but for us, it’s all in a day’s work. As part of our team, you’ll collaborate on projects that help clients spin their data into a high\-performance asset, all while enjoying the company of kindred spirits who are as committed to your success as you are. And when you’re ready to level up in your career, you’ll have access to the training, the project opportunities, and the mentorship to get you where you want to go.
 “We build an environment where we really operate as one team, building up each other’s careers and capabilities.” – Adam Cornille, Senior Director, Advanced Analytics
**Qualifications**
* 5\-10\+ years of data engineering experience using Python and Spark (PySpark).
* 2\+ years of experience leading the design and development of cloud ETL and data pipelines.
* Experience working with fast streaming data.
* Experience with Flink, Kafka, and Kubernetes.
* Experience developing CI/CD pipelines.
* Experience with Big Data Technologies (Hadoop, Spark/PySpark, MongoDB).
* Experience working with Azure, AWS, and/or GCP.
* Demonstrated ability to identify business and technical impacts of user requirements and incorporate them into the project schedule.
* Ability to travel at least once per quarter.
**Preferred Qualifications**
* Extensive experience working with Palantir Foundry.
* Java experience is highly preferred.
* Consulting experience and/or experience working within the Utilities industry is highly preferred.
**Additional Information**
 At Logic20/20, we believe in recognizing and rewarding exceptional talent. Logic20/20 offers a competitive compensation package, with a target base salary range of $156,750 \- $173,329 for this role. The final base salary offered is dependent on factors such as relevant experience, skills, qualifications, and location. Eligible employees may also qualify for performance\-based bonuses and other incentives.
 All your information will be kept confidential according to EEO guidelines.
**Learn more about life at Logic20/20!**
 Visit our Life at Logic page to explore our culture, benefits, and what makes Logic20/20 a great place to grow your career!
**Core Values**
 At Logic20/20, we are guided by three core values: Drive toward Excellence, Act with Integrity \&amp; Foster a Culture of We. These values were generated and agreed upon by our employees—and they help us pursue our goal of being one of the best companies to work for and to work with. Learn more at https://www.logic2020\.com/company/our\-values.
**Equal Opportunity Statement**
 We believe that people should be celebrated: for their talents, ideas, and skills, but most of all, for what makes them unique. We prohibit harassment and/or discrimination based on age, race, creed, color, religion, sex, national origin, ancestry, disability status, veteran status, sexual orientation, gender identity or expression, genetic information, marital status, citizenship status, or any other basis as protected by federal, state, or local law.
 To learn more about our DE\&amp;I initiatives, please visit: https://www.logic2020\.com/company/diversity\-equity\-inclusion
**Privacy Policy**
 During the recruitment and hiring process, we gather, process, and store some of your personal data. We consider data privacy a priority. For further information, please view our company privacy policy.</t>
        </is>
      </c>
    </row>
    <row r="100">
      <c r="A100" t="inlineStr">
        <is>
          <t>li-4358294600</t>
        </is>
      </c>
      <c r="B100" t="inlineStr">
        <is>
          <t>Data Engineer (AWS, Azure, GCP)</t>
        </is>
      </c>
      <c r="C100" t="inlineStr">
        <is>
          <t>CapTech</t>
        </is>
      </c>
      <c r="D100" t="inlineStr">
        <is>
          <t>linkedin</t>
        </is>
      </c>
      <c r="E100" t="inlineStr"/>
      <c r="F100" t="inlineStr"/>
      <c r="G100" t="inlineStr">
        <is>
          <t>Richmond, VA</t>
        </is>
      </c>
      <c r="H100" t="inlineStr"/>
      <c r="I100" t="inlineStr">
        <is>
          <t>CapTech is an award\-winning consulting firm that collaborates with clients to achieve what’s possible through the power of technology. At CapTech, we’re passionate about the work we do and the results we achieve for our clients. From the outset, our founders shared a collective passion to create a consultancy centered on strong relationships that would stand the test of time. Today we work alongside clients that include Fortune 100 companies, mid\-sized enterprises, and government agencies, a list that spans across the country.
**Job Description**
 CapTech Data Engineering consultants enable clients to build and maintain advanced data systems that bring together data from disparate sources in order to enable decision\-makers. We build pipelines and prepare data for use by data scientists, data analysts, and other data systems. We love solving problems and providing creative solutions for our clients. Cloud Data Engineers leverage the client’s cloud infrastructure to deliver this value today and to scale for the future. We enjoy a collaborative environment and have many opportunities to learn from and share knowledge with other developers, architects, and our clients.
 Specific responsibilities for the Data Engineer – Cloud position include:
* Developing data pipelines and other data products using Amazon Web Services (AWS), Microsoft Azure, or Google Cloud Platform (GCP)
* Advising clients on specific technologies and methodologies for utilizing cloud resources to efficiently ingest and process data quickly
* Utilizing your skills in engineering best practices to solve complex data problems
* Collaborating with end users, development staff, and business analysts to ensure that prospective data architecture plans maximize the value of client data across the organization.
* Articulating architectural differences between solution methods and the advantages/disadvantages of each
**Qualifications**
 Typical experience for successful candidates includes:
* Experience delivering solutions on a major cloud platform
* Ability to think strategically and relate architectural decisions/recommendations to business needs and client culture
* Experience in the design and implementation of data architecture solutions
* A wide range of production database experience, usually including substantial SQL expertise, database administration, and scripting data pipelines
* Ability to assess and utilize traditional and modern architectural components required based on business needs.
* A demonstrable ability to deliver production data pipelines and other data products. This could be hands on experience, degree, certification, bootcamp, or other learning.
**Skills:**
 Successful candidates usually have demonstrable experience with technologies in some of these categories:
* Languages: SQL, Python, Java, R, C\# / C\+\+ / C
* Database: SQL Server, PostgreSQL, Snowflake, Redshift, Aurora, Presto, BigQuery, Oracle
* DevOps: git, docker, subversion, Kubernetes, Jenkins
* Additional Technologies: Spark, Databricks, Kafka, Kinesis, Hadoop, Lambda, EMR
* Popular Certifications: AWS Cloud Practitioner, Microsoft Azure Data Fundamentals, Google Associate Cloud Engineer
**Additional Information**
 We want everyone at CapTech to be able to envision a lasting and rewarding career here, which is why we offer a variety of career paths based on your skills and passions. You decide where and how you want to develop, and we help get you there with customizable career progression and a comprehensive benefits package to support you along the way. Alongside our suite of traditional benefits encompassing generous PTO, health coverage, disability insurance, paid family leave and more, we’ve launched extended benefits to help meet our employees’ needs.
* Learning \&amp; Development – Programs offering certification and tuition support, digital on\-demand learning courses, mentorship, and skill development paths
* Modern Health –A mental health and well\-being platform that provides 1:1 care, group support sessions, and self\-serve resources to support employees and their families through life’s ups and downs
* Carrot Fertility –Inclusive fertility and family\-forming coverage for all paths to parenthood – including adoption, surrogacy, fertility treatments, pregnancy, and more – and opportunities for employer\-sponsored funds to help pay for care
* Fringe –A company paid stipend program for personalized lifestyle benefits, allowing employees to choose benefits that matter most to them – ranging from vendors like Netflix, Spotify, and GrubHub to services like student loan repayment, travel, fitness, and more
* Employee Resource Groups – Employee\-led committees that embrace and incorporate diversity and inclusion into our day\-to\-day operations
* Philanthropic Partnerships – Opportunities to engage in partnerships and pro\-bono projects that support our communities.
* 401(k) Matching – Generous matching and no vesting period to help you continue to build financial wellness
 CapTech is an equal opportunity employer committed to fostering a culture of equality, inclusion and fairness — each foundational to our core values. We strive to create a diverse environment where each employee is encouraged to bring their unique ideas, backgrounds and experiences to the workplace. For more information about our Diversity, Inclusion and Belonging efforts, click HERE. As part of this commitment, CapTech will ensure that persons with disabilities are provided reasonable accommodations. If reasonable accommodation is needed to participate in the job application or interview process, to perform essential job functions, and/or to receive other benefits and privileges of employment, please contact Laura Massa directly via email lmassa@captechconsulting.com.
 At this time, CapTech cannot transfer nor sponsor a work visa for this position. Applicants must be authorized to work directly for any employer in the United States without visa sponsorship.</t>
        </is>
      </c>
    </row>
    <row r="101">
      <c r="A101" t="inlineStr">
        <is>
          <t>li-4342447487</t>
        </is>
      </c>
      <c r="B101" t="inlineStr">
        <is>
          <t>Principal Data Engineer</t>
        </is>
      </c>
      <c r="C101" t="inlineStr">
        <is>
          <t>Keurig Dr Pepper Inc.</t>
        </is>
      </c>
      <c r="D101" t="inlineStr">
        <is>
          <t>linkedin</t>
        </is>
      </c>
      <c r="E101" t="inlineStr"/>
      <c r="F101" t="inlineStr"/>
      <c r="G101" t="inlineStr">
        <is>
          <t>Frisco, TX</t>
        </is>
      </c>
      <c r="H101" t="inlineStr"/>
      <c r="I101" t="inlineStr">
        <is>
          <t>**Job Overview:**
 Are you passionate about harnessing data to unlock business insights and drive strategic growth? At Keurig Dr Pepper, we’re seeking a
 **Principal Data Engineer** 
 to lead the development and optimization of our modern data ecosystem. You’ll play a pivotal role in designing scalable data solutions, enabling advanced analytics, and mentoring teams across disciplines to maximize the value of data.
 Join our innovative team and help shape the future of enterprise data at one of North America’s leading beverage companies.
**As a Principal Data Engineer, you will…**
**Data Engineering \&amp; Architecture:**
* Architect and implement scalable data pipelines and transformation workflows using dbt, SnowSQL, and cloud\-native technologies.
* Design, build, and maintain enterprise\-grade data lakes, data warehouses, and transformation layers to support analytics and machine learning.
* Implement best practices for data ingestion, modeling, quality assurance, and lineage to ensure trusted and consistent data delivery.
* Create reusable frameworks and tools for automated deployment, monitoring, and lifecycle management of data assets.
* Optimize data platforms to deliver reliable, performant, and cost\-effective analytics infrastructure.
**AI\-Ready Data Ecosystems**
* Collaborate with Data Scientists to support AI/ML pipelines—enabling efficient feature engineering, model training, and real\-time inferencing.
* Integrate AI\-driven capabilities such as anomaly detection, intelligent alerting, and natural language enrichment into data workflows.
**Leadership \&amp; Collaboration:**
* Collaborate with cross\-functional teams—including Solution Architects, Product Managers, Data Scientists, and Analysts—to align on data strategy and business outcomes.
* Technically lead product teams involving external partners, ensuring timely delivery of high\-quality data solutions.
* Provide technical thought leadership, guiding project teams and business units through architectural decisions and best practices.
* Facilitate cross\-functional alignment to ensure scalable and sustainable data engineering practices.
**Governance \&amp; Optimization:**
* Define and enforce engineering standards and best practices across the analytics ecosystem.
* Lead architectural design reviews, ensuring technical rigor and adherence to change control processes.
* Continuously assess and optimize the performance, reliability, and scalability of the data platform.
* Contribute to roadmap development and long\-term strategy for the enterprise analytics platform.
**Who you are:**
 You're a strategic, hands\-on engineering leader who combines deep technical expertise with strong business acumen. You're passionate about solving complex data challenges, enabling AI, and mentoring teams to deliver enterprise\-grade data solutions.
**Key Skills \&amp; Expertise:**
**Technical Mastery
 *(Deep, hands\-on expertise expected)***
* Expert\-level knowledge of Snowflake architecture, SnowSQL, and data transformation workflows.
* Advanced proficiency with dbt for modeling, testing, versioning, and orchestrating ELT pipelines.
* Strong command of SQL, Python, and scalable data pipeline development.
* Proven experience designing and managing enterprise data warehouses and cloud\-native data platforms.
* Deep understanding of modern data modeling techniques (e.g., dimensional, data vault, star/snowflake schemas).
* Experience delivering platforms that support advanced analytics and machine learning solutions.
* Solid grasp of data architecture frameworks such as Data Warehouses, Data Lakes, and Data Hubs.
* Experience with commercial data science tools like KNIME, Alteryx, or similar platforms.
**Some Experience / Familiarity With
 *(Preferred, but not required at expert level)***
* AI/ML platforms such as Databricks, SageMaker, AutoML, or TensorFlow.
* Data integration and ELT tools like Informatica Cloud, Fivetran, or Azure Data Factory.
* BI tools: Power BI, Tableau, or MicroStrategy.
* Working with SAP ERP as a data source.
* Cloud platforms such as Azure, AWS, or GCP—especially storage, compute, and orchestration services.
* DevOps practices including Git workflows, CI/CD, and automation.
* UNIX/Linux environments and shell scripting.
**Leadership \&amp; Communication:**
* Ability to lead cross\-functional teams and manage complex data initiatives from design through delivery.
* Excellent communicator—able to convey complex technical concepts to both technical and non\-technical audiences.
* Proven track record of influencing architectural direction, mentoring team members, and driving business\-aligned outcomes.
* Skilled at deriving insights from data and translating them into clear, actionable recommendations.
**Problem Solving \&amp; Optimization:**
* Demonstrated success in building and optimizing data pipelines to maximize performance and maintainability.
* Strong analytical and troubleshooting skills with a focus on root cause analysis and long\-term solutions.
**Total Rewards:**
* Salary Range: $110,000 \- $168,000
* Actual placement within the compensation range may vary depending on experience, skills, and other factors
* Benefits, subject to election and eligibility: Medical, Dental, Vision, Disability, Paid Time Off (including paid parental leave, vacation, and sick time), 401k with company match, Tuition Reimbursement, and Mileage Reimbursement
* Annual bonus based on performance and eligibility
**Requirements:**
**Education:**
* Bachelor’s or Master’s degree in Computer Science, Data Science, Information Systems, or a related field.
**Experience:**
* 10\+ years in data management, including integration, modeling, and optimization.
* Hands\-on experience with Analytics tools and platforms like Snowflake or Informatica Cloud.
* Expert in SQL, SnowSql coding, ETL, and data warehousing.
**Core Skills:**
* Expertise in conceptual architecture, data integration design, and wireframing.
* Familiarity with DevOps and Agile technology environments (preferred).
* Strong presentation and change management skills.
**Nice to have / Cross trained In:**
* Exposure to SAP ERP and SAP\-based data integration.
* Experience with DevOps, CI/CD pipelines, and Git\-based workflows.
* Familiarity with AI/ML use cases in data operations (e.g., intelligent data quality, anomaly detection).
* Snowflake, dbt, or cloud platform certifications.
**Company Overview:**
 Keurig Dr Pepper (NASDAQ: KDP) is a leading beverage company in North America, with a portfolio of more than 125 owned, licensed and partner brands and powerful distribution capabilities to provide a beverage for every need, anytime, anywhere. We operate with a differentiated business model and world\-class brand portfolio, powered by a talented and engaged team that is anchored in our values. We work with big, exciting beverage brands and the \#1 single\-serve coffee brewing system in North America at KDP, and we have fun doing it!
 Together, we have built a leading beverage company in North America offering hot and cold beverages together at scale. Whatever your area of expertise, at KDP you can be a part of a team that’s proud of its brands, partnerships, innovation, and growth. Will you join us?
 We strive to be an employer of choice, providing a culture and opportunities that empower our team of \~29,000 employees to grow and develop. We offer robust benefits to support your health and wellness as well as your personal and financial well\-being. We also provide employee programs designed to enhance your professional growth and development, while ensuring you feel valued, inspired and appreciated at work.
 Keurig Dr Pepper is an equal opportunity employer and recruits qualified applicants and advances in employment its employees without regard to race, color, religion, gender, sexual orientation, gender identity, gender expression, age, disability or association with a person with a disability, medical condition, genetic information, ethnic or national origin, marital status, veteran status, or any other status protected by law.
 A.I. Disclosure:
 KDP uses artificial intelligence to assist with initial resume screening and candidate matching. This technology helps us efficiently identify candidates whose qualifications align with our open roles. If you prefer not to have your application processed using artificial intelligence, you may opt out by emailing your resume and qualifications directly to kdpjobs@kdrp.com in lieu of clicking Apply. Please include the job title and location or Job ID \# in the email subject line.
**Total Rewards**
**Requirements**
**Company Overview**</t>
        </is>
      </c>
    </row>
    <row r="102">
      <c r="A102" t="inlineStr">
        <is>
          <t>li-4330458169</t>
        </is>
      </c>
      <c r="B102" t="inlineStr">
        <is>
          <t>Data Engineer</t>
        </is>
      </c>
      <c r="C102" t="inlineStr">
        <is>
          <t>Haystack</t>
        </is>
      </c>
      <c r="D102" t="inlineStr">
        <is>
          <t>linkedin</t>
        </is>
      </c>
      <c r="E102" t="inlineStr"/>
      <c r="F102" t="inlineStr"/>
      <c r="G102" t="inlineStr"/>
      <c r="H102" t="inlineStr"/>
      <c r="I102" t="inlineStr">
        <is>
          <t>**Senior Data Engineer (Cloud Operations Resilience Engineering) \| Remote\-Friendly** 
 We're working with Capital One on this exciting opportunity.
 Join Capital One as a Senior Data Engineer, where you'll build and pioneer in the technology space, solving complex business problems in a fast\-paced and collaborative environment. You'll be at the forefront of driving a major transformation within Capital One, marrying data with emerging technologies to meet real customer needs.
**Key Responsibilities:**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Collaborate with digital product managers, and deliver robust cloud\-based solutions that drive powerful experiences to help millions of Americans achieve financial empowerment
**What You'll Need:** 
 • Bachelor's Degree
 • At least 3 years of experience in application development
 • At least 1 year of experience in big data technologies
 • 2\+ years of experience with a public cloud (AWS, Microsoft Azure, Google Cloud)
**Apply via Haystack today!**</t>
        </is>
      </c>
    </row>
    <row r="103">
      <c r="A103" t="inlineStr">
        <is>
          <t>li-4330458018</t>
        </is>
      </c>
      <c r="B103" t="inlineStr">
        <is>
          <t>Analytics Engineer</t>
        </is>
      </c>
      <c r="C103" t="inlineStr">
        <is>
          <t>RemoteHunter</t>
        </is>
      </c>
      <c r="D103" t="inlineStr">
        <is>
          <t>linkedin</t>
        </is>
      </c>
      <c r="E103" t="inlineStr"/>
      <c r="F103" t="inlineStr"/>
      <c r="G103" t="inlineStr"/>
      <c r="H103" t="inlineStr"/>
      <c r="I103" t="inlineStr">
        <is>
          <t>About the Opportunity:
 A financial technology organization based in Boston, Massachusetts with team members across the United States, Dominican Republic, and Canada is on a mission to unlock capital that fuels small businesses nationwide. The Analytics Engineering team plays a central role in the data ecosystem by converting raw data into actionable insights. The role involves designing, constructing, and maintaining data models and supporting the analytics platform using tools such as dbt, Fivetran, Snowflake, Census, and Tableau.
 Responsibilities:
 • Design, build, and maintain robust data models and marts using dbt, adhering to clear logic and the DRY principle
 • Collaborate with Data Science to prepare and transform data features for predictive models
 • Assist Data Engineering in deploying and stabilizing data pipelines feeding production machine learning models
 • Partner with Technology teams to manage impacts of schema changes and data migrations on analytical models
 • Support DevOps in monitoring and maintaining real\-time streaming pipelines
 • Participate in peer reviews to ensure data quality and adherence to team standards
 • Assist in integrating new third\-party data sources to enrich the data ecosystem
 • Implement data governance standards, including quality checks, documentation, and compliance procedures
 Requirements:
 • 2 or more years of experience in Analytics Engineering, Data Engineering, or Business Intelligence
 • 1 or more years of hands\-on experience developing and maintaining production\-level data transformation pipelines using dbt or equivalent Python scripting
 • 1 or more years of experience with cloud\-based data warehouses such as Snowflake or Redshift
 • Strong proficiency in SQL and data modeling
 • Ability to translate complex business needs into scalable technical data solutions
 • Experience with business intelligence tools like Looker, Tableau, or similar
 • Bonus: Experience with Python
 Compensation:
 • Annual Targeted Salary: $110,000 to $130,000 USD
 • Annual Target Bonus: 10%
 Benefits \&amp; Perks:
 • Medical, dental, and vision insurance
 • Commuter benefits
 • Flexible time\-off policy
 • Paid parental leave
 • 401k match for US employees
 • Wellness reimbursement
 • Volunteering days
 • Annual professional development budget
 • Charitable donation match
 • Remote\-first work environment with optional office locations for in\-person collaboration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04">
      <c r="A104" t="inlineStr">
        <is>
          <t>li-4354668611</t>
        </is>
      </c>
      <c r="B104" t="inlineStr">
        <is>
          <t>Data Engineer (AWS, Azure, GCP)</t>
        </is>
      </c>
      <c r="C104" t="inlineStr">
        <is>
          <t>CapTech</t>
        </is>
      </c>
      <c r="D104" t="inlineStr">
        <is>
          <t>linkedin</t>
        </is>
      </c>
      <c r="E104" t="inlineStr"/>
      <c r="F104" t="inlineStr"/>
      <c r="G104" t="inlineStr">
        <is>
          <t>Charlotte, NC</t>
        </is>
      </c>
      <c r="H104" t="inlineStr"/>
      <c r="I104" t="inlineStr">
        <is>
          <t>CapTech is an award\-winning consulting firm that collaborates with clients to achieve what’s possible through the power of technology. At CapTech, we’re passionate about the work we do and the results we achieve for our clients. From the outset, our founders shared a collective passion to create a consultancy centered on strong relationships that would stand the test of time. Today we work alongside clients that include Fortune 100 companies, mid\-sized enterprises, and government agencies, a list that spans across the country.
**Job Description**
 CapTech Data Engineering consultants enable clients to build and maintain advanced data systems that bring together data from disparate sources in order to enable decision\-makers. We build pipelines and prepare data for use by data scientists, data analysts, and other data systems. We love solving problems and providing creative solutions for our clients. Cloud Data Engineers leverage the client’s cloud infrastructure to deliver this value today and to scale for the future. We enjoy a collaborative environment and have many opportunities to learn from and share knowledge with other developers, architects, and our clients.
 Specific responsibilities for the Data Engineer – Cloud position include:
* Developing data pipelines and other data products using Amazon Web Services (AWS), Microsoft Azure, or Google Cloud Platform (GCP)
* Advising clients on specific technologies and methodologies for utilizing cloud resources to efficiently ingest and process data quickly
* Utilizing your skills in engineering best practices to solve complex data problems
* Collaborating with end users, development staff, and business analysts to ensure that prospective data architecture plans maximize the value of client data across the organization.
* Articulating architectural differences between solution methods and the advantages/disadvantages of each
**Qualifications**
 Typical experience for successful candidates includes:
* Experience delivering solutions on a major cloud platform
* Ability to think strategically and relate architectural decisions/recommendations to business needs and client culture
* Experience in the design and implementation of data architecture solutions
* A wide range of production database experience, usually including substantial SQL expertise, database administration, and scripting data pipelines
* Ability to assess and utilize traditional and modern architectural components required based on business needs.
* A demonstrable ability to deliver production data pipelines and other data products. This could be hands on experience, degree, certification, bootcamp, or other learning.
**Skills:**
 Successful candidates usually have demonstrable experience with technologies in some of these categories:
* Languages: SQL, Python, Java, R, C\# / C\+\+ / C
* Database: SQL Server, PostgreSQL, Snowflake, Redshift, Aurora, Presto, BigQuery, Oracle
* DevOps: git, docker, subversion, Kubernetes, Jenkins
* Additional Technologies: Spark, Databricks, Kafka, Kinesis, Hadoop, Lambda, EMR
* Popular Certifications: AWS Cloud Practitioner, Microsoft Azure Data Fundamentals, Google Associate Cloud Engineer
**Additional Information**
 We want everyone at CapTech to be able to envision a lasting and rewarding career here, which is why we offer a variety of career paths based on your skills and passions. You decide where and how you want to develop, and we help get you there with customizable career progression and a comprehensive benefits package to support you along the way. Alongside our suite of traditional benefits encompassing generous PTO, health coverage, disability insurance, paid family leave and more, we’ve launched extended benefits to help meet our employees’ needs.
* Learning \&amp; Development – Programs offering certification and tuition support, digital on\-demand learning courses, mentorship, and skill development paths
* Modern Health –A mental health and well\-being platform that provides 1:1 care, group support sessions, and self\-serve resources to support employees and their families through life’s ups and downs
* Carrot Fertility –Inclusive fertility and family\-forming coverage for all paths to parenthood – including adoption, surrogacy, fertility treatments, pregnancy, and more – and opportunities for employer\-sponsored funds to help pay for care
* Fringe –A company paid stipend program for personalized lifestyle benefits, allowing employees to choose benefits that matter most to them – ranging from vendors like Netflix, Spotify, and GrubHub to services like student loan repayment, travel, fitness, and more
* Employee Resource Groups – Employee\-led committees that embrace and incorporate diversity and inclusion into our day\-to\-day operations
* Philanthropic Partnerships – Opportunities to engage in partnerships and pro\-bono projects that support our communities.
* 401(k) Matching – Generous matching and no vesting period to help you continue to build financial wellness
 CapTech is an equal opportunity employer committed to fostering a culture of equality, inclusion and fairness — each foundational to our core values. We strive to create a diverse environment where each employee is encouraged to bring their unique ideas, backgrounds and experiences to the workplace. For more information about our Diversity, Inclusion and Belonging efforts, click HERE. As part of this commitment, CapTech will ensure that persons with disabilities are provided reasonable accommodations. If reasonable accommodation is needed to participate in the job application or interview process, to perform essential job functions, and/or to receive other benefits and privileges of employment, please contact Laura Massa directly via email lmassa@captechconsulting.com.
 At this time, CapTech cannot transfer nor sponsor a work visa for this position. Applicants must be authorized to work directly for any employer in the United States without visa sponsorship.</t>
        </is>
      </c>
    </row>
    <row r="105">
      <c r="A105" t="inlineStr">
        <is>
          <t>li-4358383244</t>
        </is>
      </c>
      <c r="B105" t="inlineStr">
        <is>
          <t>Data Engineer (AWS, Azure, GCP)</t>
        </is>
      </c>
      <c r="C105" t="inlineStr">
        <is>
          <t>CapTech</t>
        </is>
      </c>
      <c r="D105" t="inlineStr">
        <is>
          <t>linkedin</t>
        </is>
      </c>
      <c r="E105" t="inlineStr"/>
      <c r="F105" t="inlineStr"/>
      <c r="G105" t="inlineStr">
        <is>
          <t>Atlanta, GA</t>
        </is>
      </c>
      <c r="H105" t="inlineStr"/>
      <c r="I105" t="inlineStr">
        <is>
          <t>CapTech is an award\-winning consulting firm that collaborates with clients to achieve what’s possible through the power of technology. At CapTech, we’re passionate about the work we do and the results we achieve for our clients. From the outset, our founders shared a collective passion to create a consultancy centered on strong relationships that would stand the test of time. Today we work alongside clients that include Fortune 100 companies, mid\-sized enterprises, and government agencies, a list that spans across the country.
**Job Description**
 CapTech Data Engineering consultants enable clients to build and maintain advanced data systems that bring together data from disparate sources in order to enable decision\-makers. We build pipelines and prepare data for use by data scientists, data analysts, and other data systems. We love solving problems and providing creative solutions for our clients. Cloud Data Engineers leverage the client’s cloud infrastructure to deliver this value today and to scale for the future. We enjoy a collaborative environment and have many opportunities to learn from and share knowledge with other developers, architects, and our clients.
 Specific responsibilities for the Data Engineer – Cloud position include:
* Developing data pipelines and other data products using Amazon Web Services (AWS), Microsoft Azure, or Google Cloud Platform (GCP)
* Advising clients on specific technologies and methodologies for utilizing cloud resources to efficiently ingest and process data quickly
* Utilizing your skills in engineering best practices to solve complex data problems
* Collaborating with end users, development staff, and business analysts to ensure that prospective data architecture plans maximize the value of client data across the organization.
* Articulating architectural differences between solution methods and the advantages/disadvantages of each
**Qualifications**
 Typical experience for successful candidates includes:
* Experience delivering solutions on a major cloud platform
* Ability to think strategically and relate architectural decisions/recommendations to business needs and client culture
* Experience in the design and implementation of data architecture solutions
* A wide range of production database experience, usually including substantial SQL expertise, database administration, and scripting data pipelines
* Ability to assess and utilize traditional and modern architectural components required based on business needs.
* A demonstrable ability to deliver production data pipelines and other data products. This could be hands on experience, degree, certification, bootcamp, or other learning.
**Skills:**
 Successful candidates usually have demonstrable experience with technologies in some of these categories:
* Languages: SQL, Python, Java, R, C\# / C\+\+ / C
* Database: SQL Server, PostgreSQL, Snowflake, Redshift, Aurora, Presto, BigQuery, Oracle
* DevOps: git, docker, subversion, Kubernetes, Jenkins
* Additional Technologies: Spark, Databricks, Kafka, Kinesis, Hadoop, Lambda, EMR
* Popular Certifications: AWS Cloud Practitioner, Microsoft Azure Data Fundamentals, Google Associate Cloud Engineer
**Additional Information**
 We want everyone at CapTech to be able to envision a lasting and rewarding career here, which is why we offer a variety of career paths based on your skills and passions. You decide where and how you want to develop, and we help get you there with customizable career progression and a comprehensive benefits package to support you along the way. Alongside our suite of traditional benefits encompassing generous PTO, health coverage, disability insurance, paid family leave and more, we’ve launched extended benefits to help meet our employees’ needs.
* Learning \&amp; Development – Programs offering certification and tuition support, digital on\-demand learning courses, mentorship, and skill development paths
* Modern Health –A mental health and well\-being platform that provides 1:1 care, group support sessions, and self\-serve resources to support employees and their families through life’s ups and downs
* Carrot Fertility –Inclusive fertility and family\-forming coverage for all paths to parenthood – including adoption, surrogacy, fertility treatments, pregnancy, and more – and opportunities for employer\-sponsored funds to help pay for care
* Fringe –A company paid stipend program for personalized lifestyle benefits, allowing employees to choose benefits that matter most to them – ranging from vendors like Netflix, Spotify, and GrubHub to services like student loan repayment, travel, fitness, and more
* Employee Resource Groups – Employee\-led committees that embrace and incorporate diversity and inclusion into our day\-to\-day operations
* Philanthropic Partnerships – Opportunities to engage in partnerships and pro\-bono projects that support our communities.
* 401(k) Matching – Generous matching and no vesting period to help you continue to build financial wellness
 CapTech is an equal opportunity employer committed to fostering a culture of equality, inclusion and fairness — each foundational to our core values. We strive to create a diverse environment where each employee is encouraged to bring their unique ideas, backgrounds and experiences to the workplace. For more information about our Diversity, Inclusion and Belonging efforts, click HERE. As part of this commitment, CapTech will ensure that persons with disabilities are provided reasonable accommodations. If reasonable accommodation is needed to participate in the job application or interview process, to perform essential job functions, and/or to receive other benefits and privileges of employment, please contact Laura Massa directly via email lmassa@captechconsulting.com.
 At this time, CapTech cannot transfer nor sponsor a work visa for this position. Applicants must be authorized to work directly for any employer in the United States without visa sponsorship.</t>
        </is>
      </c>
    </row>
    <row r="106">
      <c r="A106" t="inlineStr">
        <is>
          <t>li-4354695746</t>
        </is>
      </c>
      <c r="B106" t="inlineStr">
        <is>
          <t>Data Engineer</t>
        </is>
      </c>
      <c r="C106" t="inlineStr">
        <is>
          <t>Capital One</t>
        </is>
      </c>
      <c r="D106" t="inlineStr">
        <is>
          <t>linkedin</t>
        </is>
      </c>
      <c r="E106" t="inlineStr"/>
      <c r="F106" t="inlineStr"/>
      <c r="G106" t="inlineStr">
        <is>
          <t>New York, NY</t>
        </is>
      </c>
      <c r="H106" t="inlineStr"/>
      <c r="I106"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1\.5 years of experience in application development (Internship experience does not apply)
* At least 1 year of experience in big data technologies
****Preferred Qualifications:****
* 3\+ years of experience in application development including Python, SQL, Scala, or Java
* 1\+ years of experience with a public cloud (AWS, Microsoft Azure, Google Cloud)
* 2\+ years experience with Distributed data/computing tools (MapReduce, Hadoop, Hive, EMR, Kafka, Spark, Gurobi, or MySQL)
* 1\+ years experience working on real\-time data and streaming applications
* 1\+ years of experience with NoSQL implementation (Mongo, Cassandra)
* 1\+ years of data warehousing experience (Redshift or Snowflake)
* 2\+ years of experience with UNIX/Linux including basic commands and shell scripting
* 1\+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$135,600 \- $154,800 for Data Engineer
 New York, NY: $148,000 \- $168,900 for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07">
      <c r="A107" t="inlineStr">
        <is>
          <t>li-4311725483</t>
        </is>
      </c>
      <c r="B107" t="inlineStr">
        <is>
          <t>Senior AWS Cloud Data Engineer</t>
        </is>
      </c>
      <c r="C107" t="inlineStr">
        <is>
          <t>BOK Financial</t>
        </is>
      </c>
      <c r="D107" t="inlineStr">
        <is>
          <t>linkedin</t>
        </is>
      </c>
      <c r="E107" t="inlineStr"/>
      <c r="F107" t="inlineStr"/>
      <c r="G107" t="inlineStr">
        <is>
          <t>Dallas, TX</t>
        </is>
      </c>
      <c r="H107" t="inlineStr"/>
      <c r="I107" t="inlineStr">
        <is>
          <t>**Req ID:** 
 77087
**Location:** 
 Dallas \-DAL
**Areas of Interest:** 
 Information Technology; Information Services
**Pay Transparency Salary Range:** 
 Not Available
**Application Deadline:** 
 01/31/2026
 BOK Financial Corporation Group includes BOKF, NA; BOK Financial Securities, Inc. and BOK Financial Private Wealth, Inc. BOKF, NA operates TransFund and Cavanal Hill Investment Management, Inc. BOKF, NA operates banking divisions: Bank of Albuquerque; Bank of Oklahoma; Bank of Texas and BOK Financial®.
**Bonus Type**
 Discretionary
**Summary**
 If you’re in search of a position that blends a fervor for technological breakthroughs, a chance for career progression, and a collaborative work environment, then you’ve arrived at the right destination. We have an enticing role ready for a tech\-savvy individual like you! At BOK Financial, we’re fostering a workspace where extraordinary talents can display their skills, aim for the highest standards, and contribute to top\-tier projects.
**Job Description**
 As an AWS Cloud Data Engineer, you'll be at the heart of our data\-driven initiatives, responsible for designing, building, and maintaining robust and scalable data solutions on the Amazon Web Services (AWS) cloud platform. You will leverage your expertise in a wide array of AWS services and big data technologies to transform raw data into valuable, usable insights.
 This critical role involves developing end\-to\-end data pipelines, managing data lakes using formats like Apache Iceberg, and creating secure, high\-performance APIs to deliver data products to stakeholders. You will work closely with business partners, data scientists, analysts, and other engineering teams to understand data requirements and deliver effective, reliable, and compliant solutions that drive key business decisions.
 If you are a problem\-solver with a strong technical background and a passion for building innovative data architectures in the cloud, this role offers the opportunity to make a significant impact on our business success.
**Team Culture**
 BOK Financial is a place where your passion for technological innovation is valued and career development is encouraged. The company fosters an environment where unique talents can thrive, achieve high standards, and contribute to prestigious projects. It’s an ideal platform to advance your IT career within a vibrant and supportive culture.
**How You'll Spend Your Time**
* You will design scalable and efficient data lakehouse architectures on AWS using Apache Iceberg and related services.
* You will build and automate ETL/ELT pipelines to ingest data from various sources into the AWS ecosystem.
* You will develop secure and scalable RESTful APIs for internal data access using AWS tools.
* You will utilize AWS services like S3, EMR, and Lake Formation for data processing, storage, and analytics.
* You will manage Apache Iceberg tables to support features like ACID transactions, schema evolution, and time travel.
* You will optimize data performance through partitioning, compaction, and query tuning techniques.
* You will ensure data quality, integrity, and security using validation processes and AWS access controls.
* You will collaborate with cross\-functional teams and maintain documentation while providing technical support.
**Education \&amp; Experience Requirements**
 This level of knowledge is normally acquired through completion of a Bachelor’s Degree in a data\-centric field (Computer Science, Economics, Information Systems, Data Analytics, etc.) and 7\+ years’ experience with demonstrated track record of successful technical leadership in the execution of large\-scale data projects
 **or equivalent combination of education and experience.**
* Proven experience in successfully building, automating, and supporting solutions built in a large\-scale data ecosystem in production environments on\-premise, or in Azure/AWS cloud service.
* Proven experience in successfully building highly complex and scalable data pipelines.
* Strong understanding of BOKF business information systems and strong Enterprise Data Warehouse concepts.
* Strong hands\-on experience independently designing, developing and testing business intelligence \&amp; analytics solutions using proven or emerging technologies in a variety of technologies and environments.
* Excellent oral and written communication skills to effectively represent self and BOKF, as well as ability to present complex information and issues in a clear and concise manner.
* Expert conceptual thinking and analytical skills with the ability to analyze complex problems that include interrelationships and dependencies in order to identify common themes and solutions.
* Ability to understand a goal and build out a work plan to accomplish, adjusting to accommodate other priorities, as needed.
* Confidently represent Enterprise Data Solutions team in various meetings where business needs and use cases are presented. Provide guidance/next steps with little oversight that are aligned with established best practices, patterns, and architectural principles.
* Strong sense of accountability, taking ownership over projects and responsibilities, and resolving issues proactively
**BOK Financial Corporation Group** 
 is a stable and financially strong organization that provides excellent training and development to support building the long term careers of employees.
 **With passion, skill and partnership you can make an impact on the success of the bank, customers and your own career!**
**Apply today** 
 and take the first step towards your next career opportunity!
**The companies in BOK Financial Corporation Group are equal opportunity employers. We are committed to providing equal employment opportunities for training, compensation, transfer, promotion and other aspects of employment for all qualified applicants and employees without regard to sex, race, color, religion, national origin, age, disability, pregnancy status, sexual orientation, genetic information or veteran status.**
**Please contact recruiting\_coordinators@bokf.com with any questions.**</t>
        </is>
      </c>
    </row>
    <row r="108">
      <c r="A108" t="inlineStr">
        <is>
          <t>li-4358155007</t>
        </is>
      </c>
      <c r="B108" t="inlineStr">
        <is>
          <t>Senior Data Engineer</t>
        </is>
      </c>
      <c r="C108" t="inlineStr">
        <is>
          <t>Smart Circle International</t>
        </is>
      </c>
      <c r="D108" t="inlineStr">
        <is>
          <t>linkedin</t>
        </is>
      </c>
      <c r="E108" t="inlineStr"/>
      <c r="F108" t="inlineStr"/>
      <c r="G108" t="inlineStr">
        <is>
          <t>Newport Beach, CA</t>
        </is>
      </c>
      <c r="H108" t="inlineStr"/>
      <c r="I108" t="inlineStr">
        <is>
          <t>The Senior Data Automation Engineer will help enhance operational efficiency and business insight by designing, developing, and managing automated data processes across Salesforce, SQL Server, Snowflake, and Tableau. This role bridges technical expertise with business strategy \- optimizing data pipelines, integrating enterprise systems, and enabling secure, scalable, and reliable automation. This role creates and maintains critical datasets, and self\-service reporting tools that empower teams with accurate insights to enable better decision making.
**The ideal candidate is confident serving as a cross\-functional expert who will collaborate with stakeholders to streamline workflows, safeguard data quality, and ensure compliance. They bring technical depth and problem\-solving agility, with a strong commitment to advancing their data architecture and automation skills.**
**The Basics**
* Location: Remote (WFH)
* Compensation: $125,000\-$145,000/year, commensurate with experience
* Travel: Up to 10%
* Reports To: Salesforce and Tableau Developer
**What You'll Do**
**Salesforce Platform:**
* Customize Salesforce data model and automations to align with business requirements
* Manage data governance and integrate external systems
* Support users, optimize performance, and ensure compliance
**Tableau And Database Administration**
* Design dashboards with advanced calculations and manage data layers and security
* Administer access controls and tune performance
* Develop scalable databases in SQL Server and Snowflake
* Optimize SQL scripts, support reporting, and maintain ETL pipelines
**Enterprise Scheduling \&amp; Automation**
* Design and schedule automations and workflows
* Monitor and optimize job performance and implement alerting mechanisms
* Maintain documentation and security protocols
* Collaborate with stakeholders to enhance automation reliability and effectiveness
**Qualifications And Expertise**
* Proven expertise with Salesforce, Tableau, Microsoft SQL Server, Azure SQL, Azure Data Factory, and Snowflake
* Demonstrated ability to design and manage automated data pipelines across multi\-platform environments
* Strong experience developing datasets, procedures, and functions in SQL\-based systems (Microsoft SQL Server, Snowflake)
* Hands\-on experience creating self\-service, sales\-facing reports in Tableau
* Solid understanding of data governance, system integration (APIs, middleware), and automation best practices
* Skilled at collaborating across technical and business teams to deliver scalable data solutions
* Bachelor’s degree in Computer Science, Business, or related field
* 3\+ years of recent, relevant experience in data engineering and analytics
* Salesforce or Snowflake certifications (preferred)
* Experience with Python integration and notebooks (preferred)
**Smart Circle International** 
 is a leading broker of outsourced sales and customer acquisition services. We help clients and independently owned and operated sales companies grow together through versatile in\-person marketing and sales campaigns inside retailers, businesses, and through door\-to\-door canvassing. Our corporate offices are in Newport Beach and Toronto. Visit smartcircle.com to learn more!
**Total Rewards**
 Full\-time positions qualify for a benefits package that includes vacation, sick leave, paid holidays, medical (with an HSA plan option), dental, vision and company paid Basic Life insurance, opportunity to enroll in Voluntary Life plans, Employee Assistance Program, 401K with employer match, employee referral program, home office stipend and opportunities for team building, growth, and development. Team members have on\-demand access to an LMS with a variety of courses to further their professional and personal development.
**Equal Opportunity Employer**
 We believe in equal opportunity. Each team member is recruited, employed, evaluated, and considered for promotion without regard to race, color, national origin, age, sex, disability status, or any other protected characteristic under state or federal law. We will not tolerate discrimination or harassment based on any protected characteristic and expect all team members to treat others with dignity and respect.
 In accordance with the applicable law, the following represents a good faith estimate of the minimum and maximum compensation range for this position: the estimated annual compensation range for this role is $1255k \- $145k/year. The compensation range reflects the Company’s reasonable expectation at the time of posting. Exact compensation for this role will be determined based on permissible, non\-discriminatory factors such as candidates’ qualifications, skills, and experience.
 DISCLOSURE TO JOB APPLICANTS PURSUANT TO THE CALIFORNIA CONSUMER PRIVACY ACT
 As Part Of Your Job Application And Our Evaluation Of Your Candidacy, We Collect, Receive, Maintain, And Use Your Personal Information, Which As Used Herein, Means Information That Identifies, Relates To, Describes, Is Reasonably Capable Of Being Associated With, Or Could Reasonably Be Linked, Directly Or Indirectly, With You Or Your Household. The Following Is The Personal Information We May Collect As Part Of The Application Process
* Personal contact details, such as name, title, address, telephone number, and email address; and
* Application information, such as your qualifications, skills, education, references, and other information that may be in your resume, cover letter, and materials you provide to us when applying for employment.
 We collect your personal information to evaluate your job application and candidacy for employment, to check your eligibility to work in the country in which you have applied, for background checks, and to comply with employment and other laws. If you become employed by us, we will notify you of additional categories of personal information that we collect, receive, and maintain for business purposes.</t>
        </is>
      </c>
    </row>
    <row r="109">
      <c r="A109" t="inlineStr">
        <is>
          <t>li-4351413511</t>
        </is>
      </c>
      <c r="B109" t="inlineStr">
        <is>
          <t>Senior Data Engineer</t>
        </is>
      </c>
      <c r="C109" t="inlineStr">
        <is>
          <t>AMEND Consulting</t>
        </is>
      </c>
      <c r="D109" t="inlineStr">
        <is>
          <t>linkedin</t>
        </is>
      </c>
      <c r="E109" t="inlineStr"/>
      <c r="F109" t="inlineStr"/>
      <c r="G109" t="inlineStr">
        <is>
          <t>Cincinnati, OH</t>
        </is>
      </c>
      <c r="H109" t="inlineStr"/>
      <c r="I109" t="inlineStr">
        <is>
          <t>**About the job** 
**About AMEND:** 
 AMEND is a management consulting firm based in Cincinnati, OH with areas of focus in operations, analytics, and technology. We are focused on strengthening the people, processes, and systems in organizations to generate a holistic transformation. Our three\-tiered approach provides a distinct competitive edge and allows us to build strong relationships and create customized solutions for every client. This is an incredible time to step into a growing team where everyone is aligned to a common goal to change lives, transform businesses, and make a positive impact on anything we touch.
**Overview:** 
 The Senior Data Engineer consultant role is an incredibly exciting position in the fastest growing segment of AMEND. You will be working to solve real\-world problems by designing cutting edge analytic solutions while surrounded by a team of world class talent. You will be entering an environment of explosive growth with ample opportunity for development. We are looking for individuals who can go into a client and optimize (or re\-design) companies data architecture, who are the combination of a change agent, technical leader and passionate about transforming companies for the better. We need someone who is a problem solver, a critical thinker, and is always wanting to go after new things; you’ll never be doing the same thing twice!
**Job Tasks:** 
* Create and maintain optimal data pipeline architecture
* Assemble large, complex data sets that meet functional / non\-functional business requirements
* Identify, design, and implement internal process improvements: automating manual processes, optimizing data delivery, re\-designing infrastructure for greater scalability, etc.
* Build the infrastructure required for optimal extraction, transformation, and loading of data from a wide variety of data sources
* Build analytics tools that utilize the data pipeline to provide actionable insights into customer acquisition, operational efficiency, and other key business performance metrics
* Work with stakeholders including the Executive, Product, Data, and Design teams to assist with data\-related technical issues and support their data infrastructure needs
* Define project requirements by identifying project milestones, phases, and deliverables
* Execute project plan, report progress, identify and resolve problems, and recommend further actions
* Delegate tasks to appropriate resources as project requirements dictate
* Design, develop, and deliver audience training and adoption methods and materials
**Qualifications:** 
* Advanced working SQL knowledge and experience working with relational databases, query authoring (SQL) as well as working familiarity with a variety of databases. Databricks and DBT experience is a plus
* Experience building and optimizing data pipelines, architectures, and data sets
* Experience performing root cause analysis on internal and external data and processes to answer specific business questions and identify opportunities for improvement
* Strong analytic skills related to working with structured and unstructured datasets
* Build processes supporting data transformation, data structures, metadata, dependency, and workload management
* A successful history of manipulating, processing, and extracting value from large, disconnected datasets
* Ability to interface with multiple other business functions (internally and externally)
* Desire to build analytical competencies in others within the business
* Curiosity to ask questions and challenge the status quo
* Creativity to devise out\-of\-the\-box solutions
* Ability to travel as needed to meet client requirements
**What’s in it for you?** 
* Competitive pay and bonus
* Travel incentive bonus structure
* Flexible time off
* Investment in your growth and development
* Full Health, Vision, Dental, and Life Benefits
* Paid parental leave
* 3:1 charity match
 All this to say – we are looking for talented people who are excited to make an impact on our clients. If this job description isn’t a perfect match for your skillset, but you are talented, eager to learn, and passionate about our work, please apply! Our recruiting process is centered around you as an individual and finding the best place for you to thrive at AMEND, whether it be with the specific title on this posting or something different. One recruiting conversation with us has the potential to open you up to our entire network of opportunities, so why not give it a shot? We’re looking forward to connecting with you.
 \*Applicants must be authorized to work for any employer in the U.S. We are unable to sponsor or take over sponsorship of employment Visa at this time.\*</t>
        </is>
      </c>
    </row>
    <row r="110">
      <c r="A110" t="inlineStr">
        <is>
          <t>li-4342967119</t>
        </is>
      </c>
      <c r="B110" t="inlineStr">
        <is>
          <t>Lead Data Engineer</t>
        </is>
      </c>
      <c r="C110" t="inlineStr">
        <is>
          <t>Cox Automotive Inc.</t>
        </is>
      </c>
      <c r="D110" t="inlineStr">
        <is>
          <t>linkedin</t>
        </is>
      </c>
      <c r="E110" t="inlineStr"/>
      <c r="F110" t="inlineStr"/>
      <c r="G110" t="inlineStr">
        <is>
          <t>Atlanta, GA</t>
        </is>
      </c>
      <c r="H110" t="inlineStr"/>
      <c r="I110" t="inlineStr">
        <is>
          <t>The
 **Lead Data Engineer** 
 is responsible for processing structured and unstructured data, validating data quality, and developing and supporting data products. The Senior Data Engineer also plays a role in Agile planning, providing advice and guidance, and monitoring emerging technologies.
**Key Responsibilities**
**WHAT YOU'LL DO**
**Process Structured and Unstructured Data**
* Gathers and processes raw, structured, semi\-structured, and unstructured data using batch and real\-time data processing frameworks.
* Understands and enforces appropriate data master management techniques.
**Data Validation and Quality**
* Ensures data quality and implements tools and frameworks for automating the identification of data quality issues.
* Work with internal and external data providers on data validation providing feedback and making customized changes to data feeds and data mappings.
**Agile Planning**
* Understands the challenges that the analytics organization faces in their day\-to\-day work and partner with them to design viable data solutions.
* Recommends improvements to processes, technology, and interfaces that improve the effectiveness of the team and reduce technical debt.
**Product Development**
* Implements and optimizes data solutions in enterprise data warehouses and big data repositories.
* Installs, maintains, monitors, and supports business intelligence, distributed computation, and big data analytics tools.
**Application Support**
* Provides ongoing support, monitoring, and maintenance of deployed products.
**Advice and Guidance**
* Actively works with less experienced data engineers providing technical guidance and oversight.
**Emerging Technology Monitoring**
* Actively participates in the engineering community, staying up to date on new data technologies and best practices and shares insights with others in the organization.
**Qualifications**
**WHO YOU ARE**
* Must live within a commutable distance to Atlanta GA or be willing to relocate
* Bachelor's degree in Computer Science or related field and 6\+ years related experience OR Masters Degree w/ 4\+ years experience OR 18 years experience of equivalent combination of industry related professional experience and education.
* Working experience with batch and real\-time data processing frameworks
* Strong working experience with data modelling, data access, schemas, and data storage techniques within Snowflake
* Working experience in design, development, and implementation of highly scalable, high\-volume software systems and components, client\-facing web applications, and major Internet\-oriented applications and systems
* Working experience working with relational databases such as SQL, MySQL, Postgres/PostgreSQL
* Working experience with business intelligence tools and platforms
* Working experience with data quality tools
* Working experience with application lifecycle methodologies (e.g. waterfall, agile, iterative)
* Experience with ETL processes and tools
* Experience working with Git
* Experience or exposure to DBT
* Experience working with AI related tools such as co\-pilot
* Experience implementing new tools into environments
**Preferred Qualifications**
* Scrum Developer Certification or equivalent
* Working experience with Sisense platform
* Working experience with SQL Server Integration Services
* Working experience with AWS data tools (Database Migration Service)
* Working experience with Python
* Experience working with Jira, Rally or similar tools
 USD 111,500\.00 \- 185,900\.00 per year
**Compensation**
 Compensation includes a base salary of $111,500\.00 \- $185,900\.00\. The base salary may vary within the anticipated base pay range based on factors such as the ultimate location of the position and the selected candidate's knowledge, skills, and abilities. Position may be eligible for additional compensation that may include an incentive program.
**Benefits**
 The Company offers eligible employees the flexibility to take as much vacation with pay as they deem consistent with their duties, the company's needs, and its obligations; seven paid holidays throughout the calendar year; and up to 160 hours of paid wellness annually for their own wellness or that of family members. Employees are also eligible for additional paid time off in the form of bereavement leave, time off to vote, jury duty leave, volunteer time off, military leave, and parental leave.</t>
        </is>
      </c>
    </row>
    <row r="111">
      <c r="A111" t="inlineStr">
        <is>
          <t>li-4330461314</t>
        </is>
      </c>
      <c r="B111" t="inlineStr">
        <is>
          <t>Lead Analytics Engineer</t>
        </is>
      </c>
      <c r="C111" t="inlineStr">
        <is>
          <t>Vizient, Inc</t>
        </is>
      </c>
      <c r="D111" t="inlineStr">
        <is>
          <t>linkedin</t>
        </is>
      </c>
      <c r="E111" t="inlineStr"/>
      <c r="F111" t="inlineStr"/>
      <c r="G111" t="inlineStr">
        <is>
          <t>Irving, TX</t>
        </is>
      </c>
      <c r="H111" t="inlineStr"/>
      <c r="I111" t="inlineStr">
        <is>
          <t>When you’re the best, we’re the best. We instill an environment where employees feel engaged, satisfied and able to contribute their unique skills and talents while living and working as their authentic selves. We provide extensive opportunities for personal and professional development, building both employee competence and organizational capability to fuel exceptional performance through an inclusive environment both now and in the future.
**Summary**
 In this role, you will lead the design, development, and optimization of enterprise\-grade analytics solutions with a focus on Power BI, advanced data modeling, and end\-to\-end performance engineering. You will create scalable semantic models, strengthen data governance practices, and collaborate with cross\-functional teams to deliver intuitive analytics that support strategic decision\-making across clients. You will also contribute to modernization initiatives and guide best practices that elevate the analytics engineering discipline.
**Responsibilities**
* Design and deliver Power BI solutions using Import, DirectQuery, and Hybrid/Direct Lake modes.
* Develop robust semantic models, measures, and reusable components that scale across products.
* Model data using dimensional structures and implement aggregation strategies to enhance performance.
* Optimize performance by tuning Data Analysis Expressions (DAX), VertiPaq engine operations, data types, partitioning, and incremental refresh.
* Configure and maintain Row\-Level Security/Object\-Level Security (RLS/OLS) and data masking aligned with governance standards.
* Partner with Security and Compliance teams to support Health Insurance Portability and Accountability Act (HIPAA) and Protected Health Information (PHI) requirements.
* Establish and maintain version control practices, quality checks, and code review standards.
* Translate business and technical requirements into accessible, user\-centered analytics experiences.
* Implement telemetry and observability practices to monitor usage, refresh cycles, and performance metrics.
* Support modernization efforts by contributing templates, themes, calculation groups, and migration from legacy BI platforms.
**Qualifications**
* Relevant degree preferred.
* 7 or more years of relevant experience required.
* Expertise designing Power BI solutions, including semantic models, DAX, and performance tuning required.
* Strong SQL and data modeling skills, including indexing, statistics, and partitioning are required.
* Experience with RLS/OLS, lineage, auditability, and data governance practices required.
* Ability to translate business logic into validated metrics and partner effectively with cross\-functional teams required.
* Proficiency with Tabular Editor, DAX Studio, and related tabular modeling tools highly preferred.
* Familiarity with MicroStrategy and BI modernization approaches preferred.
* Familiarity with Microsoft Fabric, Azure data services, or Databricks preferred.
* Willingness to travel.
**Estimated Hiring Range**
 At Vizient, we consider skills, experience, and organizational needs in our compensation approach. Geographic factors may adjust the range estimate and hires typically fall below the top range. Compensation decisions are tailored to individual circumstances. The current salary range for this role is $102,400\.00 to $179,000\.00\.
 This position is also incentive eligible.
 Vizient has a comprehensive benefits plan! Please view our benefits here:
 http://www.vizientinc.com/about\-us/careers
**Equal Opportunity Employer: Females/Minorities/Veterans/Individuals with Disabilities**
 The Company is committed to equal employment opportunity to all employees and applicants without regard to race, religion, color, gender identity, ethnicity, age, national origin, sexual orientation, disability status, veteran status or any other category protected by applicable law.</t>
        </is>
      </c>
    </row>
    <row r="112">
      <c r="A112" t="inlineStr">
        <is>
          <t>li-4358303156</t>
        </is>
      </c>
      <c r="B112" t="inlineStr">
        <is>
          <t>Data Engineer</t>
        </is>
      </c>
      <c r="C112" t="inlineStr">
        <is>
          <t>Capital One</t>
        </is>
      </c>
      <c r="D112" t="inlineStr">
        <is>
          <t>linkedin</t>
        </is>
      </c>
      <c r="E112" t="inlineStr"/>
      <c r="F112" t="inlineStr"/>
      <c r="G112" t="inlineStr">
        <is>
          <t>McLean, VA</t>
        </is>
      </c>
      <c r="H112" t="inlineStr"/>
      <c r="I112"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1\.5 years of experience in application development (Internship experience does not apply)
* At least 1 year of experience in big data technologies
****Preferred Qualifications:****
* 3\+ years of experience in application development including Python, SQL, Scala, or Java
* 1\+ years of experience with a public cloud (AWS, Microsoft Azure, Google Cloud)
* 2\+ years experience with Distributed data/computing tools (MapReduce, Hadoop, Hive, EMR, Kafka, Spark, Gurobi, or MySQL)
* 1\+ years experience working on real\-time data and streaming applications
* 1\+ years of experience with NoSQL implementation (Mongo, Cassandra)
* 1\+ years of data warehousing experience (Redshift or Snowflake)
* 2\+ years of experience with UNIX/Linux including basic commands and shell scripting
* 1\+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$135,600 \- $154,800 for Data Engineer
 New York, NY: $148,000 \- $168,900 for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13">
      <c r="A113" t="inlineStr">
        <is>
          <t>li-4330490825</t>
        </is>
      </c>
      <c r="B113" t="inlineStr">
        <is>
          <t>Lead Analytics Engineer</t>
        </is>
      </c>
      <c r="C113" t="inlineStr">
        <is>
          <t>Vizient, Inc</t>
        </is>
      </c>
      <c r="D113" t="inlineStr">
        <is>
          <t>linkedin</t>
        </is>
      </c>
      <c r="E113" t="inlineStr"/>
      <c r="F113" t="inlineStr"/>
      <c r="G113" t="inlineStr">
        <is>
          <t>Chicago, IL</t>
        </is>
      </c>
      <c r="H113" t="inlineStr"/>
      <c r="I113" t="inlineStr">
        <is>
          <t>When you’re the best, we’re the best. We instill an environment where employees feel engaged, satisfied and able to contribute their unique skills and talents while living and working as their authentic selves. We provide extensive opportunities for personal and professional development, building both employee competence and organizational capability to fuel exceptional performance through an inclusive environment both now and in the future.
**Summary**
 In this role, you will lead the design, development, and optimization of enterprise\-grade analytics solutions with a focus on Power BI, advanced data modeling, and end\-to\-end performance engineering. You will create scalable semantic models, strengthen data governance practices, and collaborate with cross\-functional teams to deliver intuitive analytics that support strategic decision\-making across clients. You will also contribute to modernization initiatives and guide best practices that elevate the analytics engineering discipline.
**Responsibilities**
* Design and deliver Power BI solutions using Import, DirectQuery, and Hybrid/Direct Lake modes.
* Develop robust semantic models, measures, and reusable components that scale across products.
* Model data using dimensional structures and implement aggregation strategies to enhance performance.
* Optimize performance by tuning Data Analysis Expressions (DAX), VertiPaq engine operations, data types, partitioning, and incremental refresh.
* Configure and maintain Row\-Level Security/Object\-Level Security (RLS/OLS) and data masking aligned with governance standards.
* Partner with Security and Compliance teams to support Health Insurance Portability and Accountability Act (HIPAA) and Protected Health Information (PHI) requirements.
* Establish and maintain version control practices, quality checks, and code review standards.
* Translate business and technical requirements into accessible, user\-centered analytics experiences.
* Implement telemetry and observability practices to monitor usage, refresh cycles, and performance metrics.
* Support modernization efforts by contributing templates, themes, calculation groups, and migration from legacy BI platforms.
**Qualifications**
* Relevant degree preferred.
* 7 or more years of relevant experience required.
* Expertise designing Power BI solutions, including semantic models, DAX, and performance tuning required.
* Strong SQL and data modeling skills, including indexing, statistics, and partitioning are required.
* Experience with RLS/OLS, lineage, auditability, and data governance practices required.
* Ability to translate business logic into validated metrics and partner effectively with cross\-functional teams required.
* Proficiency with Tabular Editor, DAX Studio, and related tabular modeling tools highly preferred.
* Familiarity with MicroStrategy and BI modernization approaches preferred.
* Familiarity with Microsoft Fabric, Azure data services, or Databricks preferred.
* Willingness to travel.
**Estimated Hiring Range**
 At Vizient, we consider skills, experience, and organizational needs in our compensation approach. Geographic factors may adjust the range estimate and hires typically fall below the top range. Compensation decisions are tailored to individual circumstances. The current salary range for this role is $102,400\.00 to $179,000\.00\.
 This position is also incentive eligible.
 Vizient has a comprehensive benefits plan! Please view our benefits here:
 http://www.vizientinc.com/about\-us/careers
**Equal Opportunity Employer: Females/Minorities/Veterans/Individuals with Disabilities**
 The Company is committed to equal employment opportunity to all employees and applicants without regard to race, religion, color, gender identity, ethnicity, age, national origin, sexual orientation, disability status, veteran status or any other category protected by applicable law.</t>
        </is>
      </c>
    </row>
    <row r="114">
      <c r="A114" t="inlineStr">
        <is>
          <t>li-4330580792</t>
        </is>
      </c>
      <c r="B114" t="inlineStr">
        <is>
          <t>Lead Analytics Engineer</t>
        </is>
      </c>
      <c r="C114" t="inlineStr">
        <is>
          <t>Vizient, Inc</t>
        </is>
      </c>
      <c r="D114" t="inlineStr">
        <is>
          <t>linkedin</t>
        </is>
      </c>
      <c r="E114" t="inlineStr"/>
      <c r="F114" t="inlineStr"/>
      <c r="G114" t="inlineStr">
        <is>
          <t>Centennial, CO</t>
        </is>
      </c>
      <c r="H114" t="inlineStr"/>
      <c r="I114" t="inlineStr">
        <is>
          <t>When you’re the best, we’re the best. We instill an environment where employees feel engaged, satisfied and able to contribute their unique skills and talents while living and working as their authentic selves. We provide extensive opportunities for personal and professional development, building both employee competence and organizational capability to fuel exceptional performance through an inclusive environment both now and in the future.
**Summary**
 In this role, you will lead the design, development, and optimization of enterprise\-grade analytics solutions with a focus on Power BI, advanced data modeling, and end\-to\-end performance engineering. You will create scalable semantic models, strengthen data governance practices, and collaborate with cross\-functional teams to deliver intuitive analytics that support strategic decision\-making across clients. You will also contribute to modernization initiatives and guide best practices that elevate the analytics engineering discipline.
**Responsibilities**
* Design and deliver Power BI solutions using Import, DirectQuery, and Hybrid/Direct Lake modes.
* Develop robust semantic models, measures, and reusable components that scale across products.
* Model data using dimensional structures and implement aggregation strategies to enhance performance.
* Optimize performance by tuning Data Analysis Expressions (DAX), VertiPaq engine operations, data types, partitioning, and incremental refresh.
* Configure and maintain Row\-Level Security/Object\-Level Security (RLS/OLS) and data masking aligned with governance standards.
* Partner with Security and Compliance teams to support Health Insurance Portability and Accountability Act (HIPAA) and Protected Health Information (PHI) requirements.
* Establish and maintain version control practices, quality checks, and code review standards.
* Translate business and technical requirements into accessible, user\-centered analytics experiences.
* Implement telemetry and observability practices to monitor usage, refresh cycles, and performance metrics.
* Support modernization efforts by contributing templates, themes, calculation groups, and migration from legacy BI platforms.
**Qualifications**
* Relevant degree preferred.
* 7 or more years of relevant experience required.
* Expertise designing Power BI solutions, including semantic models, DAX, and performance tuning required.
* Strong SQL and data modeling skills, including indexing, statistics, and partitioning are required.
* Experience with RLS/OLS, lineage, auditability, and data governance practices required.
* Ability to translate business logic into validated metrics and partner effectively with cross\-functional teams required.
* Proficiency with Tabular Editor, DAX Studio, and related tabular modeling tools highly preferred.
* Familiarity with MicroStrategy and BI modernization approaches preferred.
* Familiarity with Microsoft Fabric, Azure data services, or Databricks preferred.
* Willingness to travel.
**Estimated Hiring Range**
 At Vizient, we consider skills, experience, and organizational needs in our compensation approach. Geographic factors may adjust the range estimate and hires typically fall below the top range. Compensation decisions are tailored to individual circumstances. The current salary range for this role is $102,400\.00 to $179,000\.00\.
 This position is also incentive eligible.
 Vizient has a comprehensive benefits plan! Please view our benefits here:
 http://www.vizientinc.com/about\-us/careers
**Equal Opportunity Employer: Females/Minorities/Veterans/Individuals with Disabilities**
 The Company is committed to equal employment opportunity to all employees and applicants without regard to race, religion, color, gender identity, ethnicity, age, national origin, sexual orientation, disability status, veteran status or any other category protected by applicable law.</t>
        </is>
      </c>
    </row>
    <row r="115">
      <c r="A115" t="inlineStr">
        <is>
          <t>li-4330447523</t>
        </is>
      </c>
      <c r="B115" t="inlineStr">
        <is>
          <t>AWS Data Engineer</t>
        </is>
      </c>
      <c r="C115" t="inlineStr">
        <is>
          <t>Jobs via Dice</t>
        </is>
      </c>
      <c r="D115" t="inlineStr">
        <is>
          <t>linkedin</t>
        </is>
      </c>
      <c r="E115" t="inlineStr"/>
      <c r="F115" t="inlineStr"/>
      <c r="G115" t="inlineStr">
        <is>
          <t>Pittsburgh, PA</t>
        </is>
      </c>
      <c r="H115" t="inlineStr"/>
      <c r="I115" t="inlineStr">
        <is>
          <t>Dice is the leading career destination for tech experts at every stage of their careers. Our client, Bright Mind Solutions LLC, is seeking the following. Apply via Dice today!
**Please read carefully before applying for this position:**
* This position is W2 only. We cannot work on C2C or C2H.
* While applying, candidates must include complete education details (degree, university, and year of passing) and have a verified LinkedIn profile.
* Overall experience required: Minimum 5 \- 6 years (internship experience will not be considered).
* Relocation is mandatory. This is a Hybrid role based in Pittsburgh, PA or Charlotte, NC (onsite presence required).
* Background verification is mandatory.
**Job Title: Data Engineer**
**Required Skills:**
* AWS Serverless: Lambda, Glue, DynamoDB, ECS, Step Functions
* Python, SQL
* ETL / ELT pipeline development
* PySpark
* Data Modeling, Data Governance
* REST API integration
* CI/CD pipelines (GitHub)
* AWS services: S3, IAM, CloudWatch
* Strong troubleshooting and production support experience
**Nice to Have:**
* Exposure to GenAI / AI\-driven data solutions
**Note:** 
 Only
 **qualified candidates** 
 will be contacted, and a
 **detailed job description** 
 will be shared at the next stage</t>
        </is>
      </c>
    </row>
    <row r="116">
      <c r="A116" t="inlineStr">
        <is>
          <t>li-4351630026</t>
        </is>
      </c>
      <c r="B116" t="inlineStr">
        <is>
          <t>Senior Data Engineer - Fisher Investments</t>
        </is>
      </c>
      <c r="C116" t="inlineStr">
        <is>
          <t>Jobs via eFinancialCareers</t>
        </is>
      </c>
      <c r="D116" t="inlineStr">
        <is>
          <t>linkedin</t>
        </is>
      </c>
      <c r="E116" t="inlineStr"/>
      <c r="F116" t="inlineStr"/>
      <c r="G116" t="inlineStr">
        <is>
          <t>Plano, TX</t>
        </is>
      </c>
      <c r="H116" t="inlineStr"/>
      <c r="I116" t="inlineStr">
        <is>
          <t>It's an exciting time to be a member of the Fisher Investments Technology Department. We're investing in the future of our firm's technology and are building our team to achieve global growth. We are looking for a Senior Data Engineer to support our Enterprise Data Management team. If you are looking for an opportunity to make a difference as we develop scalable and strategic solutions to support our global growth, we want to hear from you!
**The Opportunity:**
 Fisher Investments is looking for a Senior Data Engineer \- Data to design and deliver modern data solutions using cloud\-based platforms and AI\-driven innovations. You will partner with business, technology, and governance teams to enable scalable, secure and compliant data platforms that power advanced analytics and AI. You will act as the enterprise expert for designing, developing, and optimizing data processing systems and pipelines used to populate data into transactional databases, data warehouses, data marts, or other data repositories. You will also coordinate with other IT teams to configure and implement security, monitoring, tooling, and related capabilities as they apply to their assigned systems. You will report to the AVP of Data Delivery and Data Governance.
**The Day\-to\-Day:**
* Use Agile practices to elicit and refine requirements through an iterative process of planning, defining acceptance criteria, prioritizing, developing and delivering enterprise data asset solutions in collaboration with business intelligence teams or other IT teams
* Develop, configure, customize and manage integration tools, databases, warehouses and analytical systems with the use of data related software
* Design, build, and deploy data extraction, transformation, and loading processes and pipelines from various sources including databases, APIs, and data files
* Develop and deploy structured, semi\-structured, and unstructured data storage models such as data vault or dimensional modeling on a various platforms to meet business requirements
* Coordinate security, application monitoring, development tooling, and related capabilities with responsible teams
* Provide operational support and incident management for data pipelines and data flows, including proactively updating internal clients and relevant parties on status changes and issues encountered
* Author and maintain accurate and up\-to\-date documentation for processes, procedures, and technical designs
* Coach junior data and business intelligence personnel across the company, including developing material and guiding junior personnel on their technical skill growth
**Your Qualifications:**
* 15\+ years' experience developing data\-related solutions and software
* 10\+ years of experience working with relational databases and applying it in various applications, including within the Microsoft Azure platform
* 4\+ years of experience with multiple cloud technologies in the Microsoft Stack (Azure IaaS and PaaS) along with familiarity with alternative cloud technologies
* 4\+ years of experience designing and development on\-premises and cloud\-based (Azure) infrastructure and platform components
* 4\+ years of hands\-on development and deployment experience with Azure cloud using T\-SQL, Azure SQL, Azure Storage, Azure Data Factory, Azure Synapse, Cosmos DB, GitHub, Azure DevOps, and CI/CD pipelines
* Advanced knowledge of Extract/Transform/Load (ETL) and/or Extract/Load/Transform (ELT) tools, including both batch and real\-time data transmission applications such as SSIS, Informatica, Kafka, Spark, MuleSoft, or equivalent software
* Advanced knowledge of database technologies such as Microsoft SQL Server, Oracle, or NoSQL databases
* Advanced knowledge of multiple programming languages, such as Python, SQL, Scala, or similar.
* Advanced knowledge of IT infrastructure standards and tools, such as application performance monitoring, IT service management, or DevOps software
* Bachelor's degree in Computer Science, Information Technology, or other relevant field
**Why Fisher Investments:**
 We work for a bigger purpose: bettering the investment universe. We take great pride in our inclusive culture, our learning and development framework customized for every employee, and our Great Place to Work Certification. It's the people that make the Fisher purpose possible, and we invest in them by offering exceptional benefits like:
* 100% paid medical, dental and vision premiums for you and your qualifying dependents
* A 50% 401(k) match, up to the IRS maximum
* 20 days of PTO, plus 10 paid holidays
* Family Support programs including 8 week Paid Primary Caregiver Leave, $10,000 fertility, family forming, and hormonal health assistance, and back\-up child, adult, and elder care
* This is an in\-office role. Based on your role, tenure, and performance eligibility you may have the opportunity to participate in our hybrid work from home program. This program is subject to change.
 FISHER INVESTMENTS IS AN EQUAL OPPORTUNITY EMPLOYER</t>
        </is>
      </c>
    </row>
    <row r="117">
      <c r="A117" t="inlineStr">
        <is>
          <t>li-4330468126</t>
        </is>
      </c>
      <c r="B117" t="inlineStr">
        <is>
          <t>Senior Data Engineer</t>
        </is>
      </c>
      <c r="C117" t="inlineStr">
        <is>
          <t>Jobs via Dice</t>
        </is>
      </c>
      <c r="D117" t="inlineStr">
        <is>
          <t>linkedin</t>
        </is>
      </c>
      <c r="E117" t="inlineStr"/>
      <c r="F117" t="inlineStr"/>
      <c r="G117" t="inlineStr">
        <is>
          <t>Miramar, FL</t>
        </is>
      </c>
      <c r="H117" t="inlineStr"/>
      <c r="I117" t="inlineStr">
        <is>
          <t>Dice is the leading career destination for tech experts at every stage of their careers. Our client, EmployVision, is seeking the following. Apply via Dice today!
**Job Title: Data Engineer – Senior Consultant**
**Location: Miramar, FL (Hybrid – 4 days onsite) (Local Only)**
**Duration: Full\-Time \| Permanent**
**Overview**
 We are looking for a
 **Senior Data Engineer (Consultant level)** 
 with strong
 **Databricks and cloud data engineering** 
 experience to design and deliver scalable analytics solutions. This role requires a mix of hands\-on technical expertise, client\-facing communication, and end\-to\-end data pipeline ownership.
**What You’ll Do**
* Design, build, and optimize cloud\-based data architectures
* Develop and maintain end\-to\-end data pipelines (ingestion, transformation, storage)
* Implement data engineering solutions using Databricks \&amp; Spark/ PySpark
* Translate business requirements into scalable technical solutions
* Ensure data quality, security, and governance across platforms
* Collaborate directly with stakeholders and manage client expectations
* Provide technical leadership and mentor junior engineers
**Required Qualifications**
* 5\+ years of data engineering experience, with strong cloud focus
* Hands\-on expertise with Databricks and Apache Spark / PySpark
* Strong programming skills in Python, Scala, and/or SQL
* Knowledge of data modeling, ETL, and data warehousing
* Proven delivery of at least two end\-to\-end data engineering implementations
* Excellent communication skills and client\-facing experience
* Bachelor’s degree in Computer Science, Engineering, or related field</t>
        </is>
      </c>
    </row>
    <row r="118">
      <c r="A118" t="inlineStr">
        <is>
          <t>li-4330468090</t>
        </is>
      </c>
      <c r="B118" t="inlineStr">
        <is>
          <t>Sr Data Engineer</t>
        </is>
      </c>
      <c r="C118" t="inlineStr">
        <is>
          <t>Jobs via Dice</t>
        </is>
      </c>
      <c r="D118" t="inlineStr">
        <is>
          <t>linkedin</t>
        </is>
      </c>
      <c r="E118" t="inlineStr"/>
      <c r="F118" t="inlineStr"/>
      <c r="G118" t="inlineStr">
        <is>
          <t>Queens, NY</t>
        </is>
      </c>
      <c r="H118" t="inlineStr"/>
      <c r="I118" t="inlineStr">
        <is>
          <t>Dice is the leading career destination for tech experts at every stage of their careers. Our client, Radus Tek Services, is seeking the following. Apply via Dice today!
**Location: NYC**
**Hybrid/Remote/Onsite: Onsite**
**Duration: Contract with potential for extension**
**Skills Needed: Python, Snowflake development, Snowflake data modeling, End\-to\-end data engineering, Data pipeline development, Etc**</t>
        </is>
      </c>
    </row>
    <row r="119">
      <c r="A119" t="inlineStr">
        <is>
          <t>li-4358105754</t>
        </is>
      </c>
      <c r="B119" t="inlineStr">
        <is>
          <t>Senior Distinguished Data Engineer</t>
        </is>
      </c>
      <c r="C119" t="inlineStr">
        <is>
          <t>Capital One</t>
        </is>
      </c>
      <c r="D119" t="inlineStr">
        <is>
          <t>linkedin</t>
        </is>
      </c>
      <c r="E119" t="inlineStr"/>
      <c r="F119" t="inlineStr"/>
      <c r="G119" t="inlineStr">
        <is>
          <t>McLean, VA</t>
        </is>
      </c>
      <c r="H119" t="inlineStr"/>
      <c r="I119" t="inlineStr">
        <is>
          <t>Distinguished Data Engineers are individual contributors who strive to be diverse in thought so we visualize the problem space. At Capital One, we believe diversity of thought strengthens our ability to influence, collaborate and provide the most innovative solutions across organizational boundaries. Distinguished Engineers will significantly impact our trajectory and devise clear roadmaps to deliver next generation technology solutions.
**About the Team:**
 You will join the Data Pipelines team within Enterprise Data, serving as a Senior Director\-level Individual Contributor (IC). This role demands a visionary and hands\-on leader to drive the technical strategy for data pipelines leveraged by all lines of business inclusive of both internal and external data availability. Your focus is on driving innovation, best practices, engineering / delivery acceleration, platform scalability, Operational Excellence, Performance, Resiliency, and being a beacon for other ICs. We require deep expertise in AWS infrastructure, Lakehouse architecture, Kafka, Flink, Spark, Snowflake, and Databricks mature these enterprise\-scale systems and execute technical strategy. You will be both visionary, influential, and hands\-on writing Python, SQL, Java, and/or Scala code.
**Our Sr. Distinguished Engineers Are:**
* Deep technical experts and thought leaders that help accelerate adoption of the very best engineering practices, while maintaining knowledge on industry innovations, trends and practices
* Visionaries, collaborating on Capital One’s toughest issues, to deliver on business needs that directly impact the lives of our customers and associates
* Role models and mentors, helping to coach and strengthen the technical expertise and know\-how of our engineering and product community
* Evangelists, both internally and externally, helping to elevate the Distinguished Engineering community and establish themselves as a go\-to resource on given technologies and technology\-enabled capabilities
**Responsibilities:**
* Build awareness, increase knowledge and drive adoption of modern technologies, sharing consumer and engineering benefits to gain buy\-in
* Strike the right balance between lending expertise and providing an inclusive environment where others’ ideas can be heard and championed; leverage expertise to grow skills in the broader Capital One team
* Promote a culture of engineering excellence, using opportunities to reuse and innersource solutions where possible
* Effectively communicate with and influence key stakeholders across the enterprise, at all levels of the organization
* Operate as a trusted advisor for a specific technology, platform or capability domain, helping to shape use cases and implementation in an unified manner
* Lead the way in creating next\-generation talent for Tech, mentoring internal talent and actively recruiting external talent to bolster Capital One’s Tech talent
**Basic Qualifications:**
* Bachelor’s Degree
* At least 9 years of experience in data engineering
* At least 5 years of experience in data architecture
* At least 3 years of experience in building applications in AWS
* At least 3 years of experience with Python, Scala, Java, or SQL
* At least 3 years of experience with Flink or Spark
* At least 3 years of experience with Kafka
* At least 3 years of experience with Delta Lake or Iceberg
* At least 3 years of experience building performant, resilient Big Data solutions
**Preferred Qualifications:**
* Masters’ Degree
* 10\+ years of experience in data engineering
* 3\+ years of data modeling experience
* 2\+ years of experience with ontology standards for defining a domain
* 3\+ years of experience deploying machine learning models
* 1\+ year of experience deploying Agentic AI solutions
* 3\+ years of experience implementing big data processing solutions on AWS or other cloud providers
* 3\+ years of experience with Snowflake or Databricks
* 3\+ years of experience with Data Observability tooling (lineage, data quality, monitoring or alerting)
***Capital One will consider sponsoring a new qualified applicant for employment authorization for this positio***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$314,800 \- $359,300 for Sr Distinguished Data Engineer
 New York, NY: $343,400 \- $392,000 for Sr Distinguished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20">
      <c r="A120" t="inlineStr">
        <is>
          <t>li-4358381860</t>
        </is>
      </c>
      <c r="B120" t="inlineStr">
        <is>
          <t>Senior Distinguished Data Engineer</t>
        </is>
      </c>
      <c r="C120" t="inlineStr">
        <is>
          <t>Capital One</t>
        </is>
      </c>
      <c r="D120" t="inlineStr">
        <is>
          <t>linkedin</t>
        </is>
      </c>
      <c r="E120" t="inlineStr"/>
      <c r="F120" t="inlineStr"/>
      <c r="G120" t="inlineStr">
        <is>
          <t>McLean, VA</t>
        </is>
      </c>
      <c r="H120" t="inlineStr"/>
      <c r="I120" t="inlineStr">
        <is>
          <t>Distinguished Data Engineers are individual contributors who strive to be diverse in thought so we visualize the problem space. At Capital One, we believe diversity of thought strengthens our ability to influence, collaborate and provide the most innovative solutions across organizational boundaries. Distinguished Engineers will significantly impact our trajectory and devise clear roadmaps to deliver next generation technology solutions.
**About the Team:**
 You will join the Data Pipelines team within Enterprise Data, serving as a Senior Director\-level Individual Contributor (IC). This role demands a visionary and hands\-on leader to drive the technical strategy for data pipelines leveraged by all lines of business inclusive of both internal and external data availability. Your focus is on driving innovation, best practices, engineering / delivery acceleration, platform scalability, Operational Excellence, Performance, Resiliency, and being a beacon for other ICs. We require deep expertise in AWS infrastructure, Lakehouse architecture, Kafka, Flink, Spark, Snowflake, and Databricks mature these enterprise\-scale systems and execute technical strategy. You will be both visionary, influential, and hands\-on writing Python, SQL, Java, and/or Scala code.
**Our Sr. Distinguished Engineers Are:**
* Deep technical experts and thought leaders that help accelerate adoption of the very best engineering practices, while maintaining knowledge on industry innovations, trends and practices
* Visionaries, collaborating on Capital One’s toughest issues, to deliver on business needs that directly impact the lives of our customers and associates
* Role models and mentors, helping to coach and strengthen the technical expertise and know\-how of our engineering and product community
* Evangelists, both internally and externally, helping to elevate the Distinguished Engineering community and establish themselves as a go\-to resource on given technologies and technology\-enabled capabilities
**Responsibilities:**
* Build awareness, increase knowledge and drive adoption of modern technologies, sharing consumer and engineering benefits to gain buy\-in
* Strike the right balance between lending expertise and providing an inclusive environment where others’ ideas can be heard and championed; leverage expertise to grow skills in the broader Capital One team
* Promote a culture of engineering excellence, using opportunities to reuse and innersource solutions where possible
* Effectively communicate with and influence key stakeholders across the enterprise, at all levels of the organization
* Operate as a trusted advisor for a specific technology, platform or capability domain, helping to shape use cases and implementation in an unified manner
* Lead the way in creating next\-generation talent for Tech, mentoring internal talent and actively recruiting external talent to bolster Capital One’s Tech talent
**Basic Qualifications:**
* Bachelor’s Degree
* At least 9 years of experience in data engineering
* At least 5 years of experience in data architecture
* At least 3 years of experience in building applications in AWS
* At least 3 years of experience with Python, Scala, Java, or SQL
* At least 3 years of experience with Flink or Spark
* At least 3 years of experience with Kafka
* At least 3 years of experience with Delta Lake or Iceberg
* At least 3 years of experience building performant, resilient Big Data solutions
**Preferred Qualifications:**
* Masters’ Degree
* 10\+ years of experience in data engineering
* 3\+ years of data modeling experience
* 2\+ years of experience with ontology standards for defining a domain
* 3\+ years of experience deploying machine learning models
* 1\+ year of experience deploying Agentic AI solutions
* 3\+ years of experience implementing big data processing solutions on AWS or other cloud providers
* 3\+ years of experience with Snowflake or Databricks
* 3\+ years of experience with Data Observability tooling (lineage, data quality, monitoring or alerting)
***Capital One will consider sponsoring a new qualified applicant for employment authorization for this positio***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$314,800 \- $359,300 for Sr Distinguished Data Engineer
 New York, NY: $343,400 \- $392,000 for Sr Distinguished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21">
      <c r="A121" t="inlineStr">
        <is>
          <t>li-4330517535</t>
        </is>
      </c>
      <c r="B121" t="inlineStr">
        <is>
          <t>Sr. Data Engineer with Strong Databricks Experience /Data Analyst (Hands-On Technical)- Hybrid- MN</t>
        </is>
      </c>
      <c r="C121" t="inlineStr">
        <is>
          <t>Jobs via Dice</t>
        </is>
      </c>
      <c r="D121" t="inlineStr">
        <is>
          <t>linkedin</t>
        </is>
      </c>
      <c r="E121" t="inlineStr"/>
      <c r="F121" t="inlineStr"/>
      <c r="G121" t="inlineStr">
        <is>
          <t>Stillwater, MN</t>
        </is>
      </c>
      <c r="H121" t="inlineStr"/>
      <c r="I121" t="inlineStr">
        <is>
          <t>**Sr. Data Engineer with Strong Databricks Experience /Data Analyst (Hands\-On Technical)**
**6\-Month Contract/Right to Hire**
**Hybrid: Up to 2 days/week onsite in Stillwater, MN**
**Responsibilities**
 Job Summary
* Ability to trace data lineage and diagnose data quality issues at the source
* Strong problem\-solving skills and ability to work independently
**Qualifications**
* 5\+ years hands\-on experience with enterprise data warehouses and ETL/ELT pipelines
* Strong Databricks experience required
* Expert\-level SQL skills; Python scripting experience preferred
* Experience optimizing data feeds, scheduling, and pipeline timing
* Experience consolidating data sources and deprecating legacy feeds
* Retail or grocery industry experience required (understanding of POS data, item costing, merchant data)
* Cloud platform experience (Azure or Google Cloud Platform)</t>
        </is>
      </c>
    </row>
    <row r="122">
      <c r="A122" t="inlineStr">
        <is>
          <t>li-4330417479</t>
        </is>
      </c>
      <c r="B122" t="inlineStr">
        <is>
          <t>Cloud Data Engineer(Python,Google Cloud Platform) @ Hartford, CT (onsite) localsonly</t>
        </is>
      </c>
      <c r="C122" t="inlineStr">
        <is>
          <t>Jobs via Dice</t>
        </is>
      </c>
      <c r="D122" t="inlineStr">
        <is>
          <t>linkedin</t>
        </is>
      </c>
      <c r="E122" t="inlineStr"/>
      <c r="F122" t="inlineStr"/>
      <c r="G122" t="inlineStr">
        <is>
          <t>Hartford, CT</t>
        </is>
      </c>
      <c r="H122" t="inlineStr"/>
      <c r="I122" t="inlineStr">
        <is>
          <t>Dice is the leading career destination for tech experts at every stage of their careers. Our client, HUMAC INC., is seeking the following. Apply via Dice today!
**Cloud Data Engineer(Python,Google Cloud Platform)**
**Work Location : Hartford, CT (onsite)locals**
**Job Details:
 Must Have Skills:**
 Google Cloud Platform
 Big query
 Python Pandas, SQL
**Nice to have skills:**
 Google Cloud Platform Big Query, Cloud Storage, Dataflow, Dataproc, and Composer (Airflow).
 In Depth understanding of the Python software development stacks, ecosystems, frameworks and tools such as Numpy, Scipy, Pandas, Dask, spaCy, NLTK, scikit learn and PyTorch.
**Detailed Job Description:**
 Candidate must be located within commuting distance of Hartford, CT
 At least 4 years of Information Technology experience.
 At least 2 years of development experience in maintaining high\-quality software using Python programming language.
 In\-depth understanding of the Python software development stacks, ecosystems, frameworks and tools such as Numpy, Scipy, Pandas, Dask, spaCy, NLTK, sci\-kit\-learn and PyTorch.
 Expert\-level proficiency in Python 3\.x and Python frameworks
 Candidates authorized to work for any employer in the United States without employer\-based visa sponsorship are welcome to apply. Infosys is unable to provide immigration sponsorship for this role at this time.
 Analytical skills to identify root cause and come up with solutions/alternatives.
 Ability to work in a team environment and client interfacing skills.
 Participating in project review meetings with the client
 Excellent written and verbal communication skills.
 Experience and desire to work in a Global delivery environment.
**Experience With The Healthcare Industry Is Preferred.**
**Thanks..**
**Sirisha N**
**IT Analyst, Humac Inc**
**Phoenix, AZ 85027**</t>
        </is>
      </c>
    </row>
    <row r="123">
      <c r="A123" t="inlineStr">
        <is>
          <t>li-4330547428</t>
        </is>
      </c>
      <c r="B123" t="inlineStr">
        <is>
          <t>Aws Data Engineer</t>
        </is>
      </c>
      <c r="C123" t="inlineStr">
        <is>
          <t>Jobs via Dice</t>
        </is>
      </c>
      <c r="D123" t="inlineStr">
        <is>
          <t>linkedin</t>
        </is>
      </c>
      <c r="E123" t="inlineStr"/>
      <c r="F123" t="inlineStr"/>
      <c r="G123" t="inlineStr">
        <is>
          <t>Reston, VA</t>
        </is>
      </c>
      <c r="H123" t="inlineStr"/>
      <c r="I123" t="inlineStr">
        <is>
          <t>Dice is the leading career destination for tech experts at every stage of their careers. Our client, VDart, Inc., is seeking the following. Apply via Dice today!
**AWS Data Engineer
 Reston, VA (Hybrid)**
**Fulltime**
**Need Only Local Who Can Go In\-person Interview.**
* At least 5 to 7 years of experience in Data warehouse, ETL, BI projects.
* Must have strong hold in Python/PySpark
* Must have experience in Snowflake Data Base.
* Must have experience implementing complex stored Procedures and standard DWH and ETL concepts.
* Proficient in Oracle database, complex PL/SQL, Unix Shell Scripting, performance tuning and troubleshoot.
* Must have experience in JIRA.
* Basic experience in AWS cloud \- S3, Lambda Functions.
* Experience in using GitHub, Jenkins.
* Good to have experience in Kafka Good communication and Analytical skills.
 Additional it would be good to have basic knowledge on Netezza DB, informatica \&amp; TALEND</t>
        </is>
      </c>
    </row>
    <row r="124">
      <c r="A124" t="inlineStr">
        <is>
          <t>li-4358276480</t>
        </is>
      </c>
      <c r="B124" t="inlineStr">
        <is>
          <t>Analytics Engineer</t>
        </is>
      </c>
      <c r="C124" t="inlineStr">
        <is>
          <t>Brilliant Corners</t>
        </is>
      </c>
      <c r="D124" t="inlineStr">
        <is>
          <t>linkedin</t>
        </is>
      </c>
      <c r="E124">
        <f>HYPERLINK("https://www.linkedin.com/jobs/view/4358276480", "https://www.linkedin.com/jobs/view/4358276480")</f>
        <v/>
      </c>
      <c r="F124" t="inlineStr"/>
      <c r="G124" t="inlineStr">
        <is>
          <t>San Francisco, CA</t>
        </is>
      </c>
      <c r="H124" t="inlineStr"/>
      <c r="I124" t="inlineStr">
        <is>
          <t>**Location** 
 : Open to candidates near our Los Angeles, San Francisco, or San Diego offices.
**Salary** 
 : $95,000 \- $105,000 per year, exempt
**Organization Overview**
 Founded in 2004, Brilliant Corners provides innovative housing and housing\-related services to California's most vulnerable individuals, with an emphasis on those transitioning from, or at risk of, homelessness or institutionalization. We develop, own, and manage multi\-family supportive housing and licensed residential care homes. We implement a broad array of scattered\-site, one\-on\-one supportive housing, and clinical case management programs through partnerships with developmental services, homeless services, veterans' services, and health care sectors.
 In short, we do good work.
 We have offices statewide with a staff of passionate people. While we are growing rapidly, we are also selective: We're seeking inspired, talented people who want to be effecting profound change and who have fun doing it.
**Position Summary**
 The Analytics Engineer is responsible for data consolidation and maintenance across the organization's data infrastructure and various data sources. The engineer works with Data Analysts and other business units to create data models and to build and maintain a cloud data infrastructure. Their work will support recurring and ad\-hoc reporting, dashboard creation and maintenance, and data requests from internal and external stakeholders. The Analytics Engineer will also build business intelligence tools to help data analysts do their work more efficiently, such as improved or automated data clean up processes and a self\-service analytics platform. They will also collaborate with the Product Development team and IT Operations team on data infrastructure and integration projects focused on transforming data and supplying data between operational systems to meet business needs. Lastly, they are responsible for using best practices to maintain version control and perform internal testing and deploy production\-ready code.
**Position Responsibilities**
* Design, develop, implement, and maintain data models used for reporting and analytics.
* Work with Data Analysts and other business teams to identify and develop ETL/ELT processes to automate, orchestrate, and maintain data pipelines.
* Maintain data documentation and definitions, including data quality standards and business logic for metrics/KPIs, naming and formatting conventions and detailed specifications/documentation for analytics code.
* Maintain version control for, test, and continuously integrate analytics code into testing and production environments.
* Monitor data models and pipelines to ensure performance meets internal service level agreement.
* Collaborate with Data Analysts to build dashboards and visualizations that show trends, patterns, and outliers in the data pipeline and models. As well as, maintain current inventory of reports and dashboards and publish this information to business users.
* Work with Product Development and other business teams to consolidate and integrate data from and between multiple data sources (such as Salesforce, Financial Systems, HRIS, and other data sources).
* Maintain and update (as necessary) existing integration infrastructure, with a focus on streamlining and consolidating processes.
* Help evaluate and validate new and existing tools or development needs to suggest improvements and streamline operations.
* Support updates/upgrades, configuration and troubleshooting for business intelligence tools.
* Help coach Data Analysts on software development best practices.
**Requirements**
**Professional Experience**
* Proven success in designing, building and maintaining data warehouse and infrastructure that meet business needs.
* Experience with SQL.
* Experience with Python or R.
* Strong problem\-solving skills in relation to data and software applications.
* Excellent interpersonal skills and verbal/written/virtual communication skills to communicate technical details to both other team members and non\-technical stakeholders.
* Experience supporting and working with cross\-functional teams.
**Knowledge, Skills, And Abilities**
* Prior experience with software development best practices around code (version control using Git, testing, debugging, continuous integration and deployment, clear comments in code), especially implementing such practices in organizations.
* Experience with cloud data warehouses and platforms like Snowflake, GCP, Azure.
* Experience with ETL/ELT tools like FiveTran, Matillion, Stitch.
* Experience with DBT, Dataform, Databricks.
* Experience with data visualization tools like Tableau, PowerBI, Looker, Sigma.
* Experience with Integration Platform\-as\-a\-Service like Workato or Mulesoft.
* Clear technical writing experience, including data mapping documents, reports, and presentations.
* Experience in a non\-profit, human services setting.
**Core Competencies**
* Dealing with Ambiguity: Remains productive and effective in uncertain, rapidly changing situations by quickly analyzing information to adapt approach. Demonstrates flexibility, composure and good judgment despite challenges
* Technical Learning: Quickly learns and applies new technical skills, knowledge, and industry expertise. Seeks guidance when needed to ensure quality
* Problem Solving: Uses critical thinking to creatively investigate issues from diverse perspectives. Makes evidence\-based recommendations addressing short and long\-term needs
* Total Work Systems: Designs, implements, and improves organization\-wide systems to enhance quality and efficiency. Leverages technology and data to standardize workflows and meet stakeholder needs
* Organizational Agility: Understands how the organization operates through formal and informal structures. Navigates dynamics, communicates rationale behind policies, and builds relationships to achieve goals
* Customer Focus: Proactively understands and meets others' needs through a service\-minded approach. Builds trust, leverages insights, and provides responsive support to align with evolving requirements
**Organizational Values**
* Humanity: Putting people first: We are committed to meeting people where they're at, honoring their dignity, diversity, and experience.
* Community: Building a better future: Sustainable housing solutions are fostered through partnership, collaboration, and human connection.
* Ingenuity: Innovating for transformation: Systems\-change requires relentless determination, thinking outside the box and challenging the status quo.
**Physical Requirements**
 Candidates should have physical mobility for tasks such as standing, bending, stooping, kneeling, crouching, reaching, twisting, and walking on uneven surfaces. They should be capable of performing stationary tasks like sitting for up to 6 to 8 hours a day. Additionally, candidates should be able to lift, carry, push, pull light to moderate weights up to 15 pounds safely. Requires mental acuity for analytical reasoning and document interpretation.
**Labor Union**
 This position is part of the OPEIU, LOCAL 30, AFL\-CIO, bargaining unit. As a member of the OPEIU, LOCAL 30, AFL\-CIO, the incumbent will be subject to the terms and conditions outlined in the collective bargaining agreement
 Salary range for this position is $103,487 \- $107,255 annually. This position is being offered at $95,000 \- $105,000 annually.
*Brilliant Corners does not discriminate on the basis of race, color, religion (creed), gender, gender expression, age, national origin (ancestry), disability, marital status, sexual orientation, or military status, in any of its activities or operations. These activities include, but are not limited to, hiring and firing of staff, selection of volunteers and vendors, and provision of services. We are committed to providing an inclusive and welcoming environment for all members of our staff, clients, volunteers, subcontractors, vendors, and clients. We will consider for employment qualified applicants with arrest and conviction records.*
**Benefits**
* Health Care Plan (Medical, Dental, \&amp; Vision)
* Retirement Plan (With 5% Match)
* Life Insurance (Basic, Voluntary and AD\&amp;D)
* Paid Time Off (Vacation, Sick \&amp; Public Holidays)
* Family Leave (Maternity, Paternity)
* Short Term \&amp; Long\-Term Disability
* Training \&amp; Development
* Wellness Resources
* Hybrid Work</t>
        </is>
      </c>
    </row>
    <row r="125">
      <c r="A125" t="inlineStr">
        <is>
          <t>li-4358392918</t>
        </is>
      </c>
      <c r="B125" t="inlineStr">
        <is>
          <t>Analytics Engineer</t>
        </is>
      </c>
      <c r="C125" t="inlineStr">
        <is>
          <t>Brilliant Corners</t>
        </is>
      </c>
      <c r="D125" t="inlineStr">
        <is>
          <t>linkedin</t>
        </is>
      </c>
      <c r="E125">
        <f>HYPERLINK("https://www.linkedin.com/jobs/view/4358392918", "https://www.linkedin.com/jobs/view/4358392918")</f>
        <v/>
      </c>
      <c r="F125" t="inlineStr"/>
      <c r="G125" t="inlineStr">
        <is>
          <t>Los Angeles, CA</t>
        </is>
      </c>
      <c r="H125" t="inlineStr"/>
      <c r="I125" t="inlineStr">
        <is>
          <t>**Location** 
 : Open to candidates near our Los Angeles, San Francisco, or San Diego offices.
**Salary** 
 : $95,000 \- $105,000 per year, exempt
**Organization Overview**
 Founded in 2004, Brilliant Corners provides innovative housing and housing\-related services to California's most vulnerable individuals, with an emphasis on those transitioning from, or at risk of, homelessness or institutionalization. We develop, own, and manage multi\-family supportive housing and licensed residential care homes. We implement a broad array of scattered\-site, one\-on\-one supportive housing, and clinical case management programs through partnerships with developmental services, homeless services, veterans' services, and health care sectors.
 In short, we do good work.
 We have offices statewide with a staff of passionate people. While we are growing rapidly, we are also selective: We're seeking inspired, talented people who want to be effecting profound change and who have fun doing it.
**Position Summary**
 The Analytics Engineer is responsible for data consolidation and maintenance across the organization's data infrastructure and various data sources. The engineer works with Data Analysts and other business units to create data models and to build and maintain a cloud data infrastructure. Their work will support recurring and ad\-hoc reporting, dashboard creation and maintenance, and data requests from internal and external stakeholders. The Analytics Engineer will also build business intelligence tools to help data analysts do their work more efficiently, such as improved or automated data clean up processes and a self\-service analytics platform. They will also collaborate with the Product Development team and IT Operations team on data infrastructure and integration projects focused on transforming data and supplying data between operational systems to meet business needs. Lastly, they are responsible for using best practices to maintain version control and perform internal testing and deploy production\-ready code.
**Position Responsibilities**
* Design, develop, implement, and maintain data models used for reporting and analytics.
* Work with Data Analysts and other business teams to identify and develop ETL/ELT processes to automate, orchestrate, and maintain data pipelines.
* Maintain data documentation and definitions, including data quality standards and business logic for metrics/KPIs, naming and formatting conventions and detailed specifications/documentation for analytics code.
* Maintain version control for, test, and continuously integrate analytics code into testing and production environments.
* Monitor data models and pipelines to ensure performance meets internal service level agreement.
* Collaborate with Data Analysts to build dashboards and visualizations that show trends, patterns, and outliers in the data pipeline and models. As well as, maintain current inventory of reports and dashboards and publish this information to business users.
* Work with Product Development and other business teams to consolidate and integrate data from and between multiple data sources (such as Salesforce, Financial Systems, HRIS, and other data sources).
* Maintain and update (as necessary) existing integration infrastructure, with a focus on streamlining and consolidating processes.
* Help evaluate and validate new and existing tools or development needs to suggest improvements and streamline operations.
* Support updates/upgrades, configuration and troubleshooting for business intelligence tools.
* Help coach Data Analysts on software development best practices.
**Requirements**
**Professional Experience**
* Proven success in designing, building and maintaining data warehouse and infrastructure that meet business needs.
* Experience with SQL.
* Experience with Python or R.
* Strong problem\-solving skills in relation to data and software applications.
* Excellent interpersonal skills and verbal/written/virtual communication skills to communicate technical details to both other team members and non\-technical stakeholders.
* Experience supporting and working with cross\-functional teams.
**Knowledge, Skills, And Abilities**
* Prior experience with software development best practices around code (version control using Git, testing, debugging, continuous integration and deployment, clear comments in code), especially implementing such practices in organizations.
* Experience with cloud data warehouses and platforms like Snowflake, GCP, Azure.
* Experience with ETL/ELT tools like FiveTran, Matillion, Stitch.
* Experience with DBT, Dataform, Databricks.
* Experience with data visualization tools like Tableau, PowerBI, Looker, Sigma.
* Experience with Integration Platform\-as\-a\-Service like Workato or Mulesoft.
* Clear technical writing experience, including data mapping documents, reports, and presentations.
* Experience in a non\-profit, human services setting.
**Core Competencies**
* Dealing with Ambiguity: Remains productive and effective in uncertain, rapidly changing situations by quickly analyzing information to adapt approach. Demonstrates flexibility, composure and good judgment despite challenges
* Technical Learning: Quickly learns and applies new technical skills, knowledge, and industry expertise. Seeks guidance when needed to ensure quality
* Problem Solving: Uses critical thinking to creatively investigate issues from diverse perspectives. Makes evidence\-based recommendations addressing short and long\-term needs
* Total Work Systems: Designs, implements, and improves organization\-wide systems to enhance quality and efficiency. Leverages technology and data to standardize workflows and meet stakeholder needs
* Organizational Agility: Understands how the organization operates through formal and informal structures. Navigates dynamics, communicates rationale behind policies, and builds relationships to achieve goals
* Customer Focus: Proactively understands and meets others' needs through a service\-minded approach. Builds trust, leverages insights, and provides responsive support to align with evolving requirements
**Organizational Values**
* Humanity: Putting people first: We are committed to meeting people where they're at, honoring their dignity, diversity, and experience.
* Community: Building a better future: Sustainable housing solutions are fostered through partnership, collaboration, and human connection.
* Ingenuity: Innovating for transformation: Systems\-change requires relentless determination, thinking outside the box and challenging the status quo.
**Physical Requirements**
 Candidates should have physical mobility for tasks such as standing, bending, stooping, kneeling, crouching, reaching, twisting, and walking on uneven surfaces. They should be capable of performing stationary tasks like sitting for up to 6 to 8 hours a day. Additionally, candidates should be able to lift, carry, push, pull light to moderate weights up to 15 pounds safely. Requires mental acuity for analytical reasoning and document interpretation.
**Labor Union**
 This position is part of the OPEIU, LOCAL 30, AFL\-CIO, bargaining unit. As a member of the OPEIU, LOCAL 30, AFL\-CIO, the incumbent will be subject to the terms and conditions outlined in the collective bargaining agreement
 Salary range for this position is $103,487 \- $107,255 annually. This position is being offered at $95,000 \- $105,000 annually.
*Brilliant Corners does not discriminate on the basis of race, color, religion (creed), gender, gender expression, age, national origin (ancestry), disability, marital status, sexual orientation, or military status, in any of its activities or operations. These activities include, but are not limited to, hiring and firing of staff, selection of volunteers and vendors, and provision of services. We are committed to providing an inclusive and welcoming environment for all members of our staff, clients, volunteers, subcontractors, vendors, and clients. We will consider for employment qualified applicants with arrest and conviction records.*
**Benefits**
* Health Care Plan (Medical, Dental, \&amp; Vision)
* Retirement Plan (With 5% Match)
* Life Insurance (Basic, Voluntary and AD\&amp;D)
* Paid Time Off (Vacation, Sick \&amp; Public Holidays)
* Family Leave (Maternity, Paternity)
* Short Term \&amp; Long\-Term Disability
* Training \&amp; Development
* Wellness Resources
* Hybrid Work</t>
        </is>
      </c>
    </row>
    <row r="126">
      <c r="A126" t="inlineStr">
        <is>
          <t>li-4358344335</t>
        </is>
      </c>
      <c r="B126" t="inlineStr">
        <is>
          <t>Data Engineer</t>
        </is>
      </c>
      <c r="C126" t="inlineStr">
        <is>
          <t>Karbon</t>
        </is>
      </c>
      <c r="D126" t="inlineStr">
        <is>
          <t>linkedin</t>
        </is>
      </c>
      <c r="E126">
        <f>HYPERLINK("https://www.linkedin.com/jobs/view/4358344335", "https://www.linkedin.com/jobs/view/4358344335")</f>
        <v/>
      </c>
      <c r="F126" t="inlineStr"/>
      <c r="G126" t="inlineStr"/>
      <c r="H126" t="inlineStr"/>
      <c r="I126" t="inlineStr">
        <is>
          <t>**About Karbon** 
 Karbon is the global leader in practice management software for growth\-minded accounting firms. We provide an award\-winning, highly collaborative cloud platform that streamlines work and communication, enabling the average accounting firm using Karbon to save 18\.5 hours per week, per employee.
 We have customers in 34 countries and have grown into a globally distributed team, with our people based throughout the US, Australia, New Zealand, Canada, the United Kingdom, and the Philippines. We are well\-funded, ranked \#1 on G2, have a fantastic team culture built on our values, are growing rapidly, and making a global impact.
**Role Overview** 
 We're seeking a mid\-level Data Engineer to join our growing data team and drive customer\-focused analytics initiatives. This role will own end\-to\-end data infrastructure while maintaining a strong focus on understanding and improving customer outcomes. You'll work closely with Customer Success, GTM, and Product teams to ensure our data systems enable actionable insights that drive customer retention and growth.
**About the Role** 
**Data Infrastructure \&amp; Engineering (60%)** 
* Design, build, and maintain scalable data pipelines using Snowflake, dbt, Fivetran, Stitch and Snowpipe
* Implement real\-time streaming architectures to reduce data latency from hours to minutes
* Manage schema evolution and data migrations for critical business entities
* Optimize data warehouse performance and cost efficiency
* Build robust monitoring and alerting systems for data pipeline health
* Ensure data quality, reliability, and governance across all systems
**Customer\-Focused Analytics (20%)** 
* Develop analytics frameworks to measure customer success and product adoption
* Build cohorted churn analysis models to identify retention patterns
* Create performance metrics that correlate with customer outcomes
* Partner with Customer Success team to understand data needs for customer health scoring
* Support implementation team analytics to improve onboarding effectiveness
**Cross\-Functional Collaboration (10%)** 
* Work with Product teams to instrument new features and track adoption
* Collaborate with Customer Success on quarterly business review data requirements
* Support sales and marketing teams with pipeline and funnel analytics
* Document data models and maintain technical specifications
* Mentor junior team members and contribute to best practices
**AI\-Enabled Analytics \&amp; Tooling (10%)** 
 Leverage AI\-powered tools to improve development velocity, data quality, and customer insight generation across the analytics stack.
* Use AI\-assisted development tools (e.g., GitHub Copilot, Cursor, or similar) to accelerate SQL, dbt, and pipeline development while maintaining high standards for accuracy and maintainability
* Apply AI\-supported techniques for anomaly detection, data quality monitoring, and schema exploration in customer and product data
* Enable AI\-driven insights within analytics platforms to surface trends, risks, and early indicators of churn or onboarding friction
* Partner with analytics and business teams to support emerging predictive and proactive customer analytics use cases
**About You** 
* 3\-5 years of experience in data engineering or analytics engineering roles
* Strong proficiency in SQL and experience with modern data warehouses (Snowflake preferred)
* Experience with dbt for data transformation and modeling
* Familiarity with streaming data architectures and real\-time processing
* Understanding of SaaS metrics (churn, retention, product adoption, customer health)
* Experience working with customer\-facing teams (Customer Success, Implementation, Product)
* Strong problem\-solving skills and attention to data quality
**Preferred Qualifications** 
* Experience in B2B SaaS or professional services software environments
* Knowledge of customer success platforms and methodologies
* Familiarity with event tracking and product analytics tools
* Experience with cloud platforms (AWS/Azure) and infrastructure as code
* Understanding of accounting/finance business processes (bonus)
* Previous experience supporting non\-technical stakeholders with data needs
* ****Databricks experience strongly preferred****
 \- our data platform will be migrating from Snowflake to Databricks in the coming months
**Technical Stack** 
* ****Data Warehouse:****
 Snowflake (transitioning to Databricks)
* ****Transformation:****
 dbt (data build tool)
* ****ETL:****
 Fivetran, Stitch
* ****Orchestration:****
 Snowpipe, scheduled jobs
* ****Analytics Platform:****
 Netspring
* ****Collaboration:****
 Linear, Slack, documentation tools
**Why work at Karbon?** 
* Gain global experience across Australia, New Zealand, UK, and Canada
* Strong benefits package including:
+ Flexible Time Off with an encouraged 4 weeks use per year
+ Company paid medical for you and eligible spouse/partner and dependents
+ Paid dental and vision and eligible spouse/partner and dependents
+ 401(k) with company matching
+ Flexible Spending Account
+ Up to 8 weeks paid parental leave
+ Work\-from\-home stipend
* Work with (and learn from) an experienced, high\-performing team
* A collaborative, team\-oriented culture that embraces diversity, invests in development and provides consistent feedback
* Be part of a fast\-growing company that firmly believes in promoting high performers from within
 As we hire across various locations within the USA we are required by law to include a reasonable estimate of the compensation range for this role.The range provided is broad and takes into consideration a wide range of factors that are reviewed when making a hiring decision, such as physical location/cost of living in that location, years of experience, skills, and other business needs.It is not typical for a candidate to be hired at or near the top of the pay range and each compensation decision is dependent on each individual case. The base salary is one component of the total compensation package, which for some roles may include a target bonus, for some roles very competitive equity grant, and very generous benefits. While we believe competitive compensation is a critical aspect of you deciding to join us, we do hope you also spend time considering why our mission, purpose and values are right for you. We are creating something transformational here, and we hope you are as excited about the future as we are!
 The estimated base salary range for this role is: : $116,000 USD \- $140,000 USD
 Karbon embraces diversity and inclusion, aligning with our values as a business. Research has shown that women and underrepresented groups are less likely to apply to jobs unless they meet every single criteria. If you've made it this far in the job description but your past experience doesn't perfectly align, we do encourage you to still apply. You could still be the right person for the role!
 We recruit and reward people based on capability and performance. We don’t discriminate based on race, gender, sexual orientation, gender identity or expression, lifestyle, age, educational background, national origin, religion, physical or cognitive ability, and other diversity dimensions that may hinder inclusion in the organization.
 Generally, if you are a good person, we want to talk to you.
 😛
 If there are any adjustments or accommodations that we can make to assist you during the recruitment process, and your journey at Karbon, contact us at people.support@karbonhq.com for a confidential discussion.
***At this time, we request that agency referrals are not submitted for this position. We appreciate your understanding and encourage direct applications from interested candidates. Thank you!***</t>
        </is>
      </c>
    </row>
    <row r="127">
      <c r="A127" t="inlineStr">
        <is>
          <t>li-4351920287</t>
        </is>
      </c>
      <c r="B127" t="inlineStr">
        <is>
          <t>Senior Data Engineer</t>
        </is>
      </c>
      <c r="C127" t="inlineStr">
        <is>
          <t>Opendorse</t>
        </is>
      </c>
      <c r="D127" t="inlineStr">
        <is>
          <t>linkedin</t>
        </is>
      </c>
      <c r="E127">
        <f>HYPERLINK("https://www.linkedin.com/jobs/view/4351920287", "https://www.linkedin.com/jobs/view/4351920287")</f>
        <v/>
      </c>
      <c r="F127" t="inlineStr"/>
      <c r="G127" t="inlineStr">
        <is>
          <t>Lincoln, NE</t>
        </is>
      </c>
      <c r="H127" t="inlineStr"/>
      <c r="I127" t="inlineStr">
        <is>
          <t>Location
 Remote (US\-based) or at our headquarters in Lincoln, Nebraska
**Overview**
 At Opendorse, we sit on more athlete and NIL data than anyone in the industry \- and we’re just getting started.
 As the leading platform for athlete\-brand partnerships, we’ve helped more than 140,000 athletes and thousands of brands connect and thrive in the NIL era. But we know the next frontier isn’t just partnerships \- it’s trustworthy, scalable data systems that power intelligence across the business.
 We’re hiring a Senior Data Engineer to help build and own the foundation of our data platform. This role is about turning raw, fast\-moving data into reliable, well\-modeled datasets that teams across Product, Analytics, Revenue, and Leadership can trust.
 You'll work hands\-on with our modern data stack \- Snowflake, Fivetran, and MSSQL – designing data models, improving reliability, and ensuring our data scales with the business. This is a senior individual contributor role for someone who wants to own domains end\-to\-end and raise the bar for how data is built and used.
 Key Responsibilities
* Design, build, and maintain scalable data pipelines in Snowflake, from raw ingestion through analytics\-ready marts.
* Own data domains end\-to\-end, from MSSQL source systems through Fivetran ingestion and downstream consumption.
* Partner with Product, Analytics, and Engineering to translate business needs into durable data models and datasets.
* Proactively monitor data freshness, quality, and reliability to diagnose and resolve issues quickly.
* Optimize Snowflake performance and cost through thoughtful modeling, query design, and workload management.
* Manage schema changes and source\-system evolution without disrupting downstream users.
* Document datasets, definitions, and assumptions to improve data trust and self\-service across the company.
 You'll Thrive If You
* Think of data as a product and not just pipelines.
* Care deeply about data quality, reliability, and trust.
* Enjoy solving ambiguous problems and defining the right solution.
* Are comfortable pushing back on unclear or low\-value data requests.
* Like partnering closely with analytics, product, and engineering teams.
* Want ownership and accountability without people management.
 You Have Experience With (or Similar Tools)
* Data Warehousing: Snowflake
* Data Integration: Fivetran or similar managed ELT tools
* Databases: MSSQL (or other relational OLTP systems)
* Languages: SQL (advanced), Python (for transformation, tooling, or automation)
* Data Modeling: Dimensional modeling, slowly changing dimensions, analytics marts
* Analytics Consumption: BI tools such as Tableau
 What You Bring
* 5\+ years of experience in Data Engineering or Analytics Engineering
* Deep expertise in SQL and data modeling for analytics use cases
* Experience working with managed ELT tools and cloud data warehouses
* Strong understanding of source\-system quirks and change management (especially MSSQL)
* Proven ability to design reliable, scalable data systems
* Strong communication skills and a collaborative, pragmatic mindset
*State Eligibility*
*Opendorse is currently only able to hire full\-time employees who reside in the following states: AZ, CA, CO, FL, GA, IL, IN, IA, KS, LA, MD, MA, MI, MN, MO, NE, NJ, NY, NC, PA, SC, SD, TN, TX, UT, VA, WA, and WI. If you have questions about eligibility or remote work options, feel free to reach out.*</t>
        </is>
      </c>
    </row>
    <row r="128">
      <c r="A128" t="inlineStr">
        <is>
          <t>li-4358402011</t>
        </is>
      </c>
      <c r="B128" t="inlineStr">
        <is>
          <t>Data Engineer, Applications Engineering Data &amp; Analytics</t>
        </is>
      </c>
      <c r="C128" t="inlineStr">
        <is>
          <t>Tesla</t>
        </is>
      </c>
      <c r="D128" t="inlineStr">
        <is>
          <t>linkedin</t>
        </is>
      </c>
      <c r="E128">
        <f>HYPERLINK("https://www.linkedin.com/jobs/view/4358402011", "https://www.linkedin.com/jobs/view/4358402011")</f>
        <v/>
      </c>
      <c r="F128" t="inlineStr"/>
      <c r="G128" t="inlineStr">
        <is>
          <t>Austin, TX</t>
        </is>
      </c>
      <c r="H128" t="inlineStr"/>
      <c r="I128" t="inlineStr">
        <is>
          <t>**What To Expect**
 The Data and Analytics, Applications Engineering team drives business critical decision making, and ensures cross functional alignment of goals and execution for all of Tesla. We stay focused on aligning the highest\-level company priorities with strong day\-to\-day operations and build capabilities to power hyper\-growth.
 As the Data Engineer, you will partner with members of the Data and Analytics team and its leadership in Applications Engineering to provide critical analysis operations to support our demanding and fast\-paced environment where you will work on critical subsystems of an incredibly exciting product.
 The candidate must be comfortable with data warehousing and ETL concepts with a strong hand on SQL \&amp; Python. To be successful in this role, you will need strong data engineering skills, excellent interpersonal communication, and experience building, optimizing and managing ETL Pipelines.
**What You'll Do**
- Assist with implementation and maintenance of the internal Data and Analytics and reporting processes
- Research and keep abreast of rapidly evolving data requirements, ensuring necessary system and process changes are implemented to meet these requirements
- Identify potential process improvements and recommend implementation strategies
- Develop and demonstrate expertise in communicating data related topics, including reporting
- Analyze the need for new applications or enhancements to the existing application to suit business needs and make decisions if they are needed or not
- Recommend solutions that adhere to industry standards, keeping in mind the impact on upstream and downstream system and stakeholders
- Closely monitor the project from inception to completion and assist in User Acceptance Testing
- Work on special projects related to data as assigned
- Continuously improve SQL and python skills, helping you automate repetitive work and multiply yourself
**What You'll Bring**
- 3\+ years of prior experience as a Data Analyst or Data Engineer
- Proficient in SQL, Python. Automate repetitive personal tasks through Python and SQL
- Experience with Tableau or any visualization tool, Data Warehousing, Data Modeling
- Strong experience with relational databases like SQL Server, MySQL and Vertica. NoSQL databases experience is a plus
- Experience with user\-defined workflows (e.g., Airflow)
- Strong communicational skills, organizational skills, negotiation skills, and flexibility to address competing demands
**Benefits**
**Compensation and Benefits**
 Along with competitive pay, as a full\-time Tesla employee, you are eligible for the following benefits at day 1 of hire:
- Medical plans \&gt; plan options with $0 payroll deduction
- Family\-building, fertility, adoption and surrogacy benefits
- Dental (including orthodontic coverage) and vision plans, both have options with a $0 paycheck contribution
- Company Paid (Health Savings Accounts) HSA Contribution when enrolled in the High\-Deductible medical plan with HSA
- Healthcare and Dependent Care Flexible Spending Accounts (FSA)
- 401(k) with employer match, Employee Stock Purchase Plans, and other financial benefits
- Company paid Basic Life, AD\&amp;D
- Short\-term and long\-term disability insurance (90 day waiting period)
- Employee Assistance Program
- Sick and Vacation time (Flex time for salary positions, Accrued hours for Hourly positions), and Paid Holidays
- Back\-up childcare and parenting support resources
- Voluntary benefits to include: critical illness, hospital indemnity, accident insurance, theft \&amp; legal services, and pet insurance
- Weight Loss and Tobacco Cessation Programs
- Tesla Babies program
- Commuter benefits
- Employee discounts and perks program
 , Tesla</t>
        </is>
      </c>
    </row>
    <row r="129">
      <c r="A129" t="inlineStr">
        <is>
          <t>li-4358196238</t>
        </is>
      </c>
      <c r="B129" t="inlineStr">
        <is>
          <t>Data Engineer</t>
        </is>
      </c>
      <c r="C129" t="inlineStr">
        <is>
          <t>Bespoke Technologies, Inc.</t>
        </is>
      </c>
      <c r="D129" t="inlineStr">
        <is>
          <t>linkedin</t>
        </is>
      </c>
      <c r="E129">
        <f>HYPERLINK("https://www.linkedin.com/jobs/view/4358196238", "https://www.linkedin.com/jobs/view/4358196238")</f>
        <v/>
      </c>
      <c r="F129" t="inlineStr"/>
      <c r="G129" t="inlineStr">
        <is>
          <t>McLean, VA</t>
        </is>
      </c>
      <c r="H129" t="inlineStr"/>
      <c r="I129" t="inlineStr">
        <is>
          <t>**BT\-166 – Data Engineer**
 Location: McLean (fully on\-site, no remote option)
* MUST HAVE A POLY CLEARANCE TO APPLY. Those who do not have a Poly clearance will not be considered.\*\*
 Bespoke Technologies is seeking a
 **Data Engineer** 
 who will provide highly technical and in\-depth data engineering support.
**Key Must Haves**
* The candidate MUST have experience with data engineering, to include designing and building data infrastructure, developing data pipelines, transforming and preparing data, ensuring data quality and security, and monitoring and optimizing systems.
* The candidate MUST have extensive experience with Python and AWS.
* Experience with SQL, multi\-data source queries with database technologies (PostgreSQL, MySQL, RDS, etc.), NiFi, Git, Elasticsearch, Kibana, Jupyter Notebooks, NLP, AI, and any data visualization tools (Tableau, Kibana, Qlik, etc.) are desired.
**Required Skills And Demonstrated Experience**
* Demonstrated experience with data engineering, to include designing and building data infrastructure, developing data pipelines, transforming/preparing data, ensuring data quality and security, and monitoring/optimizing systems.
* Demonstrated experience with data management and integration, including designing and operating robust data layers for application development across local and cloud or web data sources.
* Demonstrated work experience programming with Python
* Demonstrated experience building scalable ETL and ELT workflows for reporting and analytics.
* Demonstrated experience with general Linux computing and advanced bash scripting
* Demonstrated experience with SQL.
* Demonstrated experience constructing complex multi\-data source queries with database technologies such as PostgreSQL, MySQL, Neo4J or RDS
* Demonstrated experience processing data sources containing structured or unstructured data
* Demonstrated experience developing data pipelines with NiFi to bring data into a central environment
* Demonstrated experience delivering results to stakeholders through written documentation and oral briefings
* Demonstrated experience using code repositories such as Git
* Demonstrated experience using Elastic and Kibana technologies
* Demonstrated experience working with multiple stakeholders
* Demonstrated experience documenting such artifacts as code, Python packages and methodologies
* Demonstrated experience using Jupyter Notebooks
* Demonstrated experience with machine learning techniques including natural language processing
* Demonstrated experience explaining complex technical issues to more junior data scientists, in graphical, verbal, or written formats
* Demonstrated experience developing tested, reusable and reproducible work
* Work or educational background in one or more of the following areas: mathematics, statistics, hard sciences (e.g. Physics, Computational Biology, Astronomy, Neuroscience, etc.) computer science, data science, or business analytics
**Desired Skills And Demonstrated Experience**
* Demonstrated experience with cloud services, such as AWS, as well as cloud data technologies and architecture.
* Demonstrated experience using big data processing tools such as Apache Spark or Trino
* Demonstrated experience with machine learning algorithms
* Demonstrated experience with using container frameworks such as Docker or Kubernetes
* Demonstrated experience with using data visualizations tools such as Tableau, Kibana or Apache Superset
* Demonstrated experience creating learning objectives and creating teaching curriculum in technical or scientific fields</t>
        </is>
      </c>
    </row>
    <row r="130">
      <c r="A130" t="inlineStr">
        <is>
          <t>li-4358166721</t>
        </is>
      </c>
      <c r="B130" t="inlineStr">
        <is>
          <t>Senior Data Engineer</t>
        </is>
      </c>
      <c r="C130" t="inlineStr">
        <is>
          <t>Arbital Health</t>
        </is>
      </c>
      <c r="D130" t="inlineStr">
        <is>
          <t>linkedin</t>
        </is>
      </c>
      <c r="E130">
        <f>HYPERLINK("https://www.linkedin.com/jobs/view/4358166721", "https://www.linkedin.com/jobs/view/4358166721")</f>
        <v/>
      </c>
      <c r="F130">
        <f>HYPERLINK("https://jobs.lever.co/arbitalhealth/7329e197-f632-4741-8161-d8fab4273bb5/apply&amp;urlHash=W3gA", "https://jobs.lever.co/arbitalhealth/7329e197-f632-4741-8161-d8fab4273bb5/apply&amp;urlHash=W3gA")</f>
        <v/>
      </c>
      <c r="G130" t="inlineStr">
        <is>
          <t>San Francisco, CA</t>
        </is>
      </c>
      <c r="H130" t="inlineStr"/>
      <c r="I130" t="inlineStr">
        <is>
          <t>Arbital Health is a rapidly growing healthcare technology and actuarial leader that centralizes, measures, and adjudicates value\-based care contracts at scale. We enable payers and providers to design, measure, and execute value\-based agreements with greater transparency, efficiency, and financial predictability.
 We invest in hiring high potential and humble individuals who thrive in fast\-paced environments and can rapidly grow their responsibilities as we continue to accelerate our growth.
 We were co\-founded by Brian Overstreet and Travis May (founder \&amp; former CEO of LiveRamp and Datavant, the two biggest data companies of the last 20 years), and are backed by Transformation Capital, Valtruis and other leading investors. In our first 2 years, Arbital Health has established itself as a trusted partner for over 40 payers, providers, and other stakeholders looking to navigate the complexities of risk\-based contracting.
**The Role**
 In 2024, we successfully launched our production platform, establishing scalable data pipelines to ingest, enrich, and summarize vital healthcare financial data. Building on this foundation, we recently launched Merlin AI , the first VBC AI assistant that allows users to interact with complex VBC contracts \&amp; performance data in natural language and visualize it on demand. Built by the industry’s leading VBC actuaries and engineers, Merlin AI makes complex contract performance data conversational, transparent, and instantly actionable., The continued success of this feature hinges on the quality, volume, and freshness of the data we organize and provide. As a key data engineer, you will be crucial in curating this data as it evolves, scaling our pipelines as we grow ensuring our customers gain effortless, high\-value insights from a wide range of questions.
**What You'll Do**
* Leverage your advanced skills in Python and SQL and with platforms like Databricks and AWS to build highly scalable data pipelines and warehouses
* Design and maintain context engineering pipelines (embedding generation, indexing, vector storage) for conversational AI, collaborating with the Senior AI Engineers and Data Scientists.
* Develop and deploy scalable AI/ML data pipelines, specializing in data prep/serving for LLMs and RAG systems.
* Stay ahead of emerging tech and integrate it into business solutions
* Automate data workflows for ingestion, cleansing, quality assurance, enrichment, and aggregation
* Ensure data accuracy, integrity, privacy, security, and compliance through automated quality control procedures
* Collaborate with an actuarial science team
* Contribute to the design, implementation, and overall development of our products
* Drive innovation and deliver valuable features for our customers
**What You'll Bring**
* Experienced in data\-intensive, full\-stack development projects
* Experience with data/AI architecture and MLOps
* Proven, hands\-on experience designing and implementing data\-intensive solutions using LLMs, vector databases, embeddings, and context engineering techniques (RAG, summarization).
* Able to work entrepreneurially – self\-motivated, ambitious, and fast\-paced
* Able to ship extremely high caliber code and build exceptional products
* High level of attention to detail
* Ability to perform under minimal supervision with accountability for specific objectives and work in a rapidly changing, ambiguous start\-up environment
* Passionate about improving and innovating
* Startup experience is highly preferred
* Our team works hybrid from the San Francisco Bay Area. We will prioritize candidates who are able to work 1\-2x per week from our office and we will consider highly qualified remote candidates who are able to travel for in\-person collaboration in San Francisco at least one full week per month.
**Tools We Use**
* Core Tools: Python, R, SQL, Next.js , React, TypeScript, Tailwind CSS
* Infrastructure: AWS/GCP, Databricks, Heroku, Airflow, Sigma
* Version Control: GitHub
* Team Planning: Jira, Confluence, Figma
 $170,000 \- $215,000 a year
 The compensation offered for this role will be based on multiple factors such as the candidate's geographic location, the role’s scope and complexity, and the candidate’s experience and expertise, and may vary from the range provided here. For candidates based in San Francisco, the
 **estimated** 
 range for cash compensation for this role is $170,000 \- 215,000\. Total compensation also includes equity and generous benefits.
**Why Join Us?**
 We are assembling a team of creative, talented visionaries seeking to build a new technology that will change healthcare. You will be able to learn, build, and scale our team and technology in a collaborative, creative culture that values every team member.
**We Offer**
* Generous equity grants of ISO stock options
* We offer an exceptional benefits package with high employer\-paid contributions for health, dental, and vision insurance
* 4% 401(k) match
* Flexible PTO, a weeklong winter shutdown, and 10 holidays each year
* Occasional travel required \- Quarterly team offsites
* The opportunity to build a critical software platform that accelerates the American healthcare system's transition to value\-based care</t>
        </is>
      </c>
    </row>
    <row r="131">
      <c r="A131" t="inlineStr">
        <is>
          <t>li-4358332388</t>
        </is>
      </c>
      <c r="B131" t="inlineStr">
        <is>
          <t>Data Engineer</t>
        </is>
      </c>
      <c r="C131" t="inlineStr">
        <is>
          <t>University of Michigan</t>
        </is>
      </c>
      <c r="D131" t="inlineStr">
        <is>
          <t>linkedin</t>
        </is>
      </c>
      <c r="E131">
        <f>HYPERLINK("https://www.linkedin.com/jobs/view/4358332388", "https://www.linkedin.com/jobs/view/4358332388")</f>
        <v/>
      </c>
      <c r="F131" t="inlineStr"/>
      <c r="G131" t="inlineStr"/>
      <c r="H131" t="inlineStr"/>
      <c r="I131" t="inlineStr">
        <is>
          <t>**About The Company**
 The University of Michigan is a prestigious institution committed to advancing knowledge, fostering innovation, and making a positive impact on society. Renowned for its academic excellence and research initiatives, the university strives to leverage data\-driven insights to enhance its mission of education, research, and public service. The Office of University Development plays a vital role in supporting the university’s philanthropic efforts, engaging donors, and strengthening community relationships. As part of this mission, the university emphasizes inclusion, collaboration, and technological innovation to create meaningful change and support sustainable growth.
**About The Role**
 We are seeking a highly skilled Data Engineer to join our dedicated team of data enthusiasts committed to the common good. In this role, you will be instrumental in transforming complex, messy data into structured, actionable insights that drive university fundraising and development initiatives. Reporting to the Director of Data Science and Decision Support, you will work closely with cross\-functional teams to develop and maintain data pipelines, extract data from various APIs, and integrate AI tools into our workflows. Your expertise will support the creation of machine learning models and AI\-driven tools that help the university better understand and engage its donors. This position offers an exciting opportunity to work on meaningful projects that directly impact the university’s mission, utilizing modern data engineering frameworks and cloud\-based analytics tools. The role requires a blend of programming, data management, collaboration, and innovation, making it ideal for a proactive professional eager to apply their skills in a mission\-driven environment.
**Qualifications**
* Bachelor's degree in information systems, computer science/engineering, or a related data science field.
* Minimum of 3 years of experience with big data storage formats and query tools such as Hadoop, Hive, Parquet, Delta Lake, or NoSQL databases.
* At least 2 years of hands\-on experience with Amazon AWS and Databricks platforms.
* Proficiency in SQL and Python for data manipulation, cleaning, merging, and standardization.
* Strong understanding of modern data engineering workflows and frameworks.
* Experience with software development best practices, including Agile methodologies, unit testing, and version control systems.
* Ability to integrate AI tools into data pipelines and workflows.
* Experience developing interactive, reusable, and self\-service online analytics tools.
* Knowledge of machine learning and data mining concepts and techniques.
* Familiarity with cloud\-based analytics tools and data visualization techniques.
* Curiosity and teamwork skills to collaborate effectively across diverse teams and solve complex data challenges.
**Responsibilities**
* Design, develop, and maintain data pipelines to extract, transform, and load data from various sources, including APIs and large datasets.
* Wrangle and clean messy data, ensuring data quality and consistency for analysis and modeling.
* Utilize SQL and Python to merge datasets, recode missing values, and convert data formats for broader usability.
* Implement scalable data storage solutions using big data formats and query tools such as Hadoop, Hive, and NoSQL databases.
* Integrate AI and machine learning tools into data workflows to develop predictive models and analytics solutions.
* Create interactive, self\-service analytics tools to empower stakeholders with timely insights.
* Collaborate with cross\-functional teams to gather requirements, identify data needs, and develop appropriate solutions.
* Document data processes, pipelines, and workflows to ensure transparency and reproducibility.
* Engage in brainstorming sessions, outreach, and visualization efforts to communicate data\-driven insights effectively.
* Stay updated with emerging trends in data engineering, AI, and cloud technologies to continuously improve data solutions.
**Benefits**
* Generous paid time off, including vacation, holidays, sick leave, season days, and paid parental leave.
* Retirement plan with two\-for\-one matching contributions and immediate vesting.
* Comprehensive health insurance options tailored to individual and family needs.
* Life insurance and long\-term disability coverage.
* Flexible spending accounts for healthcare and dependent care expenses.
* Opportunities for professional development and career growth within a supportive environment.
* Access to a vibrant academic community and innovative projects that make a societal impact.
 Equal Opportunity
 The University of Michigan is an equal employment opportunity employer. We celebrate diversity and are committed to creating an inclusive environment for all employees regardless of race, ethnicity, gender, age, disability, sexual orientation, gender identity, or other protected statuses. We encourage applications from individuals of all backgrounds and experiences to join our team in advancing the university’s mission through data\-driven initiatives.</t>
        </is>
      </c>
    </row>
    <row r="132">
      <c r="A132" t="inlineStr">
        <is>
          <t>li-4330579307</t>
        </is>
      </c>
      <c r="B132" t="inlineStr">
        <is>
          <t>Data Engineer</t>
        </is>
      </c>
      <c r="C132" t="inlineStr">
        <is>
          <t>Knot</t>
        </is>
      </c>
      <c r="D132" t="inlineStr">
        <is>
          <t>linkedin</t>
        </is>
      </c>
      <c r="E132">
        <f>HYPERLINK("https://www.linkedin.com/jobs/view/4330579307", "https://www.linkedin.com/jobs/view/4330579307")</f>
        <v/>
      </c>
      <c r="F132" t="inlineStr"/>
      <c r="G132" t="inlineStr">
        <is>
          <t>New York, NY</t>
        </is>
      </c>
      <c r="H132" t="inlineStr"/>
      <c r="I132" t="inlineStr">
        <is>
          <t>**About Knot**
 Knot’s mission is to empower consumers and businesses alike with connected merchant and banking experiences. Knot is like “Plaid for merchant connectivity.” We are building the platform connecting merchants to the many applications that consumers and businesses interact with everyday. Our flagship CardSwitcher product allows consumers to instantly update \&amp; manage their cards on file with online merchant accounts (e.g. Netflix or PayPal), while newer products like TransactionLink support the retrieval of receipt\-level transaction data and AgenticShopping enables 1\-click, native shopping experiences.
 Founded in 2021, Knot was founded by two brothers and Thiel Fellows \- Rory and Kieran O’Reilly \- and today powers connected online payment experiences for hundreds of thousands of consumers. Companies like American Express, PayPal, Current, BILT, Step, and more choose to embed Knot’s SDK in their apps to power best\-in\-class experiences for their customers.
 Knot is proudly backed by a select group of investors, including Nava Ventures, 8VC, American Express, Plaid, and co\-founders \&amp; CEOs of prominent companies like Twitter, Warby Parker, Allbirds, Casper, Intercom, Deel, Italic, DraftKings, and many more.
**Working at Knot**
 We’re a world\-class team hailing from all over the globe with the vast majority of the company in engineering roles. We are looking to further solidify our presence in NYC to be at the heart of the financial services ecosystem.
 Our team is relentlessly focused on building for our customers and every member of the financial services ecosystem. We take our work seriously and have fun while doing it. Both are equally important.
**What You’ll Do**
* Design, build, and maintain a modern data warehouse (BigQuery)
* Define and implement data models, schemas, and transformations that support scalable analytics.
* Build and maintain robust ETL/ELT pipelines to ingest data from databases, third\-party APIs, and external data sources.
* Manage batch and real\-time data processing workflows.
* Collaborate with product engineers to build data\-driven features and user\-facing functionality powered by analytics and aggregated data.
* Design data pipelines and models that support experimentation, personalization, scoring, or insight\-driven product features.
* Ensure production systems can safely and efficiently consume analytical data.
* Implement data quality checks, lineage, and monitoring to ensure trust in data.
* Enforce data governance, access controls, and security best practices.
* Document data models, pipelines, and architectural decisions.
**What You’ll Need**
* Proven experience as a Data Engineer, ideally within a startup environment
* Strong SQL skills and experience designing analytics\-focused data models.
* Hands\-on experience with cloud data warehouses (BigQuery).
* Experience building and maintaining ETL/ELT pipelines using tools such as Airflow, dbt, Fivetran, or custom frameworks.
* Proficiency in at least one programming language (Python).
* Solid understanding of data architecture, performance optimization, and data quality practices.
**What We Offer**
* Interesting and challenging work
* Competitive base salary (commensurate with experience) \+ up to 20% annual bonus \+ generous early employee equity
* 100% medical, dental, and vision insurance coverage for you and your dependents (U.S.)
* Unlimited PTO
* Parental leave
* Beautiful NYC office in the heart of Flatiron
* Herman Miller Aeron Desk Chair
* Food (snacks, frequent lunches, and often dinner for those working late)</t>
        </is>
      </c>
    </row>
    <row r="133">
      <c r="A133" t="inlineStr">
        <is>
          <t>li-4329586736</t>
        </is>
      </c>
      <c r="B133" t="inlineStr">
        <is>
          <t>Data Engineer</t>
        </is>
      </c>
      <c r="C133" t="inlineStr">
        <is>
          <t>Obsidian Insurance Holdings, Inc</t>
        </is>
      </c>
      <c r="D133" t="inlineStr">
        <is>
          <t>linkedin</t>
        </is>
      </c>
      <c r="E133">
        <f>HYPERLINK("https://www.linkedin.com/jobs/view/4329586736", "https://www.linkedin.com/jobs/view/4329586736")</f>
        <v/>
      </c>
      <c r="F133" t="inlineStr"/>
      <c r="G133" t="inlineStr"/>
      <c r="H133" t="inlineStr"/>
      <c r="I133" t="inlineStr">
        <is>
          <t>**Location:** 
 100% remote position, priority given to candidates located in eastern and central time zones
**Travel Required:** 
 Less than 10%
**Direct Reports:** 
 n/a
 Obsidian offers a competitive benefits package including:
* Medical, dental, vision insurance
* 401k retirement options (up to 4% match with immediate 100% vesting)
* Group life, AD\&amp;D and short\-term and long\-term disability
* Health Savings Accounts and Flexible Spending Accounts with $1,000 annual company match
* Employee Assistance Program
* 100% remote workforce, flexible schedule and paid holidays
* Vacation and sick leave
* Monthly work\-from\-home stipend
* Annual professional development stipend
* Company offsites to collaborate and have fun in person!
 Behind every great decision is great data. At Obsidian, our data team helps turn complexity into clarity \- and we're growing. Reporting to the Head of Data, the Data Engineer, alongside fellow team members, helps to build our enterprise data platform using modern technologies. We are looking for a strong technical individual who is curious, collaborative, and eager to be a trusted partner across teams.
**Role and Responsibilities:** 
* Participate and contribute to design sessions and code review sessions.
* Configure and manage data ingestion tools such as data factory, stitch, azure synapse etc.
* Create and maintain optimal data pipeline architecture using python and SQL.
* Identify, design, and implement internal process improvements such as automating manual processes, optimizing data delivery, designing smoothly scalable infrastructure
* Build and maintain ELT/ETL pipelines using cutting edge analytics engineering approach and techniques.
* Build and support enterprise BI models using Microsoft Power BI
* Work with business users and stakeholders to assist with data\-related technical issues and support their data needs.
* Explain complex technical concepts and insights to non\-technical cross functional team members
**Core Requirements and Education** 
* Bachelor's degree in computer science or related field, or equivalent experience
* Minimum of 5\-7 years of experience working collaboratively with cross\-functional teams to achieve an organizational goal ideally in an agile environment
* Insurance and/or re\-insurance data experience is required, including experience with cession statements data and ceded premium concepts
* Well\-developed SQL and Python coding skills
* Substantial experience in Azure platform services or equivalent, such as Snowflake or Big Query
* Strong hands\-on experience in modern BI and analytics tools such as Power BI or equivalent
* Approachable personality and experienced building strong cross functional rapports with business counter parts, and leveraging people skills for smooth project execution
**Highly Valued** 
* Familiarity with Workday accounting center and/or Prism Analytics is preferred
* Familiar with medallion architecture and concepts
* Understanding of industry standard data warehousing concepts and architectures such as Kimbal and Inman
* Hands on expertise for building and scaling CI/CD pipelines on Azure Git
* Expert in ETL/ELT and performance tunning
* System design experience is preferred</t>
        </is>
      </c>
    </row>
    <row r="134">
      <c r="A134" t="inlineStr">
        <is>
          <t>li-4323458468</t>
        </is>
      </c>
      <c r="B134" t="inlineStr">
        <is>
          <t>Data Engineer II</t>
        </is>
      </c>
      <c r="C134" t="inlineStr">
        <is>
          <t>SimpliSafe</t>
        </is>
      </c>
      <c r="D134" t="inlineStr">
        <is>
          <t>linkedin</t>
        </is>
      </c>
      <c r="E134">
        <f>HYPERLINK("https://www.linkedin.com/jobs/view/4323458468", "https://www.linkedin.com/jobs/view/4323458468")</f>
        <v/>
      </c>
      <c r="F134">
        <f>HYPERLINK("https://grnh.se/inixg8ma1us?gh_src=db88fc841us&amp;urlHash=kjRz", "https://grnh.se/inixg8ma1us?gh_src=db88fc841us&amp;urlHash=kjRz")</f>
        <v/>
      </c>
      <c r="G134" t="inlineStr">
        <is>
          <t>Boston, MA</t>
        </is>
      </c>
      <c r="H134" t="inlineStr"/>
      <c r="I134" t="inlineStr">
        <is>
          <t>**About SimpliSafe**
 SimpliSafe is a leading innovator in the home security industry, dedicated to making every home a safe home. With a mission to provide accessible and comprehensive security solutions, we design and build user\-centric products that empower individuals and families to protect what matters most.
 We believe in a collaborative and agile environment where learning and growth are continuous. Our teams are composed of talented individuals who are passionate about technology, security, and delivering exceptional customer experiences.
 We're embracing a hybrid work model that enables our teams to split their time between office and home. Hybrid for us means we expect our teams to come together in our state\-of\-the\-art office on two core days, typically Tuesday and Wednesday, to work together in person, and teams can choose where they work for the remainder of the week. We all benefit from flexibility and get to use the best of both worlds to get our work done.
**Why are we hiring?**
 Well, we're growing and thriving. So, we need smart, talented, and humble people who share our values to join us as we disrupt the home security space and relentlessly pursue our mission of keeping Every Home Secure.
**About the Role**
 As a Data Engineer II on our Core Engineering Data Team, you will focus on building, maintaining, and optimizing the critical data pipelines and infrastructure that power our analytical and application platforms. You will play a key role in ensuring our data is accurate, reliable, and accessible for downstream ML, Engineering, and Product teams. If you have a passion for data, cloud technology, and continuous improvement, we encourage you to apply.
**Responsibilities:**
 The Data Engineer II will focus on executing core data engineering tasks, supporting the senior team members, and contributing to platform improvements:
* Develop and maintain efficient and reliable ETL/ELT data pipelines from product and service data sources to our centralized analytical platforms.
* Implement and monitor data pipeline orchestration using tools like Airflow or Dagster to ensure timely and accurate data delivery.
* Collaborate with senior engineers and analysts to understand requirements and implement technical solutions for data workflows.
* Perform routine monitoring of pipeline performance and reliability, assisting with troubleshooting and optimizing for efficiency.
* Contribute to the optimization of table structures and data storage to support various query and usage patterns.
* Support and maintain data discovery, catalog, and analytics tooling for internal teams.
* Assist in implementing data security measures and ensuring compliance with data governance policies.
* Write and maintain data quality validation checks and unit tests to ensure the integrity and reliability of data pipelines.
* Participate in team\-wide discussions to help develop and refine team norms and engineering best practices.
**Qualifications**
* Bachelor's degree in Computer Science, Engineering, Mathematics, or a related field or equivalent practical experience
* 2\+ years of experience in software engineering, data engineering, or a related field
* Foundational knowledge of AWS or other public cloud platforms (e.g., Azure, GCP)
* Strong SQL knowledge and experience optimizing for data warehousing technologies like AWS Athena
* Strong knowledge of Python for use in data transformation
* Experience with ETL/ELT, schema design, and datalake technologies
* Familiarity with various data and table formats (JSON, Avro, Parquet, Iceberg)
* Love of data and a passion for building reliable data products
**Nice to Have**
* Experience with CI/CD pipelines, Docker, Kubernetes, and infrastructure\-as\-code tools (e.g., Terraform, CloudFormation)
* Familiarity with data orchestration tools like Dagster, Airflow, or Prefect
* Experience in home security technology and/or consumer IoT products
* Experience using and managing data analytics, data quality, and data catalog tools
* Familiarity with data streaming platforms like Kafka, Kinesis, or Spark
**What Values You'll Share**
* Customer Obsessed \- Building deep empathy for our customers, putting them at the core of our work, and developing strong, long\-term relationships with them.
* Aim High \- Always challenging ourselves and others to raise the bar.
* No Ego \- Maintaining a "no job too small" attitude, and an open, inclusive and humble style.
* One Team \- Taking a highly collaborative approach to achieving success.
* Lift As We Climb \- Investing in developing others and helping others around us succeed.
* Lean \&amp; Nimble \- Working with agility and efficiency to experiment in an often ambiguous environment.
**What We Offer**
* A mission\- and values\-driven culture and a safe, inclusive environment where you can build, grow and thrive
* A comprehensive total rewards package that supports your wellness and provides security for SimpliSafers and their families (For more information on our total rewards please click here)
* Free SimpliSafe system and professional monitoring for your home.
* Employee Resource Groups (ERGs) that bring people together, give opportunities to network, mentor and develop, and advocate for change.
 The target annual base pay range for this role is $93,200 to $136,600\.
 This target annual base pay range represents our good\-faith estimate of what we expect to pay for this role. We use a market\-based compensation approach to set our target annual base pay ranges and make adjustments annually. We carefully tailor individual compensation packages, including base pay, taking into consideration employees' job\-related skills, experience, qualifications, work location, and other relevant business factors.
 Beyond base pay, we offer a Total Rewards package that may include participation in our annual bonus program, equity, and other forms of compensation, in addition to a full range of medical, retirement, and lifestyle benefits. More details can be found here.
 We're committed to fair and equitable pay practices, as well as pay transparency. We regularly review our programs to ensure they remain competitive and aligned with our values.
*We wholeheartedly embrace and actively seek applications from all individuals, no matter how they identify. We are committed to cultivating a diverse and inclusive workplace, and we believe our work is enriched when we incorporate a multitude of perspectives, backgrounds, and experiences. We want everyone who works here to thrive and contribute to not only our mission of keeping every home secure, but also to making our workplace safe and supportive for others. If a reasonable accommodation may be needed to fully participate in the job application or interview process, to perform the essential functions of a position, or to receive other benefits and privileges of employment, please contact* 
*careers@simplisafe.com* 
*.*</t>
        </is>
      </c>
    </row>
    <row r="135">
      <c r="A135" t="inlineStr">
        <is>
          <t>li-4294866075</t>
        </is>
      </c>
      <c r="B135" t="inlineStr">
        <is>
          <t>Business Intelligence Data Engineer</t>
        </is>
      </c>
      <c r="C135" t="inlineStr">
        <is>
          <t>AmTrust Financial Services, Inc.</t>
        </is>
      </c>
      <c r="D135" t="inlineStr">
        <is>
          <t>linkedin</t>
        </is>
      </c>
      <c r="E135">
        <f>HYPERLINK("https://www.linkedin.com/jobs/view/4294866075", "https://www.linkedin.com/jobs/view/4294866075")</f>
        <v/>
      </c>
      <c r="F135" t="inlineStr"/>
      <c r="G135" t="inlineStr"/>
      <c r="H135" t="inlineStr"/>
      <c r="I135" t="inlineStr">
        <is>
          <t>**Overview**
 As a Data Engineer (Analytics Specialist), you will build robust data warehouse/marts/sets which will enable business users to make informed decisions. You will use advanced SQL tools to move large amounts of data and build complex algorithms.
**Responsibilities**
* Collaborates with stakeholders, data engineers, and data scientists to ensure analytics data needs align with organizational goals and priorities and elevate our business processes.
* Develops ETL processes to extract data from various sources, transform it into a format suitable for analysis across AmTrust.
* Create moderately complex data models that describe the relationship between different data entities. Develop database schemas that are optimized for querying and analysis.
* Design advanced validation and cleansing processing to identify and fix data quality issues for quality and accuracy of the data throughout
* Medium\-to\-Advanced level understanding of business processes of a variety of areas in the company including finance, operations, underwriting, sales, claims, and actuarial to develop a deep understanding of the workflow and the relevant data to produce insights for the larger organization.
* Work with IT resources to integrate data warehouse data, test and validate report building, process automation, and dashboard development.
**Qualifications**
* 5\+ years minimum experience writing SQL, DAX, SSAS, and creating SSIS Packages
* Knowledge of Software Development Life Cycle, Git, Agile
* Undergraduate degree in Computer Science, Information Systems, Engineering, or equivalent years of work experience.
 The expected salary range for this role is $90K\-$100K/year.
 Please note that the salary information shown above is a general guideline only. Salaries are based upon a wide range of factors considered in making the compensation decision, including, but not limited to, candidate skills, experience, education and training, the scope and responsibilities of the role, as well as market and business considerations.
**What We Offer**
 AmTrust Financial Services offers a competitive compensation package and excellent career advancement opportunities. Our benefits include: Medical \&amp; Dental Plans, Life Insurance, including eligible spouses \&amp; children, Health Care Flexible Spending, Dependent Care, 401k Savings Plans, Paid Time Off.
 AmTrust strives to create a diverse and inclusive culture where thoughts and ideas of all employees are appreciated and respected. This concept encompasses but is not limited to human differences with regard to race, ethnicity, gender, sexual orientation, culture, religion or disabilities.
 AmTrust values excellence and recognizes that by embracing the diverse backgrounds, skills, and perspectives of its workforce, it will sustain a competitive advantage and remain an employer of choice. Diversity is a business imperative, enabling us to attract, retain and develop the best talent available. We see diversity as more than just policies and practices. It is an integral part of who we are as a company, how we operate and how we see our future.</t>
        </is>
      </c>
    </row>
    <row r="136">
      <c r="A136" t="inlineStr">
        <is>
          <t>li-4330548267</t>
        </is>
      </c>
      <c r="B136" t="inlineStr">
        <is>
          <t>Data Engineer</t>
        </is>
      </c>
      <c r="C136" t="inlineStr">
        <is>
          <t>Smart IT Frame LLC</t>
        </is>
      </c>
      <c r="D136" t="inlineStr">
        <is>
          <t>linkedin</t>
        </is>
      </c>
      <c r="E136">
        <f>HYPERLINK("https://www.linkedin.com/jobs/view/4330548267", "https://www.linkedin.com/jobs/view/4330548267")</f>
        <v/>
      </c>
      <c r="F136" t="inlineStr"/>
      <c r="G136" t="inlineStr">
        <is>
          <t>Reston, VA</t>
        </is>
      </c>
      <c r="H136" t="inlineStr"/>
      <c r="I136" t="inlineStr">
        <is>
          <t>**ROLE: AWS Data Engineer** 
**Location\- Reston, VA (In person interview)** 
**JD:** 
 Seeking an AWS Data Engineer to design, build, and maintain scalable data pipelines and ETL solutions using Python/Pyspark and AWS managed services to support analytics and data product needs.
**Key Responsibilities** 
* Build and maintain ETL pipelines using
 **Python** 
 and
 ***PySpark***
 on AWS Glue and other compute platforms
* Orchestrate workflows with AWS Step Functions and serverless components (
 **Lambda** 
 )
* Implement messaging and event\-driven patterns using AWS
 **SNS** 
 and
 **SQS**
* Design and optimize data storage and querying in Amazon
 **Redshift**
* Write performant
 **SQL** 
 for data transformations, validation, and reporting
* Ensure data quality, monitoring, error handling and operational support for pipelines
* Collaborate with data consumers, engineers, and stakeholders to translate requirements into solutions
* Contribute to
 **CI/CD** 
 , infrastructure\-as\-code, and documentation for reproducible deployments
**Required Skills** 
* Strong experience with Python and Pyspark for large\-scale data processing
* Proven hands\-on experience with AWS services: Lambda, SNS, SQS, Glue, Redshift, Step Functions
* Solid SQL
 *SQL* 
 skills and familiarity with data modeling and query optimization
* Experience with ETL best practices, data quality checks, and monitoring/alerting
* Familiarity with version control (Git) and basic DevOps/CI\-CD workflows</t>
        </is>
      </c>
    </row>
    <row r="137">
      <c r="A137" t="inlineStr">
        <is>
          <t>li-4351710622</t>
        </is>
      </c>
      <c r="B137" t="inlineStr">
        <is>
          <t>Associate Data Engineer</t>
        </is>
      </c>
      <c r="C137" t="inlineStr">
        <is>
          <t>XiFin, Inc.</t>
        </is>
      </c>
      <c r="D137" t="inlineStr">
        <is>
          <t>linkedin</t>
        </is>
      </c>
      <c r="E137">
        <f>HYPERLINK("https://www.linkedin.com/jobs/view/4351710622", "https://www.linkedin.com/jobs/view/4351710622")</f>
        <v/>
      </c>
      <c r="F137" t="inlineStr"/>
      <c r="G137" t="inlineStr"/>
      <c r="H137" t="inlineStr"/>
      <c r="I137" t="inlineStr">
        <is>
          <t>**Are you looking to jump start your career?**
 At
 **XiFin** 
 , we believe a healthier, more efficient healthcare system starts with strong financial and operational foundations. Our innovative technologies help diagnostic providers, laboratories, and healthcare systems manage complexity, drive better outcomes, and stay focused on what matters most:
 **patient care** 
 .
 One of the ways we are achieving this is through our Career Development Program. The Career Development Program offers long\-term employment and is designed to
 **empower, develop, and inspire** 
 new graduates and emerging talent by providing meaningful opportunities to learn, grow, and thrive. We are committed to fostering a culture of inclusion, mentorship, and innovation, where early\-career professionals can build the skills, confidence, and networks needed to create impact today and become the leaders of tomorrow.
 Through structured learning, real\-world experiences, and community\-building, you will:
* Receive accelerated professional growth through mentorship, learning, and hands\-on experiences.
* Discover your voice and impact by contributing to meaningful work.
* Find community and belonging in an environment that celebrates collaboration and individuality.
**About The Role**
 As an
 **Associate Data Engineer in XiFin’s Career Development Program** 
 you will be part of a team of dynamic professionals reportingdirectly to the Sr. Data Engineer. In your day\-to\-day, you’ll play a critical part in developing, testing, and supporting data pipelines and transformations, specifically within intricate healthcare and financial domains. You will not only collaborate with various departments but also play a pivotal role in extracting innovative insights from vast datasets. This is an exciting opportunity to join a team that values continuous learning, mentorship, and operational excellence. This position will be located at our office in San Diego, CA.
**How you will make an impact:**
 In this role, you’ll:
* Collaborate with various teams to architect and deliver robust data solutions.
* Extract valuable insights from complex datasets to drive business decisions.
* Design, develop, test, and maintain data pipelines, transformations as well as ML webservices, especially for intricate healthcare and financial datasets.
* Engineer and support high\-quality ETL or ELT data pipelines using tools like Talend, Python, Java, SQL, and/or SAP DI or any other cloud data services.
* Integrate data from diverse sources, ensuring it's cleaned, standardized, and seamlessly loaded into both OLTP systems and data warehouses.
* Proactively identify, diagnose, and rectify any issues within production pipelines and integration tasks.
* Engage closely with reporting, analytics team members, as part of machine learning team to understand requirements, assist in testing, and address any operational challenges.
**What you will bring to the team:**
 We’re looking for someone with a growth mindset and a passion for learning. You might be a great fit if you:
* Are a new graduate with a bachelor’s or master’s degree
* Communicate clearly and confidently, both in writing and in conversation
* Are eager to learn, ask great questions, and work with others to solve problems
* Willing to collaborate across the organization to drive XiFin’s business forward
**Skills and experience you have:**
 You don’t need to check every box. We will consider a combination of education and experience, including:
* Must have obtained a bachelor’s or master’s degree in computer science, engineering or a related technical field, by or within the 6 months preceding the start date of June 2026
* Located in the greater San Diego area
* Demonstrated knowledge of Python, Java, and SQL
**Why XiFin?**
 We’re more than just a healthcare technology company—we’re a team that cares about people.
 Here’s a glimpse at what we offer:
* Comprehensive health benefits including medical, dental, vision, and telehealth
* 401(k) with company match and personalized financial coaching to support your financial future
* Health Savings Account (HSA) with company contributions
* Wellness incentive that rewards your preventive healthcare activities
* Tuition assistance to support your further education and growth
* Annual volunteer event
* Flexible time off and company\-paid holidays
* Social and fun events to build community at our locations!
**Pay Transparency**
 At XiFin, we believe in pay transparency and fairness. Expected annualized salary range based on department placement as well as degree level achieved:
**$70,300 \- $90,000**
 Final compensation will be determined during the selection process and may vary accordingly. \*
* Specific roles may fall outside of the ranges listed above and are compensated differently based on market conditions and specialized skill requirements.
**Accessibility \&amp; Accommodations**
 We’re committed to providing an inclusive and accessible experience for all applicants. If you need a reasonable accommodation during the application process, please contact us at 858\-436\-2901\.
**Equal Opportunity Employer**
 XiFin is proud to be an equal opportunity employer. We value diverse voices and do not discriminate on the basis of race, color, religion, national origin, gender, gender identity, sexual orientation, disability, age, veteran status or any other basis protected by law.
**Ready to apply?**
 We’d love to hear from you—even if you’re not sure you meet every qualification. If you're excited about the role and believe you can contribute to our team, please apply. Let's build something meaningful together.</t>
        </is>
      </c>
    </row>
    <row r="138">
      <c r="A138" t="inlineStr">
        <is>
          <t>li-4342862239</t>
        </is>
      </c>
      <c r="B138" t="inlineStr">
        <is>
          <t>Sr Data Engineer - Analytics</t>
        </is>
      </c>
      <c r="C138" t="inlineStr">
        <is>
          <t>Xperi Inc.</t>
        </is>
      </c>
      <c r="D138" t="inlineStr">
        <is>
          <t>linkedin</t>
        </is>
      </c>
      <c r="E138">
        <f>HYPERLINK("https://www.linkedin.com/jobs/view/4342862239", "https://www.linkedin.com/jobs/view/4342862239")</f>
        <v/>
      </c>
      <c r="F138" t="inlineStr"/>
      <c r="G138" t="inlineStr">
        <is>
          <t>Durham, NC</t>
        </is>
      </c>
      <c r="H138" t="inlineStr"/>
      <c r="I138" t="inlineStr">
        <is>
          <t>Xperi invents, develops and delivers technologies that create extraordinary experiences at home and on the go for millions of people around the world. Powering billions of consumer electronics, connected cars and digital content titles, we make entertainment more immersive, driving more intelligent and every interaction seamlessly personalized through our renowned consumer brands: DTS®, HD Radio™ and TiVo®.       Xperi (NYSE: XPER) is a publicly traded technology company headquartered in San Jose, CA with employees across North America, Europe and Asia. Come join a thriving team where you can play an integral role in shaping the future of entertainment technology. About the role: Join a team that is dedicated to creating world\-class development and deployment environments that are highly scalable and resilient. As Data Engineer \- Analytics, you’ll play a truly rewarding part in delivering insights for our TiVo One platform, an industry\-leading Saas offering. Enjoy the opportunity to draw on your passion for problem\-solving and simplifying tasks, as well as your technical skill set to make important contributions to the platform. You’ll collaborate daily in an agile development environment with an extended team of experienced engineers. The Data Engineer \- Analytics is a key role in TiVo’s Content organization. The Content team handles the challenges of creating scalable services for TiVo\-branded experiences, with a key focus on driving TiVo One viewership. This technical role is focused on developing and deploying cloud\-based offerings using a wide range of tools and frameworks, automating operational tasks, improving performance modeling , and working with development and operational teams to solve complex problems.  You will collaborate closely with business stakeholders to help us better understand our TiVo One viewership performance.All candidates must bring a basic understanding of AI concepts or interest in AI tools and technologies. We’re looking for individuals who are curious about AI, eager to learn, and aim to integrate it into their work in alignment with organizational policies.  What you will get to do:
 * Perform exploratory analysis, create dashboards, and generate actionable insights for engineering and business teams.
* Build datasets that support reporting, monitoring, and operational intelligence.
* Design, build, and maintain scalable ETL/ELT pipelines and data models.
* Implement data quality checks, metadata management, and documentation.
* Drive technical and architectural excellence across our data engineering services
* Imagine, design and develop new visualizations that help us understand our business performance
* Utilize and promote sound development practices (requirements gathering, design reviews, code reviews, retrospective meetings, etc.)
* Adhere to core design and testing principles set by team and group leadership
* Identify and automate repetitive operational tasks at all stages of the software lifecycle
* Build tools and systems to increase operational transparency and monitoring of SaaS products across Xperi
 Who we are looking for:Must have:
 * Strong Python and SQL for data manipulation and analytics.
* Strong expertise in Java and OO design
* Experience with modern data engineering tools (Airflow/Dagster/Prefect, dbt).
* Proficiency with cloud data platforms (BigQuery, Snowflake).
* Familiarity with data warehousing concepts, dimensional modeling, and schema design.
* Experience with CI/CD, version control (Git)
* Experience designing and developing large software systems
* Experience with JSON and REST
 Nice to have:
 * Stream processing (Kafka Streams)
* NoSQL databases, key\-stores and other data\-structure solutions (i.e., Dynamo, Cassandra, MongoDB)
* Continuous Integration platforms (Jenkins)
* Offline data processing (PySpark, Airflow)
* Virtualization and container orchestration (Docker, Kubernetes)
* Monitoring and logging tools (Prometheus, ELK)
* Virtual application and web servers (Apache, NGINX)
* Cloud infrastructure (AWS)
 What will make you successful:
 * The ability to propose, design and develop solutions that scale
* Expert problem\-solving skills
* Ability to translate data insights into operational decisions.
* Excellent written and oral communication skills
* Can work independently in fast\-paced IT environments.
* 
 Life @ Xperi:      At Xperi, we value People, Customers, Performance and Innovation. We are dedicated to creating a workplace where all employees have a voice and sense of belonging, feel safe and valued, and are acknowledged for how their unique differences contribute to organizational culture and business outcomes.     Our employees and their families are important to us, and our comprehensive pay, stock and benefits programs reflect that. Xperi supports personal well\-being, builds financial security and enables employees to share in our collective success.     Rewards include:     
 * Competitive compensation (salary, equity and bonuses) and comprehensive benefits designed to foster work\-life balance, care for your health, protect your finances and help you save and invest for the future.
* Generous paid time away from work, including flexible time off, holidays and sick time, health and wellness initiatives, and a charitable match program to help you give back to your community.
* Great perks, which vary by location and can be site\-specific: employee discounts, transportation reimbursements, subsidized cafes and fitness facilities.
* A flexible, hybrid work environment combining the best of in\-office collaboration and community\-building along with the benefits of working from home.</t>
        </is>
      </c>
    </row>
    <row r="139">
      <c r="A139" t="inlineStr">
        <is>
          <t>li-4358187167</t>
        </is>
      </c>
      <c r="B139" t="inlineStr">
        <is>
          <t>Sr Data Engineer</t>
        </is>
      </c>
      <c r="C139" t="inlineStr">
        <is>
          <t>Lennar</t>
        </is>
      </c>
      <c r="D139" t="inlineStr">
        <is>
          <t>linkedin</t>
        </is>
      </c>
      <c r="E139">
        <f>HYPERLINK("https://www.linkedin.com/jobs/view/4358187167", "https://www.linkedin.com/jobs/view/4358187167")</f>
        <v/>
      </c>
      <c r="F139" t="inlineStr"/>
      <c r="G139" t="inlineStr">
        <is>
          <t>Irving, TX</t>
        </is>
      </c>
      <c r="H139" t="inlineStr"/>
      <c r="I139" t="inlineStr">
        <is>
          <t>**Job Description**
**We are Lennar**
 Lennar is one of the nation's leading homebuilders, dedicated to making an impact and creating an extraordinary experience for their Homeowners, Communities, and Associates by building quality homes and providing exceptional customer service, giving back to the communities in which we work and live in, and fostering a culture of opportunity and growth for our Associates throughout their career. Lennar has been recognized as a Fortune 500® company and consistently ranked among the top homebuilders in the United States.
**Join a Company that Empowers you to Build your Future**
 A Sr. Data Engineer is an experienced professional responsible for leading the development of complex data architectures. The role involves mentoring junior engineers, designing large\-scale data solutions, and ensuring the reliability of data infrastructure. This position requires expertise in data engineering practices and a proactive approach to problem\-solving.
* A career with purpose.
* A career built on making dreams come true.
* A career built on building zero defect homes, cost management, and adherence to schedules.
**Your Responsibilities On The Team**
* Lead the design and implementation of scalable, high\-performance data architectures that support diverse data sources, including structured, semi\-structured, and unstructured data.
* Architect and build data pipelines that can process and analyze large\-scale datasets in real\-time and batch modes.
* Mentor and guide junior data engineers in best practices, code quality, and technical skills, fostering a culture of continuous learning.
* Ensure the reliability, efficiency, and security of data pipelines by implementing monitoring, alerting, and automated recovery mechanisms.
* Collaborate with cross\-functional teams, including data scientists, analysts, and product managers, to align data solutions with business needs and goals.
* Lead the adoption of new technologies and tools that enhance the data engineering capabilities of the team.
* Oversee the development of data models, schemas, and data marts that enable efficient data analysis and reporting.
* Implement data governance frameworks, including data lineage, metadata management, and data quality standards.
* Configure and setup systems for rapid development and deployment using industry best practices.
**Requirements**
* Bachelor's or Master's degree in Computer Science, Information Technology, or a related field.
* 5\-7 years of experience in data engineering or a related role, with a proven track record of delivering scalable data solutions.
* Advanced SQL skills, including query optimization, indexing strategies, and data modeling techniques (e.g., star and snowflake schemas), version control or change data techniques and administration.
* Expertise in programming languages such as Python, Java, or Scala, with experience in developing complex data processing algorithms.
* In\-depth knowledge of cloud data services and big data technologies, such as Microsoft Fabric (preferred), Snowflake, AWS EMR, Azure HDInsight, or Google Dataflow.
* Experience with data streaming technologies, such as Data Explorer, Apache Kafka, Apache Flink, or Amazon Kinesis, for real\-time data processing.
* Implementation knowledge of data and delta lake architectures, data warehousing, data integration techniques, eventhouse, warehousing and open source formats.
* Expert in data pipeline orchestration tools, such as Azure Data Factory, Apache Airflow, Prefect, or Dagster, for managing complex workflows.
* Knowledge of data security frameworks and compliance standards (e.g., GDPR, HIPAA) and their application in data engineering.
* Experience with DevOps practices, including CI/CD pipelines, infrastructure as code (e.g., Terraform, CloudFormation), and containerization (e.g., Docker, Kubernetes).
* Microsoft SQL Server, Azure, Microsoft Fabric, Snowflake, Event Architecture
* Azure Data Factory, Fabric Pipelines , DBT
* SQL, Python, Java, PySpark notebooks,C\#.net, KQL
* Excellent ability to convey complex ideas to both technical and non\-technical audiences.
* Demonstrates advanced problem\-solving skills, tackling complex issues with innovative solutions.
* AWS, Snowflake, Azure
* Models ethical behavior and decision\-making, fostering a culture of trust within the team.
* Thrives in high\-pressure situations, maintaining effectiveness and composure.
* Champions change initiatives and drives continuous improvement within the organization.
* Leads cross\-functional teams, ensuring alignment and cooperation across departments.
* Provides strategic leadership, influencing team direction and mentoring future leaders.
* Ensures accountability at all levels, holding team members responsible for their contributions.
**Life at Lennar**
 At Lennar, we are committed to fostering a supportive and enriching environment for our Associates, offering a comprehensive array of benefits designed to enhance their well\-being and professional growth. Our Associates have access to robust health insurance plans, including Medical, Dental, and Vision coverage, ensuring their health needs are well taken care of. Our 401(k) Retirement Plan, complete with a $1 for $1 Company Match up to 5%, helps secure their financial future, while Paid Parental Leave and an Associate Assistance Plan provide essential support during life's critical moments. To further support our Associates, we provide an Education Assistance Program and up to $30,000 in Adoption Assistance, underscoring our commitment to their diverse needs and aspirations. From the moment of hire, they can enjoy up to three weeks of vacation annually, alongside generous Holiday, Sick Leave, and Personal Day policies. Additionally, we offer a New Hire Referral Bonus Program, significant Home Purchase Discounts, and unique opportunities such as the Everyone’s Included Day. At Lennar, we believe in investing in our Associates, empowering them to thrive both personally and professionally. Lennar Associates will have access to these benefits as outlined by Lennar’s policies and applicable plan terms. Visit Lennartotalrewards.com to view our suite of benefits.
 Join the fun and follow us on social media to see what's happening at our company, and don't forget to connect with us on Lennar: Overview \| LinkedInhttps://www.linkedin.com/company/lennar/\&gt; for the latest job opportunities.
**Lennar is an equal opportunity employer and complies with all applicable federal, state, and local fair employment practices laws.**</t>
        </is>
      </c>
    </row>
    <row r="140">
      <c r="A140" t="inlineStr">
        <is>
          <t>li-4349342662</t>
        </is>
      </c>
      <c r="B140" t="inlineStr">
        <is>
          <t>DATA ENGINEER III</t>
        </is>
      </c>
      <c r="C140" t="inlineStr">
        <is>
          <t>C2Q Health Solutions</t>
        </is>
      </c>
      <c r="D140" t="inlineStr">
        <is>
          <t>linkedin</t>
        </is>
      </c>
      <c r="E140">
        <f>HYPERLINK("https://www.linkedin.com/jobs/view/4349342662", "https://www.linkedin.com/jobs/view/4349342662")</f>
        <v/>
      </c>
      <c r="F140" t="inlineStr"/>
      <c r="G140" t="inlineStr"/>
      <c r="H140" t="inlineStr"/>
      <c r="I140" t="inlineStr">
        <is>
          <t>**Job Purpose**
 The Data Engineer III will play a pivotal role in designing, developing, and maintaining the data architecture for our organization. This individual will be responsible for T\-SQL development, ETL processes, and Python scripting to ensure efficient data transfer, transformation, and integration. The primary focus will be on automating data workflows, supporting diverse file formats, and utilizing APIs for seamless data import and export. The Data Engineer will collaborate closely with cross\-functional teams to enhance data\-driven decision\-making and contribute to the overall success of our data infrastructure.
**Job Responsibilities**
* Utilize advanced T\-SQL skills to design, optimize, and maintain database structures.
* Develop complex SQL queries for reporting and data transformation.
* Design, implement, and optimize ETL processes for efficient data extraction, transformation, and loading.
* Develop and maintain ETL scripts using Python for seamless integration with existing data workflows.
* Automate SFTP file transfer processes, ensuring secure and reliable data exchange.
* Import and export data and files in various formats, including flat file, XML, JSON, X12, Excel, and Parquet using Python.
* Utilize Python to integrate with APIs for importing and exporting data.
* Collaborate with team members and stakeholders to review and optimize code for efficiency and maintainability.
* Collaborate with analysts and business stakeholders to understand data visualization requirements.
* Work closely with cross\-functional teams to understand data requirements and ensure data integrity.
* Document data engineering processes, standards, and best practices.
* Use Git and Github for version control of scripts and queries, ensuring a collaborative and organized development environment.
* Integrate Tableau for effective data representation and reporting.
**Schedule:** 
 8:30 AM – 5:30 PM
**Weekly Hours:** 
 40
**Qualifications**
**Education:** 
 Bachelor's Degree in Computer Science, Information Technology, or a related field.
**Experience:** 
 Minimum of 5 years of hands\-on experience in T\-SQL development and ETL processes. Proven experience in Python scripting for data manipulation and automation.
**Additional Requirements**
**Technical Skills:**
* Strong expertise in database design, optimization, and maintenance using T\-SQL.
* Proficient in developing and optimizing ETL processes.
* Experience with automating SFTP file transfers and handling diverse file formats.
* Knowledge of data formats such as XML, JSON, X12, Excel, and Parquet.
* Familiarity with API integration for data import and export using Python.
* Proficient in version controlling scripts and queries using Git and Github.
**Preferred Skills**
* Experience in data visualization using Tableau.
* Strong problem\-solving skills and ability to troubleshoot data\-related issues effectively.
* Identify and implement solutions to complex technical projects.
* Ability to work independently and in a team environment.
* Excellent communication and collaboration skills.
* Knowledge of health care delivery and operations a plus.
**Physical Requirements**
 Individuals must be able to sustain certain physical requirements essential to the job. This includes, but is not limited to:
* Standing – Duration of up to 6 hours a day.
* Sitting/Stationary Positions – Sedentary position in duration of up to 6\-8 hours a day for consecutive hours/periods.
* Lifting/Push/Pull – Up to 50 pounds of equipment, baggage, supplies, and other items used in the scope of the job using OSHA guidelines, etc.
* Bending/Squatting – Have to be able to safely bend or squat to perform the essential functions under the scope of the job.
* Stairs/Steps/Walking/Climbing – Must be able to safely maneuver stairs, climb up/down, and walk to access work areas.
* Agility/Fine Motor Skills \- Must demonstrate agility and fine motor skills to operate and activate equipment, devices, instruments, and tools to complete essential job functions (ie. typing, use of supplies, equipment, etc.)
* Sight/Visual Requirements – Must be able to visually read documentation, papers, orders, signs, etc., and type/write documentation, etc. with accuracy.
* Audio Hearing and Motor Skills (Language) Requirements – Must be able to listen attentively and document information from patients, community members, co\-workers, clients, providers, etc., and intake information through audio processing with accuracy. In addition, they must be able to speak comfortably and clearly with language motor skills for customers to understand the individual.
* Cognitive Ability – Must be able to demonstrate good decision\-making, reasonableness, cognitive ability, rational processing, and analysis to satisfy essential functions of the job.
**Disclaimer:** 
 Responsibilities and tasks outlined in this job description are not exhaustive and may change as determined by the needs of the company.
 We are an affirmative action and equal opportunity employer. All qualified applicants will receive consideration for employment without regard to race, color, religion, sex, disability, age, sexual orientation, gender identity, national origin, veteran status, height, weight, or genetic information. We are committed to providing access, equal opportunity, and reasonable accommodation for individuals with disabilities in employment, its services, programs, and activities.
**Salary Range (Min\-Max)**
 $120,000\.00 \- $135,000\.00
 Centerlight Healthcare Systems Is Based In New York And Currently Hires Employees In States Where We Are Registered To Do Business. At This Time We Are Able To Consider Candidates Residing In The Following States
* Alabama
* California
* Colorado
* Connecticut
* Florida
* Georgia
* Illinois
* Indiana
* Louisiana
* Massachusetts
* New Jersey
* New York
* North Carolina
* Ohio
* Oklahoma
* Oregon
* Pennsylvania
* Puerto Rico
* South Carolina
* Texas
* Utah
* Virginia
* Wisconsin</t>
        </is>
      </c>
    </row>
    <row r="141">
      <c r="A141" t="inlineStr">
        <is>
          <t>li-4358334546</t>
        </is>
      </c>
      <c r="B141" t="inlineStr">
        <is>
          <t>Business Intelligence Data Engineer</t>
        </is>
      </c>
      <c r="C141" t="inlineStr">
        <is>
          <t>Sound Credit Union</t>
        </is>
      </c>
      <c r="D141" t="inlineStr">
        <is>
          <t>linkedin</t>
        </is>
      </c>
      <c r="E141">
        <f>HYPERLINK("https://www.linkedin.com/jobs/view/4358334546", "https://www.linkedin.com/jobs/view/4358334546")</f>
        <v/>
      </c>
      <c r="F141" t="inlineStr"/>
      <c r="G141" t="inlineStr">
        <is>
          <t>Tacoma, WA</t>
        </is>
      </c>
      <c r="H141" t="inlineStr"/>
      <c r="I141" t="inlineStr">
        <is>
          <t>Sound Credit Union is currently seeking a
 **Business Intelligence Data Engineer** 
 to join our team! If you have a passion for advancing enterprise reporting infrastructure, then this position at Sound might be the ideal opportunity for you. We offer a welcoming environment with opportunities for professional growth, a passion for community involvement and great benefits to support employee wellbeing.
***Your Compensation:***
 Our pay ranges are built to allow for candidates with various levels of skill and experience to be considered and provide room for growth over time. The target salary range for this position is $79,934 \- $99,918 depending on previous experience and education. The full salary range is $79,934 \- $119,902\.
***Why Work with Us:***
 We stand by our purpose to support our members, employees, and communities through all waves of life. We pride ourselves on fostering a workplace that celebrates diversity and inclusivity, ensuring that every voice is heard and valued.
 ***Learn more about our company culture on our career's page!***
***Your Benefits:***
* 100% employer paid premiums for medical, dental, vision, and disability for yourself and more than 70% for dependent’s premiums.
* 401k match dollar for dollar up to 4% \- plus an additional discretionary profit share.
* Three weeks Paid Time Off (PTO) accrued annually to start, with increases over tenure.
* Up to 40 hours of employer paid Work/Life Balance time, awarded annually.
* 10 employer paid Federal Holidays every year.
* Up to 3% annual salary equivalent annual bonus may be awarded when the Credit Union meets its goals, paid each November.
* Up to $50/month gym/lifestyle reimbursement.
* Up to $5,000/year Tuition Assistance Program.
* Incentives for multilingual speakers.
* Employee Assistance Program (EAP) and Virtual Behavioral \&amp; Mental Health Services.
* Free and/or discounted banking services and loans.
* Employee Charitable Matching Program.
* Free ORCA pass.
***What You’ll Do:***
 Responsibilities:
* Act as a liaison between business units to define data requirements, reporting needs, and ensure report validation.
* Engage with business customers to gather requirements and deliver comprehensive data acquisition solutions.
* Support the setup and maintenance of data warehouses, master data validation, and the creation of critical metrics and dashboards.
 Requirements:
* 2\+ years of experience in a financial or business analytic/data engineering position required.
* Knowledge of data mining, report building, data modeling, data validation, ETL methodologies (including API data acquisition), SQL and SQL management, SSIS and stored procedures, and programming technologies (SQL, PowerShell, Python, etc.) required. Equivalent combination of work experience and related education may be considered.
* High School Diploma or equivalent required. Bachelor’s Degree preferred.
 In addition:
* Must be bondable.
* Employer sponsorship to secure or maintain employment authorization is not available.
***Our Hours:***
 A primarily remote schedule Monday \- Friday, 8AM \- 5PM with the occasional need to come to Tacoma.
 This position works 40\+ hours per week as business needs dictate.
 This position is eligible for full\-time remote work.
**About Sound Credit Union…**
 Sound Credit Union was founded in 1940 and is one of Washington State’s largest credit unions. We have 26 full\-service branches located throughout the Puget Sound region. We live by our Guiding Principles of
 *Make a Connection, Be a Champion, and Doing the Right Thing* 
 for our members, employees, and community. Visit our website at: https://www.soundcu.com/careers/ to apply.
***The Future is in Our Hands…***
 Sound Credit Union is proud to be an Equal Opportunity employer that values and celebrates the unique perspectives and experiences each person brings to our team. We welcome talent from all walks of life and actively foster an inclusive workplace where every team member can thrive and belong.
 All qualified applicants will receive consideration for employment without regard to race, color, religion, sex, sexual orientation, gender identity or expression, national origin, veteran status, disability, age or any other protected status. We believe our differences make us stronger and are committed to building a team that represents a variety of backgrounds, perspectives, and skills.</t>
        </is>
      </c>
    </row>
    <row r="142">
      <c r="A142" t="inlineStr">
        <is>
          <t>li-4350877222</t>
        </is>
      </c>
      <c r="B142" t="inlineStr">
        <is>
          <t>Senior Data Engineer</t>
        </is>
      </c>
      <c r="C142" t="inlineStr">
        <is>
          <t>Active Consulting Services LLC</t>
        </is>
      </c>
      <c r="D142" t="inlineStr">
        <is>
          <t>linkedin</t>
        </is>
      </c>
      <c r="E142">
        <f>HYPERLINK("https://www.linkedin.com/jobs/view/4350877222", "https://www.linkedin.com/jobs/view/4350877222")</f>
        <v/>
      </c>
      <c r="F142" t="inlineStr"/>
      <c r="G142" t="inlineStr">
        <is>
          <t>Palo Alto, CA</t>
        </is>
      </c>
      <c r="H142" t="inlineStr"/>
      <c r="I142" t="inlineStr">
        <is>
          <t>I’m recruiting for a
 **Data Engineer** 
 at a fast\-growing startup building an
 **agentic AI platform** 
 , recently backed by a
 **$30M raise from top\-tier venture investors** 
 .
 Their system helps companies
 **surface the right buyers at the right moment** 
 by processing and enriching large volumes of real\-time GTM signals. By consolidating data ingestion, enrichment, and analysis into a single intelligent platform, teams can move faster, operate more efficiently, and engage prospects during active buying windows.
 This role is foundational to the platform. You’ll design and operate data pipelines that power both analytics and AI models, working closely with ML engineers on production systems at scale.
**Why this role stands out:** 
 ✅ Ownership of data pipelines that power an agentic AI platform
 ⚙️ Modern stack: Spark (PySpark or Scala), Airflow, BigQuery, GCP Dataproc
 🚀 Well\-funded startup with strong runway and rapid product velocity
 🧠 Direct exposure to ML deployment, LLM operations, and emerging AI tooling
 💰 Competitive compensation, equity, and benefits
 🌍 Collaborative, engineering\-first culture
**What you'll need:** 
 🔹 3\+ years of experience in large\-scale data engineering
 🔹 Strong ETL development in
 **PySpark or Scala Spark** 
 🔹 Advanced SQL with
 **BigQuery** 
 🔹 Hands\-on experience with
 **MongoDB, Elasticsearch, and PostgreSQL** 
 🔹 Workflow orchestration using
 **Airflow** 
 🔹 Experience with
 **GCP Dataproc** 
 and cluster optimization
 🔹 Comfortable working with
 **TB\-scale unstructured data** 
 🔹 Strong focus on performance optimization and data quality monitoring
 🔹 Experience collaborating with ML engineers on production systems
**Nice to haves:** 
 Startup experience with exposure to ML frameworks and LLM\-related systems, including model support, deployment, or data pipelines that power intelligent products.</t>
        </is>
      </c>
    </row>
    <row r="143">
      <c r="A143" t="inlineStr">
        <is>
          <t>li-4351600982</t>
        </is>
      </c>
      <c r="B143" t="inlineStr">
        <is>
          <t>Data Analytics Engineer AWS</t>
        </is>
      </c>
      <c r="C143" t="inlineStr">
        <is>
          <t>Emma of Torre.ai</t>
        </is>
      </c>
      <c r="D143" t="inlineStr">
        <is>
          <t>linkedin</t>
        </is>
      </c>
      <c r="E143">
        <f>HYPERLINK("https://www.linkedin.com/jobs/view/4351600982", "https://www.linkedin.com/jobs/view/4351600982")</f>
        <v/>
      </c>
      <c r="F143" t="inlineStr"/>
      <c r="G143" t="inlineStr">
        <is>
          <t>Greensboro, NC</t>
        </is>
      </c>
      <c r="H143" t="inlineStr"/>
      <c r="I143" t="inlineStr">
        <is>
          <t>I’m helping
 **DataMasters** 
 find a top candidate to join their team
 **full\-time** 
 for the role of
 **Data Analytics Engineer AWS** 
 .
**You will build scalable AWS analytics solutions to drive critical business decisions and impact.** 
**Compensation:** 
 USD 75K \- 90K/year
**Location:** 
 Hybrid: North Elm Street, Greensboro, NC, USA
**Mission of DataMasters:** 
 ""
**What makes you a strong candidate:** 
* You are proficient in SQL, Python, Extract, transform, load (ETL), Data warehouse, Data modeling, Data lake.
* English \- Conversational
**Responsibilities and more:** 
 Data Analytics Engineer – Direct\-hire (FTE)
 Overview
 This is an excellent opportunity for a Data Analytics Engineer who enjoys building scalable, AWS\-based analytics solutions, executing against a clear roadmap, and working closely with both technical teams and the business.
 The role sits at the intersection of data engineering and analytics and plays a key role in executing a well\-defined analytics roadmap. This includes building a centralized reporting and forecasting platform using AWS technologies such as S3, Redshift, and QuickSight to support business decision\-making.
 The foundational architecture is already in place, tools have been selected, and multiple projects are planned. This role is focused on strong execution, collaboration, and consistent delivery.
 Job details
 \* Design, build, and maintain scalable data models aligned with business needs.
 \* Develop and support automated data pipelines for data ingestion, transformation, and loading.
 \* Work with AWS S3 as the data lake layer and transform data downstream using Redshift and QuickSight.
 \* Implement data quality checks and testing to ensure data accuracy and reliability.
 \* Support and enhance reporting and forecasting solutions for business users.
 \* Collaborate closely with data engineers, analysts, developers, and business process owners.
 \* Document data models, pipelines, and transformations to ensure long\-term usability.
 \* Identify and resolve data\-related issues efficiently and effectively.
 \* Execute against an established roadmap, delivering high\-quality work on time.
 Key initiatives on the roadmap
 \* Forecasting tool.
 \* Sales reporting.
 \* COPA reporting.
 Skills needed for success
 \* Strong AWS experience, including S3, Redshift, and QuickSight.
 \* Advanced SQL skills.
 \* Data modeling, including relational and dimensional models.
 \* Hands\-on experience with data warehouses, data lakes, and ETL processes.
 \* Programming experience in Python or similar languages.
 \* Strong data quality best practices.
 \* Experience working with BI tools and analytics platforms.
 Education
 \* Bachelor’s degree required.
 \* Master’s degree in applied data analytics preferred.
**Job benefits:** 
* Client is a strong manufacturing organization with strong team culture
* Committed to the local area
* Range of benefits includes:
* medical coverage,
* 401K with a company match,
* dental coverage,
* healthcare flexible spending account,
* life insurance for employees and dependents,
* accidental death insurance,
* disability insurance,
* home and auto coverage,
* tuition reimbursement program,
* group legal,
* credit union association membership
* employee assistance program.
* Detailed information on benefit programs is provided to applicants considered for specific position openings.</t>
        </is>
      </c>
    </row>
    <row r="144">
      <c r="A144" t="inlineStr">
        <is>
          <t>li-4332798192</t>
        </is>
      </c>
      <c r="B144" t="inlineStr">
        <is>
          <t>Data Engineer (DoD Secret | Remote)</t>
        </is>
      </c>
      <c r="C144" t="inlineStr">
        <is>
          <t>Rackner</t>
        </is>
      </c>
      <c r="D144" t="inlineStr">
        <is>
          <t>linkedin</t>
        </is>
      </c>
      <c r="E144">
        <f>HYPERLINK("https://www.linkedin.com/jobs/view/4332798192", "https://www.linkedin.com/jobs/view/4332798192")</f>
        <v/>
      </c>
      <c r="F144" t="inlineStr"/>
      <c r="G144" t="inlineStr"/>
      <c r="H144" t="inlineStr"/>
      <c r="I144" t="inlineStr">
        <is>
          <t>**Data Engineer (DoD Secret \| Remote)
 Location:** 
 Remote (U.S. Based)
**Clearance:** 
 Active DoD Secret Clearance (or higher)
**Make an Impact on Military Healthcare and Readiness**
* Join Rackner to modernize secure data infrastructure for a critical defense health program—enabling real\-time insights that support care delivery, operational readiness, and mission decision\-making.
* You’ll design and scale data pipelines that transform raw information into actionable intelligence, ensuring interoperability and powering analytics across large\-scale, distributed environments.
* If you’re passionate about data engineering, cloud\-native systems, and mission\-driven innovation, this is your opportunity to make a national impact.
**What You’ll Do**
* Build and maintain end\-to\-end Ingest → Transform → Expose pipelines using Airflow, Spark, dbt, and Iceberg.
* Ingest and normalize structured and unstructured data (HL7, FHIR, PDF, JSON) for analytics and AI/ML use cases.
* Map datasets to FHIR and OMOP standards to enable interoperability and decision support.
* Implement schema versioning and governance to ensure traceability and audit\-ready lineage.
* Collaborate with DevSecOps and Data Science teams to deliver AI\-ready datasets for predictive analytics and readiness forecasting.
* Optimize data performance across distributed environments while ensuring compliance with DoD Responsible AI and NIST AI Risk Management frameworks.
**Who You Are**
* 4\+ years of experience in Data Engineering or Analytics Engineering
* Proficient in SQL and Python, with experience building modular, version\-controlled transformations
* Hands\-on with Apache Airflow, Apache Spark, dbt, and data lake frameworks (Iceberg, Trino, Athena)
* Strong understanding of ETL/ELT design, data modeling, and governance in distributed systems
* Familiar with AWS (Glue, S3, Lambda, Athena, EMR) and cloud\-native data architectures
* Excellent collaborator with experience in cross\-functional environments (DevSecOps, Data Science, Security)
**Preferred / Bonus**
* Experience with FHIR, OMOP, or HL7 data standards
* Background in DoD, VA, or other federal health IT programs
* Knowledge of Responsible AI and NIST AI Risk Management Frameworks
* Familiarity with complex operational data systems or readiness analytics
**About Rackner**
* Rackner is a cloud\-native software consultancy delivering solutions for startups, enterprises, and the public sector.
* We enable digital transformation through DevSecOps, AI/ML, and cloud\-first innovation.
* Our teams solve high\-impact problems that advance federal missions and strengthen national readiness. Join us to help shape the future of secure, scalable data systems supporting mission success.
**Why You’ll Love Working Here**
* Weekly Pay and Full Remote Flexibility.
* Professional Growth through paid certifications and training.
* Comprehensive Benefits including 401(k) with 100% match up to 6%, PTO, medical/dental/vision, life \&amp; disability insurance.
* Home office equipment plan and supportive, inclusive team culture with mission impact.
**Hashtags for Visibility**
 \#DataEngineering \#DoDCleared \#AWSData \#Airflow \#dbt \#Spark \#FHIR \#RacknerCareers \#FederalTech \#AIReadyData</t>
        </is>
      </c>
    </row>
    <row r="145">
      <c r="A145" t="inlineStr">
        <is>
          <t>li-4358196140</t>
        </is>
      </c>
      <c r="B145" t="inlineStr">
        <is>
          <t>Lead Data Engineer</t>
        </is>
      </c>
      <c r="C145" t="inlineStr">
        <is>
          <t>Selby Jennings</t>
        </is>
      </c>
      <c r="D145" t="inlineStr">
        <is>
          <t>linkedin</t>
        </is>
      </c>
      <c r="E145">
        <f>HYPERLINK("https://www.linkedin.com/jobs/view/4358196140", "https://www.linkedin.com/jobs/view/4358196140")</f>
        <v/>
      </c>
      <c r="F145" t="inlineStr"/>
      <c r="G145" t="inlineStr">
        <is>
          <t>St. Petersburg, FL</t>
        </is>
      </c>
      <c r="H145" t="inlineStr"/>
      <c r="I145" t="inlineStr">
        <is>
          <t>Role Summary
 We're looking for a seasoned engineer to lead the design, build, and optimization of data\-centric applications and services. You'll own end\-to\-end delivery from solution design through deployment while mentoring a small team, elevating engineering practices, and ensuring our systems are scalable, reliable, and performant. The ideal candidate brings strong Oracle database expertise, hands\-on Python/Spark experience, and a practical DevOps mindset (CI/CD, containers, cloud).
 Key Responsibilities
* **Technical Leadership \&amp; Delivery:** 
 Drive solution design, work planning, and execution across the full SDLC; ensure high\-quality releases and measurable outcomes.
* **Oracle Engineering:** 
 Design robust schemas and write efficient SQL/PL/SQL; implement indexes/partitioning; manage performance tuning and query optimization.
* **Performance \&amp; Reliability:** 
 Diagnose bottlenecks across application, database, and data pipelines; instrument, benchmark, and optimize for throughput and latency.
* **Data Engineering:** 
 Build scalable transformations using Python (pandas) and Spark/PySpark; develop resilient ETL/ELT workflows and data quality checks.
* **Application Development:** 
 Create maintainable Python services, libraries, and automation scripts; enforce clean architecture, testing, and code review practices.
* **CI/CD \&amp; DevOps:** 
 Implement build/test/deploy pipelines (e.g., Jenkins/GitHub Actions); manage containerized workloads (Docker/Kubernetes) and infrastructure\-as\-code where appropriate.
* **Mentorship \&amp; Collaboration:** 
 Coach junior engineers, set standards, and foster a culture of craftsmanship, accountability, and continuous improvement.
* **Documentation \&amp; Governance:** 
 Maintain clear technical documentation, design records, and runbooks; contribute to data modeling conventions and development guidelines.
 Core Skills
* **Experience:** 
 5\+ years in software/data engineering with demonstrable impact in production environments.
* **Oracle \&amp; SQL Mastery:** 
 Advanced SQL/PL/SQL, schema design, indexing strategies, partitioning, query tuning, and database observability.
* **Python \&amp; Spark:** 
 Strong Python (including pandas) and practical Spark/PySpark for batch/stream processing and data transformation.
* **Data Modeling:** 
 Ability to design logical and physical models (3NF, dimensional/star schema), define entities/relationships, and optimize for analytics or OLTP.
* **CI/CD \&amp; Containers:** 
 Hands\-on with modern pipelines and container orchestration (e.g., Jenkins/GitHub Actions, Docker, Kubernetes).
* **Performance Engineering:** 
 Systematic approach to profiling, benchmarking, and optimization across app/data layers.
* **Communication \&amp; Leadership:** 
 Clear written/verbal communication; proven collaboration and mentorship of junior team members.
 Preferred Qualifications
* **Cloud Expertise:** 
 Experience with AWS/Azure/GCP services (e.g., object storage, managed databases, compute, IAM/networking basics).
* **Certifications (nice to have):** 
 Oracle Database, Python, Kubernetes/CKA/CKAD, or CI/CD tooling.
* **Ways of Working:** 
 Familiarity with Agile/Scrum, trunk\-based development, and test automation.
* **Education:** 
 Bachelor's degree in Computer Science, Engineering, Information Systems, or equivalent practical experience.
* **Travel:** 
 Occasional\-primarily for team or stakeholder workshops.
**Locations:** 
* Saint Petersburg, FL
* Denver, CO
* Memphis, TN
* Southfield, MI
*Please note that this firm is not able to sponsor now or in the future.*</t>
        </is>
      </c>
    </row>
    <row r="146">
      <c r="A146" t="inlineStr">
        <is>
          <t>li-4358334798</t>
        </is>
      </c>
      <c r="B146" t="inlineStr">
        <is>
          <t>Data Analytics Engineer</t>
        </is>
      </c>
      <c r="C146" t="inlineStr">
        <is>
          <t>Harnham</t>
        </is>
      </c>
      <c r="D146" t="inlineStr">
        <is>
          <t>linkedin</t>
        </is>
      </c>
      <c r="E146">
        <f>HYPERLINK("https://www.linkedin.com/jobs/view/4358334798", "https://www.linkedin.com/jobs/view/4358334798")</f>
        <v/>
      </c>
      <c r="F146" t="inlineStr"/>
      <c r="G146" t="inlineStr">
        <is>
          <t>Austin, Texas Metropolitan Area</t>
        </is>
      </c>
      <c r="H146" t="inlineStr"/>
      <c r="I146" t="inlineStr">
        <is>
          <t>**Data Analytics Engineer** 
**Austin, TX** 
**Fully On\-site** 
**Starting at $150k Base Salary** 
**About the Role** 
 We are seeking a Data Analytics Engineer to transform high\-volume, unstructured data into actionable insights. This role is ideal for someone who thrives in a data\-centric environment and enjoys owning data pipelines, dashboards, and cross\-team analytics support.
**What You’ll Do** 
* Build, maintain, and optimize data pipelines (ETL/ELT) to centralize data from multiple sources.
* Design and execute complex SQL queries for reporting and analysis.
* Create and maintain dashboards to monitor performance and data trends.
* Work closely with technical and non\-technical teams to understand data needs and deliver solutions.
* Apply modern analytics tools and methodologies to solve real business problems.
**What You’ll Need** 
* Strong hands\-on experience with Python for data processing.
* Expert\-level SQL skills with complex query optimization.
* Previous experience building and maintaining production data pipelines.
* Comfortable working with BI tools (e.g., Grafana, Tableau, Looker).
* Experience with workflow orchestrators (Airflow / Dagster / Prefect).
* High attention to data accuracy and data quality.
**Nice to Have** 
* Experience in analytics ecosystems (ClickHouse, Snowflake, BigQuery, Redshift).
* Comfortable applying advanced techniques like LLM\-assisted analytics workflows.
* Masters or PHD</t>
        </is>
      </c>
    </row>
    <row r="147">
      <c r="A147" t="inlineStr">
        <is>
          <t>li-4342447487</t>
        </is>
      </c>
      <c r="B147" t="inlineStr">
        <is>
          <t>Principal Data Engineer</t>
        </is>
      </c>
      <c r="C147" t="inlineStr">
        <is>
          <t>Keurig Dr Pepper Inc.</t>
        </is>
      </c>
      <c r="D147" t="inlineStr">
        <is>
          <t>linkedin</t>
        </is>
      </c>
      <c r="E147">
        <f>HYPERLINK("https://www.linkedin.com/jobs/view/4342447487", "https://www.linkedin.com/jobs/view/4342447487")</f>
        <v/>
      </c>
      <c r="F147" t="inlineStr"/>
      <c r="G147" t="inlineStr">
        <is>
          <t>Frisco, TX</t>
        </is>
      </c>
      <c r="H147" t="inlineStr"/>
      <c r="I147" t="inlineStr">
        <is>
          <t>**Job Overview:**
 Are you passionate about harnessing data to unlock business insights and drive strategic growth? At Keurig Dr Pepper, we’re seeking a
 **Principal Data Engineer** 
 to lead the development and optimization of our modern data ecosystem. You’ll play a pivotal role in designing scalable data solutions, enabling advanced analytics, and mentoring teams across disciplines to maximize the value of data.
 Join our innovative team and help shape the future of enterprise data at one of North America’s leading beverage companies.
**As a Principal Data Engineer, you will…**
**Data Engineering \&amp; Architecture:**
* Architect and implement scalable data pipelines and transformation workflows using dbt, SnowSQL, and cloud\-native technologies.
* Design, build, and maintain enterprise\-grade data lakes, data warehouses, and transformation layers to support analytics and machine learning.
* Implement best practices for data ingestion, modeling, quality assurance, and lineage to ensure trusted and consistent data delivery.
* Create reusable frameworks and tools for automated deployment, monitoring, and lifecycle management of data assets.
* Optimize data platforms to deliver reliable, performant, and cost\-effective analytics infrastructure.
**AI\-Ready Data Ecosystems**
* Collaborate with Data Scientists to support AI/ML pipelines—enabling efficient feature engineering, model training, and real\-time inferencing.
* Integrate AI\-driven capabilities such as anomaly detection, intelligent alerting, and natural language enrichment into data workflows.
**Leadership \&amp; Collaboration:**
* Collaborate with cross\-functional teams—including Solution Architects, Product Managers, Data Scientists, and Analysts—to align on data strategy and business outcomes.
* Technically lead product teams involving external partners, ensuring timely delivery of high\-quality data solutions.
* Provide technical thought leadership, guiding project teams and business units through architectural decisions and best practices.
* Facilitate cross\-functional alignment to ensure scalable and sustainable data engineering practices.
**Governance \&amp; Optimization:**
* Define and enforce engineering standards and best practices across the analytics ecosystem.
* Lead architectural design reviews, ensuring technical rigor and adherence to change control processes.
* Continuously assess and optimize the performance, reliability, and scalability of the data platform.
* Contribute to roadmap development and long\-term strategy for the enterprise analytics platform.
**Who you are:**
 You're a strategic, hands\-on engineering leader who combines deep technical expertise with strong business acumen. You're passionate about solving complex data challenges, enabling AI, and mentoring teams to deliver enterprise\-grade data solutions.
**Key Skills \&amp; Expertise:**
**Technical Mastery
 *(Deep, hands\-on expertise expected)***
* Expert\-level knowledge of Snowflake architecture, SnowSQL, and data transformation workflows.
* Advanced proficiency with dbt for modeling, testing, versioning, and orchestrating ELT pipelines.
* Strong command of SQL, Python, and scalable data pipeline development.
* Proven experience designing and managing enterprise data warehouses and cloud\-native data platforms.
* Deep understanding of modern data modeling techniques (e.g., dimensional, data vault, star/snowflake schemas).
* Experience delivering platforms that support advanced analytics and machine learning solutions.
* Solid grasp of data architecture frameworks such as Data Warehouses, Data Lakes, and Data Hubs.
* Experience with commercial data science tools like KNIME, Alteryx, or similar platforms.
**Some Experience / Familiarity With
 *(Preferred, but not required at expert level)***
* AI/ML platforms such as Databricks, SageMaker, AutoML, or TensorFlow.
* Data integration and ELT tools like Informatica Cloud, Fivetran, or Azure Data Factory.
* BI tools: Power BI, Tableau, or MicroStrategy.
* Working with SAP ERP as a data source.
* Cloud platforms such as Azure, AWS, or GCP—especially storage, compute, and orchestration services.
* DevOps practices including Git workflows, CI/CD, and automation.
* UNIX/Linux environments and shell scripting.
**Leadership \&amp; Communication:**
* Ability to lead cross\-functional teams and manage complex data initiatives from design through delivery.
* Excellent communicator—able to convey complex technical concepts to both technical and non\-technical audiences.
* Proven track record of influencing architectural direction, mentoring team members, and driving business\-aligned outcomes.
* Skilled at deriving insights from data and translating them into clear, actionable recommendations.
**Problem Solving \&amp; Optimization:**
* Demonstrated success in building and optimizing data pipelines to maximize performance and maintainability.
* Strong analytical and troubleshooting skills with a focus on root cause analysis and long\-term solutions.
**Total Rewards:**
* Salary Range: $110,000 \- $168,000
* Actual placement within the compensation range may vary depending on experience, skills, and other factors
* Benefits, subject to election and eligibility: Medical, Dental, Vision, Disability, Paid Time Off (including paid parental leave, vacation, and sick time), 401k with company match, Tuition Reimbursement, and Mileage Reimbursement
* Annual bonus based on performance and eligibility
**Requirements:**
**Education:**
* Bachelor’s or Master’s degree in Computer Science, Data Science, Information Systems, or a related field.
**Experience:**
* 10\+ years in data management, including integration, modeling, and optimization.
* Hands\-on experience with Analytics tools and platforms like Snowflake or Informatica Cloud.
* Expert in SQL, SnowSql coding, ETL, and data warehousing.
**Core Skills:**
* Expertise in conceptual architecture, data integration design, and wireframing.
* Familiarity with DevOps and Agile technology environments (preferred).
* Strong presentation and change management skills.
**Nice to have / Cross trained In:**
* Exposure to SAP ERP and SAP\-based data integration.
* Experience with DevOps, CI/CD pipelines, and Git\-based workflows.
* Familiarity with AI/ML use cases in data operations (e.g., intelligent data quality, anomaly detection).
* Snowflake, dbt, or cloud platform certifications.
**Company Overview:**
 Keurig Dr Pepper (NASDAQ: KDP) is a leading beverage company in North America, with a portfolio of more than 125 owned, licensed and partner brands and powerful distribution capabilities to provide a beverage for every need, anytime, anywhere. We operate with a differentiated business model and world\-class brand portfolio, powered by a talented and engaged team that is anchored in our values. We work with big, exciting beverage brands and the \#1 single\-serve coffee brewing system in North America at KDP, and we have fun doing it!
 Together, we have built a leading beverage company in North America offering hot and cold beverages together at scale. Whatever your area of expertise, at KDP you can be a part of a team that’s proud of its brands, partnerships, innovation, and growth. Will you join us?
 We strive to be an employer of choice, providing a culture and opportunities that empower our team of \~29,000 employees to grow and develop. We offer robust benefits to support your health and wellness as well as your personal and financial well\-being. We also provide employee programs designed to enhance your professional growth and development, while ensuring you feel valued, inspired and appreciated at work.
 Keurig Dr Pepper is an equal opportunity employer and recruits qualified applicants and advances in employment its employees without regard to race, color, religion, gender, sexual orientation, gender identity, gender expression, age, disability or association with a person with a disability, medical condition, genetic information, ethnic or national origin, marital status, veteran status, or any other status protected by law.
 A.I. Disclosure:
 KDP uses artificial intelligence to assist with initial resume screening and candidate matching. This technology helps us efficiently identify candidates whose qualifications align with our open roles. If you prefer not to have your application processed using artificial intelligence, you may opt out by emailing your resume and qualifications directly to kdpjobs@kdrp.com in lieu of clicking Apply. Please include the job title and location or Job ID \# in the email subject line.
**Total Rewards**
**Requirements**
**Company Overview**</t>
        </is>
      </c>
    </row>
    <row r="148">
      <c r="A148" t="inlineStr">
        <is>
          <t>li-4329820254</t>
        </is>
      </c>
      <c r="B148" t="inlineStr">
        <is>
          <t>Big Data Engineer</t>
        </is>
      </c>
      <c r="C148" t="inlineStr">
        <is>
          <t>Software Guidance &amp; Assistance, Inc. (SGA, Inc.)</t>
        </is>
      </c>
      <c r="D148" t="inlineStr">
        <is>
          <t>linkedin</t>
        </is>
      </c>
      <c r="E148">
        <f>HYPERLINK("https://www.linkedin.com/jobs/view/4329820254", "https://www.linkedin.com/jobs/view/4329820254")</f>
        <v/>
      </c>
      <c r="F148" t="inlineStr"/>
      <c r="G148" t="inlineStr">
        <is>
          <t>Alpharetta, GA</t>
        </is>
      </c>
      <c r="H148" t="inlineStr"/>
      <c r="I148" t="inlineStr">
        <is>
          <t>Software Guidance \&amp; Assistance, Inc. (SGA) is searching for a
 **Big Data Engineer** 
 for a contract assignment with one of our premier financial services clients in
 **Alpharetta, GA.**
 This position is for Big data engineer for the Wealth Management Framework CoE team.
 CoE team is responsible to define and govern the data platforms. We are looking for colleagues with strong sense of ownership and ability to drive solutions.
 The role is primarily responsible to automate the existing process and bring new ideas and innovation. The candidate is expected to code, conduct code reviews, and test framework as needed, along with participating in application architecture and design and other phases of the automation. The ideal candidate will be a self\-motivated team player committed to delivering on time and should be able to work with or without minimal supervision.
**Responsibilities:**
* Design \&amp; Develop new automation framework for ETL processing
* Support existing framework and become technical point of contact for all related teams
* Enhance existing ETL automation framework as per user requirements
* Performance tuning of spark, snowflake ETL jobs
* New technology POC and suitability analysis for Cloud migration
* Process optimization with the help of automation and new utility development
* Work in collaboration for any issues and new features
* Support any batch issue
* Support application team teams with any queries
 Required Skills:
* 7\+ years of Data engineering experience
* Must be strong in UNIX Shell, Python scripting knowledge
* Must be strong in Spark
* Must have strong knowledge of SQL
* Hands\-on knowledge on how HDFS/Hive/Impala/Spark works
* Strong in logical reasoning capabilities
* Should have working knowledge of Github, DevOps, CICD/ Enterprise code management tools
* Strong collaboration and communication skills
* Must possess strong team\-player skills and should have excellent written and verbal communication skills
* Ability to create and maintain a positive environment of shared success
* Ability to execute and prioritize a tasks and resolve issues without aid from direct manager or project sponsor
* Good to have working experience on snowflake \&amp; any data integration tool i.e. Informatica cloud
**Preferred Skills:**
* Snowflake/Azure/AWS any cloud
* IDMC/any ETL tool
 SGA is a technology and resource solutions provider driven to stand out. We are a women\-owned business. Our mission: to solve big IT problems with a more personal, boutique approach. Each year, we match consultants like you to more than 1,000 engagements. When we say let's work better together, we mean it. You'll join a diverse team built on these core values: customer service, employee development, and quality and integrity in everything we do. Be yourself, love what you do and find your passion at work. Please find us at https://sgainc.com/.
 SGA is an Equal Opportunity Employer and does not discriminate on the basis of Race, Color, Sex, Sexual Orientation, Gender Identity, Religion, National Origin, Disability, Veteran Status, Age, Marital Status, Pregnancy, Genetic Information, or Other Legally Protected Status. We are committed to providing access, equal opportunity, and reasonable accommodation for individuals with disabilities in employment, and our services, programs, and activities. Please visit our company EEO page to request an accommodation or assistance regarding our policy.</t>
        </is>
      </c>
    </row>
    <row r="149">
      <c r="A149" t="inlineStr">
        <is>
          <t>li-4358374962</t>
        </is>
      </c>
      <c r="B149" t="inlineStr">
        <is>
          <t>Data Engineer (Hybrid)</t>
        </is>
      </c>
      <c r="C149" t="inlineStr">
        <is>
          <t>American Family Insurance</t>
        </is>
      </c>
      <c r="D149" t="inlineStr">
        <is>
          <t>linkedin</t>
        </is>
      </c>
      <c r="E149">
        <f>HYPERLINK("https://www.linkedin.com/jobs/view/4358374962", "https://www.linkedin.com/jobs/view/4358374962")</f>
        <v/>
      </c>
      <c r="F149">
        <f>HYPERLINK("https://amfam.wd1.myworkdayjobs.com/Careers/job/WI-Madison/Data-Engineer\u002d\u002dHybrid-_R38016?source=APPLICANT_SOURCE-3-249&amp;urlHash=hDzP", "https://amfam.wd1.myworkdayjobs.com/Careers/job/WI-Madison/Data-Engineer\u002d\u002dHybrid-_R38016?source=APPLICANT_SOURCE-3-249&amp;urlHash=hDzP")</f>
        <v/>
      </c>
      <c r="G149" t="inlineStr">
        <is>
          <t>Madison, WI</t>
        </is>
      </c>
      <c r="H149" t="inlineStr"/>
      <c r="I149" t="inlineStr">
        <is>
          <t>As a Data Engineer with American Family Insurance, you will play an important part in harnessing the power of data to guide innovation. You'll collect, store, and process data to create impactful applications within our dynamic big data platform. You will integrate these applications into our architecture and contribute to a collaborative and forward\-thinking environment.
 This engineering role focuses on collecting data from multiple sources, partners, and platforms and ingesting it into our GCP platform. Primarily tools are Python, SQL, GCP, Terraform, and BigQuery.
 You will report to a Senior Manager, Data Engineering.
 In this flex office/home role, you will be expected to work a minimum of 10 days per month from the following office location: Madison, WI 53783\.
**Position Compensation Range**
 $80,000\.00 \- $131,000\.00
**Pay Rate Type**
 Salary
*Compensation may vary based on the job level and your geographic work location.* 
*Relocation support is offered for eligible candidates.*
**Primary Accountabilities**
* Perform exploratory data analysis to determine which questions can be answered with a given dataset.
* Develop scalable and extensible data pipelines from internal and external sources.
* Work on teams to develop data\-driven applications and products, particularly within the space of data science.
* Help prototype new technologies involving data ingestion and transformation, distributed file systems, databases and frameworks.
* Develop tools to increase the productivity of application development and client\-facing teams.
* Develop and automate data quality checks.
* Develop big data applications and data visualization tools.
**Specialized Knowledge \&amp; Skills Requirements**
* Demonstrated experience providing customer\-oriented solutions or support.
* Knowledge of SQL and experience using a variety of data stores (e.g. RDBMS, analytic database, scalable document stores).
* Hands\-on programming experience in Python or java, with an emphasis towards building ETL workflows and data\-driven solutions.
* Work experience with Linux scripting to automate workflows.
* Understanding of database internals, such as indexes, binary logging, and transactions.
* Knowledge of cloud computing platforms (e.g. GCP, AWS, Azure).
* Understanding of Infrastructure as Code (e.g. Terraform, Docker, CloudFormation)
* Your offer will be contingent on the results of applicable background checks and signing a non\-disclosure agreement for proprietary information, trade secrets, and inventions.
* We will not consider candidates who require sponsorship.
 Additional Information
* Offer to selected candidate will be made contingent on the results of applicable background checks
* Offer to selected candidate is contingent on signing a non\-disclosure agreement for proprietary information, trade secrets, and inventions
* Sponsorship will not be considered for this position unless specified in the posting
 We provide benefits that support your physical, emotional, and financial wellbeing. You will have access to comprehensive medical, dental, vision and wellbeing benefits that enable you to take care of your health. We also offer a competitive 401(k) contribution, a pension plan, an annual incentive, 9 paid holidays and a paid time off program (23 days accrued annually for full\-time employees). In addition, our student loan repayment program and paid\-family leave are available to support our employees and their families. Interns and contingent workers are not eligible for American Family Insurance Group benefits.
 We are an equal opportunity employer. It is our policy to comply with all applicable federal, state and local laws pertaining to non\-discrimination, non\-harassment and equal opportunity. We also consider qualified applicants with criminal histories, consistent with applicable federal, state and local law.
 American Family Insurance is committed to the full inclusion of all qualified individuals. If a reasonable accommodation is needed to participate in the job application or interview process, to perform essential job functions, and/or to receive other benefits and privileges of employment, please email AskHR@AmFam.com to request a reasonable accommodation.</t>
        </is>
      </c>
    </row>
    <row r="150">
      <c r="A150" t="inlineStr">
        <is>
          <t>li-4330558550</t>
        </is>
      </c>
      <c r="B150" t="inlineStr">
        <is>
          <t>IT Sr. Data Engineer, Commercial</t>
        </is>
      </c>
      <c r="C150" t="inlineStr">
        <is>
          <t>ConocoPhillips</t>
        </is>
      </c>
      <c r="D150" t="inlineStr">
        <is>
          <t>linkedin</t>
        </is>
      </c>
      <c r="E150">
        <f>HYPERLINK("https://www.linkedin.com/jobs/view/4330558550", "https://www.linkedin.com/jobs/view/4330558550")</f>
        <v/>
      </c>
      <c r="F150">
        <f>HYPERLINK("https://conocophillips.wd1.myworkdayjobs.com/External/job/Houston-TX/IT-Sr-Data-Engineer\u002d\u002dCommercial_REQ-005333?source=LinkedIn&amp;urlHash=Nwmi", "https://conocophillips.wd1.myworkdayjobs.com/External/job/Houston-TX/IT-Sr-Data-Engineer\u002d\u002dCommercial_REQ-005333?source=LinkedIn&amp;urlHash=Nwmi")</f>
        <v/>
      </c>
      <c r="G150" t="inlineStr">
        <is>
          <t>Houston, TX</t>
        </is>
      </c>
      <c r="H150" t="inlineStr"/>
      <c r="I150" t="inlineStr">
        <is>
          <t>* World’s largest independent upstream oil and gas business
* SPIRIT values \- Safety People Integrity Responsibility Innovation Teamwork
* Operations in 13 countries
 Welcome to ConocoPhillips, where innovation and excellence create a platform for opportunity and growth. Come realize your full potential here.
**Who We Are**
 We are one of the world’s largest independent exploration and production companies, based on proved reserves and production of liquids and natural gas. With operations and activities in 13 countries, we explore for, develop, and produce crude oil and natural gas globally. We are challenged with an important job to safely find and deliver energy to the world. Our employees are critical to our success, and with them we power civilization.
 We’re grounded by our SPIRIT Values – safety, people, integrity, responsibility, innovation, and teamwork. These values position us to deliver strong performance in a dynamic business – but not at all costs. We believe it’s not just what we do – it’s how we do it – that sets us apart.
**Fostering an Inclusive Work Environment**
 To deliver superior performance, we create an environment that respects the contributions and differences of every individual. Wherever possible, we use these differences to drive competitive business advantage, personal growth and, ultimately, create business success.
**Job Summary**
 We are seeking a highly skilled and experienced IT Sr. Data Engineer, Commercial to join our team. Reporting to the IT Supervisor, Commercial Data, this role will be responsible for building data pipelines from source systems and external data providers into the data management and analytics environments with validation to allow creation and operations of analytical solutions and Commercial models.
 The Commercial organization is going through transformation initiatives moving from ETRM\-centric to data\-centric architectural design and implementing new tech strategies including new ETRM systems. The initial focus of this role will be building/enhancing Commercial analytics data ingestion pipelines for Commercial models and supporting the Commercial Transformation initiatives.
 The IT Sr. Data Engineer, Commercial will be part of a team of data architects, a data governance analyst and data engineers responsible for implementing Commercial data pipelines while ensuring a high level of data quality based on corporate and industry standards. The team will also be responsible for developing and enforcing standards for data management and implementing data technology solutions for structured and unstructured datasets as well as data catalogs and data lineage to enhance visibility and access to data for Commercial groups.
 This role will work closely with Corporate IT operational support managed services team, database administrators, analytics architect, and IT infrastructure support to ensure system availability and timely issue resolution.
 This role will be proficient at integrating and preparing large, varied datasets including time series data and designing specialized database tables and information links within the environment. The person will work closely with Commercial data/quant analysts, data scientists, model owners, project/program managers, data architects, and the data governance analyst to provide clean and reliable data.
 This role requires a strong and current technology focus, practical analytical experience, and excellent written and communications skills.
**Position Overview**
 Your responsibilities may include:
* Design and develop robust data pipelines, ETL/ELT processes, and workflow orchestration systems to automate data ingestion, transformation, and distribution across multiple platforms for Commercial
* Build and maintain scalable data infrastructure including data warehouses, data lakes, and streaming systems that support high\-volume data processing and analytics workloads
* Implement data quality validation, monitoring frameworks, and error handling mechanisms to ensure reliable data delivery and maintain system performance standards
* Collaborate with data architects and analysts to translate business requirements into technical specifications for data processing solutions and system enhancements
* Optimize data processing performance through query tuning, indexing strategies, and resource management to support efficient analytics and operational reporting
* Establish data security protocols, access controls, and backup procedures to protect sensitive information and ensure business continuity for critical data systems
* Monitor system health, troubleshoot data pipeline failures, and implement automated recovery
* procedures to maintain operational reliability and minimize downtime
* Collaborate with business subject matter experts and data scientists to create datasets and engineer features for analytical models
* Monitor Commercial trading analytics models performance
* Adhere to ConocoPhillips’ governance and compliance policies for data and processes
* Collaborate with Data Architect to develop and evaluate design options to ingest and catalogue real\-time, structured, and unstructured datasets into Data Management environments per Commercial business priorities and use cases
* Cultivate relationships with peer Data Management groups to ensure alignment, compliance and long\-term sustainability of our Commercial digital assets
* Proactively identify opportunities for automation and continuous improvements
* Stays current with the latest trends, technologies, and best practices in data management and data engineering
* Participate in and support Agile quarterly planning for the team.
* Expertise in optimizing queries and performance by establishing standards to minimize system workload and costs
 Basic/Required:
* Legally authorized to work in the United States
* Bachelor's degree or higher in Computer Science, Math, Engineering, Statistics, Information Systems, Information Science, or related fields
* 10 or more years of hands\-on experience in designing, scaling and implementing data pipelines for structured and non\-structured data into cloud\-based data platforms
* 10 or more years of experience in data engineering in an enterprise environment with demonstrated strength in SQL, data modeling, ETL development, and data warehousing
* 10 or more years of Experience with an RDBMS (Oracle, PostgreSQL)
* 7 or more years of experience with practical programming skills including advanced knowledge of Python
* 5 or more years of experience of modern cloud\-based data platform technologies e.g., Snowflake, ADLS, Data Bricks
* 5 or more years of experience with data visualization/analytics tools (Spotfire, Power BI, Sigma) advanced Excel skills
 Preferred:
* MS Degree in Computer Science, Math, Engineering, Statistics, Information Systems, Information Science, or related fields
* 5 or more years of Energy industry and Commercial experience
* 5 or more years of Experience with Cloud DevOps (Azure, AWS Cloud Formation Terraform) and Infrastructure as Code (IaC)
* Experience with handling Commercial operational and trading analytics data
* Experience with data engineering and data analytics tool set such as Airflow, Streamlit, UiPath, Document AI, etc.
* Hands on experience and proficiency in Data Management tools – SQL, SDE, JSON, XML, scripting languages such as Python Big Data technology stack including NoSQL, Spark, Hive, Kafka, StreamSets, IICS, ADF etc.
* Intermediate level of knowledge one or more programming languages (R, C\+\+, Java, Perl, Spark)
* Work across structured, semi\-structured, and unstructured data, with strong technical experience in large distributed systems, data warehousing, data lake at scale
* Comprehensive knowledge of Data Management principles, processes and data lifecycle
* Advanced knowledge of master data management, real\-time streaming data and cloud technologies
* Understanding of Data Science and related technologies
* Excellent verbal and written presentation skills, with the ability to communicate clearly and persuasively
* An understanding of project processes and methodology to support project management initiatives and delivery
* Team player, and self\-driven individual who can multi\-task, work independently under minimal supervision and deliver on commitments
* Open attitude towards and ability to learn and utilize new technologies and standards
* Ability to take ownership, engage, lead change, achieve results, adapt, solve problems, manage risk and drive tasks to completion
* Demonstrated ability to deal with ambiguity and maintain effective performance under stressful and uncertain conditions
* Excellent analytical mind and proven problem\-solving skills
* Project Management skills
* Delivers positive results through realistic planning to accomplish goals
* Builds effective solutions based on available information and makes timely decisions that are safe and ethical
**Apply By:**
 Jan 19, 2026
**Sponsorship:**
 ConocoPhillips’ sponsorship for employment authorization in the U.S. is NOT available for this position.
**EEO:**
 In the US, ConocoPhillips is an Equal Opportunity/Affirmative Action Employer. All qualified applicants will receive consideration for employment without regard to race, color, religion, sex, sexual orientation, national origin, age, disability, veteran status, gender identity or expression, genetic information, or any other legally protected status.</t>
        </is>
      </c>
    </row>
    <row r="151">
      <c r="A151" t="inlineStr">
        <is>
          <t>li-4358383815</t>
        </is>
      </c>
      <c r="B151" t="inlineStr">
        <is>
          <t>Cloud Data Engineer</t>
        </is>
      </c>
      <c r="C151" t="inlineStr">
        <is>
          <t>West Shore Home</t>
        </is>
      </c>
      <c r="D151" t="inlineStr">
        <is>
          <t>linkedin</t>
        </is>
      </c>
      <c r="E151">
        <f>HYPERLINK("https://www.linkedin.com/jobs/view/4358383815", "https://www.linkedin.com/jobs/view/4358383815")</f>
        <v/>
      </c>
      <c r="F151" t="inlineStr"/>
      <c r="G151" t="inlineStr">
        <is>
          <t>Denver, CO</t>
        </is>
      </c>
      <c r="H151" t="inlineStr"/>
      <c r="I151" t="inlineStr">
        <is>
          <t>**Position: Cloud Data Engineer**
**Location: Denver, CO (ONSITE)**
**Schedule: Monday\-Friday, 8:00AM\-5:00PM (Full\-Time)**
**Who We Are**
 West Shore Home is a technology\-driven and industry\-leading home improvement company specializing in high\-quality and convenient remodels of Bathrooms, Flooring, Windows, and Doors. West Shore Home operates in over 40\+ locations nationwide and is home to over 3,000 employees!
**Purpose Of Position**
 As a Data Engineer at West Shore Home, you will design, develop, test, deploy, and monitor data pipelines using Azure Data Factory, Databricks, and Synapse Analytics required for ELT/ETL from a wide variety of data sources, systems, and platforms that will create solutions and support key stakeholders in informed decision\-making across the enterprise.
**Key Role Accountabilities**
* Design, develop, test, deploy, and monitor scalable code with Python and SQL and data pipelines using Azure Data Factory, Databricks, dbt, and Synapse Analytics required for ELT/ETL from a wide variety of data sources.
* Create and design solutions from clean, protected, and effective data management practices that directly support informed decision making and innovation.
* Build data quality dashboards and/or monitoring tools to utilize the data pipeline, providing active monitoring and actionable insights into overall data quality and data governance.
* Integrate source systems with information management solutions and target systems for automated migration processes, e.g., source\-of\-record systems with data warehouses or other systems using common web API frameworks and web services.
**Minimum Requirements**
* Bachelor’s degree required, with a degree in a related field preferred.
* Minimum of 3\+ years of experience with enterprise data management, integration, and transformation tools including Azure Data Factory, Databricks, dbt, Azure Storage, Azure SQL DB, Alteryx, Retool, and Power BI.
* Solid understanding of Git\-based version control and experience with GitHub, Azure DevOps, or similar.
* Proven subject matter expert for how systems handle data and develop ELT/ETL solutions based on best practices, their experience, and knowledge of the Company’s goals.
**Benefits**
* Comprehensive Health Insurance options (Medical, Dental, Vision, Accident, Life, Critical Illness, Short and Long\-Term Disability)
* 401(k) Retirement Plan with company match
* HSA plan with company match
* Paid holidays and paid time off (PTO)
* Employee Referral Program
* Employee Discount Program
* Paid training and unlimited professional growth potential
*Please note: Applicants must be authorized to work in the United States at the time of their application on a full\-time basis. The Company will not sponsor applicants for work visas.*
**Culture And Community**
 We believe that when employees feel valued and supported, they perform at their best. Our dedication to fostering a strong, value\-driven culture has consistently earned us the
 *Top Workplaces USA* 
 award as one of the nation’s top employers, including recognition in Leadership, Purpose \&amp; Values, and Compensation \&amp; Benefits.
 West Shore Home strives to Bring Happiness to Every Home® and that goes beyond our customers and employees. We support positive change in our communities by volunteering, giving back, and supporting nonprofits that make a difference. Learn more here: https://westshorehome.com/community/
 It is the policy of West Shore Home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All employees are subject to a pre\-employment screening process including a background check and drug screen. In addition, we will provide reasonable accommodations for qualified individuals with disabilities. If you require reasonable accommodation in completing the application, interviewing, completing any pre\-employment testing, or otherwise participating in the employee selection process, please direct your inquiries to your recruiter.</t>
        </is>
      </c>
    </row>
    <row r="152">
      <c r="A152" t="inlineStr">
        <is>
          <t>li-4330620573</t>
        </is>
      </c>
      <c r="B152" t="inlineStr">
        <is>
          <t>Data Engineer</t>
        </is>
      </c>
      <c r="C152" t="inlineStr">
        <is>
          <t>Randstad Digital Americas</t>
        </is>
      </c>
      <c r="D152" t="inlineStr">
        <is>
          <t>linkedin</t>
        </is>
      </c>
      <c r="E152">
        <f>HYPERLINK("https://www.linkedin.com/jobs/view/4330620573", "https://www.linkedin.com/jobs/view/4330620573")</f>
        <v/>
      </c>
      <c r="F152" t="inlineStr"/>
      <c r="G152" t="inlineStr">
        <is>
          <t>Roanoke, TX</t>
        </is>
      </c>
      <c r="H152" t="inlineStr"/>
      <c r="I152" t="inlineStr">
        <is>
          <t>**Job Summary**
 Advanced experience in building and maintaining automated data pipelines.
 Strong knowledge of ETL/ELT processes and orchestration tools (Airflow, Prefect, Dagster).
 location: Roanoke, Texas
 job type: Contract
 salary: $79 \- 80 per hour
 work hours: 8am to 5pm
 education: Bachelors
**Responsibilities**
* Architect and Design scalable, secure, and high\-performance data pipelines for on\-prem and cloud environments.
* Develop and Enhance automated ETL/ELT workflows leveraging modern frameworks and best practices.
* Modernize Legacy Systems by migrating data pipelines to cloud\-native solutions.
* Implement CI/CD Pipelines for data workflows, ensuring robust version control and automated deployments.
* Apply DevOps Practices to improve reliability, observability, and maintainability of data infrastructure.
* Troubleshoot and Resolve Issues in data pipelines, identifying root causes and implementing permanent fixes.
* Analyze Business Processes to identify inefficiencies and opportunities for automation and improvement.
* Translate Business Insights into Technical Solutions by creating actionable technical plans aligned with business objectives.
* Communicate Effectively with both technical teams and business stakeholders to ensure clarity and alignment.
* Execute Implementation Plans with urgency, high quality, and accountability for outcomes.
* Leverage All Available Resources proactively to deliver projects on time and within scope.
* Optimize Performance of large\-scale data processing systems and troubleshoot pipeline failures.
* Ensure Data Quality and Governance through validation frameworks, lineage tracking, and compliance with security standards.
* Collaborate with Cross\-Functional Teams including data scientists, analysts, and business stakeholders to deliver data solutions.
* Mentor and Guide junior engineers, promoting best practices and technical excellence.
* Drive Innovation by evaluating emerging technologies and recommending improvements to data architecture.
**Qualifications**
 Data Engineering Expertise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t>
        </is>
      </c>
    </row>
    <row r="153">
      <c r="A153" t="inlineStr">
        <is>
          <t>li-4342967119</t>
        </is>
      </c>
      <c r="B153" t="inlineStr">
        <is>
          <t>Lead Data Engineer</t>
        </is>
      </c>
      <c r="C153" t="inlineStr">
        <is>
          <t>Cox Automotive Inc.</t>
        </is>
      </c>
      <c r="D153" t="inlineStr">
        <is>
          <t>linkedin</t>
        </is>
      </c>
      <c r="E153">
        <f>HYPERLINK("https://www.linkedin.com/jobs/view/4342967119", "https://www.linkedin.com/jobs/view/4342967119")</f>
        <v/>
      </c>
      <c r="F153" t="inlineStr"/>
      <c r="G153" t="inlineStr">
        <is>
          <t>Atlanta, GA</t>
        </is>
      </c>
      <c r="H153" t="inlineStr"/>
      <c r="I153" t="inlineStr">
        <is>
          <t>The
 **Lead Data Engineer** 
 is responsible for processing structured and unstructured data, validating data quality, and developing and supporting data products. The Senior Data Engineer also plays a role in Agile planning, providing advice and guidance, and monitoring emerging technologies.
**Key Responsibilities**
**WHAT YOU'LL DO**
**Process Structured and Unstructured Data**
* Gathers and processes raw, structured, semi\-structured, and unstructured data using batch and real\-time data processing frameworks.
* Understands and enforces appropriate data master management techniques.
**Data Validation and Quality**
* Ensures data quality and implements tools and frameworks for automating the identification of data quality issues.
* Work with internal and external data providers on data validation providing feedback and making customized changes to data feeds and data mappings.
**Agile Planning**
* Understands the challenges that the analytics organization faces in their day\-to\-day work and partner with them to design viable data solutions.
* Recommends improvements to processes, technology, and interfaces that improve the effectiveness of the team and reduce technical debt.
**Product Development**
* Implements and optimizes data solutions in enterprise data warehouses and big data repositories.
* Installs, maintains, monitors, and supports business intelligence, distributed computation, and big data analytics tools.
**Application Support**
* Provides ongoing support, monitoring, and maintenance of deployed products.
**Advice and Guidance**
* Actively works with less experienced data engineers providing technical guidance and oversight.
**Emerging Technology Monitoring**
* Actively participates in the engineering community, staying up to date on new data technologies and best practices and shares insights with others in the organization.
**Qualifications**
**WHO YOU ARE**
* Must live within a commutable distance to Atlanta GA or be willing to relocate
* Bachelor's degree in Computer Science or related field and 6\+ years related experience OR Masters Degree w/ 4\+ years experience OR 18 years experience of equivalent combination of industry related professional experience and education.
* Working experience with batch and real\-time data processing frameworks
* Strong working experience with data modelling, data access, schemas, and data storage techniques within Snowflake
* Working experience in design, development, and implementation of highly scalable, high\-volume software systems and components, client\-facing web applications, and major Internet\-oriented applications and systems
* Working experience working with relational databases such as SQL, MySQL, Postgres/PostgreSQL
* Working experience with business intelligence tools and platforms
* Working experience with data quality tools
* Working experience with application lifecycle methodologies (e.g. waterfall, agile, iterative)
* Experience with ETL processes and tools
* Experience working with Git
* Experience or exposure to DBT
* Experience working with AI related tools such as co\-pilot
* Experience implementing new tools into environments
**Preferred Qualifications**
* Scrum Developer Certification or equivalent
* Working experience with Sisense platform
* Working experience with SQL Server Integration Services
* Working experience with AWS data tools (Database Migration Service)
* Working experience with Python
* Experience working with Jira, Rally or similar tools
 USD 111,500\.00 \- 185,900\.00 per year
**Compensation**
 Compensation includes a base salary of $111,500\.00 \- $185,900\.00\. The base salary may vary within the anticipated base pay range based on factors such as the ultimate location of the position and the selected candidate's knowledge, skills, and abilities. Position may be eligible for additional compensation that may include an incentive program.
**Benefits**
 The Company offers eligible employees the flexibility to take as much vacation with pay as they deem consistent with their duties, the company's needs, and its obligations; seven paid holidays throughout the calendar year; and up to 160 hours of paid wellness annually for their own wellness or that of family members. Employees are also eligible for additional paid time off in the form of bereavement leave, time off to vote, jury duty leave, volunteer time off, military leave, and parental leave.</t>
        </is>
      </c>
    </row>
    <row r="154">
      <c r="A154" t="inlineStr">
        <is>
          <t>li-4358137287</t>
        </is>
      </c>
      <c r="B154" t="inlineStr">
        <is>
          <t>Data Engineer, Senior</t>
        </is>
      </c>
      <c r="C154" t="inlineStr">
        <is>
          <t>Booz Allen Hamilton</t>
        </is>
      </c>
      <c r="D154" t="inlineStr">
        <is>
          <t>linkedin</t>
        </is>
      </c>
      <c r="E154">
        <f>HYPERLINK("https://www.linkedin.com/jobs/view/4358137287", "https://www.linkedin.com/jobs/view/4358137287")</f>
        <v/>
      </c>
      <c r="F154" t="inlineStr"/>
      <c r="G154" t="inlineStr">
        <is>
          <t>Washington, DC</t>
        </is>
      </c>
      <c r="H154" t="inlineStr"/>
      <c r="I154" t="inlineStr">
        <is>
          <t>**Job Number: R0231724**
 Data Engineer, Senior
**The Opportunity:**
 As data analyst, you love diving into data and turning it into meaningful insights. With the abundance of structured and unstructured data, you understand the importance of transforming complex data sets into useful information to solve challenges. As a data analyst at Booz Allen, you can use your skills and experience to support a mission and use data for good. We need a data expert like you to bring your expertise to help support our nation's warfighters.
 As a client\-facing data analyst on our national security team, you’ll work closely with your clients to understand their questions and needs and then dig into their data\-rich environments to find the pieces of their information puzzle. Not only will you provide a deep understanding of their data, but you’ll also advise your client on what the information means and how it can be used to make an impact on our defense priorities.
**How You’ll Contribute:**
 As a data analyst on our team, you’ll:
* Use your data analytics expertise to support client and stakeholder relationships.
* Research, develop, and test data methodologies, and generate cross\-functional solutions through analysis and visualization of large data sets.
* Contribute to impactful work and guide decision\-making across multiple organizations.
* Apply communication skills and data analytics expertise by simplifying technical requirements and trends, based on audience.
* Present data findings and recommendations to clients and stakeholders using your knowledge of databases, scripting languages, and Microsoft Office Suite.
* Establish quantitative and qualitative metrics and key performance indicators to drive technical outcomes.
* Apply data visualization through different formats.
* Grow your communication and technical skills by creating data\-centric solutions across mission areas.
 Work with us to drive large\-scale business and process decisions through data insights.
 Join us. The world can’t wait.
**You Have:**
* 3\+ years of experience in a data engineering, application development, or data science field
* 3\+ years of experience designing, developing, operationalizing, and maintaining data applications for reporting and analytics at enterprise scale
* 3\+ years of experience with Python, SQL, Scala, or R
* 2\+ years of experience with data visualization or geospatial tools such as Tableau, Qlik, Power BI, or ArcGIS
* Experience working in IC or DoD environments
* Experience creating solutions within a collaborative, cross\-functional team environment
* TS/SCI clearance with a polygraph
* Bachelor's degree in a CS, Data Science, or Mathematics field
**Nice If You Have:**
* Experience with Palantir tools such as Foundry or Gaia
* Experience with Large Language Models, including both applied and theoretical
* Experience with distributed data and computing tools, including Spark, Databricks, Hadoop, Hive, AWS EMR, or Kafka
**Clearance:**
 Applicants selected will be subject to a security investigation and may need to meet eligibility requirements for access to classified information; TS/SCI clearance with polygraph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$77,600\.00 to $176,000\.00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55">
      <c r="A155" t="inlineStr">
        <is>
          <t>li-4330088109</t>
        </is>
      </c>
      <c r="B155" t="inlineStr">
        <is>
          <t>Sr. Data Engineer</t>
        </is>
      </c>
      <c r="C155" t="inlineStr">
        <is>
          <t>Software Guidance &amp; Assistance, Inc. (SGA, Inc.)</t>
        </is>
      </c>
      <c r="D155" t="inlineStr">
        <is>
          <t>linkedin</t>
        </is>
      </c>
      <c r="E155">
        <f>HYPERLINK("https://www.linkedin.com/jobs/view/4330088109", "https://www.linkedin.com/jobs/view/4330088109")</f>
        <v/>
      </c>
      <c r="F155" t="inlineStr"/>
      <c r="G155" t="inlineStr">
        <is>
          <t>Hartford, CT</t>
        </is>
      </c>
      <c r="H155" t="inlineStr"/>
      <c r="I155" t="inlineStr">
        <is>
          <t>Software Guidance \&amp; Assistance, Inc., (SGA), is searching for a
 **Sr. Data Engineer** 
 for a
 **contract** 
 assignment with one of our premier
 **Insurance** 
 clients in
 **Hartford, CT or Charlotte, NC** 
 .
**Responsibilities** 
 :
* Modernize legacy data assets by migrating and re\-engineering them into modern cloud solutions (AWS, GCP, Snowflake) for scalability, security, and cost efficiency.
* Design, develop, and optimize ETL/ELT pipelines for structured and unstructured data, ensuring resilience and high performance.
* Build and manage data pipelines leveraging cloud services such as AWS Glue, EMR, Redshift; GCP BigQuery, Dataflow; and Snowflake.
* Curate and publish Data Products to support analytics, visualization, machine learning, and Generative AI use cases.
* Implement DataOps practices for automated deployments, CI/CD integration, and continuous delivery of data solutions.
* Apply best practices for data modeling, governance, and security, ensuring compliance with enterprise standards and regulatory requirements.
* Establish and enforce Data Governance frameworks, including:
+ Data Quality Management
+ Metadata Management
+ Data Lineage Tracking
* Integrate AI/ML models into data pipelines, enabling real\-time scoring, feature engineering, and model retraining workflows.
* Enable Generative AI capabilities by embedding LLMs into data workflows for intelligent automation and advanced insights.
* Develop and deploy AI Agents for automated decision\-making and conversational analytics.
* Lead Proof of Concepts (POCs) and pilot initiatives for emerging technologies—beyond GenAI—such as real\-time streaming, AI agents, and next\-gen data platforms.
* Develop and maintain BI dashboards and visualization solutions using tools like Power BI or Tableau to deliver actionable insights.
* Monitor and fine\-tune data pipelines for performance, scalability, and reliability using advanced observability tools.
* Automate auditing, reconciliation, and data quality checks to maintain high data integrity.
* Develop self\-healing pipelines with robust re\-startability mechanisms for resilience.
* Schedule and orchestrate complex workflows using tools like MWAA, Autosys, or Control\-M.
* Champion continuous improvement and innovation by adopting emerging technologies in DataOps, AI/ML, and cloud engineering.
**Required** 
**Skills** 
 :
* Bachelor's or master's degree in computer science or a related discipline.
* 7\+ years of experience in data analysis, transformation, and development, with ideally 2\+ years in the insurance or a related industry.
* 5\+ years of strong proficiency in SQL, Python, and ETL tools such as Informatica IDMC for data integration and transformation.
* 3\+ years of experience developing and deploying large\-scale data and analytics applications on cloud platforms such as AWS, GCP and Snowflake.
* Experience in small or medium\-scale Generative AI (GenAI) integration within data workflows or enterprise solutions.
* 3\+ years of expertise in designing and optimizing data models for Data Warehouses, Data Marts, and Data Fabric, including dimensional modeling, semantic layers, metadata management, and integration for scalable, governed, and high\-performance analytics.
* 3\+ years of experience processing large\-scale structured and unstructured data in both batch and near\-real\-time environments, leveraging distributed computing frameworks and streaming technologies for high\-performance data pipelines.
* 3\+ years of experience in Agile methodologies, including Scrum and Kanban frameworks.
* 2\+ years of experience in leveraging DevOps pipelines for automated testing and deployment, ensuring continuous integration and delivery of data solutions.
* Experience accessing and retrieving data from disparate large data sources.
* Proficient in data visualization tools such as Tableau and Power BI, with expertise in creating interactive dashboards, reports, and visual analytics to support data\-driven decision\-making.
* Ability to analyze source systems, provide business solutions, and translate these solutions into actionable steps.
**Preferred** 
**Skills** 
 :
* Knowledge of data observability (metrics, tracing, logs) and monitoring frameworks.
* Exposure to metadata management (catalogs, glossary) and data lineage tools.
* Familiarity with containerization \&amp; orchestration (Docker, Kubernetes).
 SGA is a technology and resource solutions provider driven to stand out. We are a women\-owned business. Our mission: to solve big IT problems with a more personal, boutique approach. Each year, we match consultants like you to more than 1,000 engagements. When we say let's work better together, we mean it. You'll join a diverse team built on these core values: customer service, employee development, and quality and integrity in everything we do. Be yourself, love what you do and find your passion at work. Please find us at https://sgainc.com/ .
 SGA is an Equal Opportunity Employer and does not discriminate on the basis of Race, Color, Sex, Sexual Orientation, Gender Identity, Religion, National Origin, Disability, Veteran Status, Age, Marital Status, Pregnancy, Genetic Information, or Other Legally Protected Status. We are committed to providing access, equal opportunity, and reasonable accommodation for individuals with disabilities in employment, and our services, programs, and activities. Please visit our company EEO page to request an accommodation or assistance regarding our policy.</t>
        </is>
      </c>
    </row>
    <row r="156">
      <c r="A156" t="inlineStr">
        <is>
          <t>li-4358217211</t>
        </is>
      </c>
      <c r="B156" t="inlineStr">
        <is>
          <t>Data Engineer, Senior</t>
        </is>
      </c>
      <c r="C156" t="inlineStr">
        <is>
          <t>Booz Allen Hamilton</t>
        </is>
      </c>
      <c r="D156" t="inlineStr">
        <is>
          <t>linkedin</t>
        </is>
      </c>
      <c r="E156">
        <f>HYPERLINK("https://www.linkedin.com/jobs/view/4358217211", "https://www.linkedin.com/jobs/view/4358217211")</f>
        <v/>
      </c>
      <c r="F156">
        <f>HYPERLINK("https://careers.boozallen.com/careers/JobDetail?jobId=119291&amp;source=JB-16500&amp;urlHash=hq-v", "https://careers.boozallen.com/careers/JobDetail?jobId=119291&amp;source=JB-16500&amp;urlHash=hq-v")</f>
        <v/>
      </c>
      <c r="G156" t="inlineStr">
        <is>
          <t>Arlington, VA</t>
        </is>
      </c>
      <c r="H156" t="inlineStr"/>
      <c r="I156" t="inlineStr">
        <is>
          <t>**Job Number: R0231724**
 Data Engineer, Senior
**The Opportunity:**
 As data analyst, you love diving into data and turning it into meaningful insights. With the abundance of structured and unstructured data, you understand the importance of transforming complex data sets into useful information to solve challenges. As a data analyst at Booz Allen, you can use your skills and experience to support a mission and use data for good. We need a data expert like you to bring your expertise to help support our nation's warfighters.
 As a client\-facing data analyst on our national security team, you’ll work closely with your clients to understand their questions and needs and then dig into their data\-rich environments to find the pieces of their information puzzle. Not only will you provide a deep understanding of their data, but you’ll also advise your client on what the information means and how it can be used to make an impact on our defense priorities.
**How You’ll Contribute:**
 As a data analyst on our team, you’ll:
* Use your data analytics expertise to support client and stakeholder relationships.
* Research, develop, and test data methodologies, and generate cross\-functional solutions through analysis and visualization of large data sets.
* Contribute to impactful work and guide decision\-making across multiple organizations.
* Apply communication skills and data analytics expertise by simplifying technical requirements and trends, based on audience.
* Present data findings and recommendations to clients and stakeholders using your knowledge of databases, scripting languages, and Microsoft Office Suite.
* Establish quantitative and qualitative metrics and key performance indicators to drive technical outcomes.
* Apply data visualization through different formats.
* Grow your communication and technical skills by creating data\-centric solutions across mission areas.
 Work with us to drive large\-scale business and process decisions through data insights.
 Join us. The world can’t wait.
**You Have:**
* 3\+ years of experience in a data engineering, application development, or data science field
* 3\+ years of experience designing, developing, operationalizing, and maintaining data applications for reporting and analytics at enterprise scale
* 3\+ years of experience with Python, SQL, Scala, or R
* 2\+ years of experience with data visualization or geospatial tools such as Tableau, Qlik, Power BI, or ArcGIS
* Experience working in IC or DoD environments
* Experience creating solutions within a collaborative, cross\-functional team environment
* TS/SCI clearance with a polygraph
* Bachelor's degree in a CS, Data Science, or Mathematics field
**Nice If You Have:**
* Experience with Palantir tools such as Foundry or Gaia
* Experience with Large Language Models, including both applied and theoretical
* Experience with distributed data and computing tools, including Spark, Databricks, Hadoop, Hive, AWS EMR, or Kafka
**Clearance:**
 Applicants selected will be subject to a security investigation and may need to meet eligibility requirements for access to classified information; TS/SCI clearance with polygraph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$77,600\.00 to $176,000\.00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57">
      <c r="A157" t="inlineStr">
        <is>
          <t>li-4330610728</t>
        </is>
      </c>
      <c r="B157" t="inlineStr">
        <is>
          <t>Data Engineer - PySpark / Databricks - Hybird</t>
        </is>
      </c>
      <c r="C157" t="inlineStr">
        <is>
          <t>Jobs via Dice</t>
        </is>
      </c>
      <c r="D157" t="inlineStr">
        <is>
          <t>linkedin</t>
        </is>
      </c>
      <c r="E157">
        <f>HYPERLINK("https://www.linkedin.com/jobs/view/4330610728", "https://www.linkedin.com/jobs/view/4330610728")</f>
        <v/>
      </c>
      <c r="F157">
        <f>HYPERLINK("https://click.appcast.io/t/6KLpwbA-DeiR-_guWnVTEwNpAf5rlF-qxXLd5pWA61M=&amp;urlHash=K-v7", "https://click.appcast.io/t/6KLpwbA-DeiR-_guWnVTEwNpAf5rlF-qxXLd5pWA61M=&amp;urlHash=K-v7")</f>
        <v/>
      </c>
      <c r="G157" t="inlineStr">
        <is>
          <t>New York, NY</t>
        </is>
      </c>
      <c r="H157" t="inlineStr"/>
      <c r="I157" t="inlineStr">
        <is>
          <t>RESPONSIBILITIES:
 Kforce is seeking a highly skilled Data Engineer to join an enterprise\-level data team supporting one of our Top Financial Services clients in New York City. This role is focused on modernizing data infrastructure, building scalable pipelines, and creating a centralized data platform to drive data\-driven decision\-making across multiple business functions.
 Summary:
 The Data Engineer will be a key contributor in migrating and modernizing on\-premises data into Databricks on AWS, leveraging Terraform, PySpark, and AWS services to deliver a robust and efficient data platform. The team needs resources that have experience in Pyspark for ETL Development, SparkSQL and Databricks and experience in AWS resources like S3, Glue, Athena and Aurora Postgres.
 Key Responsibilities:
* Design, build, and maintain scalable data pipelines for ingestion, transformation, and delivery of enterprise data
* Support modernization initiatives, migrating on\-premises data into Databricks to enable enterprise\-scale analytics
* Implement Infrastructure as Code (IaC) for data environments using Terraform
* Collaborate with data architects and platform engineers to optimize AWS compute, database, and storage resources
* Develop and manage ETL/ELT workflows using Databricks (PySpark, Python, SQL)
* Ensure data quality, security, and compliance across all environments
 REQUIREMENTS:
* Infrastructure as Code (IaC): Strong hands\-on experience with Terraform.
* Databricks Expertise: Building notebooks with PySpark and Python; Solid knowledge of Databricks architecture and provisioning; Familiarity with Medallion Architecture (Delta Lake, Lakehouse)
* AWS Cloud Services: Practical experience with Glue, Lambda, Step Functions, RDS, and related AWS resources
* SQL Proficiency: Strong SQL skills for data cataloging, ingestion, and transformations
* ETL Development: Proven experience building complex ETL processes beyond simple lift\-and\-shift
* Data Migration \&amp; Modeling: Knowledge of on\-premises to cloud migrations and modern data modeling practices
 Preferred/Nice to have:
* CI/CD Pipelines: Experience with GitLab and/or Jenkins for version control, code commits, and automated pipelines
* Shift\-Left Testing/DevSecOps: Familiarity with SAST/DAST tools and security\-first development practices
* Exposure to analytics tools and BI platforms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row>
    <row r="158">
      <c r="A158" t="inlineStr">
        <is>
          <t>li-4358296014</t>
        </is>
      </c>
      <c r="B158" t="inlineStr">
        <is>
          <t>Senior Data Engineer</t>
        </is>
      </c>
      <c r="C158" t="inlineStr">
        <is>
          <t>Centene Corporation</t>
        </is>
      </c>
      <c r="D158" t="inlineStr">
        <is>
          <t>linkedin</t>
        </is>
      </c>
      <c r="E158">
        <f>HYPERLINK("https://www.linkedin.com/jobs/view/4358296014", "https://www.linkedin.com/jobs/view/4358296014")</f>
        <v/>
      </c>
      <c r="F158" t="inlineStr"/>
      <c r="G158" t="inlineStr">
        <is>
          <t>Florida, United States</t>
        </is>
      </c>
      <c r="H158" t="inlineStr"/>
      <c r="I158" t="inlineStr">
        <is>
          <t>You could be the one who changes everything for our 28 million members by using technology to improve health outcomes around the world. As a diversified, national organization, Centene's technology professionals have access to competitive benefits including a fresh perspective on workplace flexibility.
**Position Purpose** 
 Develops and operationalizes data pipelines to make data available for consumption (reports and advanced analytics), including data ingestion, data transformation, data validation / quality, data pipeline optimization, and orchestration. Engages with the DevSecOps Engineer during continuous integration and continuous deployment.
* Helps guide the design and implementation of complex data management procedures around data staging, data ingestion, data preparation, data provisioning, and data destruction (scripts, programs, automation, assisted by automation, etc.)
* Provides guidance to data engineers in the design, development, implementation, testing, documenting, and operating of large\-scale, high\-volume, high\-performance data structures for business intelligence analytics
* Designs, develops, and maintains real\-time processing applications and real\-time data pipelines
* Ensure quality of technical solutions as data moves across Centene’s environments
* Provides senior level knowledge and insight into the changing data environment, data processing, data storage, and utilization requirements for the company and drives the team toward viable solutions
* Develops, constructs, tests, and maintains architectures using advanced programming language and tools
* Drives ways to improve data reliability, efficiency, and quality and deploys a solution; use data to discover tasks that can be automated
* Performs other duties as assigned
* Complies with all policies and standards
**Education/Experience** 
 A Bachelor's degree in a quantitative or business field (e.g., statistics, mathematics, engineering, computer science) and Requires 4 – 6 years of related experience. Or equivalent experience acquired through accomplishments of applicable knowledge, duties, scope and skill reflective of the level of this position.
**Technical Skills**
* One or more of the following skills are desired.
* dbt
* Snowflake
* Data modeling experience
* Delta/incremental data transfers between systems
* Slowly Changing Dimensions (SCD)
* SQL and NoSQL paradigms
* Python
* AWS S3
* JSON Schema, Open Data Contract spec, Data Contract Standard, DBT Model Contracts, Adobe XDM JSON, JSON\-LD, Protobuf, OpenAPI, etc.
* Adobe Experience Platform Real\-Time CDP (RT\-CDP), including
+ Schemas (XDM)
+ Datasets
+ Profiles \&amp; Identities
+ Identity graphs
+ Merge policies
+ Experience Platform APIs
 Pay Range $87,000\.00 \- $161,300\.00 per year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including full\-time or part\-time status. Total compensation may also include additional forms of incentives. Benefits may be subject to program eligibility.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Qualified applicants with arrest or conviction records will be considered in accordance with the LA County Ordinance and the California Fair Chance Act</t>
        </is>
      </c>
    </row>
    <row r="159">
      <c r="A159" t="inlineStr">
        <is>
          <t>li-4351701552</t>
        </is>
      </c>
      <c r="B159" t="inlineStr">
        <is>
          <t>Systems Engineer/Senior Data Engineer - Splunk, ServiceNow &amp; AppDynamics</t>
        </is>
      </c>
      <c r="C159" t="inlineStr">
        <is>
          <t>KDA CONSULTING INC</t>
        </is>
      </c>
      <c r="D159" t="inlineStr">
        <is>
          <t>linkedin</t>
        </is>
      </c>
      <c r="E159">
        <f>HYPERLINK("https://www.linkedin.com/jobs/view/4351701552", "https://www.linkedin.com/jobs/view/4351701552")</f>
        <v/>
      </c>
      <c r="F159" t="inlineStr"/>
      <c r="G159" t="inlineStr">
        <is>
          <t>Herndon, VA</t>
        </is>
      </c>
      <c r="H159" t="inlineStr"/>
      <c r="I159" t="inlineStr">
        <is>
          <t>\*\*\*Security Clearance: Must possess an active TS/SCI with Full Scope Polygraph\*\*\*
 KDA is seeking a highly skilled and experienced Systems Engineer/Senior Data Engineer with a strong background in designing, implementing, and optimizing data pipelines and solutions for critical security and operational platforms, specifically Splunk, ServiceNow, and AppDynamics. The ideal candidate will be a proactive, problem\-solving individual with a proven track record of managing complex data ingestion, normalization, and correlation processes within highly visible, operationally driven environments. This role requires an individual who thrives in a collaborative setting, possesses excellent communication skills, and is dedicated to continuous improvement and innovation.
**Key Responsibilities**
* Splunk Data Engineering:
+ Design, engineer, and maintain robust Splunk infrastructures, including clustered environments, for large\-scale data ingestion, correlation, and reporting.
+ Automate complex data ingestion methods (e.g., S3, syslog, JSON, APIs) from diverse sources across multiple enclaves.
+ Develop and implement methods for data tagging and cataloging to ensure compliance with evolving security standards and facilitate efficient data discovery.
+ Optimize data ingest performance and efficiency across various network environments. Familiar with Technical Add\-ons.
+ Parse and normalize non\-standard data sets to enable comprehensive analysis and correlation within Splunk.
+ Develop and refine Splunk queries, dashboards, and reports to visualize security events, infrastructure health, and operational metrics.
+ Collaborate with IT operations and cyber security teams to enrich data sets, ascertain cyber threats, and bolster security posture.
+ Maintain ITSI and SIEM\-like tools and custom content within virtualized environments.
+ Perform tuning and filtering of events and information, creating custom views and content.
+ Familiar with UBA and Splunk.
+ Collaborate with cross\-functional teams to design and implement data integrations between various security and operational tools (including Splunk and AppDynamics) and ServiceNow.
+ Develop and maintain data pipelines to ensure accurate and timely flow of security incidents, alerts, and operational metrics into ServiceNow for incident management, problem management, and reporting.
+ Assist in defining and implementing data models within ServiceNow to support security operations and compliance initiatives.
+ Work with third\-party services for design review and optimal deployment configuration for enterprise cloud service utilization (relevant to integrations).
+ Design and implement data collection strategies for AppDynamics, ensuring comprehensive monitoring of application performance and infrastructure.
+ Integrate AppDynamics data with Splunk for centralized visibility and correlation with other security and operational logs.
+ Troubleshoot problematic service deployments and data flows, utilizing forensic tools and audit log review (relevant to monitoring and analysis).
+ Develop methods to leverage AppDynamics data for identifying potential risks and optimizing application performance.
* General Data Engineering \&amp; Systems Expertise:
+ Collaborate with mission partners to develop long\-term enterprise audit solutions and normalize non\-standard data sets.
+ Engineer and maintain secure virtualized and cloud environments for data platforms.
+ Deploy and harden servers running Linux OS in accordance with CIS and other STIG guidelines.
+ Develop runbooks, SOPs, and documentation for new processes and systems.
+ Perform liaison duties between service providers and clients to bridge communication gaps and ensure adherence to SLAs.
+ Review and evaluate data integrity and develop use cases for various data sets.
+ Maintain system baselines and configuration management for data engineering tools.
+ Contribute to the development of plans to safeguard data against unauthorized modification, destruction, or disclosure.
+ Strong understanding of cyber security principles and experience with various security tools (e.g., Next\-Gen Firewalls, IPS/IDS, Tenable Nessus, Rapid7 Nexpose, McAfee EPO, Symantec SEP).
**Required Skills \&amp; Experience**
* 20\+ years of progressive experience in Information Technology and Security, with a strong focus on data engineering and systems integration.
* Security Clearance: Candidate must possess an active TS/SCI with Full Scope Polygraph
* Demonstrated expertise in engineering and maintaining large\-scale Splunk environments, including data ingestion, parsing, normalization, and content development.
* Experience with automating complex data ingestion methods (e.g., S3, syslog, JSON, APIs).
* Strong understanding of data tagging, cataloging, and data governance best practices.
* Proficiency with Linux OS administration and hardening.
* Familiarity with cloud security principles and deploying commercial services into protected/secured enclaves (e.g., AWS).
* Experience with SIEM solutions and their implementation, configuration, and maintenance.
* Strong scripting skills (e.g., BASH, Python, PowerShell).
* Excellent collaboration and communication skills, with the ability to work effectively in small teams and large collaborative efforts.
* Ability to troubleshoot complex technical issues and perform root cause analysis.
* Proven ability to develop and maintain documentation (runbooks, SOPs).
**Desired Skills (Plus, But Not Required)**
* Experience with ServiceNow platform administration, development, or integration.
* Experience with AppDynamics for application performance monitoring and data collection.
* Experience with configuration management tools \- Git, Ansible</t>
        </is>
      </c>
    </row>
    <row r="160">
      <c r="A160" t="inlineStr">
        <is>
          <t>li-4358196042</t>
        </is>
      </c>
      <c r="B160" t="inlineStr">
        <is>
          <t>Cloud Data Engineer</t>
        </is>
      </c>
      <c r="C160" t="inlineStr">
        <is>
          <t>ClearanceJobs</t>
        </is>
      </c>
      <c r="D160" t="inlineStr">
        <is>
          <t>linkedin</t>
        </is>
      </c>
      <c r="E160">
        <f>HYPERLINK("https://www.linkedin.com/jobs/view/4358196042", "https://www.linkedin.com/jobs/view/4358196042")</f>
        <v/>
      </c>
      <c r="F160" t="inlineStr"/>
      <c r="G160" t="inlineStr"/>
      <c r="H160" t="inlineStr"/>
      <c r="I160" t="inlineStr">
        <is>
          <t>ClearanceJobs is currently partnering with a government contractor to assist in hiring a
 **Cloud Data Engineer** 
 on a full\-time, permanent basis. This position can be performed 100% remotely and requires an active Secret security clearance.
**Title** 
 : Cloud Data Engineer
**Location** 
 : Remote / Telecommute
**Position Summary:** 
 The
 **Cloud Data Engineer** 
 will have demonstrated expertise in cloud\-based data architecture, security compliance, and analytics and will support the DISA NEXUS program at Fort Meade. The ideal candidate will design, develop, and secure cloud\-enabled data solutions within Azure and AWS, leveraging best practices in data management, automation, and DoD compliance.
**Responsibilities** 
 :
* Design, build, and maintain data pipelines and ETL processes across Azure and AWS cloud platforms.
* Develop and optimize data models, data lakes, and data warehouses to support mission analytics and reporting.
* Integrate structured and unstructured data from multiple systems into centralized, secure repositories.
* Collaborate with cloud and cybersecurity teams to ensure compliance with DoD STIGs, RMF, and FedRAMP standards.
* Implement and enforce data governance, integrity, and access controls across the cloud data environment.
* Work extensively with Oracle databases, including data extraction, transformation, and migration into cloud environments.
* Utilize tools such as Azure Data Factory, AWS Glue, Databricks, SQL, and Power BI for data orchestration and analytics.
* Monitor and enhance data performance, ensuring high availability, reliability, and scalability.
* Support ongoing cloud modernization efforts and provide technical expertise for data\-driven decision\-making.
**Qualifications** 
 :
* Active Secret Clearance (required)
* Bachelor’s degree in Data Science, Computer Science, or related field
* 5\+ years of experience in data engineering, database development, or cloud data solutions
* Hands\-on experience with Azure and/or AWS cloud data services (Azure Data Factory, AWS Glue, Redshift, S3, Synapse, etc.)
* Strong SQL and Python skills for data manipulation and automation</t>
        </is>
      </c>
    </row>
    <row r="161">
      <c r="A161" t="inlineStr">
        <is>
          <t>li-4358384107</t>
        </is>
      </c>
      <c r="B161" t="inlineStr">
        <is>
          <t>Data Engineer/Data Architect</t>
        </is>
      </c>
      <c r="C161" t="inlineStr">
        <is>
          <t>ECS</t>
        </is>
      </c>
      <c r="D161" t="inlineStr">
        <is>
          <t>linkedin</t>
        </is>
      </c>
      <c r="E161">
        <f>HYPERLINK("https://www.linkedin.com/jobs/view/4358384107", "https://www.linkedin.com/jobs/view/4358384107")</f>
        <v/>
      </c>
      <c r="F161" t="inlineStr"/>
      <c r="G161" t="inlineStr">
        <is>
          <t>San Diego, CA</t>
        </is>
      </c>
      <c r="H161" t="inlineStr"/>
      <c r="I161" t="inlineStr">
        <is>
          <t>**Job Description**
 ECS is seeking a
 ***Data Engineer/Architect***
 to work in our
 ***San Diego, CA***
 office.
 ECS is working to establish a Common Digital Foundation (CDF) \- a shared, secure, and interoperable foundational data platform. As a Data Architect/Data Engineer, you will be a core member of the team responsible for designing, building, and managing the infrastructure that underpins the CDF. You will work collaboratively with developers, data scientists, and other key stakeholders to ensure the CDF is VAULTIS (visible, accessible, understandable, linked, trustworthy, interoperable, and secure) compliant and scalable to meet current and future needs of our customer. This role requires a blend of data architectural skills and hands\-on engineering expertise.
**Key Responsibilities**
* Define and implement a next\-generation data architecture for the CDF to ensure long\-term scalability.
* Create and manage robust and reliable data pipelines from diverse data sources (e.g., structured, semi\-structured, and unstructured) aligning with data governance policies, security standards and industry best practice.
* Develop and implement data standards, procedures, and definitions for data governance as required aligning with higher headquarters policies when applicable.
* Evaluate and recommend appropriate technologies and tools.
* Ensure data curation processes maintain accuracy and integrity through a quality assurance process.
* Work closely with data analysts and data scientists to ensure data solutions are accessible and reliable.
* Design and implement effective data storage solutions using appropriate technologies (e.g., cloud, on\-premise).
* Contribute to the documentation of data architecture, data pipelines, data catalog, and ETL capabilities.
*Salary Range: $200,000 \- $250,000*
 Required Skills
* 10\-15\+ years of relevant experience
* Bachelor’s Degree in Computer Science or related field
* Active Secret Clearance
* Proven experience in building and managing data pipelines, data storage, and associated infrastructure
* Proficiency in SQL and at least one programing language (e.g., Python, Java, etc.) for data processing and automation
* Experience in data visualization tools and techniques
* Understanding of data warehousing solutions and ETL (Extract, Transform, Load) frameworks
* Experience with cloud platforms (e.g., AWS, Azure) and their data services
* Experience with data governance frameworks and tools, as well as data security
* Excellent communication and collaboration skills with the ability to work with both technical and non\-technical stakeholders
* Strong problem\-solving skills with a proactive approach to resolving issues
 Desired Skills
* Active Top Secret security clearance
* Advanced Degree in Computer Science or related field
 \#ECS1
*ECS is an equal opportunity employer and does not discriminate or allow discrimination on the basis any characteristic protected by law. All qualified applicants will receive consideration for employment without regard to disability, status as a protected veteran or any other status protected by applicable federal, state, or local jurisdiction law.*
 ECS is a leading mid\-sized provider of technology services to the United States Federal Government. We are focused on people, values and purpose. Every day, our 3300\+ employees focus on providing their technical talent to support the Federal Agencies and Departments of the US Government to serve, protect and defend the American People.</t>
        </is>
      </c>
    </row>
    <row r="162">
      <c r="A162" t="inlineStr">
        <is>
          <t>li-4358286536</t>
        </is>
      </c>
      <c r="B162" t="inlineStr">
        <is>
          <t>Senior Data Engineer</t>
        </is>
      </c>
      <c r="C162" t="inlineStr">
        <is>
          <t>Centene Corporation</t>
        </is>
      </c>
      <c r="D162" t="inlineStr">
        <is>
          <t>linkedin</t>
        </is>
      </c>
      <c r="E162">
        <f>HYPERLINK("https://www.linkedin.com/jobs/view/4358286536", "https://www.linkedin.com/jobs/view/4358286536")</f>
        <v/>
      </c>
      <c r="F162" t="inlineStr"/>
      <c r="G162" t="inlineStr">
        <is>
          <t>Illinois, United States</t>
        </is>
      </c>
      <c r="H162" t="inlineStr"/>
      <c r="I162" t="inlineStr">
        <is>
          <t>You could be the one who changes everything for our 28 million members by using technology to improve health outcomes around the world. As a diversified, national organization, Centene's technology professionals have access to competitive benefits including a fresh perspective on workplace flexibility.
**Position Purpose** 
 Develops and operationalizes data pipelines to make data available for consumption (reports and advanced analytics), including data ingestion, data transformation, data validation / quality, data pipeline optimization, and orchestration. Engages with the DevSecOps Engineer during continuous integration and continuous deployment.
* Helps guide the design and implementation of complex data management procedures around data staging, data ingestion, data preparation, data provisioning, and data destruction (scripts, programs, automation, assisted by automation, etc.)
* Provides guidance to data engineers in the design, development, implementation, testing, documenting, and operating of large\-scale, high\-volume, high\-performance data structures for business intelligence analytics
* Designs, develops, and maintains real\-time processing applications and real\-time data pipelines
* Ensure quality of technical solutions as data moves across Centene’s environments
* Provides senior level knowledge and insight into the changing data environment, data processing, data storage, and utilization requirements for the company and drives the team toward viable solutions
* Develops, constructs, tests, and maintains architectures using advanced programming language and tools
* Drives ways to improve data reliability, efficiency, and quality and deploys a solution; use data to discover tasks that can be automated
* Performs other duties as assigned
* Complies with all policies and standards
**Education/Experience** 
 A Bachelor's degree in a quantitative or business field (e.g., statistics, mathematics, engineering, computer science) and Requires 4 – 6 years of related experience. Or equivalent experience acquired through accomplishments of applicable knowledge, duties, scope and skill reflective of the level of this position.
**Technical Skills**
* One or more of the following skills are desired.
* dbt
* Snowflake
* Data modeling experience
* Delta/incremental data transfers between systems
* Slowly Changing Dimensions (SCD)
* SQL and NoSQL paradigms
* Python
* AWS S3
* JSON Schema, Open Data Contract spec, Data Contract Standard, DBT Model Contracts, Adobe XDM JSON, JSON\-LD, Protobuf, OpenAPI, etc.
* Adobe Experience Platform Real\-Time CDP (RT\-CDP), including
+ Schemas (XDM)
+ Datasets
+ Profiles \&amp; Identities
+ Identity graphs
+ Merge policies
+ Experience Platform APIs
 Pay Range $87,000\.00 \- $161,300\.00 per year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including full\-time or part\-time status. Total compensation may also include additional forms of incentives. Benefits may be subject to program eligibility.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Qualified applicants with arrest or conviction records will be considered in accordance with the LA County Ordinance and the California Fair Chance Act</t>
        </is>
      </c>
    </row>
    <row r="163">
      <c r="A163" t="inlineStr">
        <is>
          <t>li-4330469982</t>
        </is>
      </c>
      <c r="B163" t="inlineStr">
        <is>
          <t>Lead Data Engineer</t>
        </is>
      </c>
      <c r="C163" t="inlineStr">
        <is>
          <t>Jobs via Dice</t>
        </is>
      </c>
      <c r="D163" t="inlineStr">
        <is>
          <t>linkedin</t>
        </is>
      </c>
      <c r="E163">
        <f>HYPERLINK("https://www.linkedin.com/jobs/view/4330469982", "https://www.linkedin.com/jobs/view/4330469982")</f>
        <v/>
      </c>
      <c r="F163" t="inlineStr"/>
      <c r="G163" t="inlineStr">
        <is>
          <t>St Louis, MO</t>
        </is>
      </c>
      <c r="H163" t="inlineStr"/>
      <c r="I163" t="inlineStr">
        <is>
          <t>Dice is the leading career destination for tech experts at every stage of their careers. Our client, Tech Mahindra (Americas) Inc., is seeking the following. Apply via Dice today!
**Position Title: Lead Data Engineer**
**Location: St. Louis, MO**
**Job Description**
* Design and build scalable, cloud\-native data platforms using PySpark, Python, and modern data engineering practices.
* Mentor and guide other engineers, sharing knowledge, reviewing code, and fostering a culture of curiosity, growth, and continuous improvement.
* Create robust, maintainable ETL/ELT pipelines that integrate with diverse systems and serve business\-critical use cases.
* Lead by example—write high\-quality, testable code and participate in architecture and design discussions with a long\-term view in mind.
* Decompose complex problems into modular, efficient, and scalable components that align with platform and product goals.
* Champion best practices in data engineering, including testing, version control, documentation, and performance tuning.
* Drive collaboration across teams, working closely with product managers, data scientists, and other engineers to deliver high\-impact solutions.
* Support data governance and quality efforts, ensuring data lineage, cataloging, and access management are built into the platform.
* Continuously learn and apply new technologies, frameworks, and tools to improve team productivity and platform reliability.
* Own and optimize cloud infrastructure components related to data engineering workflows, storage, processing, and orchestration.
* Participate in architectural discussions, iteration planning, and feature sizing meetings
* Adhere to Agile processes and participate actively in agile ceremonies
* Stakeholder management skills
**All About You**
* Solid understanding of EMR Serverless, Apache Airflow, DAGs, Iceberg S3, SQS, DLQ, Lambda, AWS Lake Formation, Glue, Athena, Data Pipelines, Databricks Unity catalog, DBX S3
* Any experience in YAML Data Contracts
* Experience with containerization and infrastructure automation (e.g., Docker, Terraform) will be a good addition.
* Experience integrating heterogeneous systems and building resilient data pipelines across cloud environments.
* Familiarity with orchestration tools (e.g., Airflow, dbt, Step Functions, etc.).
* Exposure to data governance tools and practices (e.g., Lake Formation, Purview, or Atlan).
* AWS Certified Data Analytics, Azure Data Engineer), or demonstrable contributions to open source/data engineering communities will be a bonus. Exposure to machine learning data pipelines or MLOps is a plus.
*“Tech Mahindra is an Equal Employment Opportunity employer. We promote and support a diverse workforce at all levels of the company. All qualified applicants will receive consideration for employment without regard to race, religion, color, sex, age, national origin, or disability. All applicants will be evaluated solely on the basis of their ability, competence, and performance of the essential functions of*</t>
        </is>
      </c>
    </row>
    <row r="164">
      <c r="A164" t="inlineStr">
        <is>
          <t>li-4330439478</t>
        </is>
      </c>
      <c r="B164" t="inlineStr">
        <is>
          <t>Sr. Data Platform Engineer</t>
        </is>
      </c>
      <c r="C164" t="inlineStr">
        <is>
          <t>Jobs via Dice</t>
        </is>
      </c>
      <c r="D164" t="inlineStr">
        <is>
          <t>linkedin</t>
        </is>
      </c>
      <c r="E164">
        <f>HYPERLINK("https://www.linkedin.com/jobs/view/4330439478", "https://www.linkedin.com/jobs/view/4330439478")</f>
        <v/>
      </c>
      <c r="F164">
        <f>HYPERLINK("https://click.appcast.io/t/lVapbjiVC9XeX6NNDFyrOo9qm5ccOA7knbnnmTb-yHM=&amp;urlHash=p5Jt", "https://click.appcast.io/t/lVapbjiVC9XeX6NNDFyrOo9qm5ccOA7knbnnmTb-yHM=&amp;urlHash=p5Jt")</f>
        <v/>
      </c>
      <c r="G164" t="inlineStr">
        <is>
          <t>San Francisco, CA</t>
        </is>
      </c>
      <c r="H164" t="inlineStr"/>
      <c r="I164" t="inlineStr">
        <is>
          <t>Dice is the leading career destination for tech experts at every stage of their careers. Our client, Oscar Technology, is seeking the following. Apply via Dice today!
**About The Company**
 A fast\-growing AI technology company building advanced analytics and optimization platforms for complex, large\-scale systems. The team operates globally and focuses on delivering enterprise\-grade, data\-driven solutions.
 As a Senior Data Platform Engineer, you will design and scale the core data infrastructure powering the company's AI and analytics platform. Your work will focus on taking an existing system to an enterprise\-grade, highly reliable data platform supporting large\-scale workloads across cloud and on\-prem environments.
 You'll build high\-performance data connectors, governance frameworks, object storage and lakehouse components, and backend services. This includes developing S3\-compatible object storage, Delta Lake\-compatible services, and integrations with modern data ecosystems such as Snowflake, Databricks, and BigQuery.
* Unfortunately, this role does not offer sponsorships.
**Details:**
* Full\-Time, Permanent Position
* $180,000 \- $200,000 \+ Equity \+ Benefits
* San Francisco, CA \| 5 Days On\-Site
**Key Responsibilities**
* Build secure, scalable data connectors and ingestion frameworks across cloud and on\-prem systems.
* Develop core data platform components, including S3\-compatible object storage and table/metadata services.
* Implement Delta Lake\-compatible services (ACID transactions, schema evolution, time travel).
* Create platform APIs supporting Spark, Pandas, and distributed compute frameworks.
* Optimize performance, reliability, and scalability in multi\-cloud and hybrid environments.
* Improve observability and high\-availability for mission\-critical data services.
**Qualifications**
* 10\+ years of experience in data platform engineering, data infrastructure, or distributed systems.
* Strong backend development skills (Python or similar).
* Deep understanding of lakehouse architectures (Delta Lake, Iceberg) and object storage.
* Experience building large\-scale data platforms or pipelines.
* Strong cloud experience (AWS, Azure, or Google Cloud Platform).
**Preferred**
* Experience with data governance or metadata platforms.
* Familiarity with streaming, CDC, and modern ingestion patterns.
* Experience with Spark, Kubernetes, or performance tuning.
 Oscar Associates Limited (US) is acting as an Employment Agency in relation to this vacancy.</t>
        </is>
      </c>
    </row>
    <row r="165">
      <c r="A165" t="inlineStr">
        <is>
          <t>li-4330459447</t>
        </is>
      </c>
      <c r="B165" t="inlineStr">
        <is>
          <t>Senior Data Engineer</t>
        </is>
      </c>
      <c r="C165" t="inlineStr">
        <is>
          <t>Jobs via Dice</t>
        </is>
      </c>
      <c r="D165" t="inlineStr">
        <is>
          <t>linkedin</t>
        </is>
      </c>
      <c r="E165">
        <f>HYPERLINK("https://www.linkedin.com/jobs/view/4330459447", "https://www.linkedin.com/jobs/view/4330459447")</f>
        <v/>
      </c>
      <c r="F165" t="inlineStr"/>
      <c r="G165" t="inlineStr">
        <is>
          <t>Tampa, FL</t>
        </is>
      </c>
      <c r="H165" t="inlineStr"/>
      <c r="I165" t="inlineStr">
        <is>
          <t>Leidos has an immediate need for a highly skilled and versatile Data Engineer, Sr. to drive the massive data discovery and classification effort for the Zero Trust initiative at U.S. Special Operations Command (USSOCOM). Before data can be protected, it must be found and understood. You will be responsible for illuminating "dark data" across the Command's complex information environment, ranging from hyperscale cloud data lakes on NIPR to legacy file shares and isolated storage arrays on the SIPR and Top\-Secret networks.
 As a Data Engineer, Sr., you will architect and manage the deployment of advanced discovery platforms, specifically BigID and NetApp BlueXP. You will configure these tools to crawl petabytes of structured (SQL/Oracle), semi\-structured (logs/NoSQL), and unstructured (SharePoint/File Shares) data. Your primary mission is to build the "Global Data Inventory"\-a dynamic, real\-time map of where sensitive CUI and classified intelligence resides\-enabling the security teams to apply precision protection. You will use your knowledge of data pipelines and storage infrastructure to ensure that scanning operations provide 100% visibility without degrading network performance.
 Responsibilities:
* Data Discovery Architecture: Deploy and manage BigID and NetApp BlueXP scanners across hybrid environments, including configuring dockerized collectors for air\-gapped discovery on the Top\-Secret network.
* Structured Data Mapping: Connect discovery tools to enterprise databases (SQL Server, Oracle, PostgreSQL) to scan schemas and columns for PII, DoD ID numbers, and other sensitive indicators without impacting database performance.
* Unstructured Data Crawling: Configure scans for massive file repositories (NetApp NAS, QNAP, SharePoint On\-Premises), optimizing scan windows and throttling to prevent latency for mission users.
* Cloud Data Integration: Utilize Microsoft Purview Data Map and custom connectors to inventory data residing in AWS S3 buckets, Azure Blobs, and Data Lakes.
* Classification Tuning: Collaborate with mission owners to train Machine Learning (ML) classifiers to recognize unique USSOCOM data types (e.g., mission names, operational codes) and reduce false positive rates in the data inventory.
 Qualifications:
 Security Clearance: Active Top\-Secret clearance with SCI eligibility (TS/SCI).
 Education: Master's degree in Systems Engineering, Computer Science, Cybersecurity, Electrical Engineering, or a related technical field.
 Experience: 10\+ years of prior relevant experience.
 Certification: CompTIA Security\+ CE (or higher) to meet DoD 8570 IAT Level II requirements.
 Preferred Qualifications:
 Preferred Experience/Skills:
* Experience with Microsoft Purview Data Map (formerly Azure Purview).
* Knowledge of Regex for custom data pattern definition.
* Background in Data Engineering or ETL pipeline development.
* Familiarity with USSOCOM network architecture and storage standards.
 Preferred Certifications:
* Certified Kubernetes Administrator (CKA).
* Azure Data Engineer Associate or BigID Certified Professional.
 Come break things (in a good way). Then build them smarter.
 We're the tech company everyone calls when things get weird. We don't wear capes (they're a safety hazard), but we do solve high\-stakes problems with code, caffeine, and a healthy disregard for "how it's always been done."
****Original Posting:****
 December 29, 2025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$131,300\.00 \- $237,350\.00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row>
    <row r="166">
      <c r="A166" t="inlineStr">
        <is>
          <t>li-4330509358</t>
        </is>
      </c>
      <c r="B166" t="inlineStr">
        <is>
          <t>Google Cloud Platform Data Engineer</t>
        </is>
      </c>
      <c r="C166" t="inlineStr">
        <is>
          <t>Jobs via Dice</t>
        </is>
      </c>
      <c r="D166" t="inlineStr">
        <is>
          <t>linkedin</t>
        </is>
      </c>
      <c r="E166">
        <f>HYPERLINK("https://www.linkedin.com/jobs/view/4330509358", "https://www.linkedin.com/jobs/view/4330509358")</f>
        <v/>
      </c>
      <c r="F166">
        <f>HYPERLINK("https://click.appcast.io/t/6N_X4qFcg0NA8CJA0r-Loylc_2Zm4-b4cXT_zBUu2tE=&amp;urlHash=SeKH", "https://click.appcast.io/t/6N_X4qFcg0NA8CJA0r-Loylc_2Zm4-b4cXT_zBUu2tE=&amp;urlHash=SeKH")</f>
        <v/>
      </c>
      <c r="G166" t="inlineStr">
        <is>
          <t>Houston, TX</t>
        </is>
      </c>
      <c r="H166" t="inlineStr"/>
      <c r="I166" t="inlineStr">
        <is>
          <t>Dice is the leading career destination for tech experts at every stage of their careers. Our client, Kainos Innovative Solutions Inc, is seeking the following. Apply via Dice today!
**Position: Google Cloud Platform Data Engineer
 Location: Houston, TX (4 days hybrid onsite)
 Job Description:**
 We are looking for a Google Cloud Platform Data Engineer with strong experience in building and maintaining scalable data pipelines on Google Cloud Platform. The ideal candidate will work closely with data, analytics, and business teams to deliver reliable and high\-performance data solutions.
**Key Responsibilities:**
* Design, develop, and maintain data pipelines using Python and PySpark
* Build batch and streaming solutions using Dataflow and Dataproc
* Orchestrate workflows using Cloud Composer (Airflow)
* Implement real\-time data ingestion using Pub/Sub
* Develop and optimize data models and queries in BigQuery
* Ensure data quality, performance, and reliability across pipelines
* Collaborate with cross\-functional teams to understand data requirements.
**Required Skills:**
* Strong experience with Google Cloud Platform (Google Cloud Platform)
* Proficiency in Python and PySpark
* Hands\-on experience with Dataflow, Dataproc, Composer, Pub/Sub, and BigQuery
* Experience with ETL/ELT data processing and pipeline orchestration
* Good understanding of data warehousing and distributed data processing.
**Nice to Have:**
* Experience with streaming data architectures.
* Knowledge of CI/CD and cloud security best practices.
* Google Cloud Platform certifications.</t>
        </is>
      </c>
    </row>
    <row r="167">
      <c r="A167" t="inlineStr">
        <is>
          <t>li-4330549519</t>
        </is>
      </c>
      <c r="B167" t="inlineStr">
        <is>
          <t>Senior Data Engineer Google Cloud Platform (Python &amp; BigQuery)</t>
        </is>
      </c>
      <c r="C167" t="inlineStr">
        <is>
          <t>Jobs via Dice</t>
        </is>
      </c>
      <c r="D167" t="inlineStr">
        <is>
          <t>linkedin</t>
        </is>
      </c>
      <c r="E167">
        <f>HYPERLINK("https://www.linkedin.com/jobs/view/4330549519", "https://www.linkedin.com/jobs/view/4330549519")</f>
        <v/>
      </c>
      <c r="F167" t="inlineStr"/>
      <c r="G167" t="inlineStr">
        <is>
          <t>Hartford, CT</t>
        </is>
      </c>
      <c r="H167" t="inlineStr"/>
      <c r="I167" t="inlineStr">
        <is>
          <t>Dice is the leading career destination for tech experts at every stage of their careers. Our client, TechSpace Solutions Inc., is seeking the following. Apply via Dice today!
**Role: Senior Data Engineer Google Cloud Platform (Python \&amp; BigQuery)**
**Location:** 
**Hartford, CT 06156 (onsite)**
**Duration: 12\+ months**
 Minimum years of experience: 8\-10 years
**Job Details:**
**Must Have Skills:**
 Google Cloud Platform
 Big query
 Python Pandas, SQL
**Nice to have skills:**
* Google Cloud Platform Big Query, Cloud Storage, Dataflow, Dataproc, and Composer (Airflow).
* Indepth understanding of the Python software development stacks, ecosystems, frameworks and tools such as Numpy, Scipy, Pandas, Dask, spaCy, NLTK, scikitlearn and PyTorch.
**Detailed Job Description:**
* Candidate must be located within commuting distance of Hartford, CT
* Bachelor s degree or foreign equivalent required from an accredited institution. Will also consider three years of progressive experience in the specialty in lieu of every year of education.
* At least 4 years of Information Technology experience.
* At least 2 years of development experience in maintaining high\-quality software using Python programming language.
* In\-depth understanding of the Python software development stacks, ecosystems, frameworks and tools such as Numpy, Scipy, Pandas, Dask, spaCy, NLTK, sci\-kit\-learn and PyTorch.
* Expert\-level proficiency in Python 3\.x and Python frameworks
* Candidates authorized to work for any employer in the United States without employer\-based visa sponsorship are welcome to apply. Infosys is unable to provide immigration sponsorship for this role at this time.
* Analytical skills to identify root cause and come up with solutions/alternatives.
* Ability to work in team environment and client interfacing skills.
* Participating in project review meetings with the client
* Excellent written and verbal communication skills.
* Experience and desire to work in a Global delivery environment.
* Experience with Healthcare Industry is preferred.</t>
        </is>
      </c>
    </row>
    <row r="168">
      <c r="A168" t="inlineStr">
        <is>
          <t>li-4330439472</t>
        </is>
      </c>
      <c r="B168" t="inlineStr">
        <is>
          <t>Data Engineer Lead</t>
        </is>
      </c>
      <c r="C168" t="inlineStr">
        <is>
          <t>Jobs via Dice</t>
        </is>
      </c>
      <c r="D168" t="inlineStr">
        <is>
          <t>linkedin</t>
        </is>
      </c>
      <c r="E168">
        <f>HYPERLINK("https://www.linkedin.com/jobs/view/4330439472", "https://www.linkedin.com/jobs/view/4330439472")</f>
        <v/>
      </c>
      <c r="F168" t="inlineStr"/>
      <c r="G168" t="inlineStr">
        <is>
          <t>New York, NY</t>
        </is>
      </c>
      <c r="H168" t="inlineStr"/>
      <c r="I168" t="inlineStr">
        <is>
          <t>Dice is the leading career destination for tech experts at every stage of their careers. Our client, Next Level Business Services, Inc., is seeking the following. Apply via Dice today!
 Required Qualifications:
 8\+ years experience with ETL/ELT process and frameworks is a must
 8\+ years expertise in SQL and experience with relational databases like Oracle, MySql, PostgreSQL
 5\+ years proficient in Python and Scala programming for data engineering tasks, automations
 8\+ years strong in GIT repo and CI/CD deployment process
 5\+ years experience with Big Data Hadoop, Spark
 Create integration and application technical design documentation.
 Conduct peer\-reviews of functional design documentation.
 Complete development, configuration, test cases and unit testing
 Perform code reviews and ensure standards are applied to each solution component.
 Resolve complex defects during testing phases and identify root causes.
 Drive performance testing.
 Production Support: Assist in troubleshooting production environment and tuning environments.
 Ensure best practices are followed from a technical perspective during all phases of the project.
 Strong Application development experience in Python.
 Experience in designing \&amp; developing a big data solution using Spark, AWS Glue, Lambda, SNS/SQS, Cloudwatch
 Strong Database SQL experience, preferably Redshift.
 Experience in Snowflake
 5\-8 years experience in the following domains:
 Asset Management
 Financial Services
 Investment Management
 Hedge Funds</t>
        </is>
      </c>
    </row>
    <row r="169">
      <c r="A169" t="inlineStr">
        <is>
          <t>li-4330610807</t>
        </is>
      </c>
      <c r="B169" t="inlineStr">
        <is>
          <t>Data Engineer - AWS, Bedrock</t>
        </is>
      </c>
      <c r="C169" t="inlineStr">
        <is>
          <t>Jobs via Dice</t>
        </is>
      </c>
      <c r="D169" t="inlineStr">
        <is>
          <t>linkedin</t>
        </is>
      </c>
      <c r="E169">
        <f>HYPERLINK("https://www.linkedin.com/jobs/view/4330610807", "https://www.linkedin.com/jobs/view/4330610807")</f>
        <v/>
      </c>
      <c r="F169">
        <f>HYPERLINK("https://click.appcast.io/t/Mz7v_9C4D5HxDu2O6SfSwy5RjVWdxpvcRZlhuiEdi5s=&amp;urlHash=1-tY", "https://click.appcast.io/t/Mz7v_9C4D5HxDu2O6SfSwy5RjVWdxpvcRZlhuiEdi5s=&amp;urlHash=1-tY")</f>
        <v/>
      </c>
      <c r="G169" t="inlineStr">
        <is>
          <t>Chicago, IL</t>
        </is>
      </c>
      <c r="H169" t="inlineStr"/>
      <c r="I169" t="inlineStr">
        <is>
          <t>Dice is the leading career destination for tech experts at every stage of their careers. Our client, ADDSOURCE, is seeking the following. Apply via Dice today!
 Data Engineer specializing in AWS Bedrock Experience: 7\+ Years Location: Chicago, IL 3 days/week What is in it for you?
 A highly skilled Data Engineer specializing in AWS Bedrock and modern data platforms, responsible for designing, building, and optimizing scalable data solutions and pipelines for advanced analytics and AI\-driven applications.
 Responsibilities:
* Design, develop, and maintain robust data pipelines and architecture for large\-scale data processing.
* Implement and optimize data workflows using AWS services (Glue, Lambda, EMR, Kinesis) and Bedrock.
* Collaborate with data scientists and ML engineers to integrate machine learning models into production environments.
* Ensure data quality, security, and compliance across all stages of the data lifecycle.
* Develop CI/CD pipelines for data engineering projects using Git, Terraform, and containerization tools.
* Work with streaming and batch processing frameworks (Spark, Kafka/Kinesis, Spark Streaming).
* Manage and optimize relational (PostgreSQL) and NoSQL databases (Redis, Elasticsearch).
* Monitor and troubleshoot data systems for performance and reliability.
* Stay updated on emerging technologies in big data, AI, and cloud platforms.
* Collaborate closely with teams in an Agile/Scrum environment.
 Educational Qualifications:
* Engineering Degree BE/ME/BTech/MTech/BSc/MSc.
* Technical certification in multiple technologies is desirable.
 Skills: Mandatory Skills:
* Programming: Strong proficiency in Python; ability to learn other languages quickly.
* AWS Expertise: Hands\-on experience with AWS Bedrock, Lambda, Glue, Athena, Kinesis, IAM, EMR/PySpark.
* Big Data Technologies: EMR, Spark, Kafka/Kinesis, Airflow.
* Databases: Advanced SQL (complex queries), PostgreSQL, Redis, Elasticsearch.
* CI/CD \&amp; Infrastructure: Git, Terraform, Docker; experience with agile methodologies.
* Stream Processing: Spark Streaming or similar frameworks.
 Good to Have Skills:
* Knowledge Graph Technologies: Graph DB, OWL, SPARQL.
* Machine Learning Frameworks: TensorFlow, PyTorch, Scikit\-learn, XGBoost.
* Model Deployment: Flask, FastAPI, Docker, Kubernetes, TensorFlow Serving, TorchServe.
* Exposure to Databricks and workflow orchestration tools.</t>
        </is>
      </c>
    </row>
    <row r="170">
      <c r="A170" t="inlineStr">
        <is>
          <t>li-4330650126</t>
        </is>
      </c>
      <c r="B170" t="inlineStr">
        <is>
          <t>Lead Data Engineer</t>
        </is>
      </c>
      <c r="C170" t="inlineStr">
        <is>
          <t>MetLife</t>
        </is>
      </c>
      <c r="D170" t="inlineStr">
        <is>
          <t>linkedin</t>
        </is>
      </c>
      <c r="E170">
        <f>HYPERLINK("https://www.linkedin.com/jobs/view/4330650126", "https://www.linkedin.com/jobs/view/4330650126")</f>
        <v/>
      </c>
      <c r="F170">
        <f>HYPERLINK("https://www.metlifecareers.com/en_US/ml/JobDetail/Lead-Full-Stack-Software-Engineer/14266?&amp;utm_source=linkedin.com&amp;utm_medium=job_posting&amp;utm_campaign=2016_media_gta&amp;utm_content=&amp;utm_term=&amp;urlHash=OlZc", "https://www.metlifecareers.com/en_US/ml/JobDetail/Lead-Full-Stack-Software-Engineer/14266?&amp;utm_source=linkedin.com&amp;utm_medium=job_posting&amp;utm_campaign=2016_media_gta&amp;utm_content=&amp;utm_term=&amp;urlHash=OlZc")</f>
        <v/>
      </c>
      <c r="G170" t="inlineStr">
        <is>
          <t>Cary, NC</t>
        </is>
      </c>
      <c r="H170" t="inlineStr"/>
      <c r="I170" t="inlineStr">
        <is>
          <t>**Requirements**
**Description and Requirements**
**Role Value Proposition:**
 This team is at the core of Actuarial IT’s Legacy Modernization valuation process and reporting transformation initiatives, leading the design and implementation of modern, AI\-enabled architectures. Its mission is to power advanced analytics, business intelligence, and agentic solutions through scalable, secure, and high\-performance platforms. By promoting best practices in data governance, performance optimization, and AI\-driven data engineering, the team delivers real\-time insights and predictive analytics that create tangible business value.
 Join MetLife as a Lead Data Engineer and help shape the future of data modernization. In this role, you’ll design and implement AI\-driven data architectures that power advanced analytics, business intelligence, and predictive insights. Collaborate with global teams to build scalable, secure, and high\-performance platforms that transform legacy systems into cutting\-edge solutions driving real business value.
**The Opportunity**
 The Lead Full Stack Software Engineer is responsible for Build, optimize, and maintain ETL/ELT pipelines for large, complex datasets, ensuring compliance with data standards and best practices. Institutionalize best practices and accelerate solution delivery through reusable frameworks, prototypes, and innovation initiative
 To modernize legacy systems and build scalable, AI\-enabled data intelligence actuarial valuation platforms that support MetLife’s digital transformation strategy.
 This role advances MetLife’s purpose by delivering Actuarial solutions using AI\-driven data engineering solutions that enable smarter decisions, better customer experiences, and a more confident future
 This is an exciting opportunity to lead data modernization efforts that transform how MetLife leverages information. You’ll design AI\-driven architectures, enable real\-time analytics, and deliver predictive insights that shape strategic decisions and improve customer experiences. This role offers the chance to make a tangible impact on business performance while working with cutting\-edge technologies in a collaborative, global environment.
 Success in this role requires strong expertise in modern data Engineering and analytics skills to drive collaboration and innovation. The Lead Data Engineer is responsible for designing scalable, AI\-enabled data platforms and ensuring robust data governance across enterprise systems. You’ll collaborate closely with actuaries, data scientists, business analysts, and cloud engineering teams in an environment where every contribution is respected, and every perspective is heard.
**Key Responsibilities**
* Lead the design and implementation of modern, AI\-enabled data Engineering solutions that power advanced analytics and business intelligence.
* Create scalable, secure, and high\-performance data solutions that enable real\-time insights and predictive analytics.
* Oversee data governance, quality, and compliance across enterprise platforms to ensure integrity and trust.
* Manage end\-to\-end data engineering processes, including performance optimization and cloud migration strategies.
* Develop innovative data pipelines and frameworks that support actuarial modeling, reporting, and advanced analytics.
* Coordinate with actuaries, data scientists, business analysts, and technology teams to deliver integrated, impactful solutions.
**Essential Business Experience And Technical Skills**
**Required:**
* Bachelor’s or Master’s degree in Computer Science, or a related field (or equivalent experience).
* 8\+ years of experience in data engineering and architecture for enterprise\-scale platforms.
* Expertise in cloud platforms (Azure Databricks) to design and deploy scalable data architectures and solutions
* Strong expertise in data technologies such as Apache Spark, along with proficiency in data pipeline tools for building robust ETL processes, and hands\-on experience with Databricks features, including Unity Catalog and/or AI/BI Genie
* Strong knowledge of SQL, Python, and modern data modeling techniques to optimize performance and enable advanced analytics.
* Collaborative mindset with the ability to work across actuarial, analytics, and technology teams in a fast\-paced environment.
* Strategic thinker with a passion for innovation and problem\-solving in complex data ecosystems.
**Preferred:**
* Practical experience with leading AI/ML frameworks—including Azure ML, Databricks ML, PyTorch, and MLflow—for developing advanced analytics solutions and predictive models
* Ability to drive innovation and mentor teams, fostering best practices in data engineering, governance, and performance optimization.
* Strong Actuarial business acumen with the ability to translate complex technical solutions into measurable business outcomes.
**At MetLife, we’re leading the global transformation of an industry we’ve long defined. United in purpose, diverse in perspective, we’re dedicated to making a difference in the lives of our customers.**
 Location Expectation: This is a hybrid role
 **requiring a minimum of 3 days per week** 
 in office.
 The expected salary range for this position is $110,000 \- $145,000\. This role may also be eligible for annual short\-term incentive compensation. All incentives and benefits are subject to the applicable plan terms.
**Benefits We Offer**
 Our U.S. benefits address holistic well\-being with programs for physical and mental health, financial wellness, and support for families. We offer a comprehensive health plan that includes medical/prescription drug and vision, dental insurance, and no\-cost short\- and long\-term disability. We also provide company\-paid life insurance and legal services, a retirement pension funded entirely by MetLife and 401(k) with employer matching, group discounts on voluntary insurance products including auto and home, pet, critical illness, hospital indemnity, and accident insurance, as well as Employee Assistance Program (EAP) and digital mental health programs, parental leave, volunteer time off, tuition assistance and much more!
**About MetLife**
 Recognized on Fortune magazine's list of the "World's Most Admired Companies", Fortune World’s 25 Best Workplaces™, as well as the Fortune 100 Best Companies to Work For®, MetLife, through its subsidiaries and affiliates, is one of the world’s leading financial services companies; providing insurance, annuities, employee benefits and asset management to individual and institutional customers. With operations in more than 40 markets, we hold leading positions in the United States, Latin America, Asia, Europe, and the Middle East.
 Our purpose is simple \- to help our colleagues, customers, communities, and the world at large create a more confident future. United by purpose and guided by our core values \- Win Together, Do the Right Thing, Deliver Impact Over Activity, and Think Ahead \- we’re inspired to transform the next century in financial services. At MetLife, it’s \#AllTogetherPossible . Join us!
 MetLife is an Equal Opportunity Employer. All employment decisions are made without regards to race, color, national origin, religion, creed, sex (including pregnancy, childbirth, or related medical conditions), sexual orientation, gender identity or expression, age, disability, marital or domestic/civil partnership status, genetic information, citizenship status (although applicants and employees must be legally authorized to work in the United States), uniformed service member or veteran status, or any other characteristic protected by applicable federal, state, or local law (“protected characteristics”).
 If you need an accommodation due to a disability, please email us at accommodations@metlife.com. This information will be held in confidence and used only to determine an appropriate accommodation for the application process.
 MetLife maintains a drug\-free workplace.
 $110,000 \- $145,000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2026-01-07T03:09:02Z</dcterms:created>
  <dcterms:modified xsi:type="dcterms:W3CDTF">2026-01-07T03:09:02Z</dcterms:modified>
</cp:coreProperties>
</file>