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in-7dccef6910c2120a</t>
        </is>
      </c>
      <c r="B2" t="inlineStr">
        <is>
          <t>Product Manager (Remote EST)</t>
        </is>
      </c>
      <c r="C2" t="inlineStr">
        <is>
          <t>RFMW</t>
        </is>
      </c>
      <c r="D2" t="inlineStr">
        <is>
          <t>indeed</t>
        </is>
      </c>
      <c r="E2" t="inlineStr"/>
      <c r="F2" t="inlineStr"/>
      <c r="G2" t="inlineStr">
        <is>
          <t>Boston, MA, US</t>
        </is>
      </c>
      <c r="H2" s="1" t="n">
        <v>46078</v>
      </c>
      <c r="I2" t="inlineStr">
        <is>
          <t>The Product Manager is accountable for managing a specific product type / category / class or specific supplier to (1\) provide the correct mix/inventory levels of products required to meet customer needs and sales requirements; (2\) minimize costs/maximize profits through effective inventory management, purchasing decisions, and supplier relationships; (3\) be the main liaison between the supplier(s) and the RFMW sales team focused on but not limited to, product promotion, marketing, pricing, design registrations (4\) enhance the image of RFMW in the marketplace as the distributor of choice; and (5\) achieve corporate sales, gross profit margin and pre\-tax profit goals.
##### ***RFMW*** ***is an electronic component distributor of RF and microwave products.*** ***This position is remote with the ideal candidate located in the Eastern Standard Time zone (EST).***
**ACCOUNTABILITIES**
Main contact with the supplier(s) for RFMW.
Manages pricing, handles quotes between sales team and suppliers, design registration programs. Supports sales to increase business and achieve total customer satisfaction by working directly with suppliers on quotes to obtain the most competitive position possible.
Effectively manages inventory within company goals for assigned product type / category / class or supplier in order to maintain correct mix that meets corporate financial objectives and customer requirements.
Consults with RFMW sales representatives regarding customer needs, product features, product availability, cost issues, etc. in order to maximize potential for sales representative success. Provides ongoing education/promotion when interacting with sales organization to effectively market product type or supplier.
Develops and maintains successful supplier relationships and provides product solutions/unique advantages to suppliers and customers so that RFMW is considered the preferred partner for suppliers and the preferred provider of products for customers.
Maintains system integrity by ensuring that RFMW systems/databases reflect accurate, comprehensive and up\-to date product\-related information (increment quantity, minimum order quantities, correct costs, delivery information, etc.) for assigned product type or supplier.
Processes and resolves accounting, receiving and customer rejected concerns in an expeditious manner by researching the issue, determining appropriate resolution and by providing disposition for nonconforming product to the appropriate parties.
Additional duties as assigned.
**EDUCATION \&amp; EXPERIENCE**
Bachelor's Degree or equivalent related work experience preferred. Five to seven years of progressive industry related experience preferred including sales, marketing, product management, distribution, asset management, etc. General knowledge of RF Industry.
**SKILLS \&amp; CERTIFICATIONS**
* Knowledge of Microsoft Office Applications (Excel, PowerPoint, Word and Outlook) at the intermediate level preferred.
**What we offer our team members:**
* A great benefits package that includes (but is not limited to) Medical/ Dental/ Vision, 401(k)/Roth plan with matching, Healthcare Savings Accounts.
* Educational Assistance (Tuition Reimbursement).
* Ongoing training throughout your employment with opportunities to participate in professional and personal development programs.
* A strong focus on giving back to our communities through philanthropic opportunities.
* Great culture and opportunities for growth and advancement.
Total Annual Compensation: $64,000 \- $80,000/year. Actual compensation offer to candidate may vary from posted hiring range based upon geographic location, work experience, education, and/or skill level. The pay ratio between base pay and target incentive (if applicable) will be finalized at offer.
*This position requires use of information or access to hardware which is subject to the International Traffic in Arms Regulations (ITAR). To perform the position, you must be a U.S. Person as defined by ITAR. ITAR defines a U.S. person as a U.S. Citizen, U.S. Permanent Resident (i.e. ‘Green Card Holder’), Political Asylee, or Refugee.*
*Visa sponsorship is not available for this role. Only candidates authorized to work in the United States will be considered.*
*RFMW/XTG is an Equal Opportunity Employer, and we support protected veterans and individuals with disability thorough our affirmative action program. RFMW is a business unit of Exponential Technology Group, Inc. (XTG). XTG is a subsidiary of TTI, a wholly owned subsidiary of Berkshire Hathaway Inc.*</t>
        </is>
      </c>
    </row>
    <row r="3">
      <c r="A3" t="inlineStr">
        <is>
          <t>in-e7f7f9bbbc7de1d4</t>
        </is>
      </c>
      <c r="B3" t="inlineStr">
        <is>
          <t>Senior Program Manager, Sales Enablement (PEO)</t>
        </is>
      </c>
      <c r="C3" t="inlineStr">
        <is>
          <t>Rippling</t>
        </is>
      </c>
      <c r="D3" t="inlineStr">
        <is>
          <t>indeed</t>
        </is>
      </c>
      <c r="E3" t="inlineStr"/>
      <c r="F3" t="inlineStr"/>
      <c r="G3" t="inlineStr">
        <is>
          <t>New York, NY, US</t>
        </is>
      </c>
      <c r="H3" s="1" t="n">
        <v>46078</v>
      </c>
      <c r="I3"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 is looking for a Senior Program Manager, Sales Enablement (PEO) to support one of our most complex and high\-impact product areas across PEO, Benefits, and Talent.
This role sits within the Product Enablement organization and partners closely with the VP of Sales for PEO/Benefits/Talent to drive seller readiness, accelerate ramp time, and ensure successful product adoption across revenue teams.
The ideal candidate thrives in fast\-moving environments, enjoys operating at both strategic and executional levels, and excels at translating complex, technical products into clear, actionable training programs.
You will act as a thought partner to senior sales leadership, deeply understand product launches and competitive positioning, and design scalable enablement programs that directly impact revenue outcomes.
This role reports to the Manager of Product Enablement and works cross\-functionally with Product, Marketing, Sales Leadership, and RevOps.
 **What you will do**
* Partner directly with Sales leadership as a strategic enablement thought partner supporting PEO, Benefits, and Talent teams
* Develop deep expertise in Rippling’s PEO landscape, competitive differentiation, and product ecosystem
* Design and deliver training programs supporting product launches, messaging adoption, change management, and sales execution
* Build, maintain, and continuously improve onboarding curriculum for new hires
* Identify skill gaps across revenue teams and develop targeted enablement initiatives
* Drive change management and communication strategies for major launches and organizational priorities
* Collaborate cross\-functionally with Product, Marketing, Sales, and RevOps teams to ensure alignment
* Improve seller productivity by reducing time\-to\-ramp and improving retention outcomes
* Create scalable enablement infrastructure that supports rapid company growth
**What you will need**
----------------------
* 5\+ years of experience in Sales, Sales Enablement, Product Marketing, or related GTM roles
* Strong program and project management skills with the ability to manage multiple priorities simultaneously
* Experience building structured training programs and enablement materials
* Demonstrated ability to work cross\-functionally and influence stakeholders across organizations
* Highly organized with exceptional operational rigor
* Ability to proactively identify opportunities for improvement and drive change
* Comfortable operating in ambiguity within a fast\-paced environment
**Preferred Qualifications**
----------------------------
* Experience working in or supporting a PEO, HR Tech, Payroll, Benefits, or Insurance go\-to\-market organization
* Background supporting multiple seller personas
* Experience supporting technical or complex product portfolios
* Strong analytical mindset with experience measuring enablement impact through data
* Experience partnering directly with executive\-level sales leadership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162,000 \- 180,000 USD per year(US San Francisco Bay Area)  
135,000 \- 165,000 USD per year(US Tier 2\)  
135,000 \- 165,000 USD per year(US Tier 3\)  
162,000 \- 180,000 USD per year(US Tier 1\)</t>
        </is>
      </c>
    </row>
    <row r="4">
      <c r="A4" t="inlineStr">
        <is>
          <t>in-91ef7ee0ddf2e7a4</t>
        </is>
      </c>
      <c r="B4" t="inlineStr">
        <is>
          <t>Senior Program Manager, Sales Enablement (PEO)</t>
        </is>
      </c>
      <c r="C4" t="inlineStr">
        <is>
          <t>Rippling</t>
        </is>
      </c>
      <c r="D4" t="inlineStr">
        <is>
          <t>indeed</t>
        </is>
      </c>
      <c r="E4" t="inlineStr"/>
      <c r="F4" t="inlineStr"/>
      <c r="G4" t="inlineStr">
        <is>
          <t>San Francisco, CA, US</t>
        </is>
      </c>
      <c r="H4" s="1" t="n">
        <v>46078</v>
      </c>
      <c r="I4"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 is looking for a Senior Program Manager, Sales Enablement (PEO) to support one of our most complex and high\-impact product areas across PEO, Benefits, and Talent.
This role sits within the Product Enablement organization and partners closely with the VP of Sales for PEO/Benefits/Talent to drive seller readiness, accelerate ramp time, and ensure successful product adoption across revenue teams.
The ideal candidate thrives in fast\-moving environments, enjoys operating at both strategic and executional levels, and excels at translating complex, technical products into clear, actionable training programs.
You will act as a thought partner to senior sales leadership, deeply understand product launches and competitive positioning, and design scalable enablement programs that directly impact revenue outcomes.
This role reports to the Manager of Product Enablement and works cross\-functionally with Product, Marketing, Sales Leadership, and RevOps.
 **What you will do**
* Partner directly with Sales leadership as a strategic enablement thought partner supporting PEO, Benefits, and Talent teams
* Develop deep expertise in Rippling’s PEO landscape, competitive differentiation, and product ecosystem
* Design and deliver training programs supporting product launches, messaging adoption, change management, and sales execution
* Build, maintain, and continuously improve onboarding curriculum for new hires
* Identify skill gaps across revenue teams and develop targeted enablement initiatives
* Drive change management and communication strategies for major launches and organizational priorities
* Collaborate cross\-functionally with Product, Marketing, Sales, and RevOps teams to ensure alignment
* Improve seller productivity by reducing time\-to\-ramp and improving retention outcomes
* Create scalable enablement infrastructure that supports rapid company growth
**What you will need**
----------------------
* 5\+ years of experience in Sales, Sales Enablement, Product Marketing, or related GTM roles
* Strong program and project management skills with the ability to manage multiple priorities simultaneously
* Experience building structured training programs and enablement materials
* Demonstrated ability to work cross\-functionally and influence stakeholders across organizations
* Highly organized with exceptional operational rigor
* Ability to proactively identify opportunities for improvement and drive change
* Comfortable operating in ambiguity within a fast\-paced environment
**Preferred Qualifications**
----------------------------
* Experience working in or supporting a PEO, HR Tech, Payroll, Benefits, or Insurance go\-to\-market organization
* Background supporting multiple seller personas
* Experience supporting technical or complex product portfolios
* Strong analytical mindset with experience measuring enablement impact through data
* Experience partnering directly with executive\-level sales leadership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162,000 \- 180,000 USD per year(US San Francisco Bay Area)  
135,000 \- 165,000 USD per year(US Tier 2\)  
135,000 \- 165,000 USD per year(US Tier 3\)  
162,000 \- 180,000 USD per year(US Tier 1\)</t>
        </is>
      </c>
    </row>
    <row r="5">
      <c r="A5" t="inlineStr">
        <is>
          <t>in-681eae1936e668ec</t>
        </is>
      </c>
      <c r="B5" t="inlineStr">
        <is>
          <t>Senior Program Manager, Sales Enablement (PEO)</t>
        </is>
      </c>
      <c r="C5" t="inlineStr">
        <is>
          <t>Rippling</t>
        </is>
      </c>
      <c r="D5" t="inlineStr">
        <is>
          <t>indeed</t>
        </is>
      </c>
      <c r="E5" t="inlineStr"/>
      <c r="F5" t="inlineStr"/>
      <c r="G5" t="inlineStr">
        <is>
          <t>Austin, TX, US</t>
        </is>
      </c>
      <c r="H5" s="1" t="n">
        <v>46078</v>
      </c>
      <c r="I5"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 is looking for a Senior Program Manager, Sales Enablement (PEO) to support one of our most complex and high\-impact product areas across PEO, Benefits, and Talent.
This role sits within the Product Enablement organization and partners closely with the VP of Sales for PEO/Benefits/Talent to drive seller readiness, accelerate ramp time, and ensure successful product adoption across revenue teams.
The ideal candidate thrives in fast\-moving environments, enjoys operating at both strategic and executional levels, and excels at translating complex, technical products into clear, actionable training programs.
You will act as a thought partner to senior sales leadership, deeply understand product launches and competitive positioning, and design scalable enablement programs that directly impact revenue outcomes.
This role reports to the Manager of Product Enablement and works cross\-functionally with Product, Marketing, Sales Leadership, and RevOps.
 **What you will do**
* Partner directly with Sales leadership as a strategic enablement thought partner supporting PEO, Benefits, and Talent teams
* Develop deep expertise in Rippling’s PEO landscape, competitive differentiation, and product ecosystem
* Design and deliver training programs supporting product launches, messaging adoption, change management, and sales execution
* Build, maintain, and continuously improve onboarding curriculum for new hires
* Identify skill gaps across revenue teams and develop targeted enablement initiatives
* Drive change management and communication strategies for major launches and organizational priorities
* Collaborate cross\-functionally with Product, Marketing, Sales, and RevOps teams to ensure alignment
* Improve seller productivity by reducing time\-to\-ramp and improving retention outcomes
* Create scalable enablement infrastructure that supports rapid company growth
**What you will need**
----------------------
* 5\+ years of experience in Sales, Sales Enablement, Product Marketing, or related GTM roles
* Strong program and project management skills with the ability to manage multiple priorities simultaneously
* Experience building structured training programs and enablement materials
* Demonstrated ability to work cross\-functionally and influence stakeholders across organizations
* Highly organized with exceptional operational rigor
* Ability to proactively identify opportunities for improvement and drive change
* Comfortable operating in ambiguity within a fast\-paced environment
**Preferred Qualifications**
----------------------------
* Experience working in or supporting a PEO, HR Tech, Payroll, Benefits, or Insurance go\-to\-market organization
* Background supporting multiple seller personas
* Experience supporting technical or complex product portfolios
* Strong analytical mindset with experience measuring enablement impact through data
* Experience partnering directly with executive\-level sales leadership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162,000 \- 180,000 USD per year(US San Francisco Bay Area)  
135,000 \- 165,000 USD per year(US Tier 2\)  
135,000 \- 165,000 USD per year(US Tier 3\)  
162,000 \- 180,000 USD per year(US Tier 1\)</t>
        </is>
      </c>
    </row>
    <row r="6">
      <c r="A6" t="inlineStr">
        <is>
          <t>in-54024073de58c607</t>
        </is>
      </c>
      <c r="B6" t="inlineStr">
        <is>
          <t>PROGRAM MANAGER FOR AN ADULT FAMILY HOME</t>
        </is>
      </c>
      <c r="C6" t="inlineStr">
        <is>
          <t>River City Estates</t>
        </is>
      </c>
      <c r="D6" t="inlineStr">
        <is>
          <t>indeed</t>
        </is>
      </c>
      <c r="E6" t="inlineStr"/>
      <c r="F6" t="inlineStr"/>
      <c r="G6" t="inlineStr">
        <is>
          <t>Hewitt, WI, US</t>
        </is>
      </c>
      <c r="H6" s="1" t="n">
        <v>46078</v>
      </c>
      <c r="I6" t="inlineStr">
        <is>
          <t>We are currently seeking compassionate individuals to join our team in the role of Program Manager. Our caregiving company, dedicated to providing exceptional care since 2006\.
The Program Manager is an individual that ensures the home provides and maintains the highest level of care and service in accordance with the company’s mission, vision and values. This position will directly report to the Director and is responsible for administering day\-to\-day operations and care management.
**Qualifications:**
* Caregiving experience is preferred
* Office/Administrative experience preferred
* Excellent verbal and written communication skills
* Excellent listening, personal and soft skills
* Ability to multitask and re\-prioritize
* Ability to recognize and understand quality service
* Willingness to do on\-call support after hours
**Responsibilities:**
Manage of hired caregiver. Including but not limited to:
* Evaluate employee performance.
* Fill schedules for homes.
* Be a role model for staff, provide motivation and foster team development.
* Complete necessary disciplinary action, reeducation and positive feedback.
Ensure the integrity of the homes are up to RCE standards. That all homes are kept clean, tidy and well maintained. Including but not limited to:
* Fire drills and smoke alarm testing and reporting.
* Linen and furnishings are up to standards.
* Accurate number of supplies available weekly including completing weekly grocery lists
Working collaboratively to develop, resident centered care plans (Behavioral Support Plans, Individualized Service Plans and Provision of Care) and provide on\-going care coordination, quality assurance and monitoring of services. Including but not limited to:
* Remain in contact with each resident’s care team.
* Ensure all prescribed or PRN medication is available in the home.
* Assist residents in all aspects of personal care.
* Develop activity schedules to meet all client’s needs for both in home and community activities.
* Ensure all appropriate records are maintained for each resident according to protocol and all monthly reporting is completed on time and accurately.
**Are you ready to Join Our Team?**
If you would like to be part of a productive, successful team APPLY TODAY!
Any questions contact the Office Manager at 715\-897\-2042
Job Type: Full\-time
Pay: $20\.00 per hour
Expected hours: No less than 40 per week
Benefits:
* 401(k)
* Dental insurance
* Health insurance
* Paid time off
* Vision insurance
Application Question(s):
* Do you have experience working with people with developmental disabilities?
Education:
* High school or equivalent (Required)
Experience:
* Program Management: 2 years (Required)
* Caregiving: 4 years (Required)
License/Certification:
* Driver's License (Required)
Ability to Commute:
* Hewitt, WI 54441 (Required)
Work Location: In person</t>
        </is>
      </c>
    </row>
    <row r="7">
      <c r="A7" t="inlineStr">
        <is>
          <t>in-5f2ae7c3080d0aaf</t>
        </is>
      </c>
      <c r="B7" t="inlineStr">
        <is>
          <t>Product Manager - Soft Goods</t>
        </is>
      </c>
      <c r="C7" t="inlineStr">
        <is>
          <t>Gemline</t>
        </is>
      </c>
      <c r="D7" t="inlineStr">
        <is>
          <t>indeed</t>
        </is>
      </c>
      <c r="E7" t="inlineStr"/>
      <c r="F7" t="inlineStr"/>
      <c r="G7" t="inlineStr">
        <is>
          <t>Lawrence, MA, US</t>
        </is>
      </c>
      <c r="H7" s="1" t="n">
        <v>46078</v>
      </c>
      <c r="I7" t="inlineStr">
        <is>
          <t>**Product Manager – Soft Goods**
**THE COMPANY**
Founded in 1958, Gemline is a multi\-award\-winning consumer products supplier servicing the $27B promotional products industry, and is recognized as one of the largest and most respected companies in its industry. Ranked as the 12th largest supplier in revenues industrywide by the Advertising Specialty Institute, Gemline offers a diverse product portfolio that includes bags, backpacks, headwear, umbrellas, luggage, drinkware, electronics, stationery, writing instruments, gourmet foods, lifestyle gifts, and more. In addition to its 12 in\-house developed brands, Gemline partners with 34 renowned global consumer brands, including Ahead™, American Tourister®, Anker®, Cool Gear®, CORKCICLE®, Cuisinart®, Hartmann®, High Sierra®, Igloo®, iLive®, MiiR®, Moleskine®, New Balance®, Osprey®, Paper Mate®, Samsonite®, Sharpie®, Timbuk2®, Yankee Candle® and more.
Gemline is widely recognized for its high\-quality products, innovative design, retail brand portfolio, responsible business practices and exceptional customer service. The company has deep expertise in design, product engineering \&amp; development, CI/Lean, factory oversight, compliance and global sourcing diversification, and is an industry leader in sustainably made products. Its business model makes the process seamless and efficient for distributor partners, creating a strong B2B2B experience.
At Gemline, community is at the core of the company’s purpose, "We Promote Community," which shapes the company’s culture, influences product design, and drives its commitment to creating a positive global impact. Guided by its betterwayTM corporate social responsibility efforts, Gemline focuses on bettering people and the environment. In 2024, the company became both a globally certified B Corporation and registered Massachusetts B Corporation, reinforcing its dedication to balancing purpose and profit.
Gemline has been recognized as one of the Greatest Companies to Work For on multiple occasions, and most recently in 2025 by PPAI, a leading industry association. "Pride in People, Pride in Product" is more than a motto at Gemline, it is a way of life. The company’s associates play a crucial role in delivering an exceptional customer experience, guided by strong foundational values of trust, integrity, humility, diversity, community, and truth. Gemline's success reflects its associates' success, and its culture thrives on collaboration, initiative, continuous problem\-solving, safety, and respect for people.
Headquartered in Lawrence, Massachusetts, Gemline operates an integrated light manufacturing facility and distribution center, along with a secondary overflow warehouse, also in Lawrence. Additionally, the company operates a global technical center in Southern China that manages supply chain functions across Asia, including product development, sourcing, quality assurance, compliance, and logistics. It also has two sourcing offices in Vietnam and India. With approximately $140 million in annual revenue and 500 employees worldwide, Gemline is poised for continued growth.
**THE POSITION**
Gemline is seeking a Product Manager to support a portfolio of house and retail brands across multiple product categories. This role is responsible for managing the product lifecycle from concept through customer delivery, supporting strategic planning, product positioning, launch execution, and ongoing lifecycle management. The Product Manager manages specific product lines and brand partnerships within the Product Management Team, driving the product roadmap from concept to customer. They partner closely with cross\-functional teams across Sales, Marketing, Design, Development, Supply Chain, and Finance to bring compelling, market\-relevant products to life and drive category performance through data\-driven decision making.
This role reports to the Senior Product Manager and does not include direct supervisory responsibility. If interested, please send your resume to: abrown@gemline.comKey Responsibilities
* Conduct and support strategic business planning for assigned categories, including revenue and margin objectives, in partnership with the Senior Product Manager.
* Manage the full product lifecycle across multiple categories, from concept development and pipeline planning through launch, optimization, and end\-of\-life decisions.
* Drive the product creation process by identifying compelling product and brand opportunities aligned with Gemline strategy, retail brand partners, category needs, and financial goals.
* Ensure products are consumer\-relevant, trend\-forward, competitively positioned, and deliver a differentiated gifting proposition.
* Partner closely with retail brand partners to identify opportunities, conduct business analyses, and evaluate brand and product performance.
* Analyze U.S. and Canadian market trends and competitive landscapes to inform product strategy, assortment decisions, and innovation opportunities.
* Collaborate cross\-functionally with Marketing, Sales, Design, Development, Supply Chain, and Finance to ensure successful execution of product strategies and collections.
* Partner with Marketing on sales enablement and customer\-facing marketing strategies and materials.
* Develop and present product strategies, category plans, and product lines to internal stakeholders.
* Own product analytics and reporting, translating sales, forecast, and performance data into actionable product and business decisions.
* Build expertise in Gemline’s product lifecycles, systems, processes, and methodologies, ensuring accurate and timely product data.
* Mentor and support peers and contribute to continuous improvement initiatives.
* Additional tasks and deliverables as assigned by management.
**THE CANDIDATE**
*Qualifications \&amp; Experience*
* Bachelor’s degree in Marketing, Business, or a related field required.
* 4–6 years of experience in product management or product marketing, preferably within a consumer goods company with category responsibility.
* Proven ability to thrive in a fast\-paced team\-driven environment, managing multiple priorities and deadlines.
* Strong project management skills, with exceptional organization, attention to detail, and executional rigor.
* Collaborative, flexible, and solution\-oriented mindset, with the ability to work effectively across cross\-functional teams.
* Excellent communication and presentation skills, with the ability to influence and engage stakeholders.
* Strong analytical and business acumen, with the ability to translate data into insights and actions.
* Advanced proficiency in Microsoft Office (Excel, PowerPoint) and working knowledge of PLM systems.
* High level of initiative, ownership, and curiosity, with a passion for products and an eye for detail in an international business environment.
* Demonstrated ability to influence cross\-functionally, model best practices and serve as a trusted resource and mentor across the organization
*IMPORTANT NOTICE: Our company takes the security and privacy of job applicants very seriously. We will never ask for payment, bank details, or personal financial information as part of the application process. All our legitimate job postings can be found on our official career site.* 
Job Types: Full\-time, Permanent
Pay: $95,000\.00 \- $110,000\.00 per year
Benefits:
* 401(k)
* 401(k) matching
* Dental insurance
* Employee assistance program
* Employee discount
* Flexible spending account
* Health insurance
* Life insurance
* Paid time off
* Tuition reimbursement
* Vision insurance
Application Question(s):
* Would you require sponsorship currently or in the future?
Ability to Commute:
* Lawrence, MA 01843 (Required)
Work Location: In person</t>
        </is>
      </c>
    </row>
    <row r="8">
      <c r="A8" t="inlineStr">
        <is>
          <t>in-662ddae81e8a5a38</t>
        </is>
      </c>
      <c r="B8" t="inlineStr">
        <is>
          <t>Non- Residential Program Manager</t>
        </is>
      </c>
      <c r="C8" t="inlineStr">
        <is>
          <t>Valley Community Services</t>
        </is>
      </c>
      <c r="D8" t="inlineStr">
        <is>
          <t>indeed</t>
        </is>
      </c>
      <c r="E8" t="inlineStr"/>
      <c r="F8" t="inlineStr"/>
      <c r="G8" t="inlineStr">
        <is>
          <t>Bedford, PA, US</t>
        </is>
      </c>
      <c r="H8" s="1" t="n">
        <v>46078</v>
      </c>
      <c r="I8" t="inlineStr">
        <is>
          <t>**Company Overview**  
Valley Community Services is dedicated to delivering the highest quality services to the individuals and families we serve. Every team member, from leadership to direct care staff, is committed to the foundational principle that each day should be better than the previous one for those in our care.
**Overview**  
We are seeking a dynamic and experienced Non\-Residential Program Manager to oversee community\-based care programs for individuals with developmental disabilities, memory impairments, and other complex needs. This leadership role requires a comprehensive understanding of assisted living.
**Duties**
* Monitors staff participation in individual data collection
* Create Staff Schedules
* Time Cards
* Training staff on ISPS, health goals/ changes, care plans, diets
* Assist with Interviews
* Conduct/ Attends ISP meetings
* Provide Staff Training as needs arise or training on recommendations from the Administrative Review Committee
* Answer texts and calls from staff and individuals who receive services
**Experience**
* 1\-2 years of supervisory experience
* 1\-2 years of office experience
* 1\-2 years of experience working directly with persons with an intellectual disability
* High School Diploma or GED equivalent (required)
Pay: $42,000\.00 per year
Benefits:
* 403(b) matching
* Dental insurance
* Health insurance
* Health savings account
* Life insurance
* Paid time off
* Referral program
* Vision insurance
Work Location: In person</t>
        </is>
      </c>
    </row>
    <row r="9">
      <c r="A9" t="inlineStr">
        <is>
          <t>in-08035614545b823e</t>
        </is>
      </c>
      <c r="B9" t="inlineStr">
        <is>
          <t>Non- Residential Program Manager</t>
        </is>
      </c>
      <c r="C9" t="inlineStr">
        <is>
          <t>Valley Community Services</t>
        </is>
      </c>
      <c r="D9" t="inlineStr">
        <is>
          <t>indeed</t>
        </is>
      </c>
      <c r="E9" t="inlineStr"/>
      <c r="F9" t="inlineStr"/>
      <c r="G9" t="inlineStr">
        <is>
          <t>Butler, PA, US</t>
        </is>
      </c>
      <c r="H9" s="1" t="n">
        <v>46078</v>
      </c>
      <c r="I9" t="inlineStr">
        <is>
          <t>**Company Overview**  
Valley Community Services is dedicated to delivering the highest quality services to the individuals and families we serve. Every team member, from leadership to direct care staff, is committed to the foundational principle that each day should be better than the previous one for those in our care.
**Overview**  
We are seeking a dynamic and experienced Non\-Residential Program Manager to oversee community\-based care programs for individuals with developmental disabilities, memory impairments, and other complex needs. This leadership role requires a comprehensive understanding of assisted living.
**Duties**
* Monitors staff participation in individual data collection
* Create Staff Schedules
* Time Cards
* Training staff on ISPS, health goals/ changes, care plans, diets
* Assist with Interviews
* Conduct/ Attends ISP meetings
* Provide Staff Training as needs arise or training on recommendations from the Administrative Review Committee
* Answer texts and calls from staff and individuals who receive services
**Experience**
* 1\-2 years of supervisory experience
* 1\-2 years of office experience
* 1\-2 years of experience working directly with persons with an intellectual disability
* High School Diploma or GED equivalent (required)
Pay: $42,000\.00 per year
Benefits:
* 403(b) matching
* Dental insurance
* Health insurance
* Health savings account
* Life insurance
* Paid time off
* Referral program
* Vision insurance
Work Location: In person</t>
        </is>
      </c>
    </row>
    <row r="10">
      <c r="A10" t="inlineStr">
        <is>
          <t>in-3aec77ef8d30a6db</t>
        </is>
      </c>
      <c r="B10" t="inlineStr">
        <is>
          <t>Senior Technical Program Manager, Data Strategy, NA</t>
        </is>
      </c>
      <c r="C10" t="inlineStr">
        <is>
          <t>Vantage Data Centers</t>
        </is>
      </c>
      <c r="D10" t="inlineStr">
        <is>
          <t>indeed</t>
        </is>
      </c>
      <c r="E10" t="inlineStr"/>
      <c r="F10" t="inlineStr"/>
      <c r="G10" t="inlineStr">
        <is>
          <t>Denver, CO, US</t>
        </is>
      </c>
      <c r="H10" s="1" t="n">
        <v>46077</v>
      </c>
      <c r="I10" t="inlineStr">
        <is>
          <t>**About Vantage Data Centers**
==============================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**Operational Excellence Department**
The Operational Excellence team establishes the systems, practices, and culture that enable Vantage to operate at scale across North America with consistency, quality, and speed. We strengthen the scalability and effectiveness of NA Operations \- including Mission Critical Operations, Sales Engineering, Customer Experience, and Design Integration \- by partnering with business leaders and global functions to standardize how we work, drive process excellence, deliver strategic programs, enable data\-driven decisions, and embed continuous improvement and transformation.
Operational Excellence at Vantage is hands\-on and impact\-driven. We blend delivery discipline, systems thinking, and best\-in\-class operational practices to address root causes, improve efficiency, and accelerate outcomes. Our team members lead high\-impact initiatives, shape cross\-functional ways of working, and directly influence how Vantage delivers on its growth, operational, and customer commitments.
**Position Overview**
**This role will be based in Denver, CO. Following our flexible work policy (3 days in\-office, 2 days flexible).**
The Technical Program Manager (TPM) Leads enterprise\-level Data Strategy initiatives and aligns sequencing across concurrent NA Operations strategic programs. The TPM partners with OE leadership and senior Ops stakeholders to align Data Strategy sequencing with enterprise initiatives and ensures disciplined execution across all major workstreams.
The initial 12\-month mandate focuses on establishing trusted KPI foundations, operational data governance, telemetry standardization, executive reporting readiness, and foundational AI enablement across mission\-critical operations. This is a senior technical program leadership role requiring strong data fluency, systems thinking, and experience operating in high\-reliability environments..
The TPM will coordinate delivery and defines integration architecture and dependency resolution strategy across concurrent NA Operations and OE efforts including KPI foundations, governance go‑live, telemetry automation, dashboard standardization, and change enablement. The role requires strong cross‑functional leadership across Mission Critical Operations (MCO), Solutions Engineering (SE), Customer Experience CE), Data \&amp; Analytics team, including (Automation \&amp; Reliability Engineer, Data Engineer and BI Developers), IT Global, and PMO partners.
This role is accountable for shaping cross\-program integration strategy and reducing systemic execution risk across data strategy and other strategic operations efforts while ensuring the shift from fragmented reporting to governed, trusted, AI\-ready analytics infrastructure.
**Essential Job Functions**
**Strategy Translation \&amp; Program Execution**
* Translate the approved Data Strategy roadmap into an integrated, sequenced delivery plan, drive disciplined execution, and resolves cross\-program conflicts affecting prioritization, integration timing, and resource alignment.
* Coordinate delivery of P1/P2 KPI foundations (Uptime, Customer Health Index (TRIR), SLA Exposure, Time Recordable Incident Rate (TRIR).
* Ensure Data Governance Operating Model is operationalized (cadence, ownership, certification readiness).
* Coordinate AI foundation activities across Operations functions, including dashboard standardization and data aggregation milestones.
* Aligns and optimizes sequencing between Data Strategy and other enterprise initiatives (KPI foundations, Ops Reviews/Readouts readiness, governance milestones, AI pilots), tracking dependencies and ensuring timely completion across all workstreams.
* Establish disciplined program governance including decision logs, RAID tracking, dependency mapping, and executive\-level transparency.
**Cross‑Functional Coordination \&amp; Data Rigor**
* Act as the single orchestration point across Operations, Data Strategy, BI, IT.
* Facilitate alignment sessions to resolve KPI definition, data ownership, and dependency conflicts.
* Coordinate telemetry aggregation and data pipeline milestones required to support standardized reporting and predictive analytics readiness
* Identifies systemic data integrity risks, lineage gaps, or ownership ambiguities that could impact executive trust in reported metrics.
* Coordinate baseline maturity inputs (assessment logistics and tools, evidence collection, stakeholder scheduling) and track maturity improvement actions as part of program delivery.
* Defines, refines and supports maintenance of KPI artifacts (KPI dictionary, lineage references, certification status, stewardship assignments) by collecting updates from owners and ensuring materials are current and accessible.
**Executive Readiness \&amp; Operating Meeting Cadence**
* Coordinate Ops Review Meetings, managing timelines, inputs, material quality, and readiness across DIG, SE, CE, and MCO.
* Advises senior Ops leaders on cross\-functional tradeoffs impacting reporting, integration timing, and operational readiness.
* Ensure KPI owners adhere to the standardized Ops Review standards, providing coordination and support as needed and ensuring materials reflect trends, drivers, risks, and actions, not just static results
* Drive reporting readiness end‑to‑end, following up with KPI owners and BI teams to ensure completeness, consistency, and on‑time for audience pre‑reads.
* Partner with the Director, Data Strategy, to ensure execution progress aligns with evolving strategic focus areas and executive expectations. Shapes sequencing discussions affecting multiple operational domains.
* Maintain shared collaboration spaces and action tracking and follow‑up actions to ensure continuity and accountability between review cycles.
**Change Enablement \&amp; Adoption**
* Coordinate related change adoption activities across Operations.
* Partner with Operations Leadership to ensure data standards, ownership clarity, and reporting expectations are embedded into operating rhythms.  
Support the development of training, communication, and enablement materials that reinforce data literacy and data\-driven habits
**Additional Duties**
* Handle additional duties as assigned by management.
**Job Requirements**
Education:
* Bachelor’s in business management, Engineering, Computer Science related field, or equivalent experience
* PMP certification strongly preferred
Experience:
* 8\-14\+ leading enterprise\-level technical or data programs spanning multiple operational domains, involving multiple operational and/or engineering workstreams and dependencies.
* Experience working in Business Operations or Operations‑adjacent environments, supporting executive reporting, operational KPIs, and change initiatives.
* Experience operating in mission\-critical, infrastructure, data center, energy, or similarly high\-reliability environments strongly preferred
* Experience influencing senior leaders and resolving cross\-program integration conflicts
* Practical understanding of data management lifecycle, including data definition, ingestion, transformation, quality, governance, documentation, and operational reporting.
* Experience advising on sequencing strategy and systemic risk across concurrent initiatives.
* Strong familiarity with data and analytics industry best practices, including KPI standardization, data governance concepts, data quality controls, lineage, stewardship models, and maturity frameworks.
Skills:
* **Senior\-level technical program management****:** Experience delivering multi‑workstream initiatives with complex dependencies, RAID management, and executive reporting (40\+ deliverables in parallel).
* **C****ross****‑****functional leadership****:** Able to drive accountability across KPI owners without formal authority.
* **Executive communication and storytelling:** Synthesizes progress, risks, decisions needed, and “so‑what” insights into concise pre‑reads and readout materials.
* **Operational reporting****:** Familiarity with standardized KPI reporting rhythms (monthly reviews / executive readouts), ensuring consistent definitions, calculations, and readiness across presenting teams.
* **Data strategy and governance fluency** (working level): Understands KPI dictionary concepts, lineage references, certification status tracking, stewardship roles, and decision‑rights documentation
* **Change enablement execution:** Able to run training and communications logistics that support adoption of new KPI standards and data‑driven habits (data literacy \&amp; culture)
* **Structured documentation management****:** Maintains a clean shared repository, version control discipline, and a decision register (what was decided, when, by whom) to prevent churn and rework.
* **Strong analytical thinking****:** Asks the right questions, spot gaps/risks in KPI narratives, ability to challenge KPI calculation logic and ensure executive\-grade defensibility of metrics.
* **Proficiency with enterprise** **tools:** (e.g., Jira/ClickUp/Smartsheet equivalents), plus Microsoft 365 (Excel, PowerPoint, Teams), and SharePoint for shared templates and collaboration.
* **Domain context****:** Experience supporting critical operations / high‑reliability environments (data center, infrastructure, or rapid growth operations)
* Comfort working in environments with “immature or fragmented data” transitioning to governed analytics.
* Travel required is expected to be up to 20%, but may increase over time as business evolves
**Physical Demands and Special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**Additional Details**
* Salary Range: $150,000 \- $155,000 Base \+ Bonus (this range is based on Colorado market data and may vary in other locations)
*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 Compensation for the role will depend on a number of factors, including your qualifications, skills, competencies, and experience and may fall outside of the range shown.
\#LI\-HM1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We’ll be accepting applications for at least one week from the date this role is posted. If you're interested, we encourage you to apply soon—we’re excited to find the right person and will keep the role open until we do!</t>
        </is>
      </c>
    </row>
    <row r="11">
      <c r="A11" t="inlineStr">
        <is>
          <t>in-7c5dd44f394c63a7</t>
        </is>
      </c>
      <c r="B11" t="inlineStr">
        <is>
          <t>Senior Technical Program Manager, Operations, NA</t>
        </is>
      </c>
      <c r="C11" t="inlineStr">
        <is>
          <t>Vantage Data Centers</t>
        </is>
      </c>
      <c r="D11" t="inlineStr">
        <is>
          <t>indeed</t>
        </is>
      </c>
      <c r="E11" t="inlineStr"/>
      <c r="F11" t="inlineStr"/>
      <c r="G11" t="inlineStr">
        <is>
          <t>Denver, CO, US</t>
        </is>
      </c>
      <c r="H11" s="1" t="n">
        <v>46077</v>
      </c>
      <c r="I11" t="inlineStr">
        <is>
          <t>**About Vantage Data Centers**
==============================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**Operational Excellence Department**
The Operational Excellence team establishes the systems, governance, and capabilities that enable Vantage to operate at scale across North America with reliability, consistency, and speed. We strengthen the scalability and performance of NA Operations: Solutions Engineering, Design Integration, Mission Critical Operations, and Customer Experience\- by partnering with leaders and global functions to execute the Operations Plan of Record, standardize operating models, drive process excellence, enable data\-informed decisions, and embed disciplined transformation and continuous improvement.
Operational Excellence at Vantage is hands\-on and outcome\-driven. We combine portfolio governance, systems thinking, operational rigor, and human\-centered enablement to reduce friction, increase predictability, and accelerate performance. Our team members lead high\-impact initiatives, shape cross\-functional execution, and directly influence how Vantage delivers on its growth, operational reliability, and customer commitments.
**Position Overview**
**This role will be based in Denver, CO. Following our flexible work policy (3 days in\-office, 2 days flexible).**
The Senior Technical Program Manager (Sr TPM) leads enterprise\-level, multi\-domain programs across North America Operations, supporting Mission Critical Operations, Design Integration, Solutions Engineering, and Customer Experience. This role operates at a systems and portfolio level, aligning sequencing across concurrent initiatives and shaping execution strategy for complex, cross\-functional efforts. The Sr TPM is accountable for defining program architecture, anticipating systemic integration and reliability risks, and advising operational leaders on tradeoffs that impact scalability and delivery predictability. Operating with minimal oversight, the Sr TPM sets direction within the program management domain and contributes directly to short\- and mid\-term operational strategy execution.
**Essential Job Functions**
**Enterprise Program Architecture \&amp; Execution Strategy**
* Lead enterprise\-level, multi\-workstream programs that span multiple operational functions and intersecting systems
* Define execution architecture including sequencing strategy, cross\-program dependency alignment, and integration gating models
* Align prioritization and sequencing across concurrent initiatives to reduce systemic risk and execution conflicts
* Establish structured program governance frameworks for high\-impact initiatives
* Drive alignment across functional leaders on scope boundaries, sequencing tradeoffs, and resource implications
**Cross\-Program Systems Integration \&amp; Risk Leadership**
* Evaluate and prioritize complex interdependencies across concurrent programs to optimize integration timing and reduce systemic risk
* Anticipate scaling constraints, reliability exposure, and operational friction points that extend beyond a single initiative
* Proactively surface cross\-functional tradeoffs affecting sequencing, capacity, or operational readiness
* Facilitate resolution of high\-impact conflicts that require alignment among senior operational and technical leaders
* Ensure enterprise\-level readiness, validation, and mitigation strategies are defined for programs with broad operational impact
**Executive Advisory \&amp; Influence**
* Serve as accountable program lead for initiatives with significant operational and executive visibility
* Advise senior operational and technical leaders on sequencing strategy, feasibility constraints, and integration tradeoffs
* Present executive\-ready updates that quantify systemic risk, operational impact, and decision implications
* Shape fact\-based recommendations to influence prioritization and execution strategy **TPM Standards \&amp; Delivery Maturity**
* Define and continuously improve TPM standards, frameworks, and execution best practices
* Mentor and guide Technical Program Managers on program structure, sequencing discipline, and risk mitigation rigor
* Elevate delivery maturity across NA Operations through consistent program architecture and governance improvements
**Program Direction \&amp; Domain Leadership**
* Operate effectively in ambiguous and evolving environments, defining structure where none exists
* Make significant domain\-level decisions affecting program sequencing, risk posture, and delivery outcomes
* Exercise independent judgment in resolving complex cross\-functional challenges
**Additional Duties**
* Handle additional duties as assigned by management
**Job Requirements**
**Education**
* Bachelor’s degree in Operations, Engineering, Business, Information Systems, or related technical discipline and/or equivalent experience required
* Advanced degree (MBA, MS in Engineering, or similar) or equivalent experience preferred
**Experience**
* 8–14\+ years of experience leading large\-scale, cross\-functional technical programs
* Demonstrated experience managing enterprise\-level initiatives with multiple intersecting workstreams
* Experience influencing senior operational and technical stakeholders
* Experience resolving systemic integration challenges and cross\-program dependencies
* Working knowledge of data center infrastructure models and operational reliability frameworks preferred
* Experience supporting automation\-enabled or AI\-driven operational environments preferred
**Skills**
* Advanced systems thinking with ability to evaluate interdependencies across concurrent programs
* Strong sequencing and execution architecture capability
* Ability to identify and mitigate systemic risk across multi\-domain initiatives
* Executive\-level communication and influence without direct authority
* Ability to resolve cross\-functional conflicts affecting sequencing and delivery
* Operates effectively in ambiguous environments and defines structure for complex initiatives
* Travel required is expected to be up to 20%, but may increase over time as business evolves
**Physical Demands and Special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**Additional Details**
* Salary Range: $150,000 \- $155,000 Base \+ Bonus (this range is based on Colorado market data and may vary in other locations)
*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 Compensation for the role will depend on a number of factors, including your qualifications, skills, competencies, and experience and may fall outside of the range shown.
\#LI\-HM1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We’ll be accepting applications for at least one week from the date this role is posted. If you're interested, we encourage you to apply soon—we’re excited to find the right person and will keep the role open until we do!</t>
        </is>
      </c>
    </row>
    <row r="12">
      <c r="A12" t="inlineStr">
        <is>
          <t>in-fd0d6412cd9ce12a</t>
        </is>
      </c>
      <c r="B12" t="inlineStr">
        <is>
          <t>Program Manager</t>
        </is>
      </c>
      <c r="C12" t="inlineStr">
        <is>
          <t>Moog, Inc</t>
        </is>
      </c>
      <c r="D12" t="inlineStr">
        <is>
          <t>indeed</t>
        </is>
      </c>
      <c r="E12" t="inlineStr"/>
      <c r="F12" t="inlineStr"/>
      <c r="G12" t="inlineStr">
        <is>
          <t>Mineral Wells, TX, US</t>
        </is>
      </c>
      <c r="H12" s="1" t="n">
        <v>46077</v>
      </c>
      <c r="I12"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Program Manager
Reporting To:
Programs Director \- Aerospace
Work Schedule:
Onsite – Mineral Wells, TX
Our Moog Military Aircraft Group is looking for a Program Manager who can define and execute projects from start to finish. This role is responsible for developing and communicating the operational plan, managing risks, and resolving issues related to schedule, cost, and quality. The Program Manager will also monitor progress and performance to ensure alignment with the project plan. This role has an onsite work schedule at our business unit, Moog Avionics, located in Mineral Wells, TX. Moog Avionics delivers customer\-focused technologies and customized solutions for Special Mission, Military \&amp; Defense, Military Trainer, Business, and General Aviation industries.
Day\- to\-Day Responsibilities:* Serve as technical and program liaison for external customers and the organization from the commencement of a customer project until closure.
* Lead complex projects, provide enterprise\-level visibility to achieve operational objectives.
* Advise senior management on issues, provide risk mitigation, work with subject matter experts to resolve issues and challenges.
* Work with Sales/BD to review imminent opportunities. This includes reviewing technical solutions, design specifications, preparing statement of work, providing design engineering and certification scope/cost/schedule estimates.
* Create engineering program plan and schedule. Work with engineering leadership to allocate project staff according to project requirements.
* Identify and resolve project risks and issues, facilitate solutions and remove project roadblocks.
* Ensure customer commitments and contractual requirements are well understood and followed by all functions in the company.
* Manage project milestones and co\-ordinate with multiple functions for successful project completion.
* Control expenditures within limitations of project budget. This includes managing change requests from customers, schedule slips, etc.
* Review product design at a system level for compliance with engineering principles, company standards, customer contract requirements, and related specifications.
* Maintain project schedule by monitoring project progress; coordinating activities; resolving problems.
* Prepare project status reports by collecting, analyzing, and summarizing information and trends; recommending actions.
* Lead meetings with internal and external stakeholders to coordinate activities and align on next steps.
Here’s what you’ll bring with you…* Bachelor’s Degree from a four\-year College or university.
* Minimum of 8 years’ work experience or equivalent combination of education and experience.
* Knowledge of the avionics certification process for the FAA and other certification authorities.
* Broad knowledge in avionics systems and safety critical applications with team leadership capabilities.
* Ability to sequentially multi\-task, prioritize and interface at all levels of management and engineering.
* Working knowledge of cost and schedule performance analysis and reporting.
* Proven Leadership qualities, excellent communication skills and technical writing skills.
* Ability to build and maintain effective relationships with customers and suppliers as well as management and employees.
* Experience in being a spokesperson for the customer and the company.
* Critical thinking skills to drive to root cause and appropriate corrective action.
* Ability to mentor and lead other project managers.
* Must be a U.S. citizen and able to travel both domestically and internationally.
It’d be great if you also had…* Experience with the system development lifecycle including system concept definition, requirements development, system design, and system validation/verification.
* Familiarity with aerospace standards like DO\-254, DO\-160, DO\-178B/C, ARP\-4754 and ARP\-4761\.
* Experience with Department of Defense (DoD), understanding of Federal Acquisition Regulation (FAR) and (DFAR)
* Earned Value Management System (EVMS) experience
* Ideally, you are action\-oriented, results\-driven, energetic, and innovative in your approach to design and project management.
Our Benefits – How We Care for You:* Financial Rewards: great compensation package, annual profit sharing, matching 401k and the ability to participate in Employee Stock Purchase Plan, Flexible Spending and Health Savings Accounts.
* Work/Life Balance: Flexible paid time off, holidays and parental leave program, relocation assistance.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Collaborative and Welcoming Workplace: Inclusive culture rooted in our values, enhanced by Employee Resource Groups, and team\-building activities.
* Additional site\-specific benefits may be offered.
* Schedule: Monday – Thursday, 10 hour shifts.
\#LI\-Onsite
Salary Range Transparency:
Mineral Wells, TX $120,000\.00–$140,000\.00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13">
      <c r="A13" t="inlineStr">
        <is>
          <t>in-834e5b759dd79d50</t>
        </is>
      </c>
      <c r="B13" t="inlineStr">
        <is>
          <t>Technical Program Manager</t>
        </is>
      </c>
      <c r="C13" t="inlineStr">
        <is>
          <t>Moog, Inc</t>
        </is>
      </c>
      <c r="D13" t="inlineStr">
        <is>
          <t>indeed</t>
        </is>
      </c>
      <c r="E13" t="inlineStr"/>
      <c r="F13" t="inlineStr"/>
      <c r="G13" t="inlineStr">
        <is>
          <t>Mineral Wells, TX, US</t>
        </is>
      </c>
      <c r="H13" s="1" t="n">
        <v>46077</v>
      </c>
      <c r="I13"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Technical Program Manager
Reporting To:
Programs Director \- Aerospace
Work Schedule:
Hybrid – Mineral Wells, TX
Moog Military Aircraft Group is looking for a Technical Program Manager. In this role you will be responsible for design, development, implementation, integration and analysis of technical products and systems. You will perform engineering design evaluations and provide technical interfaces to customers on multiple projects as well as resolve highly complex technical issues for customers and conduct advanced research.
This role reports to the Programs Director \- Aerospace and will have an onsite work schedule at our business unit, Moog Avionics, located in Mineral Wells, TX.
Moog Avionics delivers customer\-focused technologies and customized solutions for Special Mission, Military \&amp; Defense, Military Trainer, Business, and General Aviation industries.
As a Technical Program Manager, you will:* Review and evaluate product requests from customers and formulate conceptual and feasible design changes to existing products to meet customer requirements.
* Analyze project proposals to determine feasibility, manufacturability, cost, and production time, and discuss proposals with engineers, customers, and other personnel.
* Support customer development and design.
* Evaluate product designs for conformance to engineering principles, customer requirements, quality standards, and specifications.
* Perform system/software integration activities to verify proper functionality of the products.
* Develop new testing applications or modify existing tools to support integration activities and formal tests.
* Support the software/system development activities for the company’s new and legacy product lines.
* Provide expert knowledge in the architecture, design, and function of our company’s avionics products.
* Lead and support the finalization of technical solutions for customers by applying extensive experience, judgement, and knowledge of FAA certification process.
* Recommend alterations to development and design to improve quality of products and/or procedures.
* Display a strong knowledge of standard concepts, practices, and procedures within a particular field.
* Establish knowledge of the avionics certification processes for the FAA and other certification authorities.
To be considered for this role, here’s what you will need to bring with you:* Typically, a bachelor’s degree from four\-year college or university.
	+ In lieu of a formal degree we may consider an equivalent combination of education and experience.
* 10\+ years of professional related experience; with at least 5\+ years of technical experience in aircraft and avionics systems.
* Demonstrated experience effectively presenting information and responding to questions from groups of managers, clients, and customers.
* Knowledge of design and development processes.
* Knowledge and experience utilizing MS Suite of Products including excel, power point and MS project.
* Ability to travel up to 50% of the time, including internationally.
Salary Range Transparency:
Mineral Wells, TX $135,000\.00–$165,000\.00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14">
      <c r="A14" t="inlineStr">
        <is>
          <t>in-f2d94edb7f31e97f</t>
        </is>
      </c>
      <c r="B14" t="inlineStr">
        <is>
          <t>STROKE PROGRAM MANAGER (RN) - Full Time, Day</t>
        </is>
      </c>
      <c r="C14" t="inlineStr">
        <is>
          <t>Palmdale Regional Medical Center</t>
        </is>
      </c>
      <c r="D14" t="inlineStr">
        <is>
          <t>indeed</t>
        </is>
      </c>
      <c r="E14" t="inlineStr"/>
      <c r="F14" t="inlineStr"/>
      <c r="G14" t="inlineStr">
        <is>
          <t>Palmdale, CA, US</t>
        </is>
      </c>
      <c r="H14" s="1" t="n">
        <v>46077</v>
      </c>
      <c r="I14" t="inlineStr">
        <is>
          <t>Responsibilities:
Opened in 2010, Palmdale Regional Medical Center is a 184\-bed, acute care hospital located in Palmdale, CA. One of Southern California’s newest hospitals and featuring all\-private patient rooms, Palmdale Regional provides high\-quality, award\-winning patient care to residents and visitors of the Antelope Valley and surrounding areas. Palmdale Regional is active in the community and regularly participates with the Antelope Valley Board of Trade/Greater Antelope Valley Economic Alliance (now AV Edge), and other civic and governmental groups. Palmdale Regional believes in "Community Service Excellence" and supports nonprofit agencies and other healthcare related organizations.  
Palmdale Regional recently joined the newly created regional brand, Southwest Healthcare. This comprehensive network of care incorporates five hospitals in the southern California region and includes multiple convenient ambulatory locations serving many communities. With more than 7,000 skilled and talented care providers across the region, all dedicated to the highest standards, the shared goal is to provide convenient access to a wide range of healthcare services. Learn more: www.SouthwestHealthcare.com. For more information on Palmdale Regional, please visit www.palmdaleregional.com and follow Palmdale Regional Medical Center on social: Facebook, Instagram, LinkedIn and YouTube  
One of the nation’s largest and most respected providers of hospital and healthcare services, Universal Health Services, Inc. (NYSE: UHS) has built an impressive record of achievement and performance, growing since its inception into a Fortune 500 corporation. Headquartered in King of Prussia, PA, UHS has 99,000 employees. Through its subsidiaries, UHS operates 28 acute care hospitals, 331 behavioral health facilities, 60 outpatient and other facilities in 39 U.S. States, Washington, D.C., Puerto Rico and the United Kingdom.  
www.swhpalmdaleregional.com/careers **Position Description:**
The Program Manager for the Stroke \&amp; Sepsis Program reflects the mission, vision, and values of Palmdale Regional, adheres to the organization’s Code of Ethics and Corporate Compliance Program, and complies with all relevant policies, procedures, guidelines, and all other regulatory and accreditation standards. Responsibilities include patient guidance, education and follow up for our stroke \&amp; sepsis patients along with data analysis, continuous quality improvement, adherence to Joint Commission regulatory requirements, performance improvement plans for the stroke \&amp; sepsis programs, patient satisfaction initiatives and community outreach.
Qualifications:
**Job Duties/Responsibilities Requirements:*** Minimum 3 years’ experience as a Registered Nurse in an acute care setting
* Experience in Stroke \&amp; Sepsis Program Coordination: planning, implementing and evaluating outcomes
* Bachelor’s Degree required
* Master’s Degree preferred
* Current Registered Nurse (RN) license to practice professional nursing in the state of California.
* Current basic life support (BLS) certification
* Current Advanced Cardiovascular Life Support (ACLS) certification
* Advanced National Certification preferred
* CPI is required either within 30 days or the next full class if after 30 days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**Avoid and Report Recruitment Scams**
We are aware of a scam whereby imposters are posing as Recruiters from UHS, and our subsidiary hospitals and facilities. Beware of anyone requesting financial or personal information.
At UHS and all our subsidiaries, our Human Resources departments and recruiters are here to help prospective candidates by matching skill set and experience with the best possible career path at UHS and our subsidiaries. During the recruitment process, no recruiter or employee will request financial or personal information (e.g., Social Security Number, credit card or bank information, etc.) from you via email. Our recruiters will not email you from a public webmail client like Hotmail, Gmail, Yahoo Mail, etc.
If you suspect a fraudulent job posting or job\-related email mentioning UHS or its subsidiaries, we encourage you to report such concerns to appropriate law enforcement. We encourage you to refer to legitimate UHS and UHS subsidiary career websites to verify job opportunities and not rely on unsolicited calls from recruiters.
Salary: Starting from $135,387\.20 to $192,920\.00 a year</t>
        </is>
      </c>
    </row>
    <row r="15">
      <c r="A15" t="inlineStr">
        <is>
          <t>in-687c4a1fdce86eda</t>
        </is>
      </c>
      <c r="B15" t="inlineStr">
        <is>
          <t>Mail Room Program Manager (Top Secret Clearance Required)</t>
        </is>
      </c>
      <c r="C15" t="inlineStr">
        <is>
          <t>ServiceSource Inc.</t>
        </is>
      </c>
      <c r="D15" t="inlineStr">
        <is>
          <t>indeed</t>
        </is>
      </c>
      <c r="E15" t="inlineStr"/>
      <c r="F15" t="inlineStr"/>
      <c r="G15" t="inlineStr">
        <is>
          <t>Washington, DC, US</t>
        </is>
      </c>
      <c r="H15" s="1" t="n">
        <v>46077</v>
      </c>
      <c r="I15" t="inlineStr">
        <is>
          <t>*Make an impact by joining ServiceSource, a champion for people with disabilities. Explore new opportunities! ServiceSource is an organization of talented people who drive innovation, embrace change, and* *strengthen communities**.*
Salary/Hourly Rate:80,000
**Job Summary**
This position is responsible to provide effective customer service and achieve customer satisfaction by delivering services in a professional, courteous, and timely manner for our Department of State (DOS) Contract.
**Primary Duties**
These duties and responsibilities will be rated on the Annual Performance Review. **Reasonable accommodations may be made to enable individuals with disabilities to perform the essential functions****.**
* Oversee the Accountable Mail/Classified operation of the DoS contract.
* Direct and coordinate activities of all General Clerk II employees.
* Manage staff, preparing work schedules and assigning specific duties.
* Direct and coordinate organization's financial and budget activities to fund  
operations, maximize investments, and increase efficiency.
* Establish and implement departmental policies, goals, objectives, and procedures, conferring with board members, organization officials, and staff members as necessary.
**Additional Responsibilities**
* Work with management to determine staffing requirements, and interview, train new employees.
* Train or instruct employees in job duties or company policies or arrange for training to be provided.
* Evaluate employees' job performance and conformance to regulations and recommend appropriate personnel action.
* Review records or reports pertaining to activities such as production, payroll, or shipping to verify details, monitor work activities, or evaluate performance.
* Recruit, interview, and select employees.
* Interpret and communicate work procedures and company policies to staff.
* Perform other responsibilities as assigned.
**Qualifications: Education, Experience and Certification(s)**
* High school diploma or General Educational Development (GED) required.
* 2\-3 years of mailroom experience required
* Must hold and maintain a Top Secret clearance. Will be subject to a U.S. Government background check/investigation.
**Knowledge, Skills and Abilities**
* Customer service oriented and be able to work efficiently in a fast\-paced environment.
* Work well independently and as a contributing member of a team High level of integrity and personal accountability.
* Ability to read and comprehend simple instructions, short correspondences, and memos, labels and numbers.
* Ability to effectively present information in one on\-one and small group situation to customers, clients, and other employees of the organization.
* Excellent customer service skills, verbal and written skills and ability to accept and follow directions.
* Basic typing skills; Working knowledge of Microsoft Office (Word, Excel, Outlook).
Ability to add, subtract, multiply, and divide in all units of measure, using whole numbers, common fractions, and decimals.* Ability to define problems and provide solutions.
* Ability to multi\-task, organize, prioritize and meet deadlines on a daily basis.
* Maintain a high level of performance with limited supervision.
**Physical Demands**
While performing the duties of this job, the employee is regularly required to stand; reach with hands and arms; and talk or hear. The employee is occasionally required to walk and sit. The employee must regularly lift and/or move up to 25 pounds and occasionally lift and/or move up to 75 pounds. Specific vision abilities required by this job include close vision, distance vision, depth perception, and ability to adjust focus.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While performing the duties of this job, the employee is occasionally exposed to outside weather conditions. The noise level in the work environment is usually quiet.
**What We Offer – for Benefit Eligible Employees May Include:**
Because ServiceSource hires the best people, we work hard to provide benefits that make their lives better, so we offer a comprehensive benefit program which features:
* Health coverage for you and your family through Medical, Dental, and Vision plans.
* Financial protection with 100% company paid Disability, Life, Accidental Death \&amp; Dismemberment insurance.
* A 403(b)\-Retirement plan in which the company matches dollar for dollar on a generous percentage matching up to 3% of your contribution.
* Tax advantages through Flexible Spending and Health Savings accounts that allow you to pay for specific healthcare and dependent care expenses with pre\-tax dollars.
* To help you manage your work and life needs, we offer an Employee Assistance Program, Wellness Program, and Tuition Assistance.
* A generous paid time\-off program in which the benefits increase based on your tenure with the company.
We are an Equal Employment Opportunity Employer, making employment decisions without regard to a person’s race, color, religion, sex (including pregnancy, sexual orientation, gender identity and transgender status), national origin, age (40 or older), veteran status, disability, or any other protected class. *We are an E\-Verify Employer and a drug\-free workplace. Pre\-employment background checks are required for all employment positions.*
PAY TRANSPARENCY POLICY STATEMENT: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16">
      <c r="A16" t="inlineStr">
        <is>
          <t>in-752335bc98cc2bdb</t>
        </is>
      </c>
      <c r="B16" t="inlineStr">
        <is>
          <t>Associate Program Manager</t>
        </is>
      </c>
      <c r="C16" t="inlineStr">
        <is>
          <t>Envita Solutions</t>
        </is>
      </c>
      <c r="D16" t="inlineStr">
        <is>
          <t>indeed</t>
        </is>
      </c>
      <c r="E16" t="inlineStr"/>
      <c r="F16" t="inlineStr"/>
      <c r="G16" t="inlineStr">
        <is>
          <t>Indianapolis, IN, US</t>
        </is>
      </c>
      <c r="H16" s="1" t="n">
        <v>46077</v>
      </c>
      <c r="I16" t="inlineStr">
        <is>
          <t>Envita Solutions, formerly known as Heritage Interactive Services, is a leading total waste management partner. The company is dedicated to fostering a healthier planet by transforming complex waste challenges into sustainable solutions. Headquartered in Indianapolis, Indiana, Envita Solutions operates in the U.S., Mexico, and Canada, has over 300 employees, and a network of over 3,000 supplier partners. A division of The Heritage Group, Envita Solutions is part of a portfolio of more than 30 companies specializing in heavy construction and materials, environmental services, and specialty chemicals. With unique access to research and development and a leading hard tech corporate venture capital portfolio, Envita Solutions is at the forefront of waste and climate challenge innovation.
At Envita, our guiding principles are the foundation of our company. Our vision is to foster a healthier planet by transforming complex waste challenges into sustainable solutions. We exist to protect human health and the environment and build a safer, more sustainable world. We believe in creating enduring value, building long\-term relationships and mutual trust, betting on our people, keeping our eyes open for opportunity, tackling the big problems, and doing the right thing\-always.
As an Associate Program Manage (APM), you will participate in Program Manager (PM) training program to develop your knowledge and skills on Envita's purpose and processes to deliver total waste management (TWM) services to our clients. Through training, you will obtain an understanding of what it means to build trusted relationships, provide excellent customer experience, and drive significant organic growth and profitability. Building upon your knowledge and creativity to deliver innovative byproduct waste programs including recycling, reuse and waste minimization for clients, this partnership is a differentiator for Envita. You will have the opportunity to learn to identify and solve our clients TWM challenges and lead by Envita's values. This PM training program is based out of our headquarters in Indianapolis, IN and is a hybrid position with requirements to travel to our onsite customer locations as necessary.This Associate Program Manager training program is expected to be completed within 3 months. Upon completion of the program, APM will be eligible to be assigned to an Operational team and a normal progression of moving into the role of Program Manager. At that time, PM will be assigned a portfolio account to manage.  
**Essential Functions*** Learn to manage relationships across multiple teams and departments, including suppliers, and internal resources.
* Training and guidance on the importance of building and maintaining strong customer relationships to ensure customer satisfaction and retention.
* Participate PM structured training modules led by Operations Development and key functional partners.
* Build a skill set by working with and shadowing current PMs. This includes, but not limited to, attending client meetings, joining in on conference calls, and take part in onsite client activities.
* Assist in conducting discovery with Program Manager teams to identify business needs as it pertains to TWM (total waste management). Will develop skills to recognize opportunities to that bring value to the organization.
* Experience in working with cross\-functional team members to resolve customer issues and ensure the integrity of the customer experience exceeds expectations.
* Develop understanding of coordination with external suppliers and internal resources to ensure optimum service.
* Train to review and ensure monthly client invoices are processed on time and accurate.
* Build up understanding of processes and standards to meet or exceed accounts receivable (A/R) targets.
* Gain understanding to analyze and interpret operational data such as performance metrics and historical trends through Envita business system reporting.
* Build up understanding of customer portfolio and provide input on annual budgets for clients.
* Learn the importance of contract negotiation and deliverables with suppliers.
* Will learn to grow client revenue organically through ability to identify opportunities and gaps in TWM processes that solve big problems for our clients.
* Present new ideas and solutions to secure account penetration and loyalty. Maximize profit goals and, contract compliance.
* Expect business travel 25\-40%, or as needed.
* *Additional duties and responsibilities as assigned, including but not limited to continuously growing in alignment with the Company’s core values, competencies, and skills.*
 **Education Qualifications*** Required High School or Equivalent
* Preferred Bachelor's Degree Degree in Environmental, Sustainability, Business, Communications, or related field.
**Experience Qualifications*** Preferred 1\+ years Customer support and/or facing service industry. (Environmental background beneficial.)
**Skills and Abilities*** Insight of account management responsibilities and importance of building trusted relationships with integrity.
* Strong communication and interpersonal skills needed.
* Ability to work collaboratively across diverse teams and functions.
* Ability to establish and maintain effective working relationships with all levels of an organization, both externally and internally.
* Effective organizational skills needed with the ability to manage multiple priorities/tasks productively.
* Proven time management skills, experience with deadline driven responsibilities.
* Must be able to navigate Microsoft Office systems at a minimum intermediate level with emphasis on Excel.
* Experience with Salesforce CRM preferred.
* Foundational analytical skills, including the ability to gather and analyze data, develop solutions and evaluate, and report results.
Willingness to deliver presentations and/or communicate to influence, through use of interpersonal style and communication methods, to facilitate an acceptance of an idea, plan, activity, or product from targeted customers.  
* 
All qualified applicants will receive consideration for employment without regard to race, color, religion, sex, sexual orientation, gender identity, national origin, disability, or status as a protected veteran.
\#EnvitaSolutions</t>
        </is>
      </c>
    </row>
    <row r="17">
      <c r="A17" t="inlineStr">
        <is>
          <t>in-1f80b878e9fe2c09</t>
        </is>
      </c>
      <c r="B17" t="inlineStr">
        <is>
          <t>Technical Product Manager</t>
        </is>
      </c>
      <c r="C17" t="inlineStr">
        <is>
          <t>Amphenol</t>
        </is>
      </c>
      <c r="D17" t="inlineStr">
        <is>
          <t>indeed</t>
        </is>
      </c>
      <c r="E17" t="inlineStr"/>
      <c r="F17" t="inlineStr"/>
      <c r="G17" t="inlineStr">
        <is>
          <t>Hamden, CT, US</t>
        </is>
      </c>
      <c r="H17" s="1" t="n">
        <v>46077</v>
      </c>
      <c r="I17" t="inlineStr">
        <is>
          <t>**Location:**
Hamden, Connecticut
**Department:**
Engineering
**Posted:**
2/25/2026
**Location Name:**
Hamden
**Wage:**
Depends on Experience
**Position Type:**
Full Time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 **Position: Technical Product Manager**
* **Location: Hamden, CT**
Amphenol High Speed Products Group is the market leader for high speed, high bandwidth electrical connectors for the Telecom/Datacom market (Mobile Networks, Storage, Servers, Routers, HS Wire, etc.). Our products help to enable the electronics revolution and remain a key enabler for all the major Tier 1 OEMs globally. We have design, sales, and manufacturing locations globally and are currently seeking a Product Manager to join our Spectra\-Strip team located in Hamden, CT.
**RESPONSIBILITIES:**
The Product Manager will work with cross functional teams to drive the development and marketing of Amphenol’s High Speed Cable product family. This role will be responsible for promoting our products to their assigned market, winning key new design opportunities, and developing/executing the product strategies to support the Product Development and NPI teams in pull product portfolio management.
* P\&amp;L responsibility for all product families across all wire and cable categories.
* Drive and manage highspeed, high data product lines through:
	+ Product roadmap creation and execution
	+ Production ramping plan
	+ Cost, pricing, and margins
	+ Product portfolio management
	+ Product development process management
* Cost modeling (direct material and variable costs) to develop cost targets, regular cost downs, and pricing strategies
* Drive new business opportunity funnel, aligning both the business unit and sales on actions \+ strategies to win
* Define customer / market requirements for product family, timing, and forecasts
* Work with cross\-functional teams (marketing, engineering, business development and operations) to proactively identify product and solution gaps and define market requirements to close the total available market space
* Develop marketing materials and promote to industry and potential customers
* Work closely with HSIO Cable and CBS teams to align bulk wire development \+ go to market activities
* Fully target site KPIs for sales revenue achievement, product margin improvement on cost reduction driving, negative margin improvement, and design win and shorten response time to quote
* Some travel required for customer visits (sales and negotiations), sales training, factory visits, and trade shows
**QUALIFICATIONS:**
* Bachelor’s degree in Electrical or Mechanical Engineering with keen business acumen
* 4\+ years of product management, project management, engineering experience, and/or technical business development experience
* 1\-3 years of experience working in the interconnect industry preferred
* Strong communication skills
* Effective use of Microsoft office (Excel and PowerPoint specifically)
* Experience with Power\-BI and or other data visualization software
* Ability to integrate with cross\-functional teams globally and a willingness to “roll up your sleeves” to get the job done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18">
      <c r="A18" t="inlineStr">
        <is>
          <t>in-376130a9909fc358</t>
        </is>
      </c>
      <c r="B18" t="inlineStr">
        <is>
          <t>Program Manager (Construction Site Program Manager, Traveling)</t>
        </is>
      </c>
      <c r="C18" t="inlineStr">
        <is>
          <t>Dennis Group</t>
        </is>
      </c>
      <c r="D18" t="inlineStr">
        <is>
          <t>indeed</t>
        </is>
      </c>
      <c r="E18" t="inlineStr"/>
      <c r="F18" t="inlineStr"/>
      <c r="G18" t="inlineStr">
        <is>
          <t>Boston, MA, US</t>
        </is>
      </c>
      <c r="H18" s="1" t="n">
        <v>46077</v>
      </c>
      <c r="I18" t="inlineStr">
        <is>
          <t>**Job Summary**
Construction Program Managers oversee the strategic planning, management, and execution of industrial construction projects of food and beverage production facilities, ensuring they are delivered on time, within budget, and to the highest quality standards, while also fostering strong client and stakeholder relationships. Construction Program Managers will have an oversight of large projects while directing, supervising, and mentoring the onsite construction managers.
**Client Relations Responsibilities**
* Manage and foster relationships with clients by understanding their needs by listening actively and addressing feedback honestly and transparently.
* Review project schedule, work progress, and budget with the client.
* Communicate project progress, issues, and updates to the client proactively.
* Set and manage project timelines, deliverables, and expectations with the client.
* Ability to adapt to changing client needs and expectations, while maintaining a professional approach.
* Build trust and rapport with our clients by delivering expectations and driving value.
* Build professional relationships where our clients can rely on the guidance and experience of the Construction Program Manager.
**Supervising** **Responsibilities of Construction Projects**
* Oversee and direct site\-based construction managers, field administrators, office based technical staff from conception to completion and provide direction to safety. This includes reviewing and monitoring team members’ work, mentoring, and evaluating performance, fielding questions and providing guidance to complete tasks, and being available to help manage deadline conflicts as needed.
* Provide valuable field input to the office project manager regarding project accounting, budgeting, and cost management.
* Other tasks as assigned.
* Work with the overall office project manager on developing and updating project scope, budget, and schedule.
* Develop relationships with inspectors to ensure adherence to project permit requirements.
* Change order and general construction administration.
* Manage third party testing, inspection, and relationships.
* Jobsite walk / audits to ensure project is progressing and drive efficiently.
* Support and coordinate facility start up.
* Develop construction reports to focus on client executives.
* Work with project controllers and office project managers in responsibilities involving supplier invoices and client billing.
* Promote continuous and productive communication between project participants including internal and external clients and partners.
**Required Education Skills and Experience**
* A bachelor’s degree in construction science, building science, construction engineering or a related field is strongly preferred
* 15\+ years of progressively responsible job site experience working on industrial building projects (strongly preferrable in the Food \&amp; Beverage Industry).
* 15\+ years of working with sub\-contractors (motivating them, working through sub\-contractors’ issues, etc.)
* Demonstrated ability to drive project schedules.
* 15\+ years of building or sustaining client relationships.
* Strong technical, organizational, managerial, and communication skills involving multiple disciplines, drawings and being competent using 3D models.
* 7\+ years of Design\-build experience (preferred).
* Refined, polished, and professional in all forms of communication.
* A fundamental understanding of all phases of construction and an ability to read and interpret construction documents and schedules, specifically with MS Project.
* Meet Travel requirement – Up to 100% travel to projects throughout the USA and possibly Canada
* Work Schedule requirement – Work 10 days onsite, 4 days off.
**Physical Requirements**
* Prolonged periods sitting at a desk and working on a computer and prolonged periods of standing and walking around project sites with uneven surfaces.
* Must be able to traverse and inspect all areas of jobsite in all types of weather; this may include walking, climbing, reaching, bending, crawling, or stretching.
* Exposure to characteristic construction site dangers.
* Must be on\-call to address delays, emergencies, bad weather, and other issues at the jobsite.
* Must be able to lift\-up to 50 pounds at times.
**Travel Requirement**
* Our projects are located throughout the United States and Canada, and this is a site\-based position, overseeing a large project with a 10 days on / 4 days off work schedule. Projects typically last 12\+ months. Meal and lodging per diems are provided along with reasonable travel provisions. Up to 100% overnight travel is required based on project needs.
**About Us**
We plan, design, engineer, and build food plants for major brands across the country and the world. For the past three decades, we’ve focused exclusively on the food and beverage industry, helping your favorite brands put your favorite foods in the grocery store. Simply put, food isn’t one thing we do, it’s all we do.
Dennis Group offers competitive compensation packages commensurate with experience. We provide comprehensive employee benefits including medical, dental, vision, life and disability insurance, paid time off including an open vacation policy, as well as bonus, profit\-sharing, and retirement plans.
 Dennis Group is proud to provide equal employment opportunities (EEO) to all employees and applicants for employment without regard to race, color, religion, sex, sexual orientation, gender identity, national origin, age, disability, or genetics.
### **JOB CODE: 1002775**</t>
        </is>
      </c>
    </row>
    <row r="19">
      <c r="A19" t="inlineStr">
        <is>
          <t>in-9dd2517bf6841a96</t>
        </is>
      </c>
      <c r="B19" t="inlineStr">
        <is>
          <t>Program Manager of Patient Experience</t>
        </is>
      </c>
      <c r="C19" t="inlineStr">
        <is>
          <t>MountainView Regional Medical Center</t>
        </is>
      </c>
      <c r="D19" t="inlineStr">
        <is>
          <t>indeed</t>
        </is>
      </c>
      <c r="E19" t="inlineStr"/>
      <c r="F19" t="inlineStr"/>
      <c r="G19" t="inlineStr">
        <is>
          <t>Las Cruces, NM, US</t>
        </is>
      </c>
      <c r="H19" s="1" t="n">
        <v>46077</v>
      </c>
      <c r="I19" t="inlineStr">
        <is>
          <t>**Why Join Us?**
* Competitive Compensation
* Comprehensive Medical, Dental, Vision \&amp; Life Insurance
* Generous Paid Time Off \&amp; Extended Illness Bank
* Matching 401(k) Retirement Plan
* Opportunities for Career Grown \&amp; Advancement
* Recognition \&amp; Reward Programs
* Exclusive Discounts \&amp; Perks\*
 **Job Summary**  
The Patient Experience Manager leads facility\-wide efforts to improve patient perception of care and service reliability by driving adoption of standardized patient experience practices and performance expectations. This role partners with hospital leadership, physicians, and frontline teams to strengthen communication, service behaviors, and accountability aligned with enterprise Vision and Values and HCAHPS performance standards. The Patient Experience Manager analyzes performance data, identifies improvement opportunities, and leads targeted initiatives that enhance patient satisfaction, reinforce service excellence, and support sustained operational results.  
**Essential Functions**
* Executes enterprise\-defined patient experience initiatives within the facility, ensuring alignment with organizational priorities and consistent application of standardized practices, tools, and protocols.
* Serves as the primary operational resource for hospital leadership and staff regarding patient experience standards, HCAHPS performance expectations, and Service High Reliability Organization (HRO) principles.
* Provides hands\-on coaching to department leaders, managers, and frontline staff to reinforce empathy, service excellence, accountability, and consistent implementation of patient\-centered behaviors.
* Partners with Education and Human Resources teams to align training programs, onboarding processes, and ongoing development efforts with enterprise\-defined patient experience standards.
* Leads onboarding and structured training sessions for leaders and staff to reinforce enterprise Vision, Values, and patient\-centered care expectations.
* Maintains systems and processes that ensure leaders and staff have access to patient experience data, tools, and resources necessary to support performance improvement efforts.
* Monitors and evaluates facility\-level patient experience metrics, identifies performance trends and gaps, and collaborates with hospital and regional leadership to implement targeted improvement actions.
* Develops and delivers professional presentations, dashboards, and reports to hospital leadership and interdisciplinary teams to promote transparency, accountability, and measurable improvement.
* Leads and actively participates in patient experience\-related performance improvement initiatives, including service recovery and quality improvement efforts, ensuring implementation and sustainment of approved practices.
* Guides hospital teams in applying enterprise\-approved improvement frameworks to address patient experience gaps and sustain performance gains.
* Performs other duties as assigned.
* Maintains regular and reliable attendance.
* Complies with all policies and standards.
 **Leadership Responsibilities/Qualifications**
* Bachelor's Degree in relevant field required or
* Four (4\) plus years of direct experience in lieu of a Bachelor's degree required
* Master's Degree preferred
* 2\-4 years of experience in closely related field with Bachelor's degree required
* 2\-4 years of previous leadership experience preferred
 **Knowledge, Skills and Abilities**
* Strong leadership, organizational, and communication skills.
* Ability to collaborate with interdisciplinary teams and manage cross\-functional relationships.
* Foster a positive work environment that promotes teamwork, professionalism, and continuous improvement.
* Communicate effectively with leadership, team members, and stakeholders.
* Ability to work effectively with others, delegate responsibilities, and independently manage tasks while meeting established deadlines.
* Problem\-solving and critical thinking skills.
* In depth knowledge of industry best practices and regulatory compliance (if applicable).
* Strong organizational and time management skills.
* Proficiency with Google and Microsoft platforms, healthcare software systems, and data analysis tools.
 **Licenses and Certifications**
* Current active licensure in a clinical discipline (e.g., Registered Nurse or equivalent healthcare credential) required
* Certified Patient Experience Professional (CPXP) obtained within 12 months of hire required
INDLEAD</t>
        </is>
      </c>
    </row>
    <row r="20">
      <c r="A20" t="inlineStr">
        <is>
          <t>in-d27041d0c33d3628</t>
        </is>
      </c>
      <c r="B20" t="inlineStr">
        <is>
          <t>Product Manager, Mobile Sales CRM</t>
        </is>
      </c>
      <c r="C20" t="inlineStr">
        <is>
          <t>Lennar</t>
        </is>
      </c>
      <c r="D20" t="inlineStr">
        <is>
          <t>indeed</t>
        </is>
      </c>
      <c r="E20" t="inlineStr"/>
      <c r="F20" t="inlineStr"/>
      <c r="G20" t="inlineStr">
        <is>
          <t>Irving, TX, US</t>
        </is>
      </c>
      <c r="H20" s="1" t="n">
        <v>46077</v>
      </c>
      <c r="I20"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As Product Manager for our Sales Mobile App, you’ll lead the development of innovative tools that empower our Sales Team to work smarter, engage homebuyers more effectively, and streamline the buying journey. You’ll be the voice of the user—deeply understanding their workflows and designing features that accelerate their success. You’ll shape a shared product vision with executives, define the metrics that matter, and relentlessly drive outcomes. This is a high\-impact role where you’ll unlock new capabilities for our team—leveraging cutting\-edge AI and thoughtful design to transform how homes are sold.* A career with purpose.
* A career built on making dreams come true.
* A career built on building zero defect homes, cost management, and adherence to schedules.
Your Responsibilities on the Team* Build and manage a mobile app experience for dynamic sales teams.
* Develop and maintain a comprehensive Sales CRM for NHCs to enhance their efficiency and customer engagement.
* Leverage innovative solutions to address challenges in the home\-buying process, especially for mobile associates.
* Collaborate with cross\-functional teams to define product vision, strategy, and roadmap.
* Gather and prioritize product and customer requirements.
* Ensure the product aligns with company goals and customer needs.
* Conduct market research and competitor analysis to stay ahead of industry trends.
* Utilize advanced knowledge of Salesforce Sales Cloud and CRM platforms to optimize product functionality.
* Work closely with sales teams to understand their needs and tailor CRM solutions accordingly.
* Test and validate new features and enhancements.
* Manage product lifecycle from concept to launch and continuous improvement.
Requirements* 2\+ years of Product Management experience.
* Product Management experience for web or mobile platforms, with a strong focus on UX/UI design and user\-centric solutions
* Strong knowledge of Salesforce Sales Cloud and CRM platforms.
* Deep domain expertise in product management strategy, tools, and methodologies.
* Strong analytical capabilities.
* Proven Product Management skills to prioritize tasks, test activations, manage team bandwidth, and deliverables.
* Experience working with sales teams.
* Experience in home selling or real estate is a plus.
* Excellent communication skills and executive presence.
* Effective presenter and collaborator.
* Strategic thinker with the ability to identify and resolve problems in a complex dynamic environment.
* Bachelor's degree required.
* Humble, hungry to make an impact, and proactive in taking initiative.
What is Product at Lennar like?* We believe in the lean startup philosophy \- it is important that we test and learn quickly to inform our product strategy/direction.
* You’ll report directly to our Director of Product and will work closely with other product managers to develop a vision for your specific product area.
* We believe in hiring smart and talented product managers and as a result you’ll have a good deal of autonomy to articulate ideas and features you think will add value to our users and business.
\#LI\-GQ1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21">
      <c r="A21" t="inlineStr">
        <is>
          <t>in-ee5bc5414058c45d</t>
        </is>
      </c>
      <c r="B21" t="inlineStr">
        <is>
          <t>Program Manager ePMO</t>
        </is>
      </c>
      <c r="C21" t="inlineStr">
        <is>
          <t>OhioHealth</t>
        </is>
      </c>
      <c r="D21" t="inlineStr">
        <is>
          <t>indeed</t>
        </is>
      </c>
      <c r="E21" t="inlineStr"/>
      <c r="F21" t="inlineStr"/>
      <c r="G21" t="inlineStr">
        <is>
          <t>Columbus, OH, US</t>
        </is>
      </c>
      <c r="H21" s="1" t="n">
        <v>46077</v>
      </c>
      <c r="I21" t="inlineStr">
        <is>
          <t>**We are more than a health system. We are a belief system.** We believe wellness and sickness are both part of a lifelong partnership, and that everyone could use an expert guide. We work hard, care deeply and reach further to help people uncover their own power to be healthy. We inspire hope. We learn, grow, and achieve more – in our careers and in our communities.
**Job Description Summary:**
The mission of the Enterprise Project Management Office is to support strategic, operational, and corporate initiatives at an enterprise scale using project management tools, methodologies, and expertise. Program Managers work closely with executives, business, care site, and operational leaders on large, complex, cross\-functional initiatives across OhioHealth in the areas of growth and expansion, new product introductions \&amp; software upgrades, continuous improvement, \&amp; cultural transformations. Program Managers leverage relationships within a heavily matrixed organization to ensure critical workstreams are appropriately resourced and interdependencies are managed successfully. Program Managers act as the voice of the sponsor, providing leadership, coordination, and guidance to cross\-functional workstreams. This role will also represent the EPMO across the organization and will be responsible for providing peer leadership, coaching, and mentoring for emerging project managers.
**Responsibilities And Duties:**
Manage multiple, complex projects/initiatives simultaneously while proactively identifying and managing stakeholders, validating business success factors, managing expectations, and ensuring communication channels are effective for all stakeholders. Develops project artifacts with workstream leaders and subject matter experts that include, but are not limited to charter, project scope, schedule, resource management, risk management, performance management, and stakeholder management. Promotes and leads the change management plan for all initiatives. Tailors the initiative using the appropriate project/program methodology and drives execution to plan. Works with peers and associated groups to maintain, and continuously improve the project management operating system. Establishes a steering committee as defined by the project charter to ensure decisions are addressed timely. Demonstrates strong executive presence and the ability to work with and influence leaders. Must maintain and demonstrate superior project management skills.
Supports Director, Enterprise PMO in creating a culture that embraces project management methodologies. Represents the PMO across the enterprise and takes an active role in promoting project management practices. Promotes a team atmosphere and regularly shares knowledge with others.  
As a High Reliability Organization (HRO), responsibilities require focus on safety, quality and efficiency in performing job duties.
The job profile provides an overview of responsibilities and duties and is not intended to be an exhaustive list and is subject to change at any time
**Minimum Qualifications:**
Master's Degree
**Additional Job Description:**
**MINIMUM QUALIFICATIONS**
Bachelor's degree required
Master’s degree preferred
Years of experience: 7  
**SPECIALIZED KNOWLEDGE**
Project management (PMP) certification required
Experience managing acute (hospital) or ambulatory care operations is required.
Kind and Length of Experience: 7\+ years’ progressive experience managing complex portfolios, projects, programs, business plans, or pro forma programs
**Work Shift:**
Day
**Scheduled Weekly Hours :**
40
**Department**
Enterprise Projmgmt Office
Join us!
... if your passion is to work in a caring environment
... if you believe that learning is a life\-long process
... if you strive for excellence and want to be among the best in the healthcare industry
Equal Employment Opportunity
OhioHealth is an equal opportunity employer and fully supports and maintains compliance with all state, federal, and local regulations. OhioHealth does not discriminate against associates or applicants because of race, color, genetic information, religion, sex, sexual orientation, gender identity or expression, age, ancestry, national origin, veteran status, military status, pregnancy, disability, marital status, familial status, or other characteristics protected by law. Equal employment is extended to all person in all aspects of the associate\-employer relationship including recruitment, hiring, training, promotion, transfer, compensation, discipline, reduction in staff, termination, assignment of benefits, and any other term or condition of employment</t>
        </is>
      </c>
    </row>
    <row r="22">
      <c r="A22" t="inlineStr">
        <is>
          <t>in-f6f632ee21f39ed4</t>
        </is>
      </c>
      <c r="B22" t="inlineStr">
        <is>
          <t>Product Manager</t>
        </is>
      </c>
      <c r="C22" t="inlineStr">
        <is>
          <t>Seaboard Foods</t>
        </is>
      </c>
      <c r="D22" t="inlineStr">
        <is>
          <t>indeed</t>
        </is>
      </c>
      <c r="E22" t="inlineStr"/>
      <c r="F22" t="inlineStr"/>
      <c r="G22" t="inlineStr">
        <is>
          <t>Merriam, KS, US</t>
        </is>
      </c>
      <c r="H22" s="1" t="n">
        <v>46077</v>
      </c>
      <c r="I22" t="inlineStr">
        <is>
          <t>**YOUR OPPORTUNITY**
We have an exciting Product Manager opportunity in our Merriam, KS office. The Product Manager is responsible for maximizing profits and throughput while minimizing costs for specific sales channels. This position will collaborate with sales, FSQA, analytics, scheduling, and operations to help identify an ideal product mix and put a plan together to execute that mix.
**ABOUT US**
At Seaboard Foods, we create the most sought\-after pork. A top U.S. pork producer/processor and leading exporter to 30\+ countries, we are committed to bringing excellence to the table, seeking a better way to produce wholesome pork and connect every step between our farms and family tables. More than 5,400 employees in five states work on our farms, feed mills, and processing plant to produce Prairie Fresh® pork, ensuring the well\-being of our animals, the environment, our employees, and the communities we call home. Our commitment to sustainability is reflected in our renewable gas projects on our farms creating renewable energy. Owned by Seaboard Corporation, a Fortune 500 company, and nominated as one of the “Best Places to Work” by Kansas City's Business Journal, we have a dynamic culture where our employees can contribute and understand why they matter.
**RESPONSIBILITIES**
* Build, maintain, and manage break\-even models to assist the Pricing Manager with establishing position targets.
* Work with the sales group throughout daily activities to manage sold positions and pricing.
* Participate in weekly market forecast meetings.
* Work with sales in evaluating and establishing frozen positions for selecting product items and develop timing for establishing frozen positions.
* Work with the analytics department to develop and manage Production Realization reporting for select items.
* Travel to the plants to identify opportunities within operations to save resources.
* Review and submit all new code requests for their assigned channels.
* Become the resident expert on their sales channel needs and profitability.
**CORE COMPETENCIES FOR SUCCESS IN ALL ROLES:** *instills trust, communicates effectively, action\-oriented, ensures accountability, and drives results.*
**QUALIFICATIONS**
**Required:**
* **An understanding and familiarity with protein/commodity markets**
* **An understanding and familiarity with customers and sales tactics**
* **An understanding of cost models for animal protein products, pork items being a preference**
* **Familiarity with pork slaughter and fabrication facilities, processes, equipment, and cuts**
**Preferred:**
* **Minimum of 5 years' experience in an animal protein product management, sales, or equivalent role**
* **Bachelor's degree in business, agriculture, or related field.**
**WORK ENVIRONMENT**
*The physical and work demands listed here represent those an employee should possess to successfully perform the job's essential functions. Reasonable accommodation may be made to enable individuals with disabilities to perform essential functions.*
* Primarily an office environment with some need to work in the field.
* The hours and days of work are established by departmental needs and at the discretion of management. After\-hours, weekends, and overnight travel as requested.
**WHY SEABOARD FOODS?**
* Medical, vision \&amp; dental benefits upon hire
* 401K with company match
* Paid Time Off \&amp; Company Holidays
* Wellness Program
* Tuition reimbursement
* Employee pork purchase program
**For a complete list of our benefits please visit our career site:** https://www.seaboardfoods.com/careers/why\-sbf/
*Seaboard Foods is an equal opportunity employer. All qualified applicants will receive consideration for employment without regard to race, color, religion, gender, sexual orientation, national origin, age, gender identity, protected veterans' status, status as a disabled individual, or any other status protected by law.*</t>
        </is>
      </c>
    </row>
    <row r="23">
      <c r="A23" t="inlineStr">
        <is>
          <t>in-c2662fdcf64a4303</t>
        </is>
      </c>
      <c r="B23" t="inlineStr">
        <is>
          <t>Health Insurance Product Manager (Product Development/Product Management Consultant IV)</t>
        </is>
      </c>
      <c r="C23" t="inlineStr">
        <is>
          <t>Kaiser Permanente</t>
        </is>
      </c>
      <c r="D23" t="inlineStr">
        <is>
          <t>indeed</t>
        </is>
      </c>
      <c r="E23" t="inlineStr"/>
      <c r="F23" t="inlineStr"/>
      <c r="G23" t="inlineStr">
        <is>
          <t>Hyattsville, MD, US</t>
        </is>
      </c>
      <c r="H23" s="1" t="n">
        <v>46076</v>
      </c>
      <c r="I23" t="inlineStr">
        <is>
          <t>PLEASE NOTE SALARY RANGE WILL VARY BASED ON CANDIDATES GEOGRAPHIC LOCATION
The Health Insurance Product Manager will work across teams within Kaiser Permanente to ensure the Mid\-Atlantic regional commercial health insurance and ancillary product portfolio is competitive in the market and meets performance objectives. Health Insurance Product Managers may manage a specific customer segment (business line) portfolio, lead initiatives to enhance existing insurance product types, and/or develop new insurance or benefit offerings.
**Job Summary:**
Participates in the development of a product strategy and helps support the ideation process. Gathers and analyzes data to develop data\-driven insights to understand market conditions, trends, and develop and monitoring success criteria to evaluate products throughout its lifecycle. Ensures metrics are developed and product dashboards are maintained as identified by the leadership team. Conducts regional feasibility with functional partners for a focused set of products or LOBs and develops the recommendations of products or portfolios under leadership guidance and garners executive alignment through data, analysis, and presentations. Updates specific pieces of collateral, manages service recovery and issues resolution, oversees content and response gathering to sales and account management questions, and consulting and sharing product subject matter expertise. Recommends content for business\-case development initiatives. Evaluates benefits/plans to meet regulatory and internal/external benefit administration needs. Creates product/benefit requirements that incorporate line of business, regional, organizational, product strategy, customer needs, regulations/standards and operational requirements. Manages a less complex implementation or workstream with supervision by leveraging expertise to ensure project and product lifecycle, executes simple product changes, and ensures they are completed accurately and in a timely manner. Enables alignment and buy in to create to create and/or modify products and product enhancements according to predefined strategy for a given business area, ensuring benefits and policies meet all regulatory requirements, and developing, maintaining, and creating training content with supervision. Leverages an advanced understanding and experience of product policy, end\-to\-end product administration, and content area knowledge working with Underwriting, Actuarial Services, Regulatory, and Benefits.
 **Essential Responsibilities:*** Promotes learning in others by proactively providing and/or developing information, resources, advice, and expertise with coworkers and members; builds relationships with cross\-functional/external stakeholders and customers. Listens to, seeks, and addresses performance feedback; proactively provides actionable feedback to others and to managers. Pursues self\-development; creates and executes plans to capitalize on strengths and develop weaknesses; leads by influencing others through technical explanations and examples and provides options and recommendations. Adopts new responsibilities; adapts to and learns from change, challenges, and feedback; demonstrates flexibility in approaches to work; champions change and helps others adapt to new tasks and processes. Facilitates team collaboration to support a business outcome.
* Completes work assignments autonomously and supports business\-specific projects by applying expertise in subject area and business knowledge to generate creative solutions; encourages team members to adapt to and follow all procedures and policies. Collaborates cross\-functionally and/or externally to achieve effective business decisions; provides recommendations and solves complex problems; escalates high\-priority issues or risks, as appropriate; monitors progress and results. Supports the development of work plans to meet business priorities and deadlines; identifies resources to accomplish priorities and deadlines. Identifies, speaks up, and capitalizes on improvement opportunities across teams; uses influence to guide others and engages stakeholders to achieve appropriate solutions.
* Participates in business\-case development by: recommending content for initiatives.
* Facilitates market engagement by: updating specific pieces of collateral; managing service recovery and issues resolution; overseeing content and response gathering to sales and account management questions; and consulting and sharing product subject matter expertise.
* Contributes to product implementation or program management by: managing a less complex implementation or workstream with supervision by leveraging expertise to ensure project and product lifecycle, executing simple product changes, and ensuring they are completed accurately and in a timely manner.
* Facilitates product portfolio feasibility and development by: conducting regional feasibility with functional partners for a focused set of products or lines of business (LOBs); and developing the recommendations of products or portfolios under leadership guidance and garnering executive alignment through data, analysis, and presentations.
* Facilitates product portfolio performance and competitive analysis by: gathering and analyzing data (e.g., financials, claims, membership, appeals) to develop data\-driven insights to understand market conditions, trends, and develop and monitoring success criteria to evaluate products throughout its lifecycle; and ensuring metrics are developed and product dashboards are maintained as identified by the leadership team.
* Facilitating product requirement development by: evaluating benefits/plans to meet regulatory and internal/external benefit administration needs; and creating product/benefit requirements that incorporate LOB, regional, organizational, product strategy, customer needs, regulations/standards, and operational requirements.
* Applies product knowledge by: leveraging an advanced understanding and experience of product policy, end\-to\-end product administration, and content area knowledge working with Underwriting, Actuarial Services, Regulatory, and Benefits.
* Facilitating product training and change management by: enabling alignment and buy\-in to create and/or modify products and product enhancements according to predefined strategy for a given business area, ensuring benefits and policies meet all regulatory requirements (e.g., state and federal), and developing, maintaining, and creating training content with supervision.
* Facilitates team management by: managing a matrixed team for one or two markets, LOBs, product, portfolio, workstream, or initiatives.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Applied Data Analysis
* Business Acumen
* Business Relationship Management
* Client and Domain Knowledge
* Conflict Resolution
* External Health Care Compliance
* Managing Diverse Relationships
* Market Analysis
* Product Development Life Cycle
* Product Performance
* Project Management
* Project Management Tools
* Quality Assurance Process
* Risk Assessment
* Service Focus
* Strategic Program Management
* Time Management
**Minimum Qualifications:**  
* Bachelors degree from an accredited college or university AND minimum five (5\) years of experience in health care, product development and management, strategy development and execution, finance, sales and account management, marketing, consulting, benefits, program management, or a directly related field OR minimum eight (8\) years of experience in health care, product development and management, strategy development and execution, finance, sales and account management, marketing, consulting, benefits, program management, or a directly related field.
 **Preferred Qualifications:*** Eight (8\) years of experience in health care insurance, health plan administration, benefit administration, benefit policy, or a directly related field.
* Master's Degree in Business, Economics, Finance, Marketing, Strategy, Health Care Administration, or related field.
PrimaryLocation : Maryland,Hyattsville,New Carrollton Administration  
HoursPerWeek : 40  
Shift : Day  
Workdays : Mon, Tue, Wed, Thu, Fri  
WorkingHoursStart : 09:00 AM  
WorkingHoursEnd : 05:00 PM  
Job Schedule : Full\-time  
Job Type : Standard  
Employee Status : Regular  
Employee Group/Union Affiliation : NUE\-PO\-01\|NUE\|Non Union Employee  
Job Level : Individual Contributor  
Job Category : Strategic Planning \&amp; Business Development  
Department : Po/Ho Corp \- National Product Solutions \- 7016  
Travel : Yes, 5 % of the Time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is>
      </c>
    </row>
    <row r="24">
      <c r="A24" t="inlineStr">
        <is>
          <t>in-799f55110ea5c40b</t>
        </is>
      </c>
      <c r="B24" t="inlineStr">
        <is>
          <t>Senior Technical Program Manager</t>
        </is>
      </c>
      <c r="C24" t="inlineStr">
        <is>
          <t>Microsoft</t>
        </is>
      </c>
      <c r="D24" t="inlineStr">
        <is>
          <t>indeed</t>
        </is>
      </c>
      <c r="E24" t="inlineStr"/>
      <c r="F24" t="inlineStr"/>
      <c r="G24" t="inlineStr">
        <is>
          <t>Redmond, WA, US</t>
        </is>
      </c>
      <c r="H24" s="1" t="n">
        <v>46076</v>
      </c>
      <c r="I24" t="inlineStr">
        <is>
          <t>**Overview**  
Microsoft Hardware and Infrastructure Fundamentals Engineering (HIFE) is the team that owns and delivers on all aspects related to Cloud Manufacturing for Microsoft’s Azure Cloud. The organization is responsible from end to end manufacturing quality and infrastructure – which means supporting and resolving issues for incoming hardware, deployment and sustenance of the fleet.
Our focus is on smart growth, high efficiency, and delivering a trusted experience to customers and partners worldwide and we are looking for a passionate **Senior Technical Program Manager** to help achieve that mission.
 **Responsibilities**  
* Owning/executing critical hardware remediations along the end\-to\-end hardware manufacturing spectrum working with stakeholders from supply chain, DC operations, capacity management and engineering groups.
* Ability to influence partners, make key decisions pertaining to hardware quality escapes and develop a systematic mitigation plan to resolve quality issues.
* Identifying opportunities and tools that allow a reduction of manual work and automate process workflows including prior work with agentic AI.
* Ability to perform cost/time/risk tradeoff analysis while being customer centric and budget conscious.
* Partner with leadership and teams to create an inclusive environment that attracts and retains engineers.
* Conduct in\-depth data analysis to help derive insights and drive business decisions.
**Qualifications**  
Required:
* Doctorate Degree in Mechanical Engineering, Materials Engineering, Reliability Engineering, Electrical Engineering, or related field AND 2\+ years technical engineering experience OR Master's Degree in Mechanical Engineering, Materials Engineering, Reliability Engineering, Electrical Engineering, or related field AND 4\+ years technical engineering experience OR Bachelor's Degree in Mechanical Engineering, Materials Engineering, Reliability Engineering, Electrical Engineering, or related field AND 5\+ years technical engineering experience OR 12\+ years relevant technical engineering experience.
Ability to meet Microsoft, customer and/or government security screening requirements are required for this role. These requirements include,but are not limited to the following specialized security screenings: Microsoft Cloud Background Check: This position will be required to pass the Microsoft Cloud Background Check upon hire/transfer and every two years thereafter.
Preferred:
* 7 \- 10\+ years in the server hardware industry.
* Working knowledge of disciplines across data center and server/rack hardware quality.
* Ability to work on issues that span geos and provide clear/aligned communication to stakeholders.
* Ability to write/run Kusto/SQL queries.
* Knowledge of Power BI.
* Experience working in the end\-to\-end server hardware quality space from system integrators to data center operations.
* Experience with hardware, firmware, software interfaces across all modules in a system.
\#azurehwjobs \#SCHIE \#HIFE
Reliability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5">
      <c r="A25" t="inlineStr">
        <is>
          <t>in-c9b6544c4ebae5dc</t>
        </is>
      </c>
      <c r="B25" t="inlineStr">
        <is>
          <t>Licensed Professional Mental Health Counselor (Program Manager) - Vet Center Director</t>
        </is>
      </c>
      <c r="C25" t="inlineStr">
        <is>
          <t>US Department of Veterans Affairs</t>
        </is>
      </c>
      <c r="D25" t="inlineStr">
        <is>
          <t>indeed</t>
        </is>
      </c>
      <c r="E25" t="inlineStr"/>
      <c r="F25" t="inlineStr"/>
      <c r="G25" t="inlineStr">
        <is>
          <t>Danbury, CT, US</t>
        </is>
      </c>
      <c r="H25" s="1" t="n">
        <v>46076</v>
      </c>
      <c r="I25" t="inlineStr">
        <is>
          <t>**Summary**
-----------
This position is eligible for **the Education Debt Reduction Program (EDRP),** a student loan payment reimbursement program. You must meet specific eligibility requirements per VHA policy and submit your EDRP application within four months of appointment. *Program Approval, award amount (up to $200,000\) \&amp; eligibility period (one to five years) are determined by the VHA Education Loan Repayment Services program office after review of the EDRP application. Former EDRP participants ineligible to apply.*
**This job is open to**
-----------------------
### **The public**
U.S. Citizens, Nationals or those who owe allegiance to the U.S.
### **Federal employees \- Competitive service**
Current federal employees whose agencies follow the U.S. Office of Personnel Management's hiring rules and pay scales.
### **Federal employees \- Excepted service**
Current federal employees whose agencies have their own hiring rules, pay scales and evaluation criteria.
### **Internal to an agency**
Current federal employees of the hiring agency that posted the job announcement.
### **Clarification from the agency**
First area of consideration \- current, permanent RCS employees. Second area of consideration \- current, permanent VHA employees. Third area of consideration \- all other qualified applicants. NOTE: The 2\-page Resume requirement does not apply to this position. For more information, refer to Required Documents below.
**Duties**
----------
Serves as a Licensed Professional Mental Health Counselor Program Manager, RCS Vet Center Director (VCD) and is responsible for the professional and administrative supervision and oversight of all readjustment counseling, outreach, referrals and follow\-up care coordination services provided to eligible individuals within the designated Vet Center Service Area (VSA).
* The VCD supervises both professional and nonprofessional staff including multi\-disciplinary team of mental health professionals of various performance levels who work in multiple locations (Vet Centers, Vet Center Outstations and Community Access Points) and in communities distant from the Vet Center through planned outreach, often in conjunction with a Mobile Vet Center
* Administrative and outreach staff service functions are also the responsibility of the VCD
* The LPMHC Program Manager VCD oversees the fiscal, contractual, and operational obligations of the community\-based Vet Center
* Leads the coordination and briefing during meetings with Congressional representatives and their staff
* VCD takes the lead in planning, establishing and implementing Vet Center policies and procedures, developing staff goals and objectives, monitoring, coordinating and evaluating the work of all Vet Center staff, including social workers, other Hybrid Title 38 Mental Health professionals, Title 5 Readjustment counselors, outreach workers and office Managers
* Provides direct readjustment counseling services within and outside of the Vet Center to include in\-person and virtual services
* Perform other duties as assigned
**Work Schedule**: Monday\-Friday; 8:00am \- 4:30pm; Some nights and weekends may be required.  
**Telework**: Ad hoc  
**Virtual:** This is not a virtual position.  
**Functional Statement \#**: PD50586A  
**Relocation/Recruitment Incentives**: Not Authorized  
**EDRP Authorized:** *Former EDRP participants ineligible to apply for incentive.*Contact VHA.ELRSProgramSupport@va.gov, the EDRP Coordinator for questions/assistance. Learn more  
**Permanent Change of Station (PCS):** Not Authorized  
**NOTE: Readjustment Counselors are multi\-disciplinary and can be filled by: Social Worker, Psychologist, Licensed Professional Mental Health Counselor, and Marriage \&amp; Family Therapist. Each discipline is announced separately, and applicants must apply to the announcement for which they are qualified.**
**Requirements**
----------------
### **Conditions of employment**
* You must be a U.S. Citizen to apply for this job.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Hold a master's or doctoral degree in: Clinical Mental Health Counseling; Clinical Rehabilitation Counseling; Clinical Mental Health Counseling and Clinical Rehabilitation Counseling; or a related field, from a program accredited by the Council on Accreditation of Counseling and Related Educational Programs (CACREP). Examples of related mental health counseling fields include, but are not limited to Addiction Counseling; Community Counseling; Gerontology Counseling; Marital, Couple, and Family Counseling. CACREP defines the date when graduates are considered to have graduated from a CACREP accredited program. Additional information may be obtained from http://www.cacrep.org/directory/. NOTE: Traditional Rehabilitation counseling programs that are accredited by CACREP do not meet the LPMHC qualification standards as Traditional Rehabilitation counseling differs from Clinical Rehabilitation counseling.
* **Licensure.** Persons hired or reassigned to LPMHC positions in the GS\-0183 series in VHA must hold a full, current, and unrestricted license to independently practice as a Licensed Professional Mental Health Counselor, which includes diagnosis and treatment. NOTE: It is VHA policy that a LPMHC who does not yet have a license that allows independent practice must be supervised by a licensed independent practitioner of the same discipline who is a VA staff member and who has access to the electronic health record.
* **English Language Proficiency:** Candidates must be proficient in spoken and written English to be appointed as authorized by 38 U.S.C. 7403(f).
**Grade Determinations**: In addition to the basic requirements for employment, the following criteria must be met when determining the grade of candidates:  
**Licensed Professional Mental Health Counselor (Program Manager), GS\-13**  
**Experience, Education and Licensure.** In addition to the basic requirements, candidates must have at least one year of progressively complex experience equivalent to the GS\-12 grade level. The experience must demonstrate possession of advanced practice skills and judgment, demonstrating progressively more professional competency.  
**Demonstrated Knowledge, Skills, and Abilities.** In addition to meeting the KSAs for the GS\-12 grade level, the candidate must demonstrate the KSAs below:
* Ability to make judgments and decisions associated with program management.
* Ability to monitor program outcomes using data driven quality assurance process.
* Ability to develop productivity standards appropriate to each service provided.
* Ability to manage a wide range of programs which include the operation and management of key clinical, training or administrative programs.
**Reference:** VA Qualifications Standards  
The full performance level of this vacancy is GS\-13  
**Physical Requirements:** The work does not inherently include physical requirements essential for successful job performance that could not otherwise be performed with a workplace accommodation. A pre\-placement exam is not required.
### **Education**
**IMPORTANT:** A transcript must be submitted with your application.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Additional Resume/CV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Additional Resume/CV
* Performance Appraisal
* Professional Certification
* Resume
* Separation Notice (RIF)
* SF\-15
* SF\-50/ Notification of Personnel Action
*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Veterans' preference does not apply for internal or other current permanent Federal agency employees.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03/05/2026 to receive consideration. To preview the questionnaire click https://apply.usastaffing.gov/ViewQuestionnaire/12883785\.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VHA National Recruitment Center
Phone
(844\)456\-5208
Email
VHANationalRecruitmentCenter@va.gov
Address
*Readjustment Counseling Service*  
*120 SE 6th Avenue, Ste. 102*  
*Topeka, KS 66603*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02/24/2026 to 03/05/2026
Salary
$125,431 to \- $163,062 per year
Pay scale \&amp; grade
GS 13
Location
Danbury, CT
1 vacancy
Remote job
No
Telework eligible
Yes—Ad hoc
Travel Required
25% or less \- You may be expected to travel for this position.
Relocation expenses reimbursed
No
Appointment type
Permanent
Work schedule
Full\-time
Service
Excepted
Promotion potential
None
Job family (Series)
* 0183 Licensed Professional Mental Health Counselor
Supervisory status
Yes
Security clearance
Other
Drug test
No
Position sensitivity and risk
Moderate Risk (MR)
Trust determination process
* Credentialing
* Suitability/Fitness
Financial disclosure
No
Bargaining unit status
No
Announcement number
CBZY\-12883785\-26\-MEK
Control number
858796200</t>
        </is>
      </c>
    </row>
    <row r="26">
      <c r="A26" t="inlineStr">
        <is>
          <t>in-ac1593a60949a828</t>
        </is>
      </c>
      <c r="B26" t="inlineStr">
        <is>
          <t>Marriage and Family Therapist (Program Manager) - Vet Center Director</t>
        </is>
      </c>
      <c r="C26" t="inlineStr">
        <is>
          <t>US Department of Veterans Affairs</t>
        </is>
      </c>
      <c r="D26" t="inlineStr">
        <is>
          <t>indeed</t>
        </is>
      </c>
      <c r="E26" t="inlineStr"/>
      <c r="F26" t="inlineStr"/>
      <c r="G26" t="inlineStr">
        <is>
          <t>Danbury, CT, US</t>
        </is>
      </c>
      <c r="H26" s="1" t="n">
        <v>46076</v>
      </c>
      <c r="I26" t="inlineStr">
        <is>
          <t>**Summary**
-----------
This position is eligible for **the Education Debt Reduction Program (EDRP),** a student loan payment reimbursement program. You must meet specific eligibility requirements per VHA policy and submit your EDRP application within four months of appointment. *Program Approval, award amount (up to $200,000\) \&amp; eligibility period (one to five years) are determined by the VHA Education Loan Repayment Services program office after review of the EDRP application. Former EDRP participants ineligible to apply.*
**This job is open to**
-----------------------
### **The public**
U.S. Citizens, Nationals or those who owe allegiance to the U.S.
### **Federal employees \- Competitive service**
Current federal employees whose agencies follow the U.S. Office of Personnel Management's hiring rules and pay scales.
### **Federal employees \- Excepted service**
Current federal employees whose agencies have their own hiring rules, pay scales and evaluation criteria.
### **Internal to an agency**
Current federal employees of the hiring agency that posted the job announcement.
### **Clarification from the agency**
NOTE: The 2\-page Resume requirement does not apply to this position. For more information, refer to Required Documents below. First area of consideration \- current, permanent RCS employees. Second area of consideration \- current, permanent VHA employees. Third area of consideration \- all other qualified applicants.
**Duties**
----------
Duties of the Supervisory Marriage and Family Therapist (MFT) Program Manager and licensed professional with advance practical experience using evidence based family therapy model while demonstrating progressive professional competency and expertise include but are not limited to:
* Supervising a multidisciplinary staff composed of clinical and administrative team members, whose primary mission is to provide direct readjustment counseling to eligible individuals in the areas of suicide prevention, crisis intervention, short\- and long\-term treatment for symptoms associated with Post\-Traumatic Stress Disorder, and readjustment issues;
* Planning, developing, implementing, coordinating, monitoring, and evaluating professional services rendered by subordinates;
* Setting guidelines and establishing intervention strategies/treatment priorities for individual, group, conjoint and families employing varying clinical and therapeutic modalities;
* Conducting Performance Based Interviews (PBI) and determining selection processes to ensure fair and equitable recruitment of qualified, high achieving, and well prepared applicants;
* Developing networks and working relationships external to the St. Louis Vet Center Director and the Department of Veteran Affairs with Veteran service organizations, community based agencies, and mental health organizations to enhance service delivery and develop referrals of Veteran clients to appropriate care;
* Serving as a consultant and subject matter expert to programs and resources external to the Vet Center on matters of readjustment needs of Veterans;
* Creating, implementing, and measuring market penetration of Vet Center services through a comprehensive outreach plan for the primary service area;
* Ensuring fiscal/budget management, in compliance with applicable RCS and VHA policies and procedures as an approving official for time \&amp; attendance reports, leases/contracts management, staff local travel, Government Purchase Card (GPC) purchases, etc.; and
* Screening/assessing of Veteran clients, treatment planning and goal setting, referral to service providers, development of a resource file, Veteran advocacy, crisis intervention, education/health promotion, coordination of non\-institutional and institutional services, and individual/group counseling.
* Perform other duties as assigned.
**Work Schedule**: Monday\-Friday; 8:00am \- 4:30pm; Some nights and weekends may be required.  
**Telework**: Ad hoc  
**Virtual:** This is not a virtual position.  
**Functional Statement \#**: PD78047A  
**Relocation/Recruitment Incentives**: Not Authorized  
**EDRP Authorized:** *Former EDRP participants ineligible to apply for incentive.*Contact VHA.ELRSProgramSupport@va.gov, the EDRP Coordinator for questions/assistance. Learn more  
**Permanent Change of Station (PCS):** Not Authorized  
**NOTE: Readjustment Counselors are multi\-disciplinary and can be filled by: Social Worker, Psychologist, Licensed Professional Mental Health Counselor, and Marriage \&amp; Family Therapist. Each discipline is announced separately, and applicants must apply to the announcement for which they are qualified.**
**Requirements**
----------------
### **Conditions of employment**
* You must be a U.S. Citizen to apply for this job.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Candidates must meet one of the following:
	+ (1\) Hold a master's degree or doctoral degree in marriage and family therapy from a program approved by COAMFTE,
	+ (2\) Hold a master's degree or doctoral degree in marriage and family therapy from a MFT program from a regionally accredited institution, OR,
	+ (3\) Hold a master's degree or doctoral degree in a comparable mental health degree(Licensed Professional Mental Health Counselor, Social Work, Psychiatric Nursing, Psychology, and Psychiatry) that meets the current VA qualification standard of that profession.
* **Licensure:** Persons hired or reassigned to MFT positions in the GS\-0182 series in VHA must hold a full, current, and unrestricted MFT license to independently practice marriage and family therapy in a State.
* **English Language Proficiency:** MFTs must be proficient in spoken and written English in accordance with VA Handbook 5005, Part II, Chapter 3, Section A, paragraph 3j.
**Grade Determinations**: In addition to the basic requirements for employment, the following criteria must be met when determining the grade of candidates.  
**Marriage and Family Therapist (Program Manager), GS\-13**  
**Experience, Education and Licensure.** In addition to the basic requirements, candidates must have at least one year of progressively complex experience equivalent to the GS\-12 grade level which demonstrates knowledge, skills, and abilities that are directly related to the specific assignment. MFT Program Manager must have graduated from a COAMFTE approved program OR have passed the AMFTRB examination. MFT Program Manager must have five years of post\- licensed clinical experience in family systems theory/therapy and must demonstrate possession of advanced practice skills and judgment, demonstrating progressive professional competency and expertise. **MFT Program Manager must have an AAMFT Approved Supervisor credential.**  
**Demonstrated KSAs.** In addition to the experience above, candidates must demonstrate all of the following Knowledge, Skills, and Abilities (KSAs):
* Skill in assessing qualifications and abilities of current and prospective employees to include staff performance evaluation and may include evaluations of lower level assignments and support staff.
* Ability to facilitate professional development of other MFTs across programs/or locations (i.e. CBOC, outpatient clinics, etc.) and guide them in current practice guidelines.
* Ability to collaborate with leaders of other disciplines within facilities, the community, VISN, and VACO.
* Skill in managing and directing the work of others to accomplish program goals and objectives, reporting requirements and the ability to devise ways to adapt work operations to new and changing programs, staffing and budget requirements. This includes knowledge of VA policy and procedures as well as fair, principled and decisive leadership practices.
* Ability to analyze organizational and operational problems and to develop and implement solutions that result in sound operation of the program.
* Ability to clinically supervise in areas related to the provision of marital and family therapy services to accomplish organizational goals and objectives
**Reference:** VA Qualifications Standards  
**Physical Requirements:** The work does not inherently include physical requirements essential for successful job performance that could not otherwise be performed with a workplace accommodation.
### **Education**
**IMPORTANT:** A transcript must be submitted with your application.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Proof of AAMFT Supervision Designation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Proof of AAMFT Supervision Designation
* Additional Resume/CV
* Performance Appraisal
* Professional Certification
* Resume
* Separation Notice (RIF)
* SF\-15
* SF\-50/ Notification of Personnel Action
*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Veterans' preference does not apply for internal or other current permanent Federal agency employees.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03/05/2026 to receive consideration. To preview the questionnaire click https://apply.usastaffing.gov/ViewQuestionnaire/12883784\.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VHA National Recruitment Center
Phone
(844\)456\-5208
Email
VHANationalRecruitmentCenter@va.gov
Address
*Readjustment Counseling Service*  
*120 SE 6th Avenue, Ste. 102*  
*Topeka, KS 66603*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02/24/2026 to 03/05/2026
Salary
$125,431 to \- $163,062 per year
Pay scale \&amp; grade
GS 13
Location
Danbury, CT
1 vacancy
Remote job
No
Telework eligible
Yes—Ad hoc
Travel Required
25% or less \- You may be expected to travel for this position.
Relocation expenses reimbursed
No
Appointment type
Permanent
Work schedule
Full\-time
Service
Excepted
Promotion potential
None
Job family (Series)
* 0182 Marriage and Family Therapist
Supervisory status
Yes
Security clearance
Other
Drug test
No
Position sensitivity and risk
Moderate Risk (MR)
Trust determination process
* Credentialing
* Suitability/Fitness
Financial disclosure
No
Bargaining unit status
No
Announcement number
CBZY\-12883784\-26\-MEK
Control number
858795400</t>
        </is>
      </c>
    </row>
    <row r="27">
      <c r="A27" t="inlineStr">
        <is>
          <t>in-7d3bdba8a69a9c37</t>
        </is>
      </c>
      <c r="B27" t="inlineStr">
        <is>
          <t>Psychology Program Manager - Vet Center Director</t>
        </is>
      </c>
      <c r="C27" t="inlineStr">
        <is>
          <t>US Department of Veterans Affairs</t>
        </is>
      </c>
      <c r="D27" t="inlineStr">
        <is>
          <t>indeed</t>
        </is>
      </c>
      <c r="E27" t="inlineStr"/>
      <c r="F27" t="inlineStr"/>
      <c r="G27" t="inlineStr">
        <is>
          <t>Danbury, CT, US</t>
        </is>
      </c>
      <c r="H27" s="1" t="n">
        <v>46076</v>
      </c>
      <c r="I27" t="inlineStr">
        <is>
          <t>**Summary**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**This job is open to**
-----------------------
### **The public**
U.S. Citizens, Nationals or those who owe allegiance to the U.S.
### **Federal employees \- Competitive service**
Current federal employees whose agencies follow the U.S. Office of Personnel Management's hiring rules and pay scales.
### **Federal employees \- Excepted service**
Current federal employees whose agencies have their own hiring rules, pay scales and evaluation criteria.
### **Internal to an agency**
Current federal employees of the hiring agency that posted the job announcement.
### **Clarification from the agency**
First area of consideration \- current, permanent RCS employees. Second area of consideration \- current, permanent VHA employees. Third area of consideration \- all other qualified applicants. \#1 NOTE : Due to a critical staffing shortage, 38 U.S.C. § 7412 waives the requirement to apply Veterans' preference for this job announcement. \#2 NOTE: The 2\-page Resume requirement does not apply to this occupational series. For more information, refer to Required Documents below.
**Duties**
----------
**VA Careers \- Psychologist:** https://youtube.com/embed/77qHlLw9Xck  
Total Rewards of a Allied Health Professional  
Serves as a Supervisory Psychologist RCS Vet Center Director (VCD) and is responsible for the professional and administrative supervision and oversight of all readjustment counseling, outreach, referrals and follow\-up care coordination services provided to eligible individuals within the designated Vet Center Service Area (VSA).
* The VCD supervises both professional and nonprofessional staff including a multi\-disciplinary team of mental health professionals of various performance levels who work in multiple locations (Vet Centers, Vet Center Outstations and Community Access Points) and in communities distant from the Vet Center through planned outreach, often in conjunction with a Mobile Vet Center.
* Responsible for Administrative and outreach staff service functions
* Responsible for the Vet Center's resource and fiscal management, monitoring control points, developing the annual budget, operating within that budget and accounting for appropriated funds
* Leads the coordination and briefing during meetings with Congressional representatives and their staff.
* Lead in planning, establishing and implementing Vet Center policies and procedures, developing staff goals and objectives, and monitoring, coordinating and evaluating the work of all Vet Center staff, including social workers, other Hybrid Title 38 Mental Health Professionals recognized as licensed independent practitioners, Title 5 Readjustment Counselors, outreach workers and program support assistants.
* Provides direct readjustment counseling services within and outside of the Vet Center to include in\-person and virtual services based on client preference, within the parameters of all current VHA directives, state licensure standards and VA OIG expectations.
* Responsible for professional assessment and specialized service planning to address the most complex readjustment problems presented by eligible clients within the Vet Center setting Service provision to such cases requires the incumbent to incorporate complex multiple causation in differential diagnosis and treatment perspectives into the development of the service plan
* Performs other duties as assigned.
**Work Schedule**: Monday\-Friday, 8:00a\-4:30p. Some evenings and weekends required based on the needs of the Vet Center.  
**Recruitment Incentive (Sign\-on Bonus):** Not authorized  
**Permanent Change of Station (Relocation Assistance):** Not Authorized  
**EDRP Authorized:** *Former EDRP participants ineligible to apply for incentive.* Contact VHA.ELRSProgramSupport@va.gov, the EDRP Coordinator for questions/assistance. Learn more  
**Pay:** Competitive salary and regular salary increases. When setting pay, a higher step rate of the appropriate grade may be determined after consideration of higher or unique qualifications or special needs of the VA (Above Minimum Rate of the Grade).**Paid Time Off:** 37\-50 days of annual paid time offer per year (13\-26 days of annual leave, 13 days of sick leave, 11 paid Federal holidays per year)Selected applicants may qualify for credit toward annual leave accrual, based on prior \[work experience] or military service experience.  
**Parental Leave:** After 12 months of employment, up to 12 weeks of paid parental leave in connection with the birth, adoption, or foster care placement of a child.  
**Child Care Subsidy:** After 60 days of employment, full time employees with a total family income below $144,000 may be eligible for a childcare subsidy up to 25% of total eligible childcare costs for eligible children up to the monthly maximum of $416\.66**.**  
**Retirement:** Traditional federal pension (5 years vesting) and federal 401K with up to 5% in contributions by VA  
**Insurance:** Federal health/vision/dental/term life/long\-term care (many federal insurance programs can be carried into retirement)  
**Telework**: Ad hoc  
**Virtual:** This is not a virtual position.  
**Functional Statement \#**: 34121A  
**NOTE: Readjustment Counselors are multi\-disciplinary and can be filled by: Social Worker, Psychologist, Licensed Professional Mental Health Counselor, and Marriage \&amp; Family Therapist. Each discipline is announced separately, and applicants must apply to the announcement for which they are qualified.**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 (1\) Have a doctoral degree in psychology from a graduate program in psychology accredited by the American Psychological Association (APA), the Psychological Clinical Science Accreditation System (PCSAS), or the Canadian Psychological Association (CPA) at the time the program was completed. The specialty area of the degree must be consistent with the assignment for which the applicant is to be employed. For the purpose of meeting this requirement, the term "specialty area" refers to the specific specialty areas recognized by the accrediting body and not to specific job duties that might require special skills. Currently, APA accredits doctoral programs in the specialty areas of clinical psychology, counseling psychology, school psychology, or combinations of two or more of those areas. PCSAS accredits doctoral programs in psychological clinical science. CPA accredits doctoral programs in clinical psychology, counseling psychology, clinical neuropsychology, and school psychology. There are no job assignments in VHA that require the skills of a school psychologist; therefore, an applicant with a degree in the specialty area of school psychology is not eligible for appointment. Strictly for the purpose of determining eligibility for appointment as a psychologist in VHA, there is no distinction between the specialty areas (with the exception of school psychology).
OR
* (2\) Have a doctoral degree in any area of psychology and, in addition, successfully complete a re specialization program (including documentation of an approved internship completed as part of the re specialization program) meeting both of the following conditions: May qualify based on being covered by the Grandfathering Provision as described in the VA Qualification Standard for this occupation (only applicable to current VHA employees who are in this occupation and meet the criteria).
(a) The re\-specialization program must be completed in an APA or a CPA accredited doctoral program; and, May qualify based on being covered by the Grandfathering Provision as described in the VA Qualification Standard for this occupation (only applicable to current VHA employees who are in this occupation and meet the criteria).(b) the specialty in which the applicant is retrained must be consistent with the assignment for which the applicant is to be employed.  
**NOTE:** The applicant must provide an official transcript and/or certificate documenting the completion of the re\-specialization program, which includes completion of an APA or CPA internship. (Psychologists who have successfully completed a re\-specialization program as described above and who were employed by the Department of Veterans Affairs prior to the implementation of this standard are considered to have fully met the educational requirements of these qualification standards.)  
OR
* (3\) Have a doctoral degree awarded between 1951 and 1978 from a regionally\-accredited institution, with a dissertation primarily psychological in nature.
AND
* (4\) Internships(a) Have successfully completed a professional psychology internship training program that was accredited by APA or CPA at the time the program was completed and that is consistent with the assignment for which the applicant is to be employed.
OR
* (b) New VHA psychology internship programs that are in the process of applying for APA accreditation are acceptable in fulfillment of the internship requirement, provided that such programs were sanctioned by the VHA Central Office Program Director for Psychology and the VHA Office of Academic Affiliations at the time that the individual was an intern;
* (c) VHA facilities that offered full\-time, one\-year pre\-doctoral internships prior to PL 96\-151 (pre 1979\) are considered to be acceptable in fulfillment of the internship requirement;
OR
* (d) Applicants who completed an internship that was not accredited by APA or CPA at the time the program was completed may be considered eligible for hire only if they are currently board certified by the American Board of Professional Psychology in a specialty area that is consistent with the assignment for which the applicant is to be employed. (NOTE: Once board certified, the employee is required to maintain board certification.)
* e) Applicants who have a doctoral degree awarded between 1951 and 1978 from a regionally accredited institution with a dissertation primarily psychological in nature may fulfill this internship requirement by having the equivalent of a one\-year supervised internship experience in a site specifically acceptable to the candidate's doctoral program. If the internship experience is not noted on the applicant's official transcript, the applicant must provide a statement from the doctoral program verifying that the equivalent of a one\-year supervised internship experience was completed in a site acceptable to the doctoral program.
**NOTE:** Psychologists who meet the requirements of this revision and who were employed by the Department of Veterans Affairs prior to the implementation of this standard are considered to have fully met the requirements of this qualification standard.  
**c. Licensure.** Hold a full, current, and unrestricted license to practice psychology at the doctoral level in a State, Territory, or Commonwealth of the United States, or the District of Columbia.  
**d. English Language Proficiency.** Psychologists must be proficient in spoken and written English in accordance with VA Handbook 5005, Part II, Chapter 3, section A, paragraph 3j.  
**Grade Determinations:** In addition to the basic requirements for employment, the following criteria must be met when determining the grade of candidates:  
**Psychology Program Manager, GS\-14**  
**Experience.** At least three years of experience as a professional psychologist, with at least one year equivalent to the GS\-13 grade level.  
**Demonstrated Knowledge, Skills, and Abilities.** In addition to the experience above, the candidate must demonstrate all of the following KSAs:  
1\. Ability to organize work, set priorities, delegate tasks, and meet multiple deadlines.  
2\. Knowledge of and ability to utilize evidence based practices and clinical practice guidelines appropriately and ability to guide staff in using these tools.  
3\. Ability to deal effectively with individuals or groups representing widely divergent backgrounds, interests, and points of view.  
4\. Skill in managing and directing the work of others to accomplish program goals and objectives.  
5\. Ability to translate management goals and objectives into well\-coordinated and controlled work operations.  
6\. Ability to establish and monitor production and performance priorities and standards.  
7\. Ability to analyze organizational and operational problems and to develop and implement solutions that result in sound operation of the program.  
May qualify based on being covered by the Grandfathering Provision as described in the VA Qualification Standard for this occupation (only applicable to current VHA employees who are in this occupation and meet the criteria).  
**Reference:** VA Qualifications Standards  
The full performance level of this vacancy is GS\-14\.  
**Physical Requirements:** The work does not inherently include physical requirements essential for successful job performance that could not otherwise be performed with a workplace accommodation.
### **Education**
**IMPORTANT:** A transcript must be submitted with your application.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Documentation of APA or CPA accredited internship or board certification by the American Board of Professional Psychology.
* Resume
* SF\-50/ Notification of Personnel Action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CV/Resume
* Documentation of APA or CPA accredited internship or board certification by the American Board of Professional Psychology.
* Performance Appraisal
* Professional Certification
* Resume
* SF\-15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03/05/2026 to receive consideration. To preview the questionnaire click https://apply.usastaffing.gov/ViewQuestionnaire/12883783\.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VHA National Recruitment Center
Phone
(844\)456\-5208
Email
VHANationalRecruitmentCenter@va.gov
Address
*Readjustment Counseling Service*  
*120 SE 6th Avenue, Ste. 102*  
*Topeka, KS 66603*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02/24/2026 to 03/05/2026
Salary
$148,222 to \- $192,694 per year
Pay scale \&amp; grade
GS 14
Location
Danbury, CT
1 vacancy
Remote job
No
Telework eligible
Yes—Ad hoc
Travel Required
25% or less \- You may be expected to travel for this position.
Relocation expenses reimbursed
No
Appointment type
Permanent
Work schedule
Full\-time
Service
Excepted
Promotion potential
None
Job family (Series)
* 0180 Psychology
Supervisory status
Yes
Security clearance
Other
Drug test
Yes
Position sensitivity and risk
Moderate Risk (MR)
Trust determination process
* Credentialing
* Suitability/Fitness
Financial disclosure
No
Bargaining unit status
No
Announcement number
CBZY\-12883783\-26\-MEK
Control number
858794200</t>
        </is>
      </c>
    </row>
    <row r="28">
      <c r="A28" t="inlineStr">
        <is>
          <t>in-a638bf0662913709</t>
        </is>
      </c>
      <c r="B28" t="inlineStr">
        <is>
          <t>Development Product Owner Lead – Life Company Financial Institutional Delivery (FID)</t>
        </is>
      </c>
      <c r="C28" t="inlineStr">
        <is>
          <t>USAA</t>
        </is>
      </c>
      <c r="D28" t="inlineStr">
        <is>
          <t>indeed</t>
        </is>
      </c>
      <c r="E28" t="inlineStr"/>
      <c r="F28" t="inlineStr"/>
      <c r="G28" t="inlineStr">
        <is>
          <t>San Antonio, TX, US</t>
        </is>
      </c>
      <c r="H28" s="1" t="n">
        <v>46076</v>
      </c>
      <c r="I28"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currently seeking a talented **Development Product Owner Lead** who will serve as a direct representative of the business on an agile team. Attains, understands, and communicates business vision and needs in order to write and refine user stories/features/epics, prioritize work, and provide guidance to technical teams across programs/portfolios. Uses critical thinking, problem solving, and Agile principles to partner with business owners, subject matter experts, and the development team to build effective solutions. Possesses an expert knowledge and understanding of and ability to work within multiple delivery methodologies, including Agile and other approaches, to deliver business value.
This role is remote eligible in the continental U.S. with occasional business travel. However, individuals residing within a 60\-mile radius of a USAA office will be expected to work on\-site four days per week. Relocation assistance is **not** available for this position.
 **What you'll do:**
* Works with business and Subject Matter Experts to understand business strategy and vision and then writes, refines, accepts and prioritizes stories, features or epics to support effective and compliant solutions while balancing investment and business value.
* Owns and maintains a prioritized work backlog for a single or multiple Agile teams or program. Product backlog includes complete user stories or features with acceptance criteria so that they are consumable and testable by the Agile team or program. Reviews and accepts output of I/T and/or business development to ensure specified acceptance criteria have been completed.
* Serves as a knowledgeable collaborator across multiple business or system domains; is expected to lead development across multiple teams at the program and Epic level.
* Serves as direct representative of the business with one or more delivery teams throughout the product delivery cycle.
* Participates in a cross\-functional team of user experience partners, designers, business analysts, developers, testers and others to develop, execute, solution and release in alignment with program, portfolio or product road maps.
* Partners with sponsors, stakeholders, and IT to facilitate, define and document relevant business processes, gaining an expert understanding of the needs, measures, and risks \&amp; controls for the improvement area.
* Participates with portfolio, program and project level plans related to schedule, scope and resources.
* Prepares the business for the change and provides tactics and metrics for benefits, adoption, and risk. Leverages existing change management routines, as needed.
* Applies expert knowledge in the business development/execution discipline, regularly seeking out opportunities to enhance, improve and advance the function.
* Coaches and mentors less experienced Product Owners, including Seniors.
* Demonstrates expert knowledge in multiple business or system domains and capable of leading development across multiple teams at the program level.
* Identifies engages, influences and leads business stakeholders and Subject Matter Experts across programs.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(Total of 12 years of experience without bachelor’s degree)
* 8 years of experience in process improvement, project delivery, business/requirements analysis or directly related to supported business operations/product line.
* Expert knowledge of Microsoft Office products, applicable databases and product management tools.
* Expert knowledge of multiple technical software delivery methodologies (i.e., Agile, Waterfall, SAFe) with a proven track record in using these skills to develop and manage products through the entire product life cycle.
* Expert experience in analyzing business requirements, process flows and use cases to identify opportunities to streamline business processes in accordance with risk management framework and regulatory requirements.
* Expert understanding and demonstrated use of Process Engineering methodologies and Change Management practices to translate business requirements into functional specifications.
* Expert ability to independently work to gather business requirements, process flows and use cases to develop and deliver on business capabilities within the approved methodology, writing user stories, and following the development process through user story acceptance.
* Advanced experience in analyzing and translating business requirements and the ability to identify opportunities to streamline business processes in accordance with risk management framework and regulatory requirements
**What sets you apart:**
* US military experience through military service or a military spouse/domestic partner
* 3 years of experience working within the Financial Institutional Delivery as a Product Owner
* 2 or more years of experience working with external Distributors selling USAA manufactured annuities
* 2 or more years of experience working with Third Party Administrators (TPA) servicing USAA manufactured annuities
**Compensation range:** The salary range for this position is: **$****114,080 \- $211,680**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29">
      <c r="A29" t="inlineStr">
        <is>
          <t>in-06043920af3665ac</t>
        </is>
      </c>
      <c r="B29" t="inlineStr">
        <is>
          <t>IT Product Manager (Hybrid)</t>
        </is>
      </c>
      <c r="C29" t="inlineStr">
        <is>
          <t>Eversource Energy</t>
        </is>
      </c>
      <c r="D29" t="inlineStr">
        <is>
          <t>indeed</t>
        </is>
      </c>
      <c r="E29" t="inlineStr"/>
      <c r="F29" t="inlineStr"/>
      <c r="G29" t="inlineStr">
        <is>
          <t>East Berlin, CT, US</t>
        </is>
      </c>
      <c r="H29" s="1" t="n">
        <v>46076</v>
      </c>
      <c r="I29" t="inlineStr">
        <is>
          <t>Eversource will not offer immigration\-related sponsorship for this position. Applicants who require immigration sponsorship—either now or in the future—should not apply. This includes, but is not limited to, direct company sponsorship, listing Eversource as the employer of record on immigration documents, or any work authorization that requires company involvement or documentation (e.g., H\-1B, OPT, STEM OPT, CPT, TN, J\-1, O\-1, etc.).
*Eversource supports work\-life balance by offering hybrid schedules for certain roles. Eligibility is based on job responsibilities, operational needs, nature of**work**and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to**change, based**on managerial discretion and work performance. All applicants must be able to**work* *up to five days in the office if needed (for example: emergencies, training, or other business needs) or should the policy change.*
The IT Product Manager is responsible for leading the design, development, maintenance, and enhancement of business applications for the area. In addition, the manager will be responsible for maintaining and fostering relations with key business partners.
 The incumbent works directly or through subordinates with customers, colleagues, and other key stakeholders to identify client’s information requirements and seeks out opportunities to construct new or modify existing applications that will enable business partners to achieve critical business strategies. Another key aspect of the role is educating the work force on the strategic use of technology. The incumbent will also be responsible for devising strategic plans to reduce the overall application portfolio, minimize complexities within the domain, reduce operational cost, improve application resiliency, and improve service delivery.
The position requires a high level of planning and organization, work management knowledge, the ability to effectively delegate work, ability to establish development standards and work practices, and solid judgement/problem solving skills. The main challenge of the product management process is achieving the optimum integration level of business systems with data integration with communications technology and evolving technology. Other key challenges will be stabilizing newly implemented applications and shifting the operations support model from a waterfall\-based approach to agile for certain key applications.
**Project Execution and** **Gas and Electric Application Support**:
* Oversee and support the execution of work order lifecycle projects.
* Ensure timely and efficient delivery of project milestones.
**Vendor Management**:
* Manage relationships with external vendors.
* Negotiate contracts and ensure compliance with service level agreements (SLAs).
**Executive Reporting**:
* Prepare and present detailed reports to executive leadership.
* Provide insights and recommendations based on data analysis.
**Cross\-Tower Integration**:
* Support the integration of WOLC initiatives across all IT systems, departments, and stakeholders.
* Facilitate collaboration and communication among different IT towers.
**Dependency and Risk Management**:
* Track and manage cross\-program dependencies and risks.
* Develop mitigation strategies and contingency plans.
**Enterprise Environment Integration and Strategy**:
* Coordinate the integration of IT environments across the enterprise.
* Develop and implement strategies to ensure seamless integration and operation.
**Resource Prioritization**:
* Support the prioritization of IT resources for WOLC initiatives.
* Ensure optimal allocation and utilization of resources.
**Delivery Excellence**:
* Drive overall delivery excellence within IT projects and initiatives.
* Implement best practices and continuous improvement methodologies.
**Essential Functions:**
* Lead staff members through service delivery transformation.
* Work closely with new incumbent supplier to ensure contractual obligations and SLA’s are being met.
* Derive metrics to demonstrate and measure delivery improvement and fiscal responsibility.
* Direct the overall deployment and activities of their staff and facilitate the resolution of situations brought to their attention that impact the cost, schedule or technical parameters of projects and key efforts.
* Manages all deliverables and obligations related to application operation; application maintenance and support; and application release management for assigned application portfolio.
* Manages all outsourced managed services and cloud/hosted vendor contract SLAs related to application operation.
* Ensures all applications in portfolio are monitored for performance and assured operations in alignment with all automated and non\-automated department monitoring standards.
* Establish and maintain effective working relationships with key clients.
* Develop and utilize performance metrics to show process for service delivery and SLA adherence.
* Help drive area transition to an agile delivery approach.
* Integrate activities with business unit and other IT departments to ensure the successful implementation and support of project efforts.
* Help to ensure successful delivery of key capital project implementations including seamless transition to steady state support.
* Effectively manage and control maintenance, outside service, and project costs.
* Lead the development of road maps for key applications to ensure application resiliency and provide added business value.
* Evaluation of root cause technical solutions proposed by the supplier; striving for elimination of technical debt.
* Coordinate preparation of statements of work and specifications, estimation of product / service costs and pricing, and negotiation and administration of contracts.
* Negotiate IT’s interests and manage external vendor, contractor and material contracts.
**Technical Knowledge/Skill/Education/Licenses/Certifications:**
*Technical Knowledge/Skill:*
* Strong technical acumen with mastery level of development concepts and underlying technology as well as the software development life cycle.
* Strong analytical and conceptual skills including the ability to solve complex technical problems.
* Ability to work collaboratively and lead a team of direct reports and managed services vendors including day\-to\-day coaching and performance management/assessment.
* Strong customer service and teamwork skills.
	+ Customer\-first orientation and strong passion for delivering quality tools and solutions.
* Strong interpersonal, negotiation and management skills, and strong business acumen.
* Strong experience managing outsourced IT managed services providers a must.
* Ability to think strategically to anticipate the needs of business partners and longevity of applications in portfolio.
* Exhibits an exceptional degree of ingenuity, creativity and/or resourcefulness.
* Ability to prioritize tasks and manage deadlines in a fast\-paced environment, with acute attention to detail.
* Ability to translate data into actionable plans and tactics.
* Ability to maintain strong relationships with stakeholders and managed services providers.
* Excellent communication skills including verbal, written, and presentation skills.
* Applies extensive organizational and/or project management expertise and has full knowledge of other related disciplines. May be viewed as expert within a given field.
*Education:*
Bachelor’s degree from an accredited four\-year college or university with a focus in computer science, computer information systems or a closely related area.
*Experience*:
A minimum of 10 years related experience is required of which (5\) five years includes supervisory/leadership responsibilities. A minimum of (5\) five years related experience managing outsourced IT managed services providers. A minimum of (5\) years’ experience supporting COTS and other application software solutions. Experience working with or supporting operations services related applications such as Ebuilder, Work Studio, Chevin preferred but not required. Knowledge and experience working within an agile framework a plus.
**Working Conditions:**
* Must be available to work emergency restoration assignment as required.
* Must be available to travel between MA/CT/NH as necessary.
### **\#LI\-ES3**
### **\#corpajd**
**Competencies:**
Build trusting relationships
Manage and develop people
Foster teamwork and cross\-functional collaboration
Lead change
Communicate strategic vision
Create an engaged workforce
Focus on the customer
Take ownership \&amp; accountability
**Compensation and Benefits:**
Eversource offers a competitive total rewards program. Check out our careers site for an overview of our benefits programs. Salary is commensurate with your experience. This position is eligible for a potential incentive. The annual salary range for this position is:
$155,690\.00\-$172,990\.00**Worker Type:**
Regular**Number of Openings:**
1**Emergency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t>
        </is>
      </c>
    </row>
    <row r="30">
      <c r="A30" t="inlineStr">
        <is>
          <t>in-29da55a61de41a8d</t>
        </is>
      </c>
      <c r="B30" t="inlineStr">
        <is>
          <t>Principal Technical Program Manager</t>
        </is>
      </c>
      <c r="C30" t="inlineStr">
        <is>
          <t>Microsoft</t>
        </is>
      </c>
      <c r="D30" t="inlineStr">
        <is>
          <t>indeed</t>
        </is>
      </c>
      <c r="E30" t="inlineStr"/>
      <c r="F30" t="inlineStr"/>
      <c r="G30" t="inlineStr">
        <is>
          <t>Redmond, WA, US</t>
        </is>
      </c>
      <c r="H30" s="1" t="n">
        <v>46072</v>
      </c>
      <c r="I30" t="inlineStr">
        <is>
          <t>**Overview**  
On Team Xbox, we aspire to empower the world’s 3 billion gamers to play the games they want, with the people they want, anywhere they want. Gaming, the largest and fastest growing category in media \&amp; entertainment, represents an important growth opportunity for Microsoft. We are leading with innovation, as highlighted by bringing the Game Pass subscription to PC, bringing Xbox to new devices with Cloud Gaming, and our recent acquisition of Activision Blizzard King creating exciting new possibilities for players.
The Xbox Accessories team is seeking a highly qualified candidate to drive software/firmware solutions that enable experiences on Xbox Accessories. We are looking for a Prinicipal Technical Program Manager in software/firmware development to join our team to lead and manage development of Xbox accessories that delight our customers. The candidate must be highly motivated and a self\-starter who will thrive in this fast\-paced technical environment. Experience in the gaming industry or a deep love of gaming as you will be making prioritization decisions to ensure development timelines meet partner\-team schedules while delivering on the key product truths that make Xbox experiences great. This team will be exploring new development models partnering with experts in various technological fields to innovate and expand our development abilities.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alignment with engineering, design, research, field, and business partners to ensure platform progress effectively toward production and Day 1 readiness
* Provide strategic direction by helping teams identify and prioritize product needs, emerging industry opportunities, and gaming native trends
* Set expectations, negotiate timelines, and manage handshakes, dependencies, and deliverables
* Lead regular reviews ensuring partners have clarity on roadmaps, program status, progress, and risks
* Oversee firmware/software level debug as part of end\-to\-end firmware development and debug
* Partner across different teams and geos and contribute to the success of the greater organization
**Qualifications** **Required Qualification:**
* Bachelor's Degree AND 6\+ years experience in engineering, product/technical program management, data analysis, or product development OR equivalent experience.
* 3\+ years of experience managing cross\-functional and/or cross\-team projects.
**Preferred Qualification:*** Bachelor's Degree AND 8\+ years experience in engineering, product/technical program management, data analysis, or product development OR equivalent experience.
* 5\+ years of experience managing cross\-functional and/or cross\-team projects
* 5\+ years of experience in managing software development /platform enablement/ firmware development.
* Experience in technical program management of complex cross\-group, cross\-business, cross\-disciplinary projects
* Experience and skills in C/C\+\+ and OS internals
* Experience in collaborating with internal and external partners to understand their requirements and translating them into solutions
* Experience in low\-level software running on hardware e.g., Firmware, UEFI, BMC, BSP
* Proven ability to synthesize and communicate solutions to complex technical problems and resolve dependencies.
* Organization and project management skills, e.g., experience with SW/FW agile project management methodology, TFS, DevOps, JIRA or similar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1">
      <c r="A31" t="inlineStr">
        <is>
          <t>in-194cef9eebf653a9</t>
        </is>
      </c>
      <c r="B31" t="inlineStr">
        <is>
          <t>Senior Privacy Product Manager - Microsoft AI</t>
        </is>
      </c>
      <c r="C31" t="inlineStr">
        <is>
          <t>Microsoft</t>
        </is>
      </c>
      <c r="D31" t="inlineStr">
        <is>
          <t>indeed</t>
        </is>
      </c>
      <c r="E31" t="inlineStr"/>
      <c r="F31" t="inlineStr"/>
      <c r="G31" t="inlineStr">
        <is>
          <t>Redmond, WA, US</t>
        </is>
      </c>
      <c r="H31" s="1" t="n">
        <v>46071</v>
      </c>
      <c r="I31" t="inlineStr">
        <is>
          <t>**Overview**  
As a Senior Privacy Product Manager within the Microsoft AI (MAI) organization, you will work across our portfolio of products and services to manage the strategy and execution of the privacy program.
You will collaborate with engineering to inform and promote transparency, choice, and privacy management experiences that influence Microsoft’s collection and use of personal data. You will contribute and implement organization\-wide processes for incorporating privacy into the product development cycle and engineering systems.
We are searching for a Senior Product Privacy Manager to help complement daily execution of MAI and Microsoft privacy strategy, to monitor and assure privacy standards are met and help develop guidance and advise engineering teams where Microsoft’s Privacy Standards are outpaced by MAI innovation. The right person has a passion for deeply understanding customer needs, protecting customer rights, and enabling the business. Candidates should have proven experience applying privacy requirements to engineering solutions going beyond standard risk and compliance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Be the privacy advisor to engineering teams. Apply your privacy knowledge and background in developing user consents, data collection requirements, recommending data storage and processing, and ensuring MAI products and services meet privacy requirements and business objectives.
* Translate privacy regulations and standards into actionable requirements.
* Create and execute privacy compliance plans, working across compliance, organization, business, and engineering teams to ensure deliverables are met.
* Identify, drive adoption of, and monitor the implementation of new and existing controls as needed for compliance or new regulations.
* Develop and maintain standards and policies, such as risk assessment templates, audit frameworks, oversight expectations, and reporting metrics.
* Help educate teams and drive compliance as a mindset across engineering and research teams. Identify and drive compliance program improvements, including process improvements, tooling requirements, and opportunities to improve the experience for engineers.
* Help educate teams and drive privacy as a mindset across engineering and research teams. Identify and drive privacy program improvements, including process improvements, tooling requirements, and opportunities to improve the experience for engineers.
**Qualifications** **Required Qualifications:**
* Bachelor's Degree AND 5\+ years experience in product/service/program management or software development
* + OR equivalent experience.
 **Preferred Qualifications:**
* Bachelor's Degree AND 8\+ years experience in product/service/program management or software development
* + OR equivalent experience.
* 3\+ years demonstrated technical and/or feature program management.
* Practical experience creating and maintaining compliance programs and conducting privacy reviews.
* Demonstrated team and project management excellence in medium\-large scale projects including managing a scope, schedule, and budget.
* Experience managing privacy, security, or audit compliance related engineering programs.
* IAPP Certified Information Privacy Professional (CIPP).
\#MicrosoftAI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2">
      <c r="A32" t="inlineStr">
        <is>
          <t>in-c823fb1d6a3da7d3</t>
        </is>
      </c>
      <c r="B32" t="inlineStr">
        <is>
          <t>Senior Technical Program Manager (Network Fiber)</t>
        </is>
      </c>
      <c r="C32" t="inlineStr">
        <is>
          <t>Microsoft</t>
        </is>
      </c>
      <c r="D32" t="inlineStr">
        <is>
          <t>indeed</t>
        </is>
      </c>
      <c r="E32" t="inlineStr"/>
      <c r="F32" t="inlineStr"/>
      <c r="G32" t="inlineStr">
        <is>
          <t>Redmond, WA, US</t>
        </is>
      </c>
      <c r="H32" s="1" t="n">
        <v>46070</v>
      </c>
      <c r="I32" t="inlineStr">
        <is>
          <t>**Overview**  
Cloud Operations and Innovation (CO\+I) is the engine that powers Microsoft’s cloud services. The team is responsible for designing, building, and operating our unified global datacenters; managing the demand planning and capacity utilization of our unified infrastructure; and for operating the physical infrastructure (including supply chain, hardware, power, security, and workflow teams). We focus on smart growth with an emphasis on automation, data driven engineering, cost\-effectiveness, and environmental sustainability. We deliver the core infrastructure and foundational technologies for Microsoft’s over 200 online businesses including Azure, Bing, MSN, Office 365, Xbox Live, Skype, and OneDrive. Our infrastructure is comprised of a large global portfolio of more than 100 datacenters and 1 million servers. Our portfolio is built and managed by a team of subject matter experts working 24x7x365 to support services for more than 1 billion customers and 20 million businesses in over 90 countries worldwide.
The Cloud Infrastructure Acquisitions Network team is responsible for the acquisition of Fiber, Edge, Egress and Peering solutions supporting all of Microsoft’s online services infrastructure. We work with various network engineering, capacity, and long\-range planning teams on a collaborative basis to ensure the Microsoft network has the highest quality and availability globally.
We're looking for someone with experience in a fast\-paced production environment, you must be agile and able to adapt to changing conditions and priorities. The successful candidate will need analytical, excellent communication, and collaboration skills. You will be working with people from many different teams and backgrounds. You must be able to influence others and work cross\-functionally to achieve broad goals. You must be able to work independently and drive for impact and results. A proven track record of successfully managing projects and stakeholders, removing overhead and improving workflows is a primary skill set needed to be successful in this role.
 **Responsibilities**  
* Responsible for developing business and technical requirements that feed into development teams for tooling and reporting enhancements
* Work closely with development and administrative teams to ensure that new features and functionality are implemented per specification
* Collaborate with internal teams to identify and define tooling enhancements that create efficiency through process streamlining, system integration and automation
* Drive continuous improvement in business processes and tools to enable rapid growth and scale.
* Communicate progress internally and collaborate with network deployment teams.
* Manage Technical Project Managers and Data Analytics staff
* Perform leadership responsibilities for the team, including conducting performance evaluations, coaching both individual team members and the group, and preparing monthly and quarterly team metrics and reports for senior leadership
**Qualifications**  
Required Qualifications:
* Bachelor's Degree AND 4\+ years experience in engineering, product/technical program management, data analysis, or product development OR equivalent experience.
* 1\+ years' project or people management experience.
* 1\+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engineering, product/technical program management, data analysis, or product development OR equivalent experience.
* 2\+ years of people management experience.
* 6\+ years of experience managing cross\-functional and/or cross\-team projects.
* 8\+ years of experience in networking technologies or Telecommunications industry with a focus on Network tooling (GIS, TEM, and ticketing systems used for processing network tasks).
* Demonstrated understanding of Security Access Controls.
* Demonstrated business systems analytic skills with a focus on developing business requirements, translating to technical specifications and leading cross functional team through implementation of new system features and enhanced functionality.
* 7\+ years of engineering experience leading, defining and delivering projects or services.
* Demonstrated ability to work closely with technical/engineering teams.
* 7\+ years’ experience managing service suppliers (or equivalent QBR experience).
* In\-depth knowledge of performance metrics.
* Demonstrated MS office skills (Word, Excel, PowerPoint, Visio, Bi\-Dashboards).
* 8\+ years of experience in networking technologies.
* 8\+ years of GIS tooling experience (as power user or administrator).
* Demonstrated understanding of domestic and global carrier networks.
* Experience with Microsoft Dynamics.
\#COICareers \| \#EPCCareers \| \#DCDCareers
Technical Program Management M4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3">
      <c r="A33" t="inlineStr">
        <is>
          <t>in-c501e8874c524103</t>
        </is>
      </c>
      <c r="B33" t="inlineStr">
        <is>
          <t>Product Manager</t>
        </is>
      </c>
      <c r="C33" t="inlineStr">
        <is>
          <t>Microsoft</t>
        </is>
      </c>
      <c r="D33" t="inlineStr">
        <is>
          <t>indeed</t>
        </is>
      </c>
      <c r="E33" t="inlineStr"/>
      <c r="F33" t="inlineStr"/>
      <c r="G33" t="inlineStr">
        <is>
          <t>Redmond, WA, US</t>
        </is>
      </c>
      <c r="H33" s="1" t="n">
        <v>46069</v>
      </c>
      <c r="I33" t="inlineStr">
        <is>
          <t>**Overview**  
The **Product Manager II (PM II)** for Growth Analytics in IDEAS owns the definition and delivery of **broader, end‑to‑end product scenarios** that enable teams across Microsoft to experiment, measure impact, and make data‑driven decisions about Copilot growth. This role operates with significant autonomy in an environment with **ambiguity, multiple dependencies, and evolving customer needs**.
You will be responsible for connecting multiple investments across experimentation, analysis, and insights tooling to ensure they work together cohesively to deliver meaningful customer and business outcomes. You will partner closely with engineering, design, data science, and research to shape product strategy, drive execution, and continuously learn through hypothesis‑driven experimentation.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**Product Ownership \&amp; Strategy**
* Own **broader experimentation and analysis scenarios**, defining clear problem statements, success metrics, and outcomes rather than narrowly scoped features.
* Develop and maintain a **product roadmap** that connects multiple investments into a coherent end‑to‑end experience for experimenters and analysts.
* Anticipate risks, dependencies, and downstream impacts, and make informed tradeoffs across scope, quality, time, and partner needs.
**Experimentation \&amp; Analysis Enablement**
* Drive the development of **robust experimentation and analysis tooling**, enabling customers to run A/B tests, multivariant experiments, and post‑experiment analyses at scale.
* Partner with data science and engineering teams to ensure experimentation frameworks are reliable, measurable, and extensible.
* Promote hypothesis‑driven experimentation to validate product decisions and iterate based on learnings.
**Data‑Driven Decision Making**
* Use **quantitative telemetry and qualitative customer insights** to inform product decisions.
* Define and monitor success metrics for product features and experimentation workflows.
* Apply analytical rigor to evaluate outcomes and adjust strategy based on evidence.
**Cross‑Functional Collaboration**
* Work closely with engineering, design, and data science to define requirements, scenarios, and acceptance criteria.
* Communicate product direction, progress, and results clearly to stakeholders across disciplines and levels.
* Proactively identify when additional alignment or help is needed and engage the right partners.
**Customer \&amp; Stakeholder Engagement**
* Engage with internal customers to understand workflows, pain points, and unmet needs related to experimentation and analysis.
* Translate customer feedback into actionable product improvements.
* Ensure alignment between product direction and broader business goals.
**Qualifications** **Required Qualifications:**
* Bachelor's Degree AND 2\+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AND 5\+ years experience in product/service/program management or software development OR equivalent experience.
* 2\+ years experience improving product metrics for a product, feature, or experience in a market (e.g., growing customer base, expanding customer usage, avoiding customer churn).
2\+ years experience disrupting a market for a product, feature, or experience (e.g., competitive disruption, taking the place of an established competing product).
\#DPG \#DGPHiring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4">
      <c r="A34" t="inlineStr">
        <is>
          <t>in-818ae658b8093a61</t>
        </is>
      </c>
      <c r="B34" t="inlineStr">
        <is>
          <t>Principal Hardware Technical Program Manager - Quantum</t>
        </is>
      </c>
      <c r="C34" t="inlineStr">
        <is>
          <t>Microsoft</t>
        </is>
      </c>
      <c r="D34" t="inlineStr">
        <is>
          <t>indeed</t>
        </is>
      </c>
      <c r="E34" t="inlineStr"/>
      <c r="F34" t="inlineStr"/>
      <c r="G34" t="inlineStr">
        <is>
          <t>Redmond, WA, US</t>
        </is>
      </c>
      <c r="H34" s="1" t="n">
        <v>46069</v>
      </c>
      <c r="I34" t="inlineStr">
        <is>
          <t>**Overview**  
Microsoft Quantum team is dedicated to developing the first scalable, fault\-tolerant quantum computer and is leading progress in areas ranging from quantum hardware and error correction to comprehensive integration with Azure. We are an accomplished and diverse international team focused on constructing a scalable quantum computing system. Our full\-stack strategy encompasses breakthrough developments, spanning the physics of quantum devices to scalable readout and control infrastructures powered by cryo\-electronics. The Microsoft Quantum program aims to transform the future of computing and tackle challenges that are currently beyond reach. We are entering a pivotal phase of accelerated growth in quantum computing, and this position presents a unique opportunity to contribute meaningfully to transformative technology.
As the **Principal Hardware Technical Program Manager** **(TPM)** on the Quantum 1st Party Hardware TPM team, you'll take on a key leadership position to advance Microsoft's quantum hardware infrastructure. In this role, you'll oversee cross\-functional engineering projects, guide pioneering device research and development, and ensure strong execution both internally and with external partners—all while upholding Microsoft's core values of growth mindset, innovation, and inclusion. You will manage functional requirement design and project coordination for the feature team, and dive into technical aspects when necessary. This position calls for an experienced technical program manager with a passion for customer\-driven solutions, along with insight and industry expertise to envision and deliver future technical capabilities that will scale and optimize our Quantum solutions for 1st Party customers.
This is a unique opportunity to be at the forefront of quantum hardware innovation. You will collaborate with leading physicists, quantum theorists, quantum experimentalists, research engineers, systems engineers, technical program managers, supply chain experts, cloud architects, and external partners to accelerate the scale\-up of topological qubits and quantum systems that unlock unprecedented scientific and business value. If you are energized by complex program management challenges, thrive in ambiguity, and have a passion for foundational technologies that redefine what’s possible, we invite you to join us and help shape the future of quantum 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Program Management: Lead all phases of quantum hardware projects, from concept to delivery, working closely with architects, scientists, and engineers for success. Create concise, data\-driven updates on program status, risks, dependencies, and impact for stakeholders and senior executives.
* Planning \&amp; Roadmapping: Coordinate with leadership and engineering teams to build and maintain clear development roadmaps, align milestones, manage resources, and support long\-term goals. Guide Agile processes, encourage transparency, and remove obstacles to meet critical deadlines.
* Team Coordination: Ensure effective collaboration across device physics, cryoelectronic, materials science, manufacturing, supply chain, integration, and cloud hardware operations for scalable solutions.
* Customer Feedback: Use input from internal and pilot customers to improve hardware and processes. This includes potential customers from US Government.
* Risk Mitigation: Identify and reduce risks in technology, scheduling, and operations, applying continuous improvement throughout.
* Supplier Relations: Manage external partnerships, enforce quality and safety standards, and drive cross\-company compliance.
* Culture \&amp; Mentorship: Foster respect, collaboration, integrity, inclusivity, and continuous learning within the team.
* Other: Embody our Culture and Values
**Qualifications** **Required/minimum qualifications**
* Bachelor's Degree AND 6\+ years experience in engineering, physics or a related STEM field, product/technical program management, data analysis, or product development
	+ OR equivalent experience.
* 3\+ years of experience managing cross\-functional and/or cross\-team projects.
* 3\+ years of experience managing large\-scale, interdisciplinary hardware technology projects from concept to delivery, including system integration, cross\-functional team leadership, and coordination across multiple teams.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proof of citizenship,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Ability to apply AI to accelerate engineering and lab workflows. Design and build AI agents/copilots that assist with experiment setup, log triage, measurement report generation, protocol templating, and knowledge retrieval (e.g., instrument manuals, design docs).
* Ability to evaluate agentic solutions with measurable metrics and humanintheloop safeguards following Microsoft Responsible AI requirements for generative AI.
 **Preferred Qualifications:**
* PhD/Doctorate in a relevant field (e.g., quantum information, physics, materials science, electrical engineering, hardware systems) and 12\+ years of applied engineering experience in quantum computing and/or cryogenic hardware programs, or equivalent experience.
* 12\+ years managing multi\-year, highly complex hardware product portfolios involving deep tech and/or first\-of\-a\-kind technologies (e.g., quantum systems, ASICs, FPGA, advanced chip packaging, cryoelectronics, high\-reliability hardware).
* Demonstrated experience leading large\-scale, cross\-functional, cross\-organization hardware systems programs end\-to\-end (R\&amp;D through new technology introduction), with strong program management fundamentals (planning, issue/risk tracking, schedule management, and stakeholder reporting) and proficiency with Agile and Azure DevOps (or similar).
* Direct experience with one or more of: quantum device development, quantum error correction, or quantum measurement/control hardware.
* Experience driving external partnerships (universities/government/consortia) and technology transfer from R\&amp;D to scaled engineering/manufacturing (including quality systems and test protocols), along with proven ability to lead teams in a matrixed environment and communicate complex technical concepts across levels (including executive and non\-technical stakeholders).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5">
      <c r="A35" t="inlineStr">
        <is>
          <t>in-f608e874cc0024a1</t>
        </is>
      </c>
      <c r="B35" t="inlineStr">
        <is>
          <t>Senior Product Manager</t>
        </is>
      </c>
      <c r="C35" t="inlineStr">
        <is>
          <t>Microsoft</t>
        </is>
      </c>
      <c r="D35" t="inlineStr">
        <is>
          <t>indeed</t>
        </is>
      </c>
      <c r="E35" t="inlineStr"/>
      <c r="F35" t="inlineStr"/>
      <c r="G35" t="inlineStr">
        <is>
          <t>Redmond, WA, US</t>
        </is>
      </c>
      <c r="H35" s="1" t="n">
        <v>46069</v>
      </c>
      <c r="I35" t="inlineStr">
        <is>
          <t>**Overview**  
Join the Microsoft Sentinel Data Lake and Graph team—a fast\-growing, mission\-driven group building the next\-generation security data platform. Our team is responsible for delivering a unified, scalable, and intelligent foundation that powers Microsoft Sentinel and the broader security ecosystem. We combine a high\-performance security data lake with a deeply connected graph to enable advanced threat detection, investigation, and response.
We’re looking for a customer\-obsessed and technically curious Senior Product Manager (PM) to join the Sentinel Data Lake and Graph team. As a PM, you’ll help define and deliver capabilities that enable scalable, intelligent, and secure data experiences for defenders and developers. You’ll work closely with engineering, design, and partner teams to shape how security data is ingested, normalized, retained, and queried across multiple modalities—including tabular, graph, and vector.
 **Responsibilities**  
* Own and evolve the product roadmap for the Sentinel Data Lake and Graph platform, prioritizing features that enable scalable, secure, and performant data ingestion, transformation, and access across diverse security workloads.
* Define and drive the development of a unified data catalog that enables discoverability, governance, and schema evolution for petabyte\-scale security data across tabular, graph, and vector modalities.
* Collaborate cross\-functionally with engineering, design, and partner teams across Microsoft Security.
* Translate customer and partner needs into clear product requirements and success metrics, balancing technical feasibility with business impact in a fast\-paced, AI\-driven security environment.
* Lead planning, execution, and go\-to\-market efforts for new platform capabilities, ensuring alignment with broader Microsoft Security strategy and delivering measurable value to internal and external stakeholders.
**Qualifications** **Required/minimum qualifications**
* Bachelor's Degree AND 5\+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or preferred qualifications*** Bachelor's Degree AND 8\+ years experience in product/service/program management or software development OR equivalent experience.
* Experience with high\-scale data platforms: Proven track record of managing and delivering large\-scale data platform projects, such as data lakes or data warehouses, including ownership of infrastructure that handles massive data volumes.
* Understanding of data extraction, transformation, and loading (ETL) pipelines, with hands\-on experience designing and implementing ETL workflows that ensure data quality and reliability.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\#MSFT Security \#SentinelPlatform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6">
      <c r="A36" t="inlineStr">
        <is>
          <t>in-2f07909f1c9096b3</t>
        </is>
      </c>
      <c r="B36" t="inlineStr">
        <is>
          <t>Senior Technical Program Manager</t>
        </is>
      </c>
      <c r="C36" t="inlineStr">
        <is>
          <t>Microsoft</t>
        </is>
      </c>
      <c r="D36" t="inlineStr">
        <is>
          <t>indeed</t>
        </is>
      </c>
      <c r="E36" t="inlineStr"/>
      <c r="F36" t="inlineStr"/>
      <c r="G36" t="inlineStr">
        <is>
          <t>Redmond, WA, US</t>
        </is>
      </c>
      <c r="H36" s="1" t="n">
        <v>46069</v>
      </c>
      <c r="I36" t="inlineStr">
        <is>
          <t>**Overview**  
We are seeking a **Senior Technical Program Manager (L64\)** to join the **AI Delivery Inferencing Portfolio** team, a critical enabler of Microsoft’s strategy to **rapidly launch and scale next\-generation GPU infrastructure** supporting AI workloads. This role owns a **regional portfolio of feasibility assessment programs** for GPU deployments and plays a pivotal role in **accelerating the release of high‑quality GPU cluster designs (CLDs)** at scale.
This TPM will operate as part of a senior program management team responsible for **driving end‑to‑end readiness** across a portfolio of **accelerated, purpose‑built AI datacenters**, enabling CO\+I to meet aggressive capacity, quality, and time‑to‑market objectives. Success in this role requires comfort operating under ambiguity, deep technical curiosity, strong orchestration skills, and the ability to create clarity and momentum across highly interdependent engineering and delivery teams.
 **Responsibilities** **Responsibilities:**
**Own Regional GPU Feasibility Portfolio**
* Lead a **regional portfolio of GPU feasibility assessment programs**, ensuring consistent, predictable, and high‑quality execution across multiple parallel initiatives.
* Drive early feasibility validation across power, cooling, space, network, colo sequencing, and deployment constraints to improve execution signal quality and reduce late‑stage risk.
* Establish and maintain a **standardized feasibility pre‑check framework** that enables faster decision‑making and minimizes canceled or reworked execute signals.
**Accelerate GPU Cluster Design Readiness**
* Partner across organizations to accelerate cluster layout design creation and evolution for next‑generation GPU platforms.
* Create and maintain **runbooks, templates, and governance mechanisms** that serve as a single source of truth for cluster design workflows, change management, and handoffs.
* Drive clarity and predictability in change management, balancing speed with quality and downstream execution impact.
**Cross‑Team Orchestration \&amp; Governance**
* Act as a connective tissue across partner teams, aligning priorities, dependencies, and execution signals.
* Design and operationalize **lightweight but robust governance mechanisms** to manage change, dependencies, and risk across complex, cross‑org programs.
* Partner with engineering to enable **automation, tooling, and telemetry** that improves visibility, tracking, and accountability across the feasibility and design lifecycle.
**Drive Datacenter Readiness for AI Workloads**
* Contribute as a senior member of the AI Delivery program management team focused on **readiness for accelerated, purpose‑built AI datacenters**.
* Align feasibility outcomes with capacity planning and execution readiness to ensure **on‑time, high‑confidence launches** of GPU capacity.
* Identify systemic bottlenecks and drive structural improvements that scale beyond a single region or program.
**Leadership, Culture, and Influence**
* Operate as a **trusted partner and thought leader** for stakeholders across disciplines and organizations.
* Model Microsoft’s leadership principles by **creating clarity in ambiguity, generating energy through collaboration, and delivering results** with high standards.
* Mentor and influence other program managers, raising the overall bar for program discipline, technical depth, and operational excellence.
**Qualifications** **Qualifications:**
* Bachelor's Degree AND 4\+ years experience in engineering, product/technical program management, data analysis, or product development OR equivalent experience.
* 2\+ years of experience managing cross\-functional and/or cross\-team projects.
While not required, we also look for the following**Preferred Qualifications:**
* 7\+ years of experience in **technical program management**, infrastructure delivery, or large‑scale systems programs.
* Demonstrated experience managing **complex, cross‑functional portfolios** with significant technical and operational dependencies.
* Strong technical aptitude, with the ability to quickly learn and reason about **datacenter infrastructure, GPU platforms, power and cooling systems, and deployment constraints**.
* Proven ability to design scalable processes, create clarity under ambiguity, and drive execution across diverse stakeholder groups.
* Exceptional communication skills, with experience influencing without authority at senior levels.
* Experience supporting **AI, High Performance Compute, or related accelerated infrastructure** programs.
* Familiarity with **datacenter design, capacity planning, or technical feasibility assessment processes**.
* Experience driving **automation or tooling** to improve operational visibility and execution quality.
* Track record of reducing operational risk, improving quality, and accelerating time to market in high‑stakes environments.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
      <c r="A37" t="inlineStr">
        <is>
          <t>in-a67953551cb481ed</t>
        </is>
      </c>
      <c r="B37" t="inlineStr">
        <is>
          <t>Principal Program Manager</t>
        </is>
      </c>
      <c r="C37" t="inlineStr">
        <is>
          <t>Microsoft</t>
        </is>
      </c>
      <c r="D37" t="inlineStr">
        <is>
          <t>indeed</t>
        </is>
      </c>
      <c r="E37" t="inlineStr"/>
      <c r="F37" t="inlineStr"/>
      <c r="G37" t="inlineStr">
        <is>
          <t>Redmond, WA, US</t>
        </is>
      </c>
      <c r="H37" s="1" t="n">
        <v>46066</v>
      </c>
      <c r="I37" t="inlineStr">
        <is>
          <t>**Overview**  
Microsoft Cloud Operations and Innovation team (CO\+I) is the team behind the Microsoft’s Cloud infrastructure and is responsible for innovating, planning designing, building and operating one of the largest datacenter fleets in the world. We support product teams by providing the secure and compliant, cost efficient and highly available global infrastructure that Microsoft’s customers depend on. Our focus is on smart growth, high efficiency and a trusted experience to customers and partners worldwide.
To keep up with rapidly changing customer and business demands, the Cloud \&amp; Infrastructure Acquisition team within CO\+I is looking for an experienced Principal Program Manager who can lead complex changes to our global infrastructure in partnership with business and engineering stakeholders.
The successful candidate will be a someone who thrives in ambiguity, with attention to detail, has an ability to work in a fast\-paced, ever\-changing environments and a desire to help shape the overall business. You will lead multiple simultaneous large\-scale initiatives with a balance of technical leadership and business judgement.
 **Responsibilities*** Lead delivery of strategic initiatives within Cloud \&amp; Infrastructure Acquisition (CIA) team, leveraging results\-oriented, metrics\-driven programmatic approach
* Develop and maintain a long\-term program roadmap, mitigating risks including technology shifts, industry or market constraints, and cost/pricing pressures
* Guide teams through the development of problem statements, frameworks and methodologies to address crucial business, customer or market opportunities
* Orchestrate efforts to define and implement recommended solutions on large cross\-functional projects with internal teams and external partners, holding teams accountable to achieve desired outcomes throughout the program lifecycle (e.g., quality, compliance, security, safety, sustainability, time\-to\-market).
* Advance CIA’s PM capability by evaluating and improving program management capabilities and encouraging and applying PM best practices across the organization
* Drive simplification and automation to evolve processes, services, and solutions, to increase agility and efficiencies while lowering costs
* Develop and coach a world class program management team that successfully delivers complex, impactful, visible infrastructure projects and programs
 **Qualifications** **Required/Minimum Qualifications:**
* Bachelor's Degree AND 6\+ years experience in engineering, product/technical program management, data analysis, or product development OR equivalent experience.
* 3\+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**While not required, we also look for the following Preferred Qualifications:**
* Bachelor's Degree AND 12\+ years experience engineering, product/technical program management, data analysis, or product development OR equivalent experience.
* 8\+ years of experience managing cross\-functional and/or cross\-team projects.
* Demonstrated command of common process improvement methodologies (Lean, Six\-Sigma, DMAIC)
* High proficiency in verbal and written communication, ability to interact with both technical \&amp; business subject matter experts across multiple organizational levels
* Familiarity with change management methodologies \&amp; ability to drive solution adoption across the organization
* Creative problem\-solving \&amp; analytical skills to drive keen insights and understand root causes combined with a “sense of urgency” to develop solutions
* Master's Degree in Business, Operations, Finance, or related field
\#COICareers \#COICIA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8">
      <c r="A38" t="inlineStr">
        <is>
          <t>in-cacf1115bbfb9f8b</t>
        </is>
      </c>
      <c r="B38" t="inlineStr">
        <is>
          <t>Technical Program Manager</t>
        </is>
      </c>
      <c r="C38" t="inlineStr">
        <is>
          <t>Microsoft</t>
        </is>
      </c>
      <c r="D38" t="inlineStr">
        <is>
          <t>indeed</t>
        </is>
      </c>
      <c r="E38" t="inlineStr"/>
      <c r="F38" t="inlineStr"/>
      <c r="G38" t="inlineStr">
        <is>
          <t>Redmond, WA, US</t>
        </is>
      </c>
      <c r="H38" s="1" t="n">
        <v>46065</v>
      </c>
      <c r="I38" t="inlineStr">
        <is>
          <t>**Overview**  
The Azure Maia team is at the forefront of software\+hardware AI innovation! Azure Maia is Microsoft's in\-house AI accelerator, designed to deliver exceptional performance, scalability, and cost efficiency for frontier AI workloads. If you are passionate about AI and the intersection of software and hardware, thrive in a fast\-paced environment while taking a long\-term view, and are eager to make a significant impact, we want you to be part of our journey. Join us and help create the future of AI with Azure Maia!
As a Technical Program Manager (TPM 2\) on our systems software team, you will collaborate with top engineers and hardware experts to bring new generations of Azure Maia to life and play a pivotal role in integrating Azure Maia into Azure's AI fleet.
 **Responsibilities**  
As a TPM on Azure Maia’s systems software, you apply your craft to ensure seamless delivery of features by overcoming technical challenges, optimizing processes, and ensuring high quality.
Responsibilities include:
* Drive technical projects from requirements through launch, including managing complex project schedules, removing roadblocks and keeping processes running smoothly.
* Partner closely with cross\-functional teams to define, prioritize, and implement features, infrastructure, processes, and workflows.
* Partner with Azure service teams to drive integration of Azure Maia hardware into core Azure cloud services to make it accessible at scale
* Communicate with precision and clarity to drive alignment in both small and broad teams.
* Effectively collaborate, build relationships, and influence cross\-functional team members to achieve product perfection.
* Serve as an escalation point for troubleshooting complex integration issue and implement fixes
* Create documents and internal tools to facilitate delivery
* Proactively develop systems and processes to ensure performance and reliability
* Embody our Culture and Values
**Qualifications** **Required Qualifications:**
* Bachelor’s Degree AND 4\+ years experience in product/service/project/program management or software development
	+ OR equivalent experience.
* 1\+ years of experience managing cross\-functional and/or cross\-team projects with emphasis on large scale cloud Hardware \&amp; infrastructure.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Proven ability to understand, synthesize, summarize, \&amp; communicate solutions to complex technical problems.
* A sizable portfolio of success with driving complex projects spanning multiple teams and matrixed organizations.
* Knowledge of datacenters and operation at scale
* Familiarity with GPUs or other HW/AI accelerators
* Experience with hardware \&amp; software interfaces.
* Familiarity with fundamentals of deep learning and AI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9">
      <c r="A39" t="inlineStr">
        <is>
          <t>in-1e6517858e2b9059</t>
        </is>
      </c>
      <c r="B39" t="inlineStr">
        <is>
          <t>Principal Product Manager</t>
        </is>
      </c>
      <c r="C39" t="inlineStr">
        <is>
          <t>Microsoft</t>
        </is>
      </c>
      <c r="D39" t="inlineStr">
        <is>
          <t>indeed</t>
        </is>
      </c>
      <c r="E39" t="inlineStr"/>
      <c r="F39" t="inlineStr"/>
      <c r="G39" t="inlineStr">
        <is>
          <t>Redmond, WA, US</t>
        </is>
      </c>
      <c r="H39" s="1" t="n">
        <v>46061</v>
      </c>
      <c r="I39" t="inlineStr">
        <is>
          <t>**Overview** **Microsoft Cloud Operations \+ Innovation (CO\+I)** is the organization responsible for building and operating the global infrastructure that powers Microsoft’s cloud. Within CO\+I, **CO\+I Engineering builds and operates software products and platforms that power the planning, execution, and scaling of datacenter capacity for Microsoft’s cloud business.** These solutions enable the delivery of highly complex, multi\-disciplinary, multi\-million\-dollar, multi\-year datacenter construction and lease programs with strict safety, quality, schedule, and cost requirements.
The **CO\+I Engineering** team architects, designs, and delivers the next generation of connected systems and platforms that support these outcomes. Leveraging modern microservices architectures and enterprise ERP platforms, the team builds scalable, real\-time solutions across critical business domains including Supply Chain, Cost Management, Scheduling, Networking, Commissioning, Safety, and Capacity Planning. These systems form the digital backbone for datacenter execution across the global CO\+I footprint.
Aligned to a North Star of end\-to\-end automation, the team is chartered to deliver robust, well\-engineered platforms while also pioneering next\-generation recommendation engines. These capabilities enable advanced cost and schedule modeling, supply and execution planning, and data\-driven decision\-making—seamlessly integrated across the broader CO\+I ecosystem to drive smarter, faster, and more predictable delivery at scale.
Microsoft’s mission is to empower every person and every organization on the planet to achieve more. Guided by a growth mindset, our employees innovate with purpose, collaborate deeply, and hold ourselves accountable to the values of respect, integrity, and inclusion—creating a culture where everyone can thrive at work and beyond.
* This role is located at Redmond, WA.
* Relocation support will be provided, and successful candidates must relocate or reside within 50 miles of the hub office location.
* This role is eligible for hybrid or remote work, up to 40%.
**Responsibilities** **Job Summary**
The Principal Product Manager for S\&amp;OP will drive the end\-to\-end product strategy, architecture direction, and execution of Microsoft’s next\-generation Sales \&amp; Operations Planning capabilities powering global datacenter expansion and AI\-scale infrastructure delivery. This role is highly technical and requires strong experience building enterprise\-grade planning systems, shaping data and platform architecture, and partnering closely with software engineering teams to deliver scalable, reliable, and automated planning solutions.
You will lead the definition and evolution of Microsoft’s unified S\&amp;OP platform—integrating forecasting, supply planning, inventory management, and capacity modeling—by combining deep supply chain expertise with modern software product development practices. The ideal candidate brings a strong technical foundation, fluency in engineering concepts, and hands\-on experience working with developers, architects, and data engineers in an agile environment.
**Key Responsibilities**
**Product Vision \&amp; Architecture Leadership**
* Define and evolve the long\-term technical vision for Microsoft’s S\&amp;OP platform, including architecture direction, data model strategy, integration patterns, and automation opportunities.
* Partner closely with software engineering teams to translate the product vision into scalable, performant, and resilient platform capabilities.
* Drive alignment across CO\+IE, engineering, data platform, cloud supply chain, and finance organizations to ensure a unified S\&amp;OP architecture and roadmap.
**Roadmap Ownership \&amp; Technical Delivery**
* Own the multi\-year product roadmap with a strong focus on platform engineering needs, data engineering pipelines, API strategy, and technical debt management.
* Lead engineering squads through requirements definition, backlog prioritization, sprint planning, and acceptance criteria.
* Ensure high\-quality delivery of software features through strong collaboration with engineering leads, architects, and quality teams.
**End\-to\-End Planning Capabilities**
* Build integrated product capabilities spanning forecasting, scenario modeling, constraint management, supply\-demand balancing, and datacenter capacity optimization.
* Incorporate AI/ML, digital twins, and predictive analytics into planning workflows in collaboration with data science teams.
* Translate complex operational requirements into technical specifications that engineering teams can execute against.
**Cross\-Functional \&amp; Executive Leadership**
* Lead planning workshops, influence technical and business stakeholders, and facilitate alignment across engineering, operations, finance, network planning, and construction teams.
* Create executive\-ready insights and recommendations for monthly/quarterly S\&amp;OP cycles, connecting platform capabilities to business outcomes.
* Drive change management and adoption of new capabilities across global teams.
 **Qualifications** **Required/minimum qualifications:**
Bachelor's Degree AND 8\+ years experience in product/service/program management or software development OR equivalent experience. **Additional or preferred qualifications:**
* Bachelor's Degree AND 8\+ years experience in product/service/program management or software development OR equivalent experience.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0">
      <c r="A40" t="inlineStr">
        <is>
          <t>in-55da71e876e43a77</t>
        </is>
      </c>
      <c r="B40" t="inlineStr">
        <is>
          <t>Senior Product Manager</t>
        </is>
      </c>
      <c r="C40" t="inlineStr">
        <is>
          <t>Microsoft</t>
        </is>
      </c>
      <c r="D40" t="inlineStr">
        <is>
          <t>indeed</t>
        </is>
      </c>
      <c r="E40" t="inlineStr"/>
      <c r="F40" t="inlineStr"/>
      <c r="G40" t="inlineStr">
        <is>
          <t>US</t>
        </is>
      </c>
      <c r="H40" s="1" t="n">
        <v>46057</v>
      </c>
      <c r="I4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Customer Acceleration Team (CAT) is part of the Customer Experience Engineering (CxE) division within Microsoft’s Security business and we are looking for a Senior Product Manager to join our team. We work with customers from all over the world to shape the product based on customer insights. The CAT Principal Product Manager will handle technical aspects of customer and partner engagements with a focus on security and AI initiatives. This role entails providing proactive guidance, active listening, dealing with ambiguity and driving technical execution.
The key Microsoft Security products driven through our team are Microsoft Information Protection (MIP) and Data Loss Prevention (DLP). We partner closely with our Purview Product Engineering Teams to improve our products by gathering insights from the thousands of customers we work with daily. To be successful in this role, you are customer obsessed, possess a growth mindset, have excellent analytical skills, and pay tremendous attention to detail. You must have a passion for content creation and be willing to educate the field on best practices and product use. You thrive in an environment where the goal is to make our products easier to use and easier for customers to implement in their organizations. In addition, you have a can\-do attitude and strong written and verbal communication.
 **Responsibilities**  
* Lead technical and strategic engagements with top global customers, handling ambiguity, escalations, and complex security/AI scenarios.
* Deliver compelling demos, architecture reviews, deployment strategies, and success plans for stakeholders from Csuite to analyst level.
* Act as the customer advocate to ensure use cases, blockers, and requirements land clearly with engineering.
* Drive critical insights into engineering, influencing roadmap and priority decisions.
* Validate new features in\-market, gather real customer data, and ensure solutions land with quality.
* Convert adhoc support into scalable programs that raise operational maturity across CxE.
* Build and operationalize agent workflows, process automation, and Copilotintegrated mechanisms that reduce workload for field, customers, and engineering.
* Identify where AI can remove friction from customer deployment, adoption, or product usage.
* Create authoritative content: training sessions, conference material, talk tracks, onepagers, and scenario guides.
* Communicate clearly about initiative risks, accomplishments, learnings and opportunities.
* Become a subject matter expert on new and emerging capabilities from a technical breadth and depth perspective with a focus on security and AI.
* Drive critical feedback, insights, customer requirements to improve the solution, drive value to customers and overall solution adoption and consumption.
* Build and maintain key relationships with customer stakeholders to drive continued confidence and trust with Microsoft.
* Embody our Culture and Values
**Qualifications** **Required/minimum qualifications**
* Bachelor's Degree AND 5\+ years experience in product/service/program management or software development
	+ OR equivalent experience.
 **Other Requirements:** The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Experience with Purview including Data Loss Prevention (DLP) and Information Protection (MIP) or other enterprise security products.
\#MSFTSECURITY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1">
      <c r="A41" t="inlineStr">
        <is>
          <t>in-d650e2be755bcc9f</t>
        </is>
      </c>
      <c r="B41" t="inlineStr">
        <is>
          <t>Principal Technical Program Manager</t>
        </is>
      </c>
      <c r="C41" t="inlineStr">
        <is>
          <t>Microsoft</t>
        </is>
      </c>
      <c r="D41" t="inlineStr">
        <is>
          <t>indeed</t>
        </is>
      </c>
      <c r="E41" t="inlineStr"/>
      <c r="F41" t="inlineStr"/>
      <c r="G41" t="inlineStr">
        <is>
          <t>US</t>
        </is>
      </c>
      <c r="H41" s="1" t="n">
        <v>46048</v>
      </c>
      <c r="I41" t="inlineStr">
        <is>
          <t>**Overview**  
Microsoft’s Cloud \&amp; AI organization is building the infrastructure and platforms that power the world’s most advanced AI workloads. From hyperscale cloud services to cutting\-edge AI systems, our teams operate at the intersection of deep technical innovation, global scale, and real\-world customer impact.
In this role, you will lead the planning and execution of complex, multi\-year Engineering deliverables for Microsoft’s strategic AI partnerships. This will involve defining and driving project roadmaps, identifying critical milestones, and leading cross\-functional teams to ensure that deliverables are met on time and to the highest standards of quality. In addition, you will partner with executive stakeholders to communicate progress, manage expectations, and align on strategic objectives, playing a key role in shaping the success of Microsoft’s AI initiatives. Through your leadership, you will ensure excellence in the delivery of engineering commitments for these critical engagements, maintaining a focus on innovation, reliability, and customer impact at every stage.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Own the planning and end\-to\-end delivery of engineering commitments for Microsoft’s strategic AI customers, ensuring alignment with customer goals, technical requirements, and business outcomes.
* Coordinate multi\-workstream programs, manage escalations, and synthesize engineering and operational signals into actionable insights for senior leadership.
* Drive structured intake, prioritization, and transparency across engineering deliverables, ensuring clarity, timely reporting, and proactive identification and resolution of systemic issues.
* Build credibility and trust with customers, while effectively communicating complex AI infrastructure topics.
* Drive clear communication and alignment across stakeholder groups, including Engineering teams, Supply chain, Finance, Business development, Legal, and Security
* Prepare executive\-ready materials and updates to support decision\-making and stakeholder visibility across Cloud \&amp; AI
* Identify opportunities to streamline and automate processes to improve agility, scalability, and on\-time delivery
 **Qualifications** **Required/minimum qualifications**
* Bachelor's Degree AND 6\+ years experience in engineering, product/technical program management, data analysis, or product development OR equivalent experience.
**Additional or preferred qualifications*** Bachelor's Degree AND 12\+ years experience engineering, product/technical program management, data analysis, or product development OR equivalent experience.
* 8\+ years of experience managing cross\-functional and/or cross\-team projects.
* 1\+ year(s) of experience reading and/or writing code (e.g., sample documentation, product demos).
* 3\+ years of experience managing cross\-functional and/or cross\-team projects.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2">
      <c r="A42" t="inlineStr">
        <is>
          <t>in-47d0ff6ac98d36d9</t>
        </is>
      </c>
      <c r="B42" t="inlineStr">
        <is>
          <t>Sr. Product Manager Technical, Deal Tooling &amp; Insights, Strategic Customer Engagements</t>
        </is>
      </c>
      <c r="C42" t="inlineStr">
        <is>
          <t>Amazon Web Services</t>
        </is>
      </c>
      <c r="D42" t="inlineStr">
        <is>
          <t>indeed</t>
        </is>
      </c>
      <c r="E42" t="inlineStr"/>
      <c r="F42" t="inlineStr"/>
      <c r="G42" t="inlineStr">
        <is>
          <t>Herndon, VA, US</t>
        </is>
      </c>
      <c r="H42" s="1" t="n">
        <v>45994</v>
      </c>
      <c r="I4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3">
      <c r="A43" t="inlineStr">
        <is>
          <t>in-a61374c4a69c885d</t>
        </is>
      </c>
      <c r="B43" t="inlineStr">
        <is>
          <t>Sr. Product Manager Technical, Deal Tooling &amp; Insights, Strategic Customer Engagements</t>
        </is>
      </c>
      <c r="C43" t="inlineStr">
        <is>
          <t>Amazon Web Services</t>
        </is>
      </c>
      <c r="D43" t="inlineStr">
        <is>
          <t>indeed</t>
        </is>
      </c>
      <c r="E43" t="inlineStr"/>
      <c r="F43" t="inlineStr"/>
      <c r="G43" t="inlineStr">
        <is>
          <t>Austin, TX, US</t>
        </is>
      </c>
      <c r="H43" s="1" t="n">
        <v>45994</v>
      </c>
      <c r="I4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4">
      <c r="A44" t="inlineStr">
        <is>
          <t>in-afa55db73634f84b</t>
        </is>
      </c>
      <c r="B44" t="inlineStr">
        <is>
          <t>Sr. Product Manager Technical, Deal Tooling &amp; Insights, Strategic Customer Engagements</t>
        </is>
      </c>
      <c r="C44" t="inlineStr">
        <is>
          <t>Amazon Web Services</t>
        </is>
      </c>
      <c r="D44" t="inlineStr">
        <is>
          <t>indeed</t>
        </is>
      </c>
      <c r="E44" t="inlineStr"/>
      <c r="F44" t="inlineStr"/>
      <c r="G44" t="inlineStr">
        <is>
          <t>Seattle, WA, US</t>
        </is>
      </c>
      <c r="H44" s="1" t="n">
        <v>45994</v>
      </c>
      <c r="I4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5">
      <c r="A45" t="inlineStr">
        <is>
          <t>in-a908e730e50e72e1</t>
        </is>
      </c>
      <c r="B45" t="inlineStr">
        <is>
          <t>Sr. Product Manager Technical, Deal Tooling &amp; Insights, Strategic Customer Engagements</t>
        </is>
      </c>
      <c r="C45" t="inlineStr">
        <is>
          <t>Amazon Web Services</t>
        </is>
      </c>
      <c r="D45" t="inlineStr">
        <is>
          <t>indeed</t>
        </is>
      </c>
      <c r="E45" t="inlineStr"/>
      <c r="F45" t="inlineStr"/>
      <c r="G45" t="inlineStr">
        <is>
          <t>Dallas, TX, US</t>
        </is>
      </c>
      <c r="H45" s="1" t="n">
        <v>45994</v>
      </c>
      <c r="I4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6">
      <c r="A46" t="inlineStr">
        <is>
          <t>in-cb314e7ae784bb93</t>
        </is>
      </c>
      <c r="B46" t="inlineStr">
        <is>
          <t>Sr. Product Manager Technical, Deal Tooling &amp; Insights, Strategic Customer Engagements</t>
        </is>
      </c>
      <c r="C46" t="inlineStr">
        <is>
          <t>Amazon Web Services</t>
        </is>
      </c>
      <c r="D46" t="inlineStr">
        <is>
          <t>indeed</t>
        </is>
      </c>
      <c r="E46" t="inlineStr"/>
      <c r="F46" t="inlineStr"/>
      <c r="G46" t="inlineStr">
        <is>
          <t>New York, NY, US</t>
        </is>
      </c>
      <c r="H46" s="1" t="n">
        <v>45994</v>
      </c>
      <c r="I4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7">
      <c r="A47" t="inlineStr">
        <is>
          <t>in-a5b9f87c75cfb143</t>
        </is>
      </c>
      <c r="B47" t="inlineStr">
        <is>
          <t>Sr. Product Manager Technical, Deal Tooling &amp; Insights, Strategic Customer Engagements</t>
        </is>
      </c>
      <c r="C47" t="inlineStr">
        <is>
          <t>Amazon Web Services</t>
        </is>
      </c>
      <c r="D47" t="inlineStr">
        <is>
          <t>indeed</t>
        </is>
      </c>
      <c r="E47" t="inlineStr"/>
      <c r="F47" t="inlineStr"/>
      <c r="G47" t="inlineStr">
        <is>
          <t>Arlington, VA, US</t>
        </is>
      </c>
      <c r="H47" s="1" t="n">
        <v>45994</v>
      </c>
      <c r="I4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8">
      <c r="A48" t="inlineStr">
        <is>
          <t>in-74e9d64c5d0d694c</t>
        </is>
      </c>
      <c r="B48" t="inlineStr">
        <is>
          <t>VP I, Program Manager</t>
        </is>
      </c>
      <c r="C48" t="inlineStr">
        <is>
          <t>Circana</t>
        </is>
      </c>
      <c r="D48" t="inlineStr">
        <is>
          <t>indeed</t>
        </is>
      </c>
      <c r="E48" t="inlineStr"/>
      <c r="F48" t="inlineStr"/>
      <c r="G48" t="inlineStr">
        <is>
          <t>US</t>
        </is>
      </c>
      <c r="H48" s="1" t="n">
        <v>46078</v>
      </c>
      <c r="I48" t="inlineStr">
        <is>
          <t>**Position Overview:**  
We are seeking an experienced and highly skilled **Client\-Facing Program Executive** who has the capability to be a strategic and trusted advisor to our clients and program manage **multiple global technical teams** rolling our large scale platform as a service projects.
The Program Executive will oversee a portfolio of multi‑year, complex platform implementations, serve as the strategic partner for key client accounts, and drive both business outcomes and technical delivery excellence. This leader will be accountable for client success, commercial growth, stakeholder alignment, and global execution across engineering, data, product, and analytics teams
This role combines strategic leadership, client engagement, and technical acumen. You will translate client requirements into clear development plans, oversee the cross\-functional technical and business insights teams to design, test and deploy the solution to meet the clients reporting needs. If you are a strong communicator, comfortable with ambiguity, and passionate about data storytelling, we’d love to hear from you!
This individual will be responsible for overseeing the execution of a multi\-year technology implementation program , ensuring these projects are completed on time, within scope, and in alignment with client objectives.
The ideal candidate will have a proven ability to manage cross\-functional teams spread across different regions and time zones while maintaining strong client relationships.
**Key Responsibilities:**
* **Executive\-level stakeholder management:**
* Act as the main point of contact for client projects, working closely with the Client to ensure the client’s business needs and technical requirements are understood and met throughout the project lifecycle.
* Have strong interpersonal skills, a ‘can\-do’ philosophy and be a collaborative member of the operations team.
* Foster strong, positive client relationships and act as a trusted advisor during the project delivery
* Regularly update clients on project progress, managing \&amp; communicating risk and issues.
* **Program Strategy**
* Lead discovery sessions to understand client business goals and reporting needs.
* Understand all layers of the Liquid Data stack and Translate requirements into actionable plans for Technology teams.
* Accountable for building rapid rapport and trust with key client contacts (ranging from analysts to executives) and across functions within the highly matrixed Circana organization.
* Lead effective problem solving with the client and internal Circana teams to effectively capture and translate high\-level client requirements into clear plans for the Circana technology team.
* **Global Team Leadership:**
* Proven track record managing **multi\-disciplinary global teams** across different time zones and locations, ensuring collaboration and communication.
* Empower and drive teams to deliver against commitments.
* Coordinate and align the efforts of cross\-functional teams, including data scientists, engineers, analysts, and developers, across different geographic regions.
* Ensure that teams have the resources and support they need to successfully meet project goals and deadlines.
* Foster a culture of collaboration, ensuring that teams work efficiently despite time zone differences and geographical distances.
* **Project Planning and Execution:**
* Lead the planning, coordination, and delivery of client data analytics projects, ensuring alignment with both client business goals and technical requirements.
* Develop comprehensive project plans, defining scope, deliverables, timelines, and key milestones for each phase of the project.
* Collaborate with stakeholders from multiple teams and regions to ensure effective resource allocation, execution, and delivery.
* Monitor the progress of global teams, ensuring that tasks are completed on schedule and to the highest standards.
* **Risk and Issue Management:**
* Identify and manage risks related to project delivery, including data quality, system integration challenges, or resource allocation issues.
* Proactively address potential roadblocks or issues, working with global teams to resolve them quickly and effectively.
* Maintain proactive communication with clients regarding any risks or delays, managing expectations and ensuring timely resolution.
* **Collaboration and Communication:**
* Facilitate clear and consistent communication between clients, global teams, and internal stakeholders.
* Set up regular touchpoints (e.g., meetings, status updates, and reports) to ensure all parties are aligned on project progress and expectations.
* Use collaborative tools (such as Monday.com, Microsoft Teams, Jira, or others) to keep all global teams informed and engaged.
* Ensure that the project documentation, including requirements, timelines, and deliverables, is accessible and up to date for all teams.
* **Reporting and Documentation:**
* Create and maintain detailed project documentation, including project scope, objectives, timelines, and client communications.
* Provide regular reports on project status, including progress, risks, and any client or team updates both internally and externally to clients.
* Ensure that reporting is tailored to both technical and business stakeholders, with a focus on actionable insights and key metrics.
* **Budget and Resource Management:**
* Oversee project budgets, ensuring that global teams are working within financial constraints and delivering projects within the allocated budget.
* Optimize resource allocation across multiple teams and regions, ensuring that all required skill sets are available at the right time.
* Work with internal and client teams to track costs, manage invoicing, and maintain financial transparency.
**Requirements**
* Graduate degree in business, technology or related field.
* Prior experience in a VP/Director/Executive\-level client\-facing consulting role
* Proven revenue/resourcing/budget ownership at scale
* 8\+ years in a program management role, with preference for consulting experience.
* Proven experience in delivering large\-scale data integration and technology implementation projects.
* Demonstrated ability to build and grow long\-term
* Proven experience utilizing consulting methodologies to problem solve and deliver projects.
* Exceptional professionalism and executive presence in client facing communications.
* Exceptional leadership, time management, facilitation, and organizational skills
* Working knowledge of Customer analytics platforms
* Outstanding working knowledge of change management principles and performance evaluation processes
**Preferable Skills and Experience**
* Familiarity with Project Lifecycles, from Requirements through to Implementation whilst being comfortable with ambiguity in an R\&amp;D environment.
* Usage of supporting tools commonly used in e.g. Jira, Confluence, MS Project \&amp; Monday.com
* Understanding of Product Lifecycles
* CPG Experience \- Experience in CPG, but a strong interest in developing knowledge in the industry would also make a candidate successful
* Experience with **cloud platforms** (e.g., AWS, Google Cloud, Azure) and **cloud\-based data analytics**.
* Familiarity with **data\-driven decision\-making** and KPIs specific to client industries: Consumer Packaged Goods and Retail.
**Circana Behaviors**
As well as the technical skills, experience and attributes that are required for the role, our shared behaviors sit at the core of our organization. Therefore, we always look for people who can continuously champion these behaviors throughout the business within their day\-to\-day role:
* Stay Curious: Being hungry to learn and grow, always asking the big questions.
* Seek Clarity: Embracing complexity to create clarity and inspire action.
* Own the Outcome: Being accountable for decisions and taking ownership of our choices.
* Center on the Client: Relentlessly adding value for our customers.
* Be a Challenger: Never complacent, always striving for continuous improvement.
* Champion Inclusivity: Fostering trust in relationships engaging with empathy, respect, and integrity.
* Commit to each other: Contributing to making Circana a great place to work for everyone.
**Location**
This position can be located in the following area(s): Remote with 15%\- 20% travel to Richmond, VA and Stamford CT (Client locations).
*Prospective candidates may be asked to consent to background checks (in accordance with local legislation and our* *candidate privacy notice* *)* *Your current employer will not be contacted without your permission.*
The below range reflects the range of possible compensation for this role at the time of this posting. We may ultimately pay more or less than the posted range. This range may be modified in the future. An employee’s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The salary range for this role is $140K to $200K
This job is also eligible for bonus pay.
We offer a comprehensive package of benefits including paid time off, medical/dental/vision insurance and 401(k) to eligible employees.
You can apply for this role through methods such as our Careers website link and/or Intranet site for internal candidates. This role is subject to AI\-assisted screening. Circana uses artificial intelligence (AI) to assess resumes for alignment with job requirements by helping locate details in resumes that relate to the job description.
The anticipated application deadline for this position is 3/31/2026\.</t>
        </is>
      </c>
    </row>
    <row r="49">
      <c r="A49" t="inlineStr">
        <is>
          <t>in-df3d7c0874d03ff2</t>
        </is>
      </c>
      <c r="B49" t="inlineStr">
        <is>
          <t>Principal Product Manager - Tech, Recommender Systems, Prime Video Personalization &amp; Discovery</t>
        </is>
      </c>
      <c r="C49" t="inlineStr">
        <is>
          <t>Amazon.com</t>
        </is>
      </c>
      <c r="D49" t="inlineStr">
        <is>
          <t>indeed</t>
        </is>
      </c>
      <c r="E49" t="inlineStr"/>
      <c r="F49" t="inlineStr"/>
      <c r="G49" t="inlineStr">
        <is>
          <t>Washington, DC, US</t>
        </is>
      </c>
      <c r="H49" s="1" t="n">
        <v>45753</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in-4d7a64dfc56c70a6</t>
        </is>
      </c>
      <c r="B50" t="inlineStr">
        <is>
          <t>Principal Product Manager - Tech, Recommender Systems, Prime Video Personalization &amp; Discovery</t>
        </is>
      </c>
      <c r="C50" t="inlineStr">
        <is>
          <t>Amazon.com</t>
        </is>
      </c>
      <c r="D50" t="inlineStr">
        <is>
          <t>indeed</t>
        </is>
      </c>
      <c r="E50" t="inlineStr"/>
      <c r="F50" t="inlineStr"/>
      <c r="G50" t="inlineStr">
        <is>
          <t>Seattle, WA, US</t>
        </is>
      </c>
      <c r="H50" s="1" t="n">
        <v>45753</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in-d10cad337f54e2c8</t>
        </is>
      </c>
      <c r="B51" t="inlineStr">
        <is>
          <t>Program Manager, ReLo Ops Excellence, Relo Ops Integration</t>
        </is>
      </c>
      <c r="C51" t="inlineStr">
        <is>
          <t>Amazon.com</t>
        </is>
      </c>
      <c r="D51" t="inlineStr">
        <is>
          <t>indeed</t>
        </is>
      </c>
      <c r="E51" t="inlineStr"/>
      <c r="F51" t="inlineStr"/>
      <c r="G51" t="inlineStr">
        <is>
          <t>Nashville, TN, US</t>
        </is>
      </c>
      <c r="H51" s="1" t="n">
        <v>46020</v>
      </c>
      <c r="I5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52">
      <c r="A52" t="inlineStr">
        <is>
          <t>in-9a158288ce15c07b</t>
        </is>
      </c>
      <c r="B52" t="inlineStr">
        <is>
          <t>Program Manager, ReLo Ops Excellence, Relo Ops Integration</t>
        </is>
      </c>
      <c r="C52" t="inlineStr">
        <is>
          <t>Amazon.com</t>
        </is>
      </c>
      <c r="D52" t="inlineStr">
        <is>
          <t>indeed</t>
        </is>
      </c>
      <c r="E52" t="inlineStr"/>
      <c r="F52" t="inlineStr"/>
      <c r="G52" t="inlineStr">
        <is>
          <t>Bellevue, WA, US</t>
        </is>
      </c>
      <c r="H52" s="1" t="n">
        <v>46020</v>
      </c>
      <c r="I5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53">
      <c r="A53" t="inlineStr">
        <is>
          <t>in-68ddd8202bb570db</t>
        </is>
      </c>
      <c r="B53" t="inlineStr">
        <is>
          <t>Program Manager, ReLo Ops Excellence, Relo Ops Integration</t>
        </is>
      </c>
      <c r="C53" t="inlineStr">
        <is>
          <t>Amazon.com</t>
        </is>
      </c>
      <c r="D53" t="inlineStr">
        <is>
          <t>indeed</t>
        </is>
      </c>
      <c r="E53" t="inlineStr"/>
      <c r="F53" t="inlineStr"/>
      <c r="G53" t="inlineStr">
        <is>
          <t>Dallas, TX, US</t>
        </is>
      </c>
      <c r="H53" s="1" t="n">
        <v>46020</v>
      </c>
      <c r="I5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54">
      <c r="A54" t="inlineStr">
        <is>
          <t>in-0324097ba8a0574b</t>
        </is>
      </c>
      <c r="B54" t="inlineStr">
        <is>
          <t>Program Manager, ReLo Ops Excellence, Relo Ops Integration</t>
        </is>
      </c>
      <c r="C54" t="inlineStr">
        <is>
          <t>Amazon.com</t>
        </is>
      </c>
      <c r="D54" t="inlineStr">
        <is>
          <t>indeed</t>
        </is>
      </c>
      <c r="E54" t="inlineStr"/>
      <c r="F54" t="inlineStr"/>
      <c r="G54" t="inlineStr">
        <is>
          <t>Phoenix, AZ, US</t>
        </is>
      </c>
      <c r="H54" s="1" t="n">
        <v>46020</v>
      </c>
      <c r="I5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55">
      <c r="A55" t="inlineStr">
        <is>
          <t>in-cc7f7ece4e00dba2</t>
        </is>
      </c>
      <c r="B55" t="inlineStr">
        <is>
          <t>Principal Product Manager Technical, Creative X - RAPID</t>
        </is>
      </c>
      <c r="C55" t="inlineStr">
        <is>
          <t>Amazon.com</t>
        </is>
      </c>
      <c r="D55" t="inlineStr">
        <is>
          <t>indeed</t>
        </is>
      </c>
      <c r="E55" t="inlineStr"/>
      <c r="F55" t="inlineStr"/>
      <c r="G55" t="inlineStr">
        <is>
          <t>New York, NY, US</t>
        </is>
      </c>
      <c r="H55" s="1" t="n">
        <v>45939</v>
      </c>
      <c r="I5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56">
      <c r="A56" t="inlineStr">
        <is>
          <t>in-efa4a1a74a0bddb0</t>
        </is>
      </c>
      <c r="B56" t="inlineStr">
        <is>
          <t>Principal Product Manager Technical, Creative X - RAPID</t>
        </is>
      </c>
      <c r="C56" t="inlineStr">
        <is>
          <t>Amazon.com</t>
        </is>
      </c>
      <c r="D56" t="inlineStr">
        <is>
          <t>indeed</t>
        </is>
      </c>
      <c r="E56" t="inlineStr"/>
      <c r="F56" t="inlineStr"/>
      <c r="G56" t="inlineStr">
        <is>
          <t>Seattle, WA, US</t>
        </is>
      </c>
      <c r="H56" s="1" t="n">
        <v>45939</v>
      </c>
      <c r="I56"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57">
      <c r="A57" t="inlineStr">
        <is>
          <t>in-7dccef6910c2120a</t>
        </is>
      </c>
      <c r="B57" t="inlineStr">
        <is>
          <t>Product Manager (Remote EST)</t>
        </is>
      </c>
      <c r="C57" t="inlineStr">
        <is>
          <t>RFMW</t>
        </is>
      </c>
      <c r="D57" t="inlineStr">
        <is>
          <t>indeed</t>
        </is>
      </c>
      <c r="E57">
        <f>HYPERLINK("https://www.indeed.com/viewjob?jk=7dccef6910c2120a", "https://www.indeed.com/viewjob?jk=7dccef6910c2120a")</f>
        <v/>
      </c>
      <c r="F57">
        <f>HYPERLINK("https://recruiting2.ultipro.com/EXP1007EXTG/JobBoard/ecc35a6b-92e1-4a06-8a55-1ddeacd6ff15/OpportunityDetail?opportunityId=072faafd-8a62-4390-8ce2-6edb642574ad&amp;postingId=6f279a0c-f68a-471b-b61e-cb2bc6cc2aad", "https://recruiting2.ultipro.com/EXP1007EXTG/JobBoard/ecc35a6b-92e1-4a06-8a55-1ddeacd6ff15/OpportunityDetail?opportunityId=072faafd-8a62-4390-8ce2-6edb642574ad&amp;postingId=6f279a0c-f68a-471b-b61e-cb2bc6cc2aad")</f>
        <v/>
      </c>
      <c r="G57" t="inlineStr">
        <is>
          <t>Boston, MA, US</t>
        </is>
      </c>
      <c r="H57" s="2" t="n">
        <v>46078</v>
      </c>
      <c r="I57" t="inlineStr">
        <is>
          <t>The Product Manager is accountable for managing a specific product type / category / class or specific supplier to (1\) provide the correct mix/inventory levels of products required to meet customer needs and sales requirements; (2\) minimize costs/maximize profits through effective inventory management, purchasing decisions, and supplier relationships; (3\) be the main liaison between the supplier(s) and the RFMW sales team focused on but not limited to, product promotion, marketing, pricing, design registrations (4\) enhance the image of RFMW in the marketplace as the distributor of choice; and (5\) achieve corporate sales, gross profit margin and pre\-tax profit goals.
##### ***RFMW*** ***is an electronic component distributor of RF and microwave products.*** ***This position is remote with the ideal candidate located in the Eastern Standard Time zone (EST).***
**ACCOUNTABILITIES**
Main contact with the supplier(s) for RFMW.
Manages pricing, handles quotes between sales team and suppliers, design registration programs. Supports sales to increase business and achieve total customer satisfaction by working directly with suppliers on quotes to obtain the most competitive position possible.
Effectively manages inventory within company goals for assigned product type / category / class or supplier in order to maintain correct mix that meets corporate financial objectives and customer requirements.
Consults with RFMW sales representatives regarding customer needs, product features, product availability, cost issues, etc. in order to maximize potential for sales representative success. Provides ongoing education/promotion when interacting with sales organization to effectively market product type or supplier.
Develops and maintains successful supplier relationships and provides product solutions/unique advantages to suppliers and customers so that RFMW is considered the preferred partner for suppliers and the preferred provider of products for customers.
Maintains system integrity by ensuring that RFMW systems/databases reflect accurate, comprehensive and up\-to date product\-related information (increment quantity, minimum order quantities, correct costs, delivery information, etc.) for assigned product type or supplier.
Processes and resolves accounting, receiving and customer rejected concerns in an expeditious manner by researching the issue, determining appropriate resolution and by providing disposition for nonconforming product to the appropriate parties.
Additional duties as assigned.
**EDUCATION \&amp; EXPERIENCE**
Bachelor's Degree or equivalent related work experience preferred. Five to seven years of progressive industry related experience preferred including sales, marketing, product management, distribution, asset management, etc. General knowledge of RF Industry.
**SKILLS \&amp; CERTIFICATIONS**
* Knowledge of Microsoft Office Applications (Excel, PowerPoint, Word and Outlook) at the intermediate level preferred.
**What we offer our team members:**
* A great benefits package that includes (but is not limited to) Medical/ Dental/ Vision, 401(k)/Roth plan with matching, Healthcare Savings Accounts.
* Educational Assistance (Tuition Reimbursement).
* Ongoing training throughout your employment with opportunities to participate in professional and personal development programs.
* A strong focus on giving back to our communities through philanthropic opportunities.
* Great culture and opportunities for growth and advancement.
Total Annual Compensation: $64,000 \- $80,000/year. Actual compensation offer to candidate may vary from posted hiring range based upon geographic location, work experience, education, and/or skill level. The pay ratio between base pay and target incentive (if applicable) will be finalized at offer.
*This position requires use of information or access to hardware which is subject to the International Traffic in Arms Regulations (ITAR). To perform the position, you must be a U.S. Person as defined by ITAR. ITAR defines a U.S. person as a U.S. Citizen, U.S. Permanent Resident (i.e. ‘Green Card Holder’), Political Asylee, or Refugee.*
*Visa sponsorship is not available for this role. Only candidates authorized to work in the United States will be considered.*
*RFMW/XTG is an Equal Opportunity Employer, and we support protected veterans and individuals with disability thorough our affirmative action program. RFMW is a business unit of Exponential Technology Group, Inc. (XTG). XTG is a subsidiary of TTI, a wholly owned subsidiary of Berkshire Hathaway Inc.*</t>
        </is>
      </c>
    </row>
    <row r="58">
      <c r="A58" t="inlineStr">
        <is>
          <t>in-e7f7f9bbbc7de1d4</t>
        </is>
      </c>
      <c r="B58" t="inlineStr">
        <is>
          <t>Senior Program Manager, Sales Enablement (PEO)</t>
        </is>
      </c>
      <c r="C58" t="inlineStr">
        <is>
          <t>Rippling</t>
        </is>
      </c>
      <c r="D58" t="inlineStr">
        <is>
          <t>indeed</t>
        </is>
      </c>
      <c r="E58">
        <f>HYPERLINK("https://www.indeed.com/viewjob?jk=e7f7f9bbbc7de1d4", "https://www.indeed.com/viewjob?jk=e7f7f9bbbc7de1d4")</f>
        <v/>
      </c>
      <c r="F58">
        <f>HYPERLINK("https://ats.rippling.com/rippling/jobs/931859fc-3c95-4f58-8e10-5e217ba87ade?jobSite=Indeed", "https://ats.rippling.com/rippling/jobs/931859fc-3c95-4f58-8e10-5e217ba87ade?jobSite=Indeed")</f>
        <v/>
      </c>
      <c r="G58" t="inlineStr">
        <is>
          <t>New York, NY, US</t>
        </is>
      </c>
      <c r="H58" s="2" t="n">
        <v>46078</v>
      </c>
      <c r="I58"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 is looking for a Senior Program Manager, Sales Enablement (PEO) to support one of our most complex and high\-impact product areas across PEO, Benefits, and Talent.
This role sits within the Product Enablement organization and partners closely with the VP of Sales for PEO/Benefits/Talent to drive seller readiness, accelerate ramp time, and ensure successful product adoption across revenue teams.
The ideal candidate thrives in fast\-moving environments, enjoys operating at both strategic and executional levels, and excels at translating complex, technical products into clear, actionable training programs.
You will act as a thought partner to senior sales leadership, deeply understand product launches and competitive positioning, and design scalable enablement programs that directly impact revenue outcomes.
This role reports to the Manager of Product Enablement and works cross\-functionally with Product, Marketing, Sales Leadership, and RevOps.
 **What you will do**
* Partner directly with Sales leadership as a strategic enablement thought partner supporting PEO, Benefits, and Talent teams
* Develop deep expertise in Rippling’s PEO landscape, competitive differentiation, and product ecosystem
* Design and deliver training programs supporting product launches, messaging adoption, change management, and sales execution
* Build, maintain, and continuously improve onboarding curriculum for new hires
* Identify skill gaps across revenue teams and develop targeted enablement initiatives
* Drive change management and communication strategies for major launches and organizational priorities
* Collaborate cross\-functionally with Product, Marketing, Sales, and RevOps teams to ensure alignment
* Improve seller productivity by reducing time\-to\-ramp and improving retention outcomes
* Create scalable enablement infrastructure that supports rapid company growth
**What you will need**
----------------------
* 5\+ years of experience in Sales, Sales Enablement, Product Marketing, or related GTM roles
* Strong program and project management skills with the ability to manage multiple priorities simultaneously
* Experience building structured training programs and enablement materials
* Demonstrated ability to work cross\-functionally and influence stakeholders across organizations
* Highly organized with exceptional operational rigor
* Ability to proactively identify opportunities for improvement and drive change
* Comfortable operating in ambiguity within a fast\-paced environment
**Preferred Qualifications**
----------------------------
* Experience working in or supporting a PEO, HR Tech, Payroll, Benefits, or Insurance go\-to\-market organization
* Background supporting multiple seller personas
* Experience supporting technical or complex product portfolios
* Strong analytical mindset with experience measuring enablement impact through data
* Experience partnering directly with executive\-level sales leadership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162,000 \- 180,000 USD per year(US San Francisco Bay Area)  
135,000 \- 165,000 USD per year(US Tier 2\)  
135,000 \- 165,000 USD per year(US Tier 3\)  
162,000 \- 180,000 USD per year(US Tier 1\)</t>
        </is>
      </c>
    </row>
    <row r="59">
      <c r="A59" t="inlineStr">
        <is>
          <t>in-91ef7ee0ddf2e7a4</t>
        </is>
      </c>
      <c r="B59" t="inlineStr">
        <is>
          <t>Senior Program Manager, Sales Enablement (PEO)</t>
        </is>
      </c>
      <c r="C59" t="inlineStr">
        <is>
          <t>Rippling</t>
        </is>
      </c>
      <c r="D59" t="inlineStr">
        <is>
          <t>indeed</t>
        </is>
      </c>
      <c r="E59">
        <f>HYPERLINK("https://www.indeed.com/viewjob?jk=91ef7ee0ddf2e7a4", "https://www.indeed.com/viewjob?jk=91ef7ee0ddf2e7a4")</f>
        <v/>
      </c>
      <c r="F59">
        <f>HYPERLINK("https://ats.rippling.com/rippling/jobs/931859fc-3c95-4f58-8e10-5e217ba87ade?jobSite=Indeed", "https://ats.rippling.com/rippling/jobs/931859fc-3c95-4f58-8e10-5e217ba87ade?jobSite=Indeed")</f>
        <v/>
      </c>
      <c r="G59" t="inlineStr">
        <is>
          <t>San Francisco, CA, US</t>
        </is>
      </c>
      <c r="H59" s="2" t="n">
        <v>46078</v>
      </c>
      <c r="I59"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 is looking for a Senior Program Manager, Sales Enablement (PEO) to support one of our most complex and high\-impact product areas across PEO, Benefits, and Talent.
This role sits within the Product Enablement organization and partners closely with the VP of Sales for PEO/Benefits/Talent to drive seller readiness, accelerate ramp time, and ensure successful product adoption across revenue teams.
The ideal candidate thrives in fast\-moving environments, enjoys operating at both strategic and executional levels, and excels at translating complex, technical products into clear, actionable training programs.
You will act as a thought partner to senior sales leadership, deeply understand product launches and competitive positioning, and design scalable enablement programs that directly impact revenue outcomes.
This role reports to the Manager of Product Enablement and works cross\-functionally with Product, Marketing, Sales Leadership, and RevOps.
 **What you will do**
* Partner directly with Sales leadership as a strategic enablement thought partner supporting PEO, Benefits, and Talent teams
* Develop deep expertise in Rippling’s PEO landscape, competitive differentiation, and product ecosystem
* Design and deliver training programs supporting product launches, messaging adoption, change management, and sales execution
* Build, maintain, and continuously improve onboarding curriculum for new hires
* Identify skill gaps across revenue teams and develop targeted enablement initiatives
* Drive change management and communication strategies for major launches and organizational priorities
* Collaborate cross\-functionally with Product, Marketing, Sales, and RevOps teams to ensure alignment
* Improve seller productivity by reducing time\-to\-ramp and improving retention outcomes
* Create scalable enablement infrastructure that supports rapid company growth
**What you will need**
----------------------
* 5\+ years of experience in Sales, Sales Enablement, Product Marketing, or related GTM roles
* Strong program and project management skills with the ability to manage multiple priorities simultaneously
* Experience building structured training programs and enablement materials
* Demonstrated ability to work cross\-functionally and influence stakeholders across organizations
* Highly organized with exceptional operational rigor
* Ability to proactively identify opportunities for improvement and drive change
* Comfortable operating in ambiguity within a fast\-paced environment
**Preferred Qualifications**
----------------------------
* Experience working in or supporting a PEO, HR Tech, Payroll, Benefits, or Insurance go\-to\-market organization
* Background supporting multiple seller personas
* Experience supporting technical or complex product portfolios
* Strong analytical mindset with experience measuring enablement impact through data
* Experience partnering directly with executive\-level sales leadership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162,000 \- 180,000 USD per year(US San Francisco Bay Area)  
135,000 \- 165,000 USD per year(US Tier 2\)  
135,000 \- 165,000 USD per year(US Tier 3\)  
162,000 \- 180,000 USD per year(US Tier 1\)</t>
        </is>
      </c>
    </row>
    <row r="60">
      <c r="A60" t="inlineStr">
        <is>
          <t>in-681eae1936e668ec</t>
        </is>
      </c>
      <c r="B60" t="inlineStr">
        <is>
          <t>Senior Program Manager, Sales Enablement (PEO)</t>
        </is>
      </c>
      <c r="C60" t="inlineStr">
        <is>
          <t>Rippling</t>
        </is>
      </c>
      <c r="D60" t="inlineStr">
        <is>
          <t>indeed</t>
        </is>
      </c>
      <c r="E60">
        <f>HYPERLINK("https://www.indeed.com/viewjob?jk=681eae1936e668ec", "https://www.indeed.com/viewjob?jk=681eae1936e668ec")</f>
        <v/>
      </c>
      <c r="F60">
        <f>HYPERLINK("https://ats.rippling.com/rippling/jobs/931859fc-3c95-4f58-8e10-5e217ba87ade?jobSite=Indeed", "https://ats.rippling.com/rippling/jobs/931859fc-3c95-4f58-8e10-5e217ba87ade?jobSite=Indeed")</f>
        <v/>
      </c>
      <c r="G60" t="inlineStr">
        <is>
          <t>Austin, TX, US</t>
        </is>
      </c>
      <c r="H60" s="2" t="n">
        <v>46078</v>
      </c>
      <c r="I60"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
Rippling is looking for a Senior Program Manager, Sales Enablement (PEO) to support one of our most complex and high\-impact product areas across PEO, Benefits, and Talent.
This role sits within the Product Enablement organization and partners closely with the VP of Sales for PEO/Benefits/Talent to drive seller readiness, accelerate ramp time, and ensure successful product adoption across revenue teams.
The ideal candidate thrives in fast\-moving environments, enjoys operating at both strategic and executional levels, and excels at translating complex, technical products into clear, actionable training programs.
You will act as a thought partner to senior sales leadership, deeply understand product launches and competitive positioning, and design scalable enablement programs that directly impact revenue outcomes.
This role reports to the Manager of Product Enablement and works cross\-functionally with Product, Marketing, Sales Leadership, and RevOps.
 **What you will do**
* Partner directly with Sales leadership as a strategic enablement thought partner supporting PEO, Benefits, and Talent teams
* Develop deep expertise in Rippling’s PEO landscape, competitive differentiation, and product ecosystem
* Design and deliver training programs supporting product launches, messaging adoption, change management, and sales execution
* Build, maintain, and continuously improve onboarding curriculum for new hires
* Identify skill gaps across revenue teams and develop targeted enablement initiatives
* Drive change management and communication strategies for major launches and organizational priorities
* Collaborate cross\-functionally with Product, Marketing, Sales, and RevOps teams to ensure alignment
* Improve seller productivity by reducing time\-to\-ramp and improving retention outcomes
* Create scalable enablement infrastructure that supports rapid company growth
**What you will need**
----------------------
* 5\+ years of experience in Sales, Sales Enablement, Product Marketing, or related GTM roles
* Strong program and project management skills with the ability to manage multiple priorities simultaneously
* Experience building structured training programs and enablement materials
* Demonstrated ability to work cross\-functionally and influence stakeholders across organizations
* Highly organized with exceptional operational rigor
* Ability to proactively identify opportunities for improvement and drive change
* Comfortable operating in ambiguity within a fast\-paced environment
**Preferred Qualifications**
----------------------------
* Experience working in or supporting a PEO, HR Tech, Payroll, Benefits, or Insurance go\-to\-market organization
* Background supporting multiple seller personas
* Experience supporting technical or complex product portfolios
* Strong analytical mindset with experience measuring enablement impact through data
* Experience partnering directly with executive\-level sales leadership
**Additional Information**
--------------------------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162,000 \- 180,000 USD per year(US San Francisco Bay Area)  
135,000 \- 165,000 USD per year(US Tier 2\)  
135,000 \- 165,000 USD per year(US Tier 3\)  
162,000 \- 180,000 USD per year(US Tier 1\)</t>
        </is>
      </c>
    </row>
    <row r="61">
      <c r="A61" t="inlineStr">
        <is>
          <t>in-54024073de58c607</t>
        </is>
      </c>
      <c r="B61" t="inlineStr">
        <is>
          <t>PROGRAM MANAGER FOR AN ADULT FAMILY HOME</t>
        </is>
      </c>
      <c r="C61" t="inlineStr">
        <is>
          <t>River City Estates</t>
        </is>
      </c>
      <c r="D61" t="inlineStr">
        <is>
          <t>indeed</t>
        </is>
      </c>
      <c r="E61">
        <f>HYPERLINK("https://www.indeed.com/viewjob?jk=54024073de58c607", "https://www.indeed.com/viewjob?jk=54024073de58c607")</f>
        <v/>
      </c>
      <c r="F61">
        <f>HYPERLINK("http://www.indeed.com/job/program-manager-adult-family-home-54024073de58c607", "http://www.indeed.com/job/program-manager-adult-family-home-54024073de58c607")</f>
        <v/>
      </c>
      <c r="G61" t="inlineStr">
        <is>
          <t>Hewitt, WI, US</t>
        </is>
      </c>
      <c r="H61" s="2" t="n">
        <v>46078</v>
      </c>
      <c r="I61" t="inlineStr">
        <is>
          <t>We are currently seeking compassionate individuals to join our team in the role of Program Manager. Our caregiving company, dedicated to providing exceptional care since 2006\.
The Program Manager is an individual that ensures the home provides and maintains the highest level of care and service in accordance with the company’s mission, vision and values. This position will directly report to the Director and is responsible for administering day\-to\-day operations and care management.
**Qualifications:**
* Caregiving experience is preferred
* Office/Administrative experience preferred
* Excellent verbal and written communication skills
* Excellent listening, personal and soft skills
* Ability to multitask and re\-prioritize
* Ability to recognize and understand quality service
* Willingness to do on\-call support after hours
**Responsibilities:**
Manage of hired caregiver. Including but not limited to:
* Evaluate employee performance.
* Fill schedules for homes.
* Be a role model for staff, provide motivation and foster team development.
* Complete necessary disciplinary action, reeducation and positive feedback.
Ensure the integrity of the homes are up to RCE standards. That all homes are kept clean, tidy and well maintained. Including but not limited to:
* Fire drills and smoke alarm testing and reporting.
* Linen and furnishings are up to standards.
* Accurate number of supplies available weekly including completing weekly grocery lists
Working collaboratively to develop, resident centered care plans (Behavioral Support Plans, Individualized Service Plans and Provision of Care) and provide on\-going care coordination, quality assurance and monitoring of services. Including but not limited to:
* Remain in contact with each resident’s care team.
* Ensure all prescribed or PRN medication is available in the home.
* Assist residents in all aspects of personal care.
* Develop activity schedules to meet all client’s needs for both in home and community activities.
* Ensure all appropriate records are maintained for each resident according to protocol and all monthly reporting is completed on time and accurately.
**Are you ready to Join Our Team?**
If you would like to be part of a productive, successful team APPLY TODAY!
Any questions contact the Office Manager at 715\-897\-2042
Job Type: Full\-time
Pay: $20\.00 per hour
Expected hours: No less than 40 per week
Benefits:
* 401(k)
* Dental insurance
* Health insurance
* Paid time off
* Vision insurance
Application Question(s):
* Do you have experience working with people with developmental disabilities?
Education:
* High school or equivalent (Required)
Experience:
* Program Management: 2 years (Required)
* Caregiving: 4 years (Required)
License/Certification:
* Driver's License (Required)
Ability to Commute:
* Hewitt, WI 54441 (Required)
Work Location: In person</t>
        </is>
      </c>
    </row>
    <row r="62">
      <c r="A62" t="inlineStr">
        <is>
          <t>in-5f2ae7c3080d0aaf</t>
        </is>
      </c>
      <c r="B62" t="inlineStr">
        <is>
          <t>Product Manager - Soft Goods</t>
        </is>
      </c>
      <c r="C62" t="inlineStr">
        <is>
          <t>Gemline</t>
        </is>
      </c>
      <c r="D62" t="inlineStr">
        <is>
          <t>indeed</t>
        </is>
      </c>
      <c r="E62">
        <f>HYPERLINK("https://www.indeed.com/viewjob?jk=5f2ae7c3080d0aaf", "https://www.indeed.com/viewjob?jk=5f2ae7c3080d0aaf")</f>
        <v/>
      </c>
      <c r="F62">
        <f>HYPERLINK("http://www.indeed.com/job/product-manager-soft-goods-5f2ae7c3080d0aaf", "http://www.indeed.com/job/product-manager-soft-goods-5f2ae7c3080d0aaf")</f>
        <v/>
      </c>
      <c r="G62" t="inlineStr">
        <is>
          <t>Lawrence, MA, US</t>
        </is>
      </c>
      <c r="H62" s="2" t="n">
        <v>46078</v>
      </c>
      <c r="I62" t="inlineStr">
        <is>
          <t>**Product Manager – Soft Goods**
**THE COMPANY**
Founded in 1958, Gemline is a multi\-award\-winning consumer products supplier servicing the $27B promotional products industry, and is recognized as one of the largest and most respected companies in its industry. Ranked as the 12th largest supplier in revenues industrywide by the Advertising Specialty Institute, Gemline offers a diverse product portfolio that includes bags, backpacks, headwear, umbrellas, luggage, drinkware, electronics, stationery, writing instruments, gourmet foods, lifestyle gifts, and more. In addition to its 12 in\-house developed brands, Gemline partners with 34 renowned global consumer brands, including Ahead™, American Tourister®, Anker®, Cool Gear®, CORKCICLE®, Cuisinart®, Hartmann®, High Sierra®, Igloo®, iLive®, MiiR®, Moleskine®, New Balance®, Osprey®, Paper Mate®, Samsonite®, Sharpie®, Timbuk2®, Yankee Candle® and more.
Gemline is widely recognized for its high\-quality products, innovative design, retail brand portfolio, responsible business practices and exceptional customer service. The company has deep expertise in design, product engineering \&amp; development, CI/Lean, factory oversight, compliance and global sourcing diversification, and is an industry leader in sustainably made products. Its business model makes the process seamless and efficient for distributor partners, creating a strong B2B2B experience.
At Gemline, community is at the core of the company’s purpose, "We Promote Community," which shapes the company’s culture, influences product design, and drives its commitment to creating a positive global impact. Guided by its betterwayTM corporate social responsibility efforts, Gemline focuses on bettering people and the environment. In 2024, the company became both a globally certified B Corporation and registered Massachusetts B Corporation, reinforcing its dedication to balancing purpose and profit.
Gemline has been recognized as one of the Greatest Companies to Work For on multiple occasions, and most recently in 2025 by PPAI, a leading industry association. "Pride in People, Pride in Product" is more than a motto at Gemline, it is a way of life. The company’s associates play a crucial role in delivering an exceptional customer experience, guided by strong foundational values of trust, integrity, humility, diversity, community, and truth. Gemline's success reflects its associates' success, and its culture thrives on collaboration, initiative, continuous problem\-solving, safety, and respect for people.
Headquartered in Lawrence, Massachusetts, Gemline operates an integrated light manufacturing facility and distribution center, along with a secondary overflow warehouse, also in Lawrence. Additionally, the company operates a global technical center in Southern China that manages supply chain functions across Asia, including product development, sourcing, quality assurance, compliance, and logistics. It also has two sourcing offices in Vietnam and India. With approximately $140 million in annual revenue and 500 employees worldwide, Gemline is poised for continued growth.
**THE POSITION**
Gemline is seeking a Product Manager to support a portfolio of house and retail brands across multiple product categories. This role is responsible for managing the product lifecycle from concept through customer delivery, supporting strategic planning, product positioning, launch execution, and ongoing lifecycle management. The Product Manager manages specific product lines and brand partnerships within the Product Management Team, driving the product roadmap from concept to customer. They partner closely with cross\-functional teams across Sales, Marketing, Design, Development, Supply Chain, and Finance to bring compelling, market\-relevant products to life and drive category performance through data\-driven decision making.
This role reports to the Senior Product Manager and does not include direct supervisory responsibility. If interested, please send your resume to: abrown@gemline.comKey Responsibilities
* Conduct and support strategic business planning for assigned categories, including revenue and margin objectives, in partnership with the Senior Product Manager.
* Manage the full product lifecycle across multiple categories, from concept development and pipeline planning through launch, optimization, and end\-of\-life decisions.
* Drive the product creation process by identifying compelling product and brand opportunities aligned with Gemline strategy, retail brand partners, category needs, and financial goals.
* Ensure products are consumer\-relevant, trend\-forward, competitively positioned, and deliver a differentiated gifting proposition.
* Partner closely with retail brand partners to identify opportunities, conduct business analyses, and evaluate brand and product performance.
* Analyze U.S. and Canadian market trends and competitive landscapes to inform product strategy, assortment decisions, and innovation opportunities.
* Collaborate cross\-functionally with Marketing, Sales, Design, Development, Supply Chain, and Finance to ensure successful execution of product strategies and collections.
* Partner with Marketing on sales enablement and customer\-facing marketing strategies and materials.
* Develop and present product strategies, category plans, and product lines to internal stakeholders.
* Own product analytics and reporting, translating sales, forecast, and performance data into actionable product and business decisions.
* Build expertise in Gemline’s product lifecycles, systems, processes, and methodologies, ensuring accurate and timely product data.
* Mentor and support peers and contribute to continuous improvement initiatives.
* Additional tasks and deliverables as assigned by management.
**THE CANDIDATE**
*Qualifications \&amp; Experience*
* Bachelor’s degree in Marketing, Business, or a related field required.
* 4–6 years of experience in product management or product marketing, preferably within a consumer goods company with category responsibility.
* Proven ability to thrive in a fast\-paced team\-driven environment, managing multiple priorities and deadlines.
* Strong project management skills, with exceptional organization, attention to detail, and executional rigor.
* Collaborative, flexible, and solution\-oriented mindset, with the ability to work effectively across cross\-functional teams.
* Excellent communication and presentation skills, with the ability to influence and engage stakeholders.
* Strong analytical and business acumen, with the ability to translate data into insights and actions.
* Advanced proficiency in Microsoft Office (Excel, PowerPoint) and working knowledge of PLM systems.
* High level of initiative, ownership, and curiosity, with a passion for products and an eye for detail in an international business environment.
* Demonstrated ability to influence cross\-functionally, model best practices and serve as a trusted resource and mentor across the organization
*IMPORTANT NOTICE: Our company takes the security and privacy of job applicants very seriously. We will never ask for payment, bank details, or personal financial information as part of the application process. All our legitimate job postings can be found on our official career site.* 
Job Types: Full\-time, Permanent
Pay: $95,000\.00 \- $110,000\.00 per year
Benefits:
* 401(k)
* 401(k) matching
* Dental insurance
* Employee assistance program
* Employee discount
* Flexible spending account
* Health insurance
* Life insurance
* Paid time off
* Tuition reimbursement
* Vision insurance
Application Question(s):
* Would you require sponsorship currently or in the future?
Ability to Commute:
* Lawrence, MA 01843 (Required)
Work Location: In person</t>
        </is>
      </c>
    </row>
    <row r="63">
      <c r="A63" t="inlineStr">
        <is>
          <t>in-662ddae81e8a5a38</t>
        </is>
      </c>
      <c r="B63" t="inlineStr">
        <is>
          <t>Non- Residential Program Manager</t>
        </is>
      </c>
      <c r="C63" t="inlineStr">
        <is>
          <t>Valley Community Services</t>
        </is>
      </c>
      <c r="D63" t="inlineStr">
        <is>
          <t>indeed</t>
        </is>
      </c>
      <c r="E63">
        <f>HYPERLINK("https://www.indeed.com/viewjob?jk=662ddae81e8a5a38", "https://www.indeed.com/viewjob?jk=662ddae81e8a5a38")</f>
        <v/>
      </c>
      <c r="F63">
        <f>HYPERLINK("http://www.indeed.com/job/non-residential-program-manager-662ddae81e8a5a38", "http://www.indeed.com/job/non-residential-program-manager-662ddae81e8a5a38")</f>
        <v/>
      </c>
      <c r="G63" t="inlineStr">
        <is>
          <t>Bedford, PA, US</t>
        </is>
      </c>
      <c r="H63" s="2" t="n">
        <v>46078</v>
      </c>
      <c r="I63" t="inlineStr">
        <is>
          <t>**Company Overview**  
Valley Community Services is dedicated to delivering the highest quality services to the individuals and families we serve. Every team member, from leadership to direct care staff, is committed to the foundational principle that each day should be better than the previous one for those in our care.
**Overview**  
We are seeking a dynamic and experienced Non\-Residential Program Manager to oversee community\-based care programs for individuals with developmental disabilities, memory impairments, and other complex needs. This leadership role requires a comprehensive understanding of assisted living.
**Duties**
* Monitors staff participation in individual data collection
* Create Staff Schedules
* Time Cards
* Training staff on ISPS, health goals/ changes, care plans, diets
* Assist with Interviews
* Conduct/ Attends ISP meetings
* Provide Staff Training as needs arise or training on recommendations from the Administrative Review Committee
* Answer texts and calls from staff and individuals who receive services
**Experience**
* 1\-2 years of supervisory experience
* 1\-2 years of office experience
* 1\-2 years of experience working directly with persons with an intellectual disability
* High School Diploma or GED equivalent (required)
Pay: $42,000\.00 per year
Benefits:
* 403(b) matching
* Dental insurance
* Health insurance
* Health savings account
* Life insurance
* Paid time off
* Referral program
* Vision insurance
Work Location: In person</t>
        </is>
      </c>
    </row>
    <row r="64">
      <c r="A64" t="inlineStr">
        <is>
          <t>in-08035614545b823e</t>
        </is>
      </c>
      <c r="B64" t="inlineStr">
        <is>
          <t>Non- Residential Program Manager</t>
        </is>
      </c>
      <c r="C64" t="inlineStr">
        <is>
          <t>Valley Community Services</t>
        </is>
      </c>
      <c r="D64" t="inlineStr">
        <is>
          <t>indeed</t>
        </is>
      </c>
      <c r="E64">
        <f>HYPERLINK("https://www.indeed.com/viewjob?jk=08035614545b823e", "https://www.indeed.com/viewjob?jk=08035614545b823e")</f>
        <v/>
      </c>
      <c r="F64">
        <f>HYPERLINK("http://www.indeed.com/job/non-residential-program-manager-08035614545b823e", "http://www.indeed.com/job/non-residential-program-manager-08035614545b823e")</f>
        <v/>
      </c>
      <c r="G64" t="inlineStr">
        <is>
          <t>Butler, PA, US</t>
        </is>
      </c>
      <c r="H64" s="2" t="n">
        <v>46078</v>
      </c>
      <c r="I64" t="inlineStr">
        <is>
          <t>**Company Overview**  
Valley Community Services is dedicated to delivering the highest quality services to the individuals and families we serve. Every team member, from leadership to direct care staff, is committed to the foundational principle that each day should be better than the previous one for those in our care.
**Overview**  
We are seeking a dynamic and experienced Non\-Residential Program Manager to oversee community\-based care programs for individuals with developmental disabilities, memory impairments, and other complex needs. This leadership role requires a comprehensive understanding of assisted living.
**Duties**
* Monitors staff participation in individual data collection
* Create Staff Schedules
* Time Cards
* Training staff on ISPS, health goals/ changes, care plans, diets
* Assist with Interviews
* Conduct/ Attends ISP meetings
* Provide Staff Training as needs arise or training on recommendations from the Administrative Review Committee
* Answer texts and calls from staff and individuals who receive services
**Experience**
* 1\-2 years of supervisory experience
* 1\-2 years of office experience
* 1\-2 years of experience working directly with persons with an intellectual disability
* High School Diploma or GED equivalent (required)
Pay: $42,000\.00 per year
Benefits:
* 403(b) matching
* Dental insurance
* Health insurance
* Health savings account
* Life insurance
* Paid time off
* Referral program
* Vision insurance
Work Location: In person</t>
        </is>
      </c>
    </row>
    <row r="65">
      <c r="A65" t="inlineStr">
        <is>
          <t>in-3aec77ef8d30a6db</t>
        </is>
      </c>
      <c r="B65" t="inlineStr">
        <is>
          <t>Senior Technical Program Manager, Data Strategy, NA</t>
        </is>
      </c>
      <c r="C65" t="inlineStr">
        <is>
          <t>Vantage Data Centers</t>
        </is>
      </c>
      <c r="D65" t="inlineStr">
        <is>
          <t>indeed</t>
        </is>
      </c>
      <c r="E65">
        <f>HYPERLINK("https://www.indeed.com/viewjob?jk=3aec77ef8d30a6db", "https://www.indeed.com/viewjob?jk=3aec77ef8d30a6db")</f>
        <v/>
      </c>
      <c r="F65">
        <f>HYPERLINK("https://vantagedc.wd1.myworkdayjobs.com/Vantage/job/CO11/Senior-Technical-Program-Manager--NA_R21026", "https://vantagedc.wd1.myworkdayjobs.com/Vantage/job/CO11/Senior-Technical-Program-Manager--NA_R21026")</f>
        <v/>
      </c>
      <c r="G65" t="inlineStr">
        <is>
          <t>Denver, CO, US</t>
        </is>
      </c>
      <c r="H65" s="2" t="n">
        <v>46077</v>
      </c>
      <c r="I65" t="inlineStr">
        <is>
          <t>**About Vantage Data Centers**
==============================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**Operational Excellence Department**
The Operational Excellence team establishes the systems, practices, and culture that enable Vantage to operate at scale across North America with consistency, quality, and speed. We strengthen the scalability and effectiveness of NA Operations \- including Mission Critical Operations, Sales Engineering, Customer Experience, and Design Integration \- by partnering with business leaders and global functions to standardize how we work, drive process excellence, deliver strategic programs, enable data\-driven decisions, and embed continuous improvement and transformation.
Operational Excellence at Vantage is hands\-on and impact\-driven. We blend delivery discipline, systems thinking, and best\-in\-class operational practices to address root causes, improve efficiency, and accelerate outcomes. Our team members lead high\-impact initiatives, shape cross\-functional ways of working, and directly influence how Vantage delivers on its growth, operational, and customer commitments.
**Position Overview**
**This role will be based in Denver, CO. Following our flexible work policy (3 days in\-office, 2 days flexible).**
The Technical Program Manager (TPM) Leads enterprise\-level Data Strategy initiatives and aligns sequencing across concurrent NA Operations strategic programs. The TPM partners with OE leadership and senior Ops stakeholders to align Data Strategy sequencing with enterprise initiatives and ensures disciplined execution across all major workstreams.
The initial 12\-month mandate focuses on establishing trusted KPI foundations, operational data governance, telemetry standardization, executive reporting readiness, and foundational AI enablement across mission\-critical operations. This is a senior technical program leadership role requiring strong data fluency, systems thinking, and experience operating in high\-reliability environments..
The TPM will coordinate delivery and defines integration architecture and dependency resolution strategy across concurrent NA Operations and OE efforts including KPI foundations, governance go‑live, telemetry automation, dashboard standardization, and change enablement. The role requires strong cross‑functional leadership across Mission Critical Operations (MCO), Solutions Engineering (SE), Customer Experience CE), Data \&amp; Analytics team, including (Automation \&amp; Reliability Engineer, Data Engineer and BI Developers), IT Global, and PMO partners.
This role is accountable for shaping cross\-program integration strategy and reducing systemic execution risk across data strategy and other strategic operations efforts while ensuring the shift from fragmented reporting to governed, trusted, AI\-ready analytics infrastructure.
**Essential Job Functions**
**Strategy Translation \&amp; Program Execution**
* Translate the approved Data Strategy roadmap into an integrated, sequenced delivery plan, drive disciplined execution, and resolves cross\-program conflicts affecting prioritization, integration timing, and resource alignment.
* Coordinate delivery of P1/P2 KPI foundations (Uptime, Customer Health Index (TRIR), SLA Exposure, Time Recordable Incident Rate (TRIR).
* Ensure Data Governance Operating Model is operationalized (cadence, ownership, certification readiness).
* Coordinate AI foundation activities across Operations functions, including dashboard standardization and data aggregation milestones.
* Aligns and optimizes sequencing between Data Strategy and other enterprise initiatives (KPI foundations, Ops Reviews/Readouts readiness, governance milestones, AI pilots), tracking dependencies and ensuring timely completion across all workstreams.
* Establish disciplined program governance including decision logs, RAID tracking, dependency mapping, and executive\-level transparency.
**Cross‑Functional Coordination \&amp; Data Rigor**
* Act as the single orchestration point across Operations, Data Strategy, BI, IT.
* Facilitate alignment sessions to resolve KPI definition, data ownership, and dependency conflicts.
* Coordinate telemetry aggregation and data pipeline milestones required to support standardized reporting and predictive analytics readiness
* Identifies systemic data integrity risks, lineage gaps, or ownership ambiguities that could impact executive trust in reported metrics.
* Coordinate baseline maturity inputs (assessment logistics and tools, evidence collection, stakeholder scheduling) and track maturity improvement actions as part of program delivery.
* Defines, refines and supports maintenance of KPI artifacts (KPI dictionary, lineage references, certification status, stewardship assignments) by collecting updates from owners and ensuring materials are current and accessible.
**Executive Readiness \&amp; Operating Meeting Cadence**
* Coordinate Ops Review Meetings, managing timelines, inputs, material quality, and readiness across DIG, SE, CE, and MCO.
* Advises senior Ops leaders on cross\-functional tradeoffs impacting reporting, integration timing, and operational readiness.
* Ensure KPI owners adhere to the standardized Ops Review standards, providing coordination and support as needed and ensuring materials reflect trends, drivers, risks, and actions, not just static results
* Drive reporting readiness end‑to‑end, following up with KPI owners and BI teams to ensure completeness, consistency, and on‑time for audience pre‑reads.
* Partner with the Director, Data Strategy, to ensure execution progress aligns with evolving strategic focus areas and executive expectations. Shapes sequencing discussions affecting multiple operational domains.
* Maintain shared collaboration spaces and action tracking and follow‑up actions to ensure continuity and accountability between review cycles.
**Change Enablement \&amp; Adoption**
* Coordinate related change adoption activities across Operations.
* Partner with Operations Leadership to ensure data standards, ownership clarity, and reporting expectations are embedded into operating rhythms.  
Support the development of training, communication, and enablement materials that reinforce data literacy and data\-driven habits
**Additional Duties**
* Handle additional duties as assigned by management.
**Job Requirements**
Education:
* Bachelor’s in business management, Engineering, Computer Science related field, or equivalent experience
* PMP certification strongly preferred
Experience:
* 8\-14\+ leading enterprise\-level technical or data programs spanning multiple operational domains, involving multiple operational and/or engineering workstreams and dependencies.
* Experience working in Business Operations or Operations‑adjacent environments, supporting executive reporting, operational KPIs, and change initiatives.
* Experience operating in mission\-critical, infrastructure, data center, energy, or similarly high\-reliability environments strongly preferred
* Experience influencing senior leaders and resolving cross\-program integration conflicts
* Practical understanding of data management lifecycle, including data definition, ingestion, transformation, quality, governance, documentation, and operational reporting.
* Experience advising on sequencing strategy and systemic risk across concurrent initiatives.
* Strong familiarity with data and analytics industry best practices, including KPI standardization, data governance concepts, data quality controls, lineage, stewardship models, and maturity frameworks.
Skills:
* **Senior\-level technical program management****:** Experience delivering multi‑workstream initiatives with complex dependencies, RAID management, and executive reporting (40\+ deliverables in parallel).
* **C****ross****‑****functional leadership****:** Able to drive accountability across KPI owners without formal authority.
* **Executive communication and storytelling:** Synthesizes progress, risks, decisions needed, and “so‑what” insights into concise pre‑reads and readout materials.
* **Operational reporting****:** Familiarity with standardized KPI reporting rhythms (monthly reviews / executive readouts), ensuring consistent definitions, calculations, and readiness across presenting teams.
* **Data strategy and governance fluency** (working level): Understands KPI dictionary concepts, lineage references, certification status tracking, stewardship roles, and decision‑rights documentation
* **Change enablement execution:** Able to run training and communications logistics that support adoption of new KPI standards and data‑driven habits (data literacy \&amp; culture)
* **Structured documentation management****:** Maintains a clean shared repository, version control discipline, and a decision register (what was decided, when, by whom) to prevent churn and rework.
* **Strong analytical thinking****:** Asks the right questions, spot gaps/risks in KPI narratives, ability to challenge KPI calculation logic and ensure executive\-grade defensibility of metrics.
* **Proficiency with enterprise** **tools:** (e.g., Jira/ClickUp/Smartsheet equivalents), plus Microsoft 365 (Excel, PowerPoint, Teams), and SharePoint for shared templates and collaboration.
* **Domain context****:** Experience supporting critical operations / high‑reliability environments (data center, infrastructure, or rapid growth operations)
* Comfort working in environments with “immature or fragmented data” transitioning to governed analytics.
* Travel required is expected to be up to 20%, but may increase over time as business evolves
**Physical Demands and Special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**Additional Details**
* Salary Range: $150,000 \- $155,000 Base \+ Bonus (this range is based on Colorado market data and may vary in other locations)
*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 Compensation for the role will depend on a number of factors, including your qualifications, skills, competencies, and experience and may fall outside of the range shown.
\#LI\-HM1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We’ll be accepting applications for at least one week from the date this role is posted. If you're interested, we encourage you to apply soon—we’re excited to find the right person and will keep the role open until we do!</t>
        </is>
      </c>
    </row>
    <row r="66">
      <c r="A66" t="inlineStr">
        <is>
          <t>in-7c5dd44f394c63a7</t>
        </is>
      </c>
      <c r="B66" t="inlineStr">
        <is>
          <t>Senior Technical Program Manager, Operations, NA</t>
        </is>
      </c>
      <c r="C66" t="inlineStr">
        <is>
          <t>Vantage Data Centers</t>
        </is>
      </c>
      <c r="D66" t="inlineStr">
        <is>
          <t>indeed</t>
        </is>
      </c>
      <c r="E66">
        <f>HYPERLINK("https://www.indeed.com/viewjob?jk=7c5dd44f394c63a7", "https://www.indeed.com/viewjob?jk=7c5dd44f394c63a7")</f>
        <v/>
      </c>
      <c r="F66">
        <f>HYPERLINK("https://vantagedc.wd1.myworkdayjobs.com/Vantage/job/CO11/Senior-Technical-Program-Manager--Operations--NA_R21025", "https://vantagedc.wd1.myworkdayjobs.com/Vantage/job/CO11/Senior-Technical-Program-Manager--Operations--NA_R21025")</f>
        <v/>
      </c>
      <c r="G66" t="inlineStr">
        <is>
          <t>Denver, CO, US</t>
        </is>
      </c>
      <c r="H66" s="2" t="n">
        <v>46077</v>
      </c>
      <c r="I66" t="inlineStr">
        <is>
          <t>**About Vantage Data Centers**
==============================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**Operational Excellence Department**
The Operational Excellence team establishes the systems, governance, and capabilities that enable Vantage to operate at scale across North America with reliability, consistency, and speed. We strengthen the scalability and performance of NA Operations: Solutions Engineering, Design Integration, Mission Critical Operations, and Customer Experience\- by partnering with leaders and global functions to execute the Operations Plan of Record, standardize operating models, drive process excellence, enable data\-informed decisions, and embed disciplined transformation and continuous improvement.
Operational Excellence at Vantage is hands\-on and outcome\-driven. We combine portfolio governance, systems thinking, operational rigor, and human\-centered enablement to reduce friction, increase predictability, and accelerate performance. Our team members lead high\-impact initiatives, shape cross\-functional execution, and directly influence how Vantage delivers on its growth, operational reliability, and customer commitments.
**Position Overview**
**This role will be based in Denver, CO. Following our flexible work policy (3 days in\-office, 2 days flexible).**
The Senior Technical Program Manager (Sr TPM) leads enterprise\-level, multi\-domain programs across North America Operations, supporting Mission Critical Operations, Design Integration, Solutions Engineering, and Customer Experience. This role operates at a systems and portfolio level, aligning sequencing across concurrent initiatives and shaping execution strategy for complex, cross\-functional efforts. The Sr TPM is accountable for defining program architecture, anticipating systemic integration and reliability risks, and advising operational leaders on tradeoffs that impact scalability and delivery predictability. Operating with minimal oversight, the Sr TPM sets direction within the program management domain and contributes directly to short\- and mid\-term operational strategy execution.
**Essential Job Functions**
**Enterprise Program Architecture \&amp; Execution Strategy**
* Lead enterprise\-level, multi\-workstream programs that span multiple operational functions and intersecting systems
* Define execution architecture including sequencing strategy, cross\-program dependency alignment, and integration gating models
* Align prioritization and sequencing across concurrent initiatives to reduce systemic risk and execution conflicts
* Establish structured program governance frameworks for high\-impact initiatives
* Drive alignment across functional leaders on scope boundaries, sequencing tradeoffs, and resource implications
**Cross\-Program Systems Integration \&amp; Risk Leadership**
* Evaluate and prioritize complex interdependencies across concurrent programs to optimize integration timing and reduce systemic risk
* Anticipate scaling constraints, reliability exposure, and operational friction points that extend beyond a single initiative
* Proactively surface cross\-functional tradeoffs affecting sequencing, capacity, or operational readiness
* Facilitate resolution of high\-impact conflicts that require alignment among senior operational and technical leaders
* Ensure enterprise\-level readiness, validation, and mitigation strategies are defined for programs with broad operational impact
**Executive Advisory \&amp; Influence**
* Serve as accountable program lead for initiatives with significant operational and executive visibility
* Advise senior operational and technical leaders on sequencing strategy, feasibility constraints, and integration tradeoffs
* Present executive\-ready updates that quantify systemic risk, operational impact, and decision implications
* Shape fact\-based recommendations to influence prioritization and execution strategy **TPM Standards \&amp; Delivery Maturity**
* Define and continuously improve TPM standards, frameworks, and execution best practices
* Mentor and guide Technical Program Managers on program structure, sequencing discipline, and risk mitigation rigor
* Elevate delivery maturity across NA Operations through consistent program architecture and governance improvements
**Program Direction \&amp; Domain Leadership**
* Operate effectively in ambiguous and evolving environments, defining structure where none exists
* Make significant domain\-level decisions affecting program sequencing, risk posture, and delivery outcomes
* Exercise independent judgment in resolving complex cross\-functional challenges
**Additional Duties**
* Handle additional duties as assigned by management
**Job Requirements**
**Education**
* Bachelor’s degree in Operations, Engineering, Business, Information Systems, or related technical discipline and/or equivalent experience required
* Advanced degree (MBA, MS in Engineering, or similar) or equivalent experience preferred
**Experience**
* 8–14\+ years of experience leading large\-scale, cross\-functional technical programs
* Demonstrated experience managing enterprise\-level initiatives with multiple intersecting workstreams
* Experience influencing senior operational and technical stakeholders
* Experience resolving systemic integration challenges and cross\-program dependencies
* Working knowledge of data center infrastructure models and operational reliability frameworks preferred
* Experience supporting automation\-enabled or AI\-driven operational environments preferred
**Skills**
* Advanced systems thinking with ability to evaluate interdependencies across concurrent programs
* Strong sequencing and execution architecture capability
* Ability to identify and mitigate systemic risk across multi\-domain initiatives
* Executive\-level communication and influence without direct authority
* Ability to resolve cross\-functional conflicts affecting sequencing and delivery
* Operates effectively in ambiguous environments and defines structure for complex initiatives
* Travel required is expected to be up to 20%, but may increase over time as business evolves
**Physical Demands and Special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**Additional Details**
* Salary Range: $150,000 \- $155,000 Base \+ Bonus (this range is based on Colorado market data and may vary in other locations)
*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 Compensation for the role will depend on a number of factors, including your qualifications, skills, competencies, and experience and may fall outside of the range shown.
\#LI\-HM1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We’ll be accepting applications for at least one week from the date this role is posted. If you're interested, we encourage you to apply soon—we’re excited to find the right person and will keep the role open until we do!</t>
        </is>
      </c>
    </row>
    <row r="67">
      <c r="A67" t="inlineStr">
        <is>
          <t>in-fd0d6412cd9ce12a</t>
        </is>
      </c>
      <c r="B67" t="inlineStr">
        <is>
          <t>Program Manager</t>
        </is>
      </c>
      <c r="C67" t="inlineStr">
        <is>
          <t>Moog, Inc</t>
        </is>
      </c>
      <c r="D67" t="inlineStr">
        <is>
          <t>indeed</t>
        </is>
      </c>
      <c r="E67">
        <f>HYPERLINK("https://www.indeed.com/viewjob?jk=fd0d6412cd9ce12a", "https://www.indeed.com/viewjob?jk=fd0d6412cd9ce12a")</f>
        <v/>
      </c>
      <c r="F67">
        <f>HYPERLINK("https://moog.wd5.myworkdayjobs.com/en-US/MOOG_External_Career_Site/job/Mineral-Wells-TX/Program-Manager_R-26-16277", "https://moog.wd5.myworkdayjobs.com/en-US/MOOG_External_Career_Site/job/Mineral-Wells-TX/Program-Manager_R-26-16277")</f>
        <v/>
      </c>
      <c r="G67" t="inlineStr">
        <is>
          <t>Mineral Wells, TX, US</t>
        </is>
      </c>
      <c r="H67" s="2" t="n">
        <v>46077</v>
      </c>
      <c r="I67"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Program Manager
Reporting To:
Programs Director \- Aerospace
Work Schedule:
Onsite – Mineral Wells, TX
Our Moog Military Aircraft Group is looking for a Program Manager who can define and execute projects from start to finish. This role is responsible for developing and communicating the operational plan, managing risks, and resolving issues related to schedule, cost, and quality. The Program Manager will also monitor progress and performance to ensure alignment with the project plan. This role has an onsite work schedule at our business unit, Moog Avionics, located in Mineral Wells, TX. Moog Avionics delivers customer\-focused technologies and customized solutions for Special Mission, Military \&amp; Defense, Military Trainer, Business, and General Aviation industries.
Day\- to\-Day Responsibilities:* Serve as technical and program liaison for external customers and the organization from the commencement of a customer project until closure.
* Lead complex projects, provide enterprise\-level visibility to achieve operational objectives.
* Advise senior management on issues, provide risk mitigation, work with subject matter experts to resolve issues and challenges.
* Work with Sales/BD to review imminent opportunities. This includes reviewing technical solutions, design specifications, preparing statement of work, providing design engineering and certification scope/cost/schedule estimates.
* Create engineering program plan and schedule. Work with engineering leadership to allocate project staff according to project requirements.
* Identify and resolve project risks and issues, facilitate solutions and remove project roadblocks.
* Ensure customer commitments and contractual requirements are well understood and followed by all functions in the company.
* Manage project milestones and co\-ordinate with multiple functions for successful project completion.
* Control expenditures within limitations of project budget. This includes managing change requests from customers, schedule slips, etc.
* Review product design at a system level for compliance with engineering principles, company standards, customer contract requirements, and related specifications.
* Maintain project schedule by monitoring project progress; coordinating activities; resolving problems.
* Prepare project status reports by collecting, analyzing, and summarizing information and trends; recommending actions.
* Lead meetings with internal and external stakeholders to coordinate activities and align on next steps.
Here’s what you’ll bring with you…* Bachelor’s Degree from a four\-year College or university.
* Minimum of 8 years’ work experience or equivalent combination of education and experience.
* Knowledge of the avionics certification process for the FAA and other certification authorities.
* Broad knowledge in avionics systems and safety critical applications with team leadership capabilities.
* Ability to sequentially multi\-task, prioritize and interface at all levels of management and engineering.
* Working knowledge of cost and schedule performance analysis and reporting.
* Proven Leadership qualities, excellent communication skills and technical writing skills.
* Ability to build and maintain effective relationships with customers and suppliers as well as management and employees.
* Experience in being a spokesperson for the customer and the company.
* Critical thinking skills to drive to root cause and appropriate corrective action.
* Ability to mentor and lead other project managers.
* Must be a U.S. citizen and able to travel both domestically and internationally.
It’d be great if you also had…* Experience with the system development lifecycle including system concept definition, requirements development, system design, and system validation/verification.
* Familiarity with aerospace standards like DO\-254, DO\-160, DO\-178B/C, ARP\-4754 and ARP\-4761\.
* Experience with Department of Defense (DoD), understanding of Federal Acquisition Regulation (FAR) and (DFAR)
* Earned Value Management System (EVMS) experience
* Ideally, you are action\-oriented, results\-driven, energetic, and innovative in your approach to design and project management.
Our Benefits – How We Care for You:* Financial Rewards: great compensation package, annual profit sharing, matching 401k and the ability to participate in Employee Stock Purchase Plan, Flexible Spending and Health Savings Accounts.
* Work/Life Balance: Flexible paid time off, holidays and parental leave program, relocation assistance.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Collaborative and Welcoming Workplace: Inclusive culture rooted in our values, enhanced by Employee Resource Groups, and team\-building activities.
* Additional site\-specific benefits may be offered.
* Schedule: Monday – Thursday, 10 hour shifts.
\#LI\-Onsite
Salary Range Transparency:
Mineral Wells, TX $120,000\.00–$140,000\.00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68">
      <c r="A68" t="inlineStr">
        <is>
          <t>in-834e5b759dd79d50</t>
        </is>
      </c>
      <c r="B68" t="inlineStr">
        <is>
          <t>Technical Program Manager</t>
        </is>
      </c>
      <c r="C68" t="inlineStr">
        <is>
          <t>Moog, Inc</t>
        </is>
      </c>
      <c r="D68" t="inlineStr">
        <is>
          <t>indeed</t>
        </is>
      </c>
      <c r="E68">
        <f>HYPERLINK("https://www.indeed.com/viewjob?jk=834e5b759dd79d50", "https://www.indeed.com/viewjob?jk=834e5b759dd79d50")</f>
        <v/>
      </c>
      <c r="F68">
        <f>HYPERLINK("https://moog.wd5.myworkdayjobs.com/en-US/MOOG_External_Career_Site/job/Mineral-Wells-TX/Technical-Program-Manager_R-26-16279", "https://moog.wd5.myworkdayjobs.com/en-US/MOOG_External_Career_Site/job/Mineral-Wells-TX/Technical-Program-Manager_R-26-16279")</f>
        <v/>
      </c>
      <c r="G68" t="inlineStr">
        <is>
          <t>Mineral Wells, TX, US</t>
        </is>
      </c>
      <c r="H68" s="2" t="n">
        <v>46077</v>
      </c>
      <c r="I68"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Technical Program Manager
Reporting To:
Programs Director \- Aerospace
Work Schedule:
Hybrid – Mineral Wells, TX
Moog Military Aircraft Group is looking for a Technical Program Manager. In this role you will be responsible for design, development, implementation, integration and analysis of technical products and systems. You will perform engineering design evaluations and provide technical interfaces to customers on multiple projects as well as resolve highly complex technical issues for customers and conduct advanced research.
This role reports to the Programs Director \- Aerospace and will have an onsite work schedule at our business unit, Moog Avionics, located in Mineral Wells, TX.
Moog Avionics delivers customer\-focused technologies and customized solutions for Special Mission, Military \&amp; Defense, Military Trainer, Business, and General Aviation industries.
As a Technical Program Manager, you will:* Review and evaluate product requests from customers and formulate conceptual and feasible design changes to existing products to meet customer requirements.
* Analyze project proposals to determine feasibility, manufacturability, cost, and production time, and discuss proposals with engineers, customers, and other personnel.
* Support customer development and design.
* Evaluate product designs for conformance to engineering principles, customer requirements, quality standards, and specifications.
* Perform system/software integration activities to verify proper functionality of the products.
* Develop new testing applications or modify existing tools to support integration activities and formal tests.
* Support the software/system development activities for the company’s new and legacy product lines.
* Provide expert knowledge in the architecture, design, and function of our company’s avionics products.
* Lead and support the finalization of technical solutions for customers by applying extensive experience, judgement, and knowledge of FAA certification process.
* Recommend alterations to development and design to improve quality of products and/or procedures.
* Display a strong knowledge of standard concepts, practices, and procedures within a particular field.
* Establish knowledge of the avionics certification processes for the FAA and other certification authorities.
To be considered for this role, here’s what you will need to bring with you:* Typically, a bachelor’s degree from four\-year college or university.
	+ In lieu of a formal degree we may consider an equivalent combination of education and experience.
* 10\+ years of professional related experience; with at least 5\+ years of technical experience in aircraft and avionics systems.
* Demonstrated experience effectively presenting information and responding to questions from groups of managers, clients, and customers.
* Knowledge of design and development processes.
* Knowledge and experience utilizing MS Suite of Products including excel, power point and MS project.
* Ability to travel up to 50% of the time, including internationally.
Salary Range Transparency:
Mineral Wells, TX $135,000\.00–$165,000\.00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69">
      <c r="A69" t="inlineStr">
        <is>
          <t>in-f2d94edb7f31e97f</t>
        </is>
      </c>
      <c r="B69" t="inlineStr">
        <is>
          <t>STROKE PROGRAM MANAGER (RN) - Full Time, Day</t>
        </is>
      </c>
      <c r="C69" t="inlineStr">
        <is>
          <t>Palmdale Regional Medical Center</t>
        </is>
      </c>
      <c r="D69" t="inlineStr">
        <is>
          <t>indeed</t>
        </is>
      </c>
      <c r="E69">
        <f>HYPERLINK("https://www.indeed.com/viewjob?jk=f2d94edb7f31e97f", "https://www.indeed.com/viewjob?jk=f2d94edb7f31e97f")</f>
        <v/>
      </c>
      <c r="F69">
        <f>HYPERLINK("https://uhs.jibeapply.com/careers/jobs/342287/job?utm_source=indeed_integration&amp;iis=Job%20Board&amp;iisn=Indeed&amp;indeed-apply-token=73a2d2b2a8d6d5c0a62696875eaebd669103652d3f0c2cd5445d3e66b1592b0f", "https://uhs.jibeapply.com/careers/jobs/342287/job?utm_source=indeed_integration&amp;iis=Job%20Board&amp;iisn=Indeed&amp;indeed-apply-token=73a2d2b2a8d6d5c0a62696875eaebd669103652d3f0c2cd5445d3e66b1592b0f")</f>
        <v/>
      </c>
      <c r="G69" t="inlineStr">
        <is>
          <t>Palmdale, CA, US</t>
        </is>
      </c>
      <c r="H69" s="2" t="n">
        <v>46077</v>
      </c>
      <c r="I69" t="inlineStr">
        <is>
          <t>Responsibilities:
Opened in 2010, Palmdale Regional Medical Center is a 184\-bed, acute care hospital located in Palmdale, CA. One of Southern California’s newest hospitals and featuring all\-private patient rooms, Palmdale Regional provides high\-quality, award\-winning patient care to residents and visitors of the Antelope Valley and surrounding areas. Palmdale Regional is active in the community and regularly participates with the Antelope Valley Board of Trade/Greater Antelope Valley Economic Alliance (now AV Edge), and other civic and governmental groups. Palmdale Regional believes in "Community Service Excellence" and supports nonprofit agencies and other healthcare related organizations.  
Palmdale Regional recently joined the newly created regional brand, Southwest Healthcare. This comprehensive network of care incorporates five hospitals in the southern California region and includes multiple convenient ambulatory locations serving many communities. With more than 7,000 skilled and talented care providers across the region, all dedicated to the highest standards, the shared goal is to provide convenient access to a wide range of healthcare services. Learn more: www.SouthwestHealthcare.com. For more information on Palmdale Regional, please visit www.palmdaleregional.com and follow Palmdale Regional Medical Center on social: Facebook, Instagram, LinkedIn and YouTube  
One of the nation’s largest and most respected providers of hospital and healthcare services, Universal Health Services, Inc. (NYSE: UHS) has built an impressive record of achievement and performance, growing since its inception into a Fortune 500 corporation. Headquartered in King of Prussia, PA, UHS has 99,000 employees. Through its subsidiaries, UHS operates 28 acute care hospitals, 331 behavioral health facilities, 60 outpatient and other facilities in 39 U.S. States, Washington, D.C., Puerto Rico and the United Kingdom.  
www.swhpalmdaleregional.com/careers **Position Description:**
The Program Manager for the Stroke \&amp; Sepsis Program reflects the mission, vision, and values of Palmdale Regional, adheres to the organization’s Code of Ethics and Corporate Compliance Program, and complies with all relevant policies, procedures, guidelines, and all other regulatory and accreditation standards. Responsibilities include patient guidance, education and follow up for our stroke \&amp; sepsis patients along with data analysis, continuous quality improvement, adherence to Joint Commission regulatory requirements, performance improvement plans for the stroke \&amp; sepsis programs, patient satisfaction initiatives and community outreach.
Qualifications:
**Job Duties/Responsibilities Requirements:*** Minimum 3 years’ experience as a Registered Nurse in an acute care setting
* Experience in Stroke \&amp; Sepsis Program Coordination: planning, implementing and evaluating outcomes
* Bachelor’s Degree required
* Master’s Degree preferred
* Current Registered Nurse (RN) license to practice professional nursing in the state of California.
* Current basic life support (BLS) certification
* Current Advanced Cardiovascular Life Support (ACLS) certification
* Advanced National Certification preferred
* CPI is required either within 30 days or the next full class if after 30 days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**Avoid and Report Recruitment Scams**
We are aware of a scam whereby imposters are posing as Recruiters from UHS, and our subsidiary hospitals and facilities. Beware of anyone requesting financial or personal information.
At UHS and all our subsidiaries, our Human Resources departments and recruiters are here to help prospective candidates by matching skill set and experience with the best possible career path at UHS and our subsidiaries. During the recruitment process, no recruiter or employee will request financial or personal information (e.g., Social Security Number, credit card or bank information, etc.) from you via email. Our recruiters will not email you from a public webmail client like Hotmail, Gmail, Yahoo Mail, etc.
If you suspect a fraudulent job posting or job\-related email mentioning UHS or its subsidiaries, we encourage you to report such concerns to appropriate law enforcement. We encourage you to refer to legitimate UHS and UHS subsidiary career websites to verify job opportunities and not rely on unsolicited calls from recruiters.
Salary: Starting from $135,387\.20 to $192,920\.00 a year</t>
        </is>
      </c>
    </row>
    <row r="70">
      <c r="A70" t="inlineStr">
        <is>
          <t>in-687c4a1fdce86eda</t>
        </is>
      </c>
      <c r="B70" t="inlineStr">
        <is>
          <t>Mail Room Program Manager (Top Secret Clearance Required)</t>
        </is>
      </c>
      <c r="C70" t="inlineStr">
        <is>
          <t>ServiceSource Inc.</t>
        </is>
      </c>
      <c r="D70" t="inlineStr">
        <is>
          <t>indeed</t>
        </is>
      </c>
      <c r="E70">
        <f>HYPERLINK("https://www.indeed.com/viewjob?jk=687c4a1fdce86eda", "https://www.indeed.com/viewjob?jk=687c4a1fdce86eda")</f>
        <v/>
      </c>
      <c r="F70">
        <f>HYPERLINK("https://servicesourceinc.wd1.myworkdayjobs.com/ServiceSource_Staff/job/Washington-DC/Mail-Room-Program-Manager--Top-Secret-Clearance-Required-_2026-8541", "https://servicesourceinc.wd1.myworkdayjobs.com/ServiceSource_Staff/job/Washington-DC/Mail-Room-Program-Manager--Top-Secret-Clearance-Required-_2026-8541")</f>
        <v/>
      </c>
      <c r="G70" t="inlineStr">
        <is>
          <t>Washington, DC, US</t>
        </is>
      </c>
      <c r="H70" s="2" t="n">
        <v>46077</v>
      </c>
      <c r="I70" t="inlineStr">
        <is>
          <t>*Make an impact by joining ServiceSource, a champion for people with disabilities. Explore new opportunities! ServiceSource is an organization of talented people who drive innovation, embrace change, and* *strengthen communities**.*
Salary/Hourly Rate:80,000
**Job Summary**
This position is responsible to provide effective customer service and achieve customer satisfaction by delivering services in a professional, courteous, and timely manner for our Department of State (DOS) Contract.
**Primary Duties**
These duties and responsibilities will be rated on the Annual Performance Review. **Reasonable accommodations may be made to enable individuals with disabilities to perform the essential functions****.**
* Oversee the Accountable Mail/Classified operation of the DoS contract.
* Direct and coordinate activities of all General Clerk II employees.
* Manage staff, preparing work schedules and assigning specific duties.
* Direct and coordinate organization's financial and budget activities to fund  
operations, maximize investments, and increase efficiency.
* Establish and implement departmental policies, goals, objectives, and procedures, conferring with board members, organization officials, and staff members as necessary.
**Additional Responsibilities**
* Work with management to determine staffing requirements, and interview, train new employees.
* Train or instruct employees in job duties or company policies or arrange for training to be provided.
* Evaluate employees' job performance and conformance to regulations and recommend appropriate personnel action.
* Review records or reports pertaining to activities such as production, payroll, or shipping to verify details, monitor work activities, or evaluate performance.
* Recruit, interview, and select employees.
* Interpret and communicate work procedures and company policies to staff.
* Perform other responsibilities as assigned.
**Qualifications: Education, Experience and Certification(s)**
* High school diploma or General Educational Development (GED) required.
* 2\-3 years of mailroom experience required
* Must hold and maintain a Top Secret clearance. Will be subject to a U.S. Government background check/investigation.
**Knowledge, Skills and Abilities**
* Customer service oriented and be able to work efficiently in a fast\-paced environment.
* Work well independently and as a contributing member of a team High level of integrity and personal accountability.
* Ability to read and comprehend simple instructions, short correspondences, and memos, labels and numbers.
* Ability to effectively present information in one on\-one and small group situation to customers, clients, and other employees of the organization.
* Excellent customer service skills, verbal and written skills and ability to accept and follow directions.
* Basic typing skills; Working knowledge of Microsoft Office (Word, Excel, Outlook).
Ability to add, subtract, multiply, and divide in all units of measure, using whole numbers, common fractions, and decimals.* Ability to define problems and provide solutions.
* Ability to multi\-task, organize, prioritize and meet deadlines on a daily basis.
* Maintain a high level of performance with limited supervision.
**Physical Demands**
While performing the duties of this job, the employee is regularly required to stand; reach with hands and arms; and talk or hear. The employee is occasionally required to walk and sit. The employee must regularly lift and/or move up to 25 pounds and occasionally lift and/or move up to 75 pounds. Specific vision abilities required by this job include close vision, distance vision, depth perception, and ability to adjust focus.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While performing the duties of this job, the employee is occasionally exposed to outside weather conditions. The noise level in the work environment is usually quiet.
**What We Offer – for Benefit Eligible Employees May Include:**
Because ServiceSource hires the best people, we work hard to provide benefits that make their lives better, so we offer a comprehensive benefit program which features:
* Health coverage for you and your family through Medical, Dental, and Vision plans.
* Financial protection with 100% company paid Disability, Life, Accidental Death \&amp; Dismemberment insurance.
* A 403(b)\-Retirement plan in which the company matches dollar for dollar on a generous percentage matching up to 3% of your contribution.
* Tax advantages through Flexible Spending and Health Savings accounts that allow you to pay for specific healthcare and dependent care expenses with pre\-tax dollars.
* To help you manage your work and life needs, we offer an Employee Assistance Program, Wellness Program, and Tuition Assistance.
* A generous paid time\-off program in which the benefits increase based on your tenure with the company.
We are an Equal Employment Opportunity Employer, making employment decisions without regard to a person’s race, color, religion, sex (including pregnancy, sexual orientation, gender identity and transgender status), national origin, age (40 or older), veteran status, disability, or any other protected class. *We are an E\-Verify Employer and a drug\-free workplace. Pre\-employment background checks are required for all employment positions.*
PAY TRANSPARENCY POLICY STATEMENT: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71">
      <c r="A71" t="inlineStr">
        <is>
          <t>in-752335bc98cc2bdb</t>
        </is>
      </c>
      <c r="B71" t="inlineStr">
        <is>
          <t>Associate Program Manager</t>
        </is>
      </c>
      <c r="C71" t="inlineStr">
        <is>
          <t>Envita Solutions</t>
        </is>
      </c>
      <c r="D71" t="inlineStr">
        <is>
          <t>indeed</t>
        </is>
      </c>
      <c r="E71">
        <f>HYPERLINK("https://www.indeed.com/viewjob?jk=752335bc98cc2bdb", "https://www.indeed.com/viewjob?jk=752335bc98cc2bdb")</f>
        <v/>
      </c>
      <c r="F71">
        <f>HYPERLINK("https://thgrp.wd12.myworkdayjobs.com/Envita/job/Indianapolis-IN/Associate-Program-Manager_R-1263", "https://thgrp.wd12.myworkdayjobs.com/Envita/job/Indianapolis-IN/Associate-Program-Manager_R-1263")</f>
        <v/>
      </c>
      <c r="G71" t="inlineStr">
        <is>
          <t>Indianapolis, IN, US</t>
        </is>
      </c>
      <c r="H71" s="2" t="n">
        <v>46077</v>
      </c>
      <c r="I71" t="inlineStr">
        <is>
          <t>Envita Solutions, formerly known as Heritage Interactive Services, is a leading total waste management partner. The company is dedicated to fostering a healthier planet by transforming complex waste challenges into sustainable solutions. Headquartered in Indianapolis, Indiana, Envita Solutions operates in the U.S., Mexico, and Canada, has over 300 employees, and a network of over 3,000 supplier partners. A division of The Heritage Group, Envita Solutions is part of a portfolio of more than 30 companies specializing in heavy construction and materials, environmental services, and specialty chemicals. With unique access to research and development and a leading hard tech corporate venture capital portfolio, Envita Solutions is at the forefront of waste and climate challenge innovation.
At Envita, our guiding principles are the foundation of our company. Our vision is to foster a healthier planet by transforming complex waste challenges into sustainable solutions. We exist to protect human health and the environment and build a safer, more sustainable world. We believe in creating enduring value, building long\-term relationships and mutual trust, betting on our people, keeping our eyes open for opportunity, tackling the big problems, and doing the right thing\-always.
As an Associate Program Manage (APM), you will participate in Program Manager (PM) training program to develop your knowledge and skills on Envita's purpose and processes to deliver total waste management (TWM) services to our clients. Through training, you will obtain an understanding of what it means to build trusted relationships, provide excellent customer experience, and drive significant organic growth and profitability. Building upon your knowledge and creativity to deliver innovative byproduct waste programs including recycling, reuse and waste minimization for clients, this partnership is a differentiator for Envita. You will have the opportunity to learn to identify and solve our clients TWM challenges and lead by Envita's values. This PM training program is based out of our headquarters in Indianapolis, IN and is a hybrid position with requirements to travel to our onsite customer locations as necessary.This Associate Program Manager training program is expected to be completed within 3 months. Upon completion of the program, APM will be eligible to be assigned to an Operational team and a normal progression of moving into the role of Program Manager. At that time, PM will be assigned a portfolio account to manage.  
**Essential Functions*** Learn to manage relationships across multiple teams and departments, including suppliers, and internal resources.
* Training and guidance on the importance of building and maintaining strong customer relationships to ensure customer satisfaction and retention.
* Participate PM structured training modules led by Operations Development and key functional partners.
* Build a skill set by working with and shadowing current PMs. This includes, but not limited to, attending client meetings, joining in on conference calls, and take part in onsite client activities.
* Assist in conducting discovery with Program Manager teams to identify business needs as it pertains to TWM (total waste management). Will develop skills to recognize opportunities to that bring value to the organization.
* Experience in working with cross\-functional team members to resolve customer issues and ensure the integrity of the customer experience exceeds expectations.
* Develop understanding of coordination with external suppliers and internal resources to ensure optimum service.
* Train to review and ensure monthly client invoices are processed on time and accurate.
* Build up understanding of processes and standards to meet or exceed accounts receivable (A/R) targets.
* Gain understanding to analyze and interpret operational data such as performance metrics and historical trends through Envita business system reporting.
* Build up understanding of customer portfolio and provide input on annual budgets for clients.
* Learn the importance of contract negotiation and deliverables with suppliers.
* Will learn to grow client revenue organically through ability to identify opportunities and gaps in TWM processes that solve big problems for our clients.
* Present new ideas and solutions to secure account penetration and loyalty. Maximize profit goals and, contract compliance.
* Expect business travel 25\-40%, or as needed.
* *Additional duties and responsibilities as assigned, including but not limited to continuously growing in alignment with the Company’s core values, competencies, and skills.*
 **Education Qualifications*** Required High School or Equivalent
* Preferred Bachelor's Degree Degree in Environmental, Sustainability, Business, Communications, or related field.
**Experience Qualifications*** Preferred 1\+ years Customer support and/or facing service industry. (Environmental background beneficial.)
**Skills and Abilities*** Insight of account management responsibilities and importance of building trusted relationships with integrity.
* Strong communication and interpersonal skills needed.
* Ability to work collaboratively across diverse teams and functions.
* Ability to establish and maintain effective working relationships with all levels of an organization, both externally and internally.
* Effective organizational skills needed with the ability to manage multiple priorities/tasks productively.
* Proven time management skills, experience with deadline driven responsibilities.
* Must be able to navigate Microsoft Office systems at a minimum intermediate level with emphasis on Excel.
* Experience with Salesforce CRM preferred.
* Foundational analytical skills, including the ability to gather and analyze data, develop solutions and evaluate, and report results.
Willingness to deliver presentations and/or communicate to influence, through use of interpersonal style and communication methods, to facilitate an acceptance of an idea, plan, activity, or product from targeted customers.  
* 
All qualified applicants will receive consideration for employment without regard to race, color, religion, sex, sexual orientation, gender identity, national origin, disability, or status as a protected veteran.
\#EnvitaSolutions</t>
        </is>
      </c>
    </row>
    <row r="72">
      <c r="A72" t="inlineStr">
        <is>
          <t>in-1f80b878e9fe2c09</t>
        </is>
      </c>
      <c r="B72" t="inlineStr">
        <is>
          <t>Technical Product Manager</t>
        </is>
      </c>
      <c r="C72" t="inlineStr">
        <is>
          <t>Amphenol</t>
        </is>
      </c>
      <c r="D72" t="inlineStr">
        <is>
          <t>indeed</t>
        </is>
      </c>
      <c r="E72">
        <f>HYPERLINK("https://www.indeed.com/viewjob?jk=1f80b878e9fe2c09", "https://www.indeed.com/viewjob?jk=1f80b878e9fe2c09")</f>
        <v/>
      </c>
      <c r="F72">
        <f>HYPERLINK("https://amphenol-icc.acquiretm.com/job_details_clean.aspx?ID=6591&amp;iframe=1", "https://amphenol-icc.acquiretm.com/job_details_clean.aspx?ID=6591&amp;iframe=1")</f>
        <v/>
      </c>
      <c r="G72" t="inlineStr">
        <is>
          <t>Hamden, CT, US</t>
        </is>
      </c>
      <c r="H72" s="2" t="n">
        <v>46077</v>
      </c>
      <c r="I72" t="inlineStr">
        <is>
          <t>**Location:**
Hamden, Connecticut
**Department:**
Engineering
**Posted:**
2/25/2026
**Location Name:**
Hamden
**Wage:**
Depends on Experience
**Position Type:**
Full Time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 **Position: Technical Product Manager**
* **Location: Hamden, CT**
Amphenol High Speed Products Group is the market leader for high speed, high bandwidth electrical connectors for the Telecom/Datacom market (Mobile Networks, Storage, Servers, Routers, HS Wire, etc.). Our products help to enable the electronics revolution and remain a key enabler for all the major Tier 1 OEMs globally. We have design, sales, and manufacturing locations globally and are currently seeking a Product Manager to join our Spectra\-Strip team located in Hamden, CT.
**RESPONSIBILITIES:**
The Product Manager will work with cross functional teams to drive the development and marketing of Amphenol’s High Speed Cable product family. This role will be responsible for promoting our products to their assigned market, winning key new design opportunities, and developing/executing the product strategies to support the Product Development and NPI teams in pull product portfolio management.
* P\&amp;L responsibility for all product families across all wire and cable categories.
* Drive and manage highspeed, high data product lines through:
	+ Product roadmap creation and execution
	+ Production ramping plan
	+ Cost, pricing, and margins
	+ Product portfolio management
	+ Product development process management
* Cost modeling (direct material and variable costs) to develop cost targets, regular cost downs, and pricing strategies
* Drive new business opportunity funnel, aligning both the business unit and sales on actions \+ strategies to win
* Define customer / market requirements for product family, timing, and forecasts
* Work with cross\-functional teams (marketing, engineering, business development and operations) to proactively identify product and solution gaps and define market requirements to close the total available market space
* Develop marketing materials and promote to industry and potential customers
* Work closely with HSIO Cable and CBS teams to align bulk wire development \+ go to market activities
* Fully target site KPIs for sales revenue achievement, product margin improvement on cost reduction driving, negative margin improvement, and design win and shorten response time to quote
* Some travel required for customer visits (sales and negotiations), sales training, factory visits, and trade shows
**QUALIFICATIONS:**
* Bachelor’s degree in Electrical or Mechanical Engineering with keen business acumen
* 4\+ years of product management, project management, engineering experience, and/or technical business development experience
* 1\-3 years of experience working in the interconnect industry preferred
* Strong communication skills
* Effective use of Microsoft office (Excel and PowerPoint specifically)
* Experience with Power\-BI and or other data visualization software
* Ability to integrate with cross\-functional teams globally and a willingness to “roll up your sleeves” to get the job done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73">
      <c r="A73" t="inlineStr">
        <is>
          <t>in-376130a9909fc358</t>
        </is>
      </c>
      <c r="B73" t="inlineStr">
        <is>
          <t>Program Manager (Construction Site Program Manager, Traveling)</t>
        </is>
      </c>
      <c r="C73" t="inlineStr">
        <is>
          <t>Dennis Group</t>
        </is>
      </c>
      <c r="D73" t="inlineStr">
        <is>
          <t>indeed</t>
        </is>
      </c>
      <c r="E73">
        <f>HYPERLINK("https://www.indeed.com/viewjob?jk=376130a9909fc358", "https://www.indeed.com/viewjob?jk=376130a9909fc358")</f>
        <v/>
      </c>
      <c r="F73">
        <f>HYPERLINK("https://the-dennis-group-inc.checkwritersrecruit.com/job/1000860/program-manager-construction-site-program-manager-traveling", "https://the-dennis-group-inc.checkwritersrecruit.com/job/1000860/program-manager-construction-site-program-manager-traveling")</f>
        <v/>
      </c>
      <c r="G73" t="inlineStr">
        <is>
          <t>Boston, MA, US</t>
        </is>
      </c>
      <c r="H73" s="2" t="n">
        <v>46077</v>
      </c>
      <c r="I73" t="inlineStr">
        <is>
          <t>**Job Summary**
Construction Program Managers oversee the strategic planning, management, and execution of industrial construction projects of food and beverage production facilities, ensuring they are delivered on time, within budget, and to the highest quality standards, while also fostering strong client and stakeholder relationships. Construction Program Managers will have an oversight of large projects while directing, supervising, and mentoring the onsite construction managers.
**Client Relations Responsibilities**
* Manage and foster relationships with clients by understanding their needs by listening actively and addressing feedback honestly and transparently.
* Review project schedule, work progress, and budget with the client.
* Communicate project progress, issues, and updates to the client proactively.
* Set and manage project timelines, deliverables, and expectations with the client.
* Ability to adapt to changing client needs and expectations, while maintaining a professional approach.
* Build trust and rapport with our clients by delivering expectations and driving value.
* Build professional relationships where our clients can rely on the guidance and experience of the Construction Program Manager.
**Supervising** **Responsibilities of Construction Projects**
* Oversee and direct site\-based construction managers, field administrators, office based technical staff from conception to completion and provide direction to safety. This includes reviewing and monitoring team members’ work, mentoring, and evaluating performance, fielding questions and providing guidance to complete tasks, and being available to help manage deadline conflicts as needed.
* Provide valuable field input to the office project manager regarding project accounting, budgeting, and cost management.
* Other tasks as assigned.
* Work with the overall office project manager on developing and updating project scope, budget, and schedule.
* Develop relationships with inspectors to ensure adherence to project permit requirements.
* Change order and general construction administration.
* Manage third party testing, inspection, and relationships.
* Jobsite walk / audits to ensure project is progressing and drive efficiently.
* Support and coordinate facility start up.
* Develop construction reports to focus on client executives.
* Work with project controllers and office project managers in responsibilities involving supplier invoices and client billing.
* Promote continuous and productive communication between project participants including internal and external clients and partners.
**Required Education Skills and Experience**
* A bachelor’s degree in construction science, building science, construction engineering or a related field is strongly preferred
* 15\+ years of progressively responsible job site experience working on industrial building projects (strongly preferrable in the Food \&amp; Beverage Industry).
* 15\+ years of working with sub\-contractors (motivating them, working through sub\-contractors’ issues, etc.)
* Demonstrated ability to drive project schedules.
* 15\+ years of building or sustaining client relationships.
* Strong technical, organizational, managerial, and communication skills involving multiple disciplines, drawings and being competent using 3D models.
* 7\+ years of Design\-build experience (preferred).
* Refined, polished, and professional in all forms of communication.
* A fundamental understanding of all phases of construction and an ability to read and interpret construction documents and schedules, specifically with MS Project.
* Meet Travel requirement – Up to 100% travel to projects throughout the USA and possibly Canada
* Work Schedule requirement – Work 10 days onsite, 4 days off.
**Physical Requirements**
* Prolonged periods sitting at a desk and working on a computer and prolonged periods of standing and walking around project sites with uneven surfaces.
* Must be able to traverse and inspect all areas of jobsite in all types of weather; this may include walking, climbing, reaching, bending, crawling, or stretching.
* Exposure to characteristic construction site dangers.
* Must be on\-call to address delays, emergencies, bad weather, and other issues at the jobsite.
* Must be able to lift\-up to 50 pounds at times.
**Travel Requirement**
* Our projects are located throughout the United States and Canada, and this is a site\-based position, overseeing a large project with a 10 days on / 4 days off work schedule. Projects typically last 12\+ months. Meal and lodging per diems are provided along with reasonable travel provisions. Up to 100% overnight travel is required based on project needs.
**About Us**
We plan, design, engineer, and build food plants for major brands across the country and the world. For the past three decades, we’ve focused exclusively on the food and beverage industry, helping your favorite brands put your favorite foods in the grocery store. Simply put, food isn’t one thing we do, it’s all we do.
Dennis Group offers competitive compensation packages commensurate with experience. We provide comprehensive employee benefits including medical, dental, vision, life and disability insurance, paid time off including an open vacation policy, as well as bonus, profit\-sharing, and retirement plans.
 Dennis Group is proud to provide equal employment opportunities (EEO) to all employees and applicants for employment without regard to race, color, religion, sex, sexual orientation, gender identity, national origin, age, disability, or genetics.
### **JOB CODE: 1002775**</t>
        </is>
      </c>
    </row>
    <row r="74">
      <c r="A74" t="inlineStr">
        <is>
          <t>in-9dd2517bf6841a96</t>
        </is>
      </c>
      <c r="B74" t="inlineStr">
        <is>
          <t>Program Manager of Patient Experience</t>
        </is>
      </c>
      <c r="C74" t="inlineStr">
        <is>
          <t>MountainView Regional Medical Center</t>
        </is>
      </c>
      <c r="D74" t="inlineStr">
        <is>
          <t>indeed</t>
        </is>
      </c>
      <c r="E74">
        <f>HYPERLINK("https://www.indeed.com/viewjob?jk=9dd2517bf6841a96", "https://www.indeed.com/viewjob?jk=9dd2517bf6841a96")</f>
        <v/>
      </c>
      <c r="F74">
        <f>HYPERLINK("https://fa-evxo-saasfaprod1.fa.ocs.oraclecloud.com:443/hcmUI/CandidateExperience/en/job/144602", "https://fa-evxo-saasfaprod1.fa.ocs.oraclecloud.com:443/hcmUI/CandidateExperience/en/job/144602")</f>
        <v/>
      </c>
      <c r="G74" t="inlineStr">
        <is>
          <t>Las Cruces, NM, US</t>
        </is>
      </c>
      <c r="H74" s="2" t="n">
        <v>46077</v>
      </c>
      <c r="I74" t="inlineStr">
        <is>
          <t>**Why Join Us?**
* Competitive Compensation
* Comprehensive Medical, Dental, Vision \&amp; Life Insurance
* Generous Paid Time Off \&amp; Extended Illness Bank
* Matching 401(k) Retirement Plan
* Opportunities for Career Grown \&amp; Advancement
* Recognition \&amp; Reward Programs
* Exclusive Discounts \&amp; Perks\*
 **Job Summary**  
The Patient Experience Manager leads facility\-wide efforts to improve patient perception of care and service reliability by driving adoption of standardized patient experience practices and performance expectations. This role partners with hospital leadership, physicians, and frontline teams to strengthen communication, service behaviors, and accountability aligned with enterprise Vision and Values and HCAHPS performance standards. The Patient Experience Manager analyzes performance data, identifies improvement opportunities, and leads targeted initiatives that enhance patient satisfaction, reinforce service excellence, and support sustained operational results.  
**Essential Functions**
* Executes enterprise\-defined patient experience initiatives within the facility, ensuring alignment with organizational priorities and consistent application of standardized practices, tools, and protocols.
* Serves as the primary operational resource for hospital leadership and staff regarding patient experience standards, HCAHPS performance expectations, and Service High Reliability Organization (HRO) principles.
* Provides hands\-on coaching to department leaders, managers, and frontline staff to reinforce empathy, service excellence, accountability, and consistent implementation of patient\-centered behaviors.
* Partners with Education and Human Resources teams to align training programs, onboarding processes, and ongoing development efforts with enterprise\-defined patient experience standards.
* Leads onboarding and structured training sessions for leaders and staff to reinforce enterprise Vision, Values, and patient\-centered care expectations.
* Maintains systems and processes that ensure leaders and staff have access to patient experience data, tools, and resources necessary to support performance improvement efforts.
* Monitors and evaluates facility\-level patient experience metrics, identifies performance trends and gaps, and collaborates with hospital and regional leadership to implement targeted improvement actions.
* Develops and delivers professional presentations, dashboards, and reports to hospital leadership and interdisciplinary teams to promote transparency, accountability, and measurable improvement.
* Leads and actively participates in patient experience\-related performance improvement initiatives, including service recovery and quality improvement efforts, ensuring implementation and sustainment of approved practices.
* Guides hospital teams in applying enterprise\-approved improvement frameworks to address patient experience gaps and sustain performance gains.
* Performs other duties as assigned.
* Maintains regular and reliable attendance.
* Complies with all policies and standards.
 **Leadership Responsibilities/Qualifications**
* Bachelor's Degree in relevant field required or
* Four (4\) plus years of direct experience in lieu of a Bachelor's degree required
* Master's Degree preferred
* 2\-4 years of experience in closely related field with Bachelor's degree required
* 2\-4 years of previous leadership experience preferred
 **Knowledge, Skills and Abilities**
* Strong leadership, organizational, and communication skills.
* Ability to collaborate with interdisciplinary teams and manage cross\-functional relationships.
* Foster a positive work environment that promotes teamwork, professionalism, and continuous improvement.
* Communicate effectively with leadership, team members, and stakeholders.
* Ability to work effectively with others, delegate responsibilities, and independently manage tasks while meeting established deadlines.
* Problem\-solving and critical thinking skills.
* In depth knowledge of industry best practices and regulatory compliance (if applicable).
* Strong organizational and time management skills.
* Proficiency with Google and Microsoft platforms, healthcare software systems, and data analysis tools.
 **Licenses and Certifications**
* Current active licensure in a clinical discipline (e.g., Registered Nurse or equivalent healthcare credential) required
* Certified Patient Experience Professional (CPXP) obtained within 12 months of hire required
INDLEAD</t>
        </is>
      </c>
    </row>
    <row r="75">
      <c r="A75" t="inlineStr">
        <is>
          <t>in-d27041d0c33d3628</t>
        </is>
      </c>
      <c r="B75" t="inlineStr">
        <is>
          <t>Product Manager, Mobile Sales CRM</t>
        </is>
      </c>
      <c r="C75" t="inlineStr">
        <is>
          <t>Lennar</t>
        </is>
      </c>
      <c r="D75" t="inlineStr">
        <is>
          <t>indeed</t>
        </is>
      </c>
      <c r="E75">
        <f>HYPERLINK("https://www.indeed.com/viewjob?jk=d27041d0c33d3628", "https://www.indeed.com/viewjob?jk=d27041d0c33d3628")</f>
        <v/>
      </c>
      <c r="F75">
        <f>HYPERLINK("https://lennar.wd1.myworkdayjobs.com/en-US/Lennar_Jobs/job/Irving-TX-Job-Posting-Location/Product-Manager--Mobile-Sales-CRM_R26_0000000652-1", "https://lennar.wd1.myworkdayjobs.com/en-US/Lennar_Jobs/job/Irving-TX-Job-Posting-Location/Product-Manager--Mobile-Sales-CRM_R26_0000000652-1")</f>
        <v/>
      </c>
      <c r="G75" t="inlineStr">
        <is>
          <t>Irving, TX, US</t>
        </is>
      </c>
      <c r="H75" s="2" t="n">
        <v>46077</v>
      </c>
      <c r="I75"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As Product Manager for our Sales Mobile App, you’ll lead the development of innovative tools that empower our Sales Team to work smarter, engage homebuyers more effectively, and streamline the buying journey. You’ll be the voice of the user—deeply understanding their workflows and designing features that accelerate their success. You’ll shape a shared product vision with executives, define the metrics that matter, and relentlessly drive outcomes. This is a high\-impact role where you’ll unlock new capabilities for our team—leveraging cutting\-edge AI and thoughtful design to transform how homes are sold.* A career with purpose.
* A career built on making dreams come true.
* A career built on building zero defect homes, cost management, and adherence to schedules.
Your Responsibilities on the Team* Build and manage a mobile app experience for dynamic sales teams.
* Develop and maintain a comprehensive Sales CRM for NHCs to enhance their efficiency and customer engagement.
* Leverage innovative solutions to address challenges in the home\-buying process, especially for mobile associates.
* Collaborate with cross\-functional teams to define product vision, strategy, and roadmap.
* Gather and prioritize product and customer requirements.
* Ensure the product aligns with company goals and customer needs.
* Conduct market research and competitor analysis to stay ahead of industry trends.
* Utilize advanced knowledge of Salesforce Sales Cloud and CRM platforms to optimize product functionality.
* Work closely with sales teams to understand their needs and tailor CRM solutions accordingly.
* Test and validate new features and enhancements.
* Manage product lifecycle from concept to launch and continuous improvement.
Requirements* 2\+ years of Product Management experience.
* Product Management experience for web or mobile platforms, with a strong focus on UX/UI design and user\-centric solutions
* Strong knowledge of Salesforce Sales Cloud and CRM platforms.
* Deep domain expertise in product management strategy, tools, and methodologies.
* Strong analytical capabilities.
* Proven Product Management skills to prioritize tasks, test activations, manage team bandwidth, and deliverables.
* Experience working with sales teams.
* Experience in home selling or real estate is a plus.
* Excellent communication skills and executive presence.
* Effective presenter and collaborator.
* Strategic thinker with the ability to identify and resolve problems in a complex dynamic environment.
* Bachelor's degree required.
* Humble, hungry to make an impact, and proactive in taking initiative.
What is Product at Lennar like?* We believe in the lean startup philosophy \- it is important that we test and learn quickly to inform our product strategy/direction.
* You’ll report directly to our Director of Product and will work closely with other product managers to develop a vision for your specific product area.
* We believe in hiring smart and talented product managers and as a result you’ll have a good deal of autonomy to articulate ideas and features you think will add value to our users and business.
\#LI\-GQ1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76">
      <c r="A76" t="inlineStr">
        <is>
          <t>in-ee5bc5414058c45d</t>
        </is>
      </c>
      <c r="B76" t="inlineStr">
        <is>
          <t>Program Manager ePMO</t>
        </is>
      </c>
      <c r="C76" t="inlineStr">
        <is>
          <t>OhioHealth</t>
        </is>
      </c>
      <c r="D76" t="inlineStr">
        <is>
          <t>indeed</t>
        </is>
      </c>
      <c r="E76">
        <f>HYPERLINK("https://www.indeed.com/viewjob?jk=ee5bc5414058c45d", "https://www.indeed.com/viewjob?jk=ee5bc5414058c45d")</f>
        <v/>
      </c>
      <c r="F76">
        <f>HYPERLINK("https://ohiohealth.wd5.myworkdayjobs.com/en-US/OhioHealthJobs/job/HYBRID---BLOM-ADMINISTRATIVE-CAMPUS/Program-Manager-ePMO_JR145789", "https://ohiohealth.wd5.myworkdayjobs.com/en-US/OhioHealthJobs/job/HYBRID---BLOM-ADMINISTRATIVE-CAMPUS/Program-Manager-ePMO_JR145789")</f>
        <v/>
      </c>
      <c r="G76" t="inlineStr">
        <is>
          <t>Columbus, OH, US</t>
        </is>
      </c>
      <c r="H76" s="2" t="n">
        <v>46077</v>
      </c>
      <c r="I76" t="inlineStr">
        <is>
          <t>**We are more than a health system. We are a belief system.** We believe wellness and sickness are both part of a lifelong partnership, and that everyone could use an expert guide. We work hard, care deeply and reach further to help people uncover their own power to be healthy. We inspire hope. We learn, grow, and achieve more – in our careers and in our communities.
**Job Description Summary:**
The mission of the Enterprise Project Management Office is to support strategic, operational, and corporate initiatives at an enterprise scale using project management tools, methodologies, and expertise. Program Managers work closely with executives, business, care site, and operational leaders on large, complex, cross\-functional initiatives across OhioHealth in the areas of growth and expansion, new product introductions \&amp; software upgrades, continuous improvement, \&amp; cultural transformations. Program Managers leverage relationships within a heavily matrixed organization to ensure critical workstreams are appropriately resourced and interdependencies are managed successfully. Program Managers act as the voice of the sponsor, providing leadership, coordination, and guidance to cross\-functional workstreams. This role will also represent the EPMO across the organization and will be responsible for providing peer leadership, coaching, and mentoring for emerging project managers.
**Responsibilities And Duties:**
Manage multiple, complex projects/initiatives simultaneously while proactively identifying and managing stakeholders, validating business success factors, managing expectations, and ensuring communication channels are effective for all stakeholders. Develops project artifacts with workstream leaders and subject matter experts that include, but are not limited to charter, project scope, schedule, resource management, risk management, performance management, and stakeholder management. Promotes and leads the change management plan for all initiatives. Tailors the initiative using the appropriate project/program methodology and drives execution to plan. Works with peers and associated groups to maintain, and continuously improve the project management operating system. Establishes a steering committee as defined by the project charter to ensure decisions are addressed timely. Demonstrates strong executive presence and the ability to work with and influence leaders. Must maintain and demonstrate superior project management skills.
Supports Director, Enterprise PMO in creating a culture that embraces project management methodologies. Represents the PMO across the enterprise and takes an active role in promoting project management practices. Promotes a team atmosphere and regularly shares knowledge with others.  
As a High Reliability Organization (HRO), responsibilities require focus on safety, quality and efficiency in performing job duties.
The job profile provides an overview of responsibilities and duties and is not intended to be an exhaustive list and is subject to change at any time
**Minimum Qualifications:**
Master's Degree
**Additional Job Description:**
**MINIMUM QUALIFICATIONS**
Bachelor's degree required
Master’s degree preferred
Years of experience: 7  
**SPECIALIZED KNOWLEDGE**
Project management (PMP) certification required
Experience managing acute (hospital) or ambulatory care operations is required.
Kind and Length of Experience: 7\+ years’ progressive experience managing complex portfolios, projects, programs, business plans, or pro forma programs
**Work Shift:**
Day
**Scheduled Weekly Hours :**
40
**Department**
Enterprise Projmgmt Office
Join us!
... if your passion is to work in a caring environment
... if you believe that learning is a life\-long process
... if you strive for excellence and want to be among the best in the healthcare industry
Equal Employment Opportunity
OhioHealth is an equal opportunity employer and fully supports and maintains compliance with all state, federal, and local regulations. OhioHealth does not discriminate against associates or applicants because of race, color, genetic information, religion, sex, sexual orientation, gender identity or expression, age, ancestry, national origin, veteran status, military status, pregnancy, disability, marital status, familial status, or other characteristics protected by law. Equal employment is extended to all person in all aspects of the associate\-employer relationship including recruitment, hiring, training, promotion, transfer, compensation, discipline, reduction in staff, termination, assignment of benefits, and any other term or condition of employment</t>
        </is>
      </c>
    </row>
    <row r="77">
      <c r="A77" t="inlineStr">
        <is>
          <t>in-f6f632ee21f39ed4</t>
        </is>
      </c>
      <c r="B77" t="inlineStr">
        <is>
          <t>Product Manager</t>
        </is>
      </c>
      <c r="C77" t="inlineStr">
        <is>
          <t>Seaboard Foods</t>
        </is>
      </c>
      <c r="D77" t="inlineStr">
        <is>
          <t>indeed</t>
        </is>
      </c>
      <c r="E77">
        <f>HYPERLINK("https://www.indeed.com/viewjob?jk=f6f632ee21f39ed4", "https://www.indeed.com/viewjob?jk=f6f632ee21f39ed4")</f>
        <v/>
      </c>
      <c r="F77">
        <f>HYPERLINK("https://recruiting.adp.com/srccsh/public/RTI.home?r=5001181225800&amp;c=1157451&amp;d=SeaboardFoodsExternal&amp;rb=INDEED&amp;idUnique=5001181225800", "https://recruiting.adp.com/srccsh/public/RTI.home?r=5001181225800&amp;c=1157451&amp;d=SeaboardFoodsExternal&amp;rb=INDEED&amp;idUnique=5001181225800")</f>
        <v/>
      </c>
      <c r="G77" t="inlineStr">
        <is>
          <t>Merriam, KS, US</t>
        </is>
      </c>
      <c r="H77" s="2" t="n">
        <v>46077</v>
      </c>
      <c r="I77" t="inlineStr">
        <is>
          <t>**YOUR OPPORTUNITY**
We have an exciting Product Manager opportunity in our Merriam, KS office. The Product Manager is responsible for maximizing profits and throughput while minimizing costs for specific sales channels. This position will collaborate with sales, FSQA, analytics, scheduling, and operations to help identify an ideal product mix and put a plan together to execute that mix.
**ABOUT US**
At Seaboard Foods, we create the most sought\-after pork. A top U.S. pork producer/processor and leading exporter to 30\+ countries, we are committed to bringing excellence to the table, seeking a better way to produce wholesome pork and connect every step between our farms and family tables. More than 5,400 employees in five states work on our farms, feed mills, and processing plant to produce Prairie Fresh® pork, ensuring the well\-being of our animals, the environment, our employees, and the communities we call home. Our commitment to sustainability is reflected in our renewable gas projects on our farms creating renewable energy. Owned by Seaboard Corporation, a Fortune 500 company, and nominated as one of the “Best Places to Work” by Kansas City's Business Journal, we have a dynamic culture where our employees can contribute and understand why they matter.
**RESPONSIBILITIES**
* Build, maintain, and manage break\-even models to assist the Pricing Manager with establishing position targets.
* Work with the sales group throughout daily activities to manage sold positions and pricing.
* Participate in weekly market forecast meetings.
* Work with sales in evaluating and establishing frozen positions for selecting product items and develop timing for establishing frozen positions.
* Work with the analytics department to develop and manage Production Realization reporting for select items.
* Travel to the plants to identify opportunities within operations to save resources.
* Review and submit all new code requests for their assigned channels.
* Become the resident expert on their sales channel needs and profitability.
**CORE COMPETENCIES FOR SUCCESS IN ALL ROLES:** *instills trust, communicates effectively, action\-oriented, ensures accountability, and drives results.*
**QUALIFICATIONS**
**Required:**
* **An understanding and familiarity with protein/commodity markets**
* **An understanding and familiarity with customers and sales tactics**
* **An understanding of cost models for animal protein products, pork items being a preference**
* **Familiarity with pork slaughter and fabrication facilities, processes, equipment, and cuts**
**Preferred:**
* **Minimum of 5 years' experience in an animal protein product management, sales, or equivalent role**
* **Bachelor's degree in business, agriculture, or related field.**
**WORK ENVIRONMENT**
*The physical and work demands listed here represent those an employee should possess to successfully perform the job's essential functions. Reasonable accommodation may be made to enable individuals with disabilities to perform essential functions.*
* Primarily an office environment with some need to work in the field.
* The hours and days of work are established by departmental needs and at the discretion of management. After\-hours, weekends, and overnight travel as requested.
**WHY SEABOARD FOODS?**
* Medical, vision \&amp; dental benefits upon hire
* 401K with company match
* Paid Time Off \&amp; Company Holidays
* Wellness Program
* Tuition reimbursement
* Employee pork purchase program
**For a complete list of our benefits please visit our career site:** https://www.seaboardfoods.com/careers/why\-sbf/
*Seaboard Foods is an equal opportunity employer. All qualified applicants will receive consideration for employment without regard to race, color, religion, gender, sexual orientation, national origin, age, gender identity, protected veterans' status, status as a disabled individual, or any other status protected by law.*</t>
        </is>
      </c>
    </row>
    <row r="78">
      <c r="A78" t="inlineStr">
        <is>
          <t>in-c2662fdcf64a4303</t>
        </is>
      </c>
      <c r="B78" t="inlineStr">
        <is>
          <t>Health Insurance Product Manager (Product Development/Product Management Consultant IV)</t>
        </is>
      </c>
      <c r="C78" t="inlineStr">
        <is>
          <t>Kaiser Permanente</t>
        </is>
      </c>
      <c r="D78" t="inlineStr">
        <is>
          <t>indeed</t>
        </is>
      </c>
      <c r="E78">
        <f>HYPERLINK("https://www.indeed.com/viewjob?jk=c2662fdcf64a4303", "https://www.indeed.com/viewjob?jk=c2662fdcf64a4303")</f>
        <v/>
      </c>
      <c r="F78">
        <f>HYPERLINK("https://www.kaiserpermanentejobs.org/job/-/-/641/92097455536", "https://www.kaiserpermanentejobs.org/job/-/-/641/92097455536")</f>
        <v/>
      </c>
      <c r="G78" t="inlineStr">
        <is>
          <t>Hyattsville, MD, US</t>
        </is>
      </c>
      <c r="H78" s="2" t="n">
        <v>46076</v>
      </c>
      <c r="I78" t="inlineStr">
        <is>
          <t>PLEASE NOTE SALARY RANGE WILL VARY BASED ON CANDIDATES GEOGRAPHIC LOCATION
The Health Insurance Product Manager will work across teams within Kaiser Permanente to ensure the Mid\-Atlantic regional commercial health insurance and ancillary product portfolio is competitive in the market and meets performance objectives. Health Insurance Product Managers may manage a specific customer segment (business line) portfolio, lead initiatives to enhance existing insurance product types, and/or develop new insurance or benefit offerings.
**Job Summary:**
Participates in the development of a product strategy and helps support the ideation process. Gathers and analyzes data to develop data\-driven insights to understand market conditions, trends, and develop and monitoring success criteria to evaluate products throughout its lifecycle. Ensures metrics are developed and product dashboards are maintained as identified by the leadership team. Conducts regional feasibility with functional partners for a focused set of products or LOBs and develops the recommendations of products or portfolios under leadership guidance and garners executive alignment through data, analysis, and presentations. Updates specific pieces of collateral, manages service recovery and issues resolution, oversees content and response gathering to sales and account management questions, and consulting and sharing product subject matter expertise. Recommends content for business\-case development initiatives. Evaluates benefits/plans to meet regulatory and internal/external benefit administration needs. Creates product/benefit requirements that incorporate line of business, regional, organizational, product strategy, customer needs, regulations/standards and operational requirements. Manages a less complex implementation or workstream with supervision by leveraging expertise to ensure project and product lifecycle, executes simple product changes, and ensures they are completed accurately and in a timely manner. Enables alignment and buy in to create to create and/or modify products and product enhancements according to predefined strategy for a given business area, ensuring benefits and policies meet all regulatory requirements, and developing, maintaining, and creating training content with supervision. Leverages an advanced understanding and experience of product policy, end\-to\-end product administration, and content area knowledge working with Underwriting, Actuarial Services, Regulatory, and Benefits.
 **Essential Responsibilities:*** Promotes learning in others by proactively providing and/or developing information, resources, advice, and expertise with coworkers and members; builds relationships with cross\-functional/external stakeholders and customers. Listens to, seeks, and addresses performance feedback; proactively provides actionable feedback to others and to managers. Pursues self\-development; creates and executes plans to capitalize on strengths and develop weaknesses; leads by influencing others through technical explanations and examples and provides options and recommendations. Adopts new responsibilities; adapts to and learns from change, challenges, and feedback; demonstrates flexibility in approaches to work; champions change and helps others adapt to new tasks and processes. Facilitates team collaboration to support a business outcome.
* Completes work assignments autonomously and supports business\-specific projects by applying expertise in subject area and business knowledge to generate creative solutions; encourages team members to adapt to and follow all procedures and policies. Collaborates cross\-functionally and/or externally to achieve effective business decisions; provides recommendations and solves complex problems; escalates high\-priority issues or risks, as appropriate; monitors progress and results. Supports the development of work plans to meet business priorities and deadlines; identifies resources to accomplish priorities and deadlines. Identifies, speaks up, and capitalizes on improvement opportunities across teams; uses influence to guide others and engages stakeholders to achieve appropriate solutions.
* Participates in business\-case development by: recommending content for initiatives.
* Facilitates market engagement by: updating specific pieces of collateral; managing service recovery and issues resolution; overseeing content and response gathering to sales and account management questions; and consulting and sharing product subject matter expertise.
* Contributes to product implementation or program management by: managing a less complex implementation or workstream with supervision by leveraging expertise to ensure project and product lifecycle, executing simple product changes, and ensuring they are completed accurately and in a timely manner.
* Facilitates product portfolio feasibility and development by: conducting regional feasibility with functional partners for a focused set of products or lines of business (LOBs); and developing the recommendations of products or portfolios under leadership guidance and garnering executive alignment through data, analysis, and presentations.
* Facilitates product portfolio performance and competitive analysis by: gathering and analyzing data (e.g., financials, claims, membership, appeals) to develop data\-driven insights to understand market conditions, trends, and develop and monitoring success criteria to evaluate products throughout its lifecycle; and ensuring metrics are developed and product dashboards are maintained as identified by the leadership team.
* Facilitating product requirement development by: evaluating benefits/plans to meet regulatory and internal/external benefit administration needs; and creating product/benefit requirements that incorporate LOB, regional, organizational, product strategy, customer needs, regulations/standards, and operational requirements.
* Applies product knowledge by: leveraging an advanced understanding and experience of product policy, end\-to\-end product administration, and content area knowledge working with Underwriting, Actuarial Services, Regulatory, and Benefits.
* Facilitating product training and change management by: enabling alignment and buy\-in to create and/or modify products and product enhancements according to predefined strategy for a given business area, ensuring benefits and policies meet all regulatory requirements (e.g., state and federal), and developing, maintaining, and creating training content with supervision.
* Facilitates team management by: managing a matrixed team for one or two markets, LOBs, product, portfolio, workstream, or initiatives.
 **Knowledge, Skills and Abilities: (Core)*** Ambiguity/Uncertainty Management
* Attention to Detail
* Business Knowledge
* Communication
* Critical Thinking
* Cross\-Group Collaboration
* Decision Making
* Dependability
* Diversity, Equity, and Inclusion Support
* Drives Results
* Facilitation Skills
* Health Care Industry
* Influencing Others
* Integrity
* Learning Agility
* Organizational Savvy
* Problem Solving
* Short\- and Long\-term Learning \&amp; Recall
* Teamwork
* Topic\-Specific Communication
 **Knowledge, Skills and Abilities: (Functional)*** Applied Data Analysis
* Business Acumen
* Business Relationship Management
* Client and Domain Knowledge
* Conflict Resolution
* External Health Care Compliance
* Managing Diverse Relationships
* Market Analysis
* Product Development Life Cycle
* Product Performance
* Project Management
* Project Management Tools
* Quality Assurance Process
* Risk Assessment
* Service Focus
* Strategic Program Management
* Time Management
**Minimum Qualifications:**  
* Bachelors degree from an accredited college or university AND minimum five (5\) years of experience in health care, product development and management, strategy development and execution, finance, sales and account management, marketing, consulting, benefits, program management, or a directly related field OR minimum eight (8\) years of experience in health care, product development and management, strategy development and execution, finance, sales and account management, marketing, consulting, benefits, program management, or a directly related field.
 **Preferred Qualifications:*** Eight (8\) years of experience in health care insurance, health plan administration, benefit administration, benefit policy, or a directly related field.
* Master's Degree in Business, Economics, Finance, Marketing, Strategy, Health Care Administration, or related field.
PrimaryLocation : Maryland,Hyattsville,New Carrollton Administration  
HoursPerWeek : 40  
Shift : Day  
Workdays : Mon, Tue, Wed, Thu, Fri  
WorkingHoursStart : 09:00 AM  
WorkingHoursEnd : 05:00 PM  
Job Schedule : Full\-time  
Job Type : Standard  
Employee Status : Regular  
Employee Group/Union Affiliation : NUE\-PO\-01\|NUE\|Non Union Employee  
Job Level : Individual Contributor  
Job Category : Strategic Planning \&amp; Business Development  
Department : Po/Ho Corp \- National Product Solutions \- 7016  
Travel : Yes, 5 % of the Time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t>
        </is>
      </c>
    </row>
    <row r="79">
      <c r="A79" t="inlineStr">
        <is>
          <t>in-799f55110ea5c40b</t>
        </is>
      </c>
      <c r="B79" t="inlineStr">
        <is>
          <t>Senior Technical Program Manager</t>
        </is>
      </c>
      <c r="C79" t="inlineStr">
        <is>
          <t>Microsoft</t>
        </is>
      </c>
      <c r="D79" t="inlineStr">
        <is>
          <t>indeed</t>
        </is>
      </c>
      <c r="E79">
        <f>HYPERLINK("https://www.indeed.com/viewjob?jk=799f55110ea5c40b", "https://www.indeed.com/viewjob?jk=799f55110ea5c40b")</f>
        <v/>
      </c>
      <c r="F79">
        <f>HYPERLINK("https://apply.careers.microsoft.com/careers/job/1970393556803286?utm_source=indeed&amp;domain=microsoft.com", "https://apply.careers.microsoft.com/careers/job/1970393556803286?utm_source=indeed&amp;domain=microsoft.com")</f>
        <v/>
      </c>
      <c r="G79" t="inlineStr">
        <is>
          <t>Redmond, WA, US</t>
        </is>
      </c>
      <c r="H79" s="2" t="n">
        <v>46076</v>
      </c>
      <c r="I79" t="inlineStr">
        <is>
          <t>**Overview**  
Microsoft Hardware and Infrastructure Fundamentals Engineering (HIFE) is the team that owns and delivers on all aspects related to Cloud Manufacturing for Microsoft’s Azure Cloud. The organization is responsible from end to end manufacturing quality and infrastructure – which means supporting and resolving issues for incoming hardware, deployment and sustenance of the fleet.
Our focus is on smart growth, high efficiency, and delivering a trusted experience to customers and partners worldwide and we are looking for a passionate **Senior Technical Program Manager** to help achieve that mission.
 **Responsibilities**  
* Owning/executing critical hardware remediations along the end\-to\-end hardware manufacturing spectrum working with stakeholders from supply chain, DC operations, capacity management and engineering groups.
* Ability to influence partners, make key decisions pertaining to hardware quality escapes and develop a systematic mitigation plan to resolve quality issues.
* Identifying opportunities and tools that allow a reduction of manual work and automate process workflows including prior work with agentic AI.
* Ability to perform cost/time/risk tradeoff analysis while being customer centric and budget conscious.
* Partner with leadership and teams to create an inclusive environment that attracts and retains engineers.
* Conduct in\-depth data analysis to help derive insights and drive business decisions.
**Qualifications**  
Required:
* Doctorate Degree in Mechanical Engineering, Materials Engineering, Reliability Engineering, Electrical Engineering, or related field AND 2\+ years technical engineering experience OR Master's Degree in Mechanical Engineering, Materials Engineering, Reliability Engineering, Electrical Engineering, or related field AND 4\+ years technical engineering experience OR Bachelor's Degree in Mechanical Engineering, Materials Engineering, Reliability Engineering, Electrical Engineering, or related field AND 5\+ years technical engineering experience OR 12\+ years relevant technical engineering experience.
Ability to meet Microsoft, customer and/or government security screening requirements are required for this role. These requirements include,but are not limited to the following specialized security screenings: Microsoft Cloud Background Check: This position will be required to pass the Microsoft Cloud Background Check upon hire/transfer and every two years thereafter.
Preferred:
* 7 \- 10\+ years in the server hardware industry.
* Working knowledge of disciplines across data center and server/rack hardware quality.
* Ability to work on issues that span geos and provide clear/aligned communication to stakeholders.
* Ability to write/run Kusto/SQL queries.
* Knowledge of Power BI.
* Experience working in the end\-to\-end server hardware quality space from system integrators to data center operations.
* Experience with hardware, firmware, software interfaces across all modules in a system.
\#azurehwjobs \#SCHIE \#HIFE
Reliability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0">
      <c r="A80" t="inlineStr">
        <is>
          <t>in-c9b6544c4ebae5dc</t>
        </is>
      </c>
      <c r="B80" t="inlineStr">
        <is>
          <t>Licensed Professional Mental Health Counselor (Program Manager) - Vet Center Director</t>
        </is>
      </c>
      <c r="C80" t="inlineStr">
        <is>
          <t>US Department of Veterans Affairs</t>
        </is>
      </c>
      <c r="D80" t="inlineStr">
        <is>
          <t>indeed</t>
        </is>
      </c>
      <c r="E80">
        <f>HYPERLINK("https://www.indeed.com/viewjob?jk=c9b6544c4ebae5dc", "https://www.indeed.com/viewjob?jk=c9b6544c4ebae5dc")</f>
        <v/>
      </c>
      <c r="F80">
        <f>HYPERLINK("https://www.usajobs.gov:443/job/858796200", "https://www.usajobs.gov:443/job/858796200")</f>
        <v/>
      </c>
      <c r="G80" t="inlineStr">
        <is>
          <t>Danbury, CT, US</t>
        </is>
      </c>
      <c r="H80" s="2" t="n">
        <v>46076</v>
      </c>
      <c r="I80" t="inlineStr">
        <is>
          <t>**Summary**
-----------
This position is eligible for **the Education Debt Reduction Program (EDRP),** a student loan payment reimbursement program. You must meet specific eligibility requirements per VHA policy and submit your EDRP application within four months of appointment. *Program Approval, award amount (up to $200,000\) \&amp; eligibility period (one to five years) are determined by the VHA Education Loan Repayment Services program office after review of the EDRP application. Former EDRP participants ineligible to apply.*
**This job is open to**
-----------------------
### **The public**
U.S. Citizens, Nationals or those who owe allegiance to the U.S.
### **Federal employees \- Competitive service**
Current federal employees whose agencies follow the U.S. Office of Personnel Management's hiring rules and pay scales.
### **Federal employees \- Excepted service**
Current federal employees whose agencies have their own hiring rules, pay scales and evaluation criteria.
### **Internal to an agency**
Current federal employees of the hiring agency that posted the job announcement.
### **Clarification from the agency**
First area of consideration \- current, permanent RCS employees. Second area of consideration \- current, permanent VHA employees. Third area of consideration \- all other qualified applicants. NOTE: The 2\-page Resume requirement does not apply to this position. For more information, refer to Required Documents below.
**Duties**
----------
Serves as a Licensed Professional Mental Health Counselor Program Manager, RCS Vet Center Director (VCD) and is responsible for the professional and administrative supervision and oversight of all readjustment counseling, outreach, referrals and follow\-up care coordination services provided to eligible individuals within the designated Vet Center Service Area (VSA).
* The VCD supervises both professional and nonprofessional staff including multi\-disciplinary team of mental health professionals of various performance levels who work in multiple locations (Vet Centers, Vet Center Outstations and Community Access Points) and in communities distant from the Vet Center through planned outreach, often in conjunction with a Mobile Vet Center
* Administrative and outreach staff service functions are also the responsibility of the VCD
* The LPMHC Program Manager VCD oversees the fiscal, contractual, and operational obligations of the community\-based Vet Center
* Leads the coordination and briefing during meetings with Congressional representatives and their staff
* VCD takes the lead in planning, establishing and implementing Vet Center policies and procedures, developing staff goals and objectives, monitoring, coordinating and evaluating the work of all Vet Center staff, including social workers, other Hybrid Title 38 Mental Health professionals, Title 5 Readjustment counselors, outreach workers and office Managers
* Provides direct readjustment counseling services within and outside of the Vet Center to include in\-person and virtual services
* Perform other duties as assigned
**Work Schedule**: Monday\-Friday; 8:00am \- 4:30pm; Some nights and weekends may be required.  
**Telework**: Ad hoc  
**Virtual:** This is not a virtual position.  
**Functional Statement \#**: PD50586A  
**Relocation/Recruitment Incentives**: Not Authorized  
**EDRP Authorized:** *Former EDRP participants ineligible to apply for incentive.*Contact VHA.ELRSProgramSupport@va.gov, the EDRP Coordinator for questions/assistance. Learn more  
**Permanent Change of Station (PCS):** Not Authorized  
**NOTE: Readjustment Counselors are multi\-disciplinary and can be filled by: Social Worker, Psychologist, Licensed Professional Mental Health Counselor, and Marriage \&amp; Family Therapist. Each discipline is announced separately, and applicants must apply to the announcement for which they are qualified.**
**Requirements**
----------------
### **Conditions of employment**
* You must be a U.S. Citizen to apply for this job.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Hold a master's or doctoral degree in: Clinical Mental Health Counseling; Clinical Rehabilitation Counseling; Clinical Mental Health Counseling and Clinical Rehabilitation Counseling; or a related field, from a program accredited by the Council on Accreditation of Counseling and Related Educational Programs (CACREP). Examples of related mental health counseling fields include, but are not limited to Addiction Counseling; Community Counseling; Gerontology Counseling; Marital, Couple, and Family Counseling. CACREP defines the date when graduates are considered to have graduated from a CACREP accredited program. Additional information may be obtained from http://www.cacrep.org/directory/. NOTE: Traditional Rehabilitation counseling programs that are accredited by CACREP do not meet the LPMHC qualification standards as Traditional Rehabilitation counseling differs from Clinical Rehabilitation counseling.
* **Licensure.** Persons hired or reassigned to LPMHC positions in the GS\-0183 series in VHA must hold a full, current, and unrestricted license to independently practice as a Licensed Professional Mental Health Counselor, which includes diagnosis and treatment. NOTE: It is VHA policy that a LPMHC who does not yet have a license that allows independent practice must be supervised by a licensed independent practitioner of the same discipline who is a VA staff member and who has access to the electronic health record.
* **English Language Proficiency:** Candidates must be proficient in spoken and written English to be appointed as authorized by 38 U.S.C. 7403(f).
**Grade Determinations**: In addition to the basic requirements for employment, the following criteria must be met when determining the grade of candidates:  
**Licensed Professional Mental Health Counselor (Program Manager), GS\-13**  
**Experience, Education and Licensure.** In addition to the basic requirements, candidates must have at least one year of progressively complex experience equivalent to the GS\-12 grade level. The experience must demonstrate possession of advanced practice skills and judgment, demonstrating progressively more professional competency.  
**Demonstrated Knowledge, Skills, and Abilities.** In addition to meeting the KSAs for the GS\-12 grade level, the candidate must demonstrate the KSAs below:
* Ability to make judgments and decisions associated with program management.
* Ability to monitor program outcomes using data driven quality assurance process.
* Ability to develop productivity standards appropriate to each service provided.
* Ability to manage a wide range of programs which include the operation and management of key clinical, training or administrative programs.
**Reference:** VA Qualifications Standards  
The full performance level of this vacancy is GS\-13  
**Physical Requirements:** The work does not inherently include physical requirements essential for successful job performance that could not otherwise be performed with a workplace accommodation. A pre\-placement exam is not required.
### **Education**
**IMPORTANT:** A transcript must be submitted with your application.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Additional Resume/CV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Additional Resume/CV
* Performance Appraisal
* Professional Certification
* Resume
* Separation Notice (RIF)
* SF\-15
* SF\-50/ Notification of Personnel Action
*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Veterans' preference does not apply for internal or other current permanent Federal agency employees.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03/05/2026 to receive consideration. To preview the questionnaire click https://apply.usastaffing.gov/ViewQuestionnaire/12883785\.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VHA National Recruitment Center
Phone
(844\)456\-5208
Email
VHANationalRecruitmentCenter@va.gov
Address
*Readjustment Counseling Service*  
*120 SE 6th Avenue, Ste. 102*  
*Topeka, KS 66603*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02/24/2026 to 03/05/2026
Salary
$125,431 to \- $163,062 per year
Pay scale \&amp; grade
GS 13
Location
Danbury, CT
1 vacancy
Remote job
No
Telework eligible
Yes—Ad hoc
Travel Required
25% or less \- You may be expected to travel for this position.
Relocation expenses reimbursed
No
Appointment type
Permanent
Work schedule
Full\-time
Service
Excepted
Promotion potential
None
Job family (Series)
* 0183 Licensed Professional Mental Health Counselor
Supervisory status
Yes
Security clearance
Other
Drug test
No
Position sensitivity and risk
Moderate Risk (MR)
Trust determination process
* Credentialing
* Suitability/Fitness
Financial disclosure
No
Bargaining unit status
No
Announcement number
CBZY\-12883785\-26\-MEK
Control number
858796200</t>
        </is>
      </c>
    </row>
    <row r="81">
      <c r="A81" t="inlineStr">
        <is>
          <t>in-ac1593a60949a828</t>
        </is>
      </c>
      <c r="B81" t="inlineStr">
        <is>
          <t>Marriage and Family Therapist (Program Manager) - Vet Center Director</t>
        </is>
      </c>
      <c r="C81" t="inlineStr">
        <is>
          <t>US Department of Veterans Affairs</t>
        </is>
      </c>
      <c r="D81" t="inlineStr">
        <is>
          <t>indeed</t>
        </is>
      </c>
      <c r="E81">
        <f>HYPERLINK("https://www.indeed.com/viewjob?jk=ac1593a60949a828", "https://www.indeed.com/viewjob?jk=ac1593a60949a828")</f>
        <v/>
      </c>
      <c r="F81">
        <f>HYPERLINK("https://www.usajobs.gov:443/job/858795400", "https://www.usajobs.gov:443/job/858795400")</f>
        <v/>
      </c>
      <c r="G81" t="inlineStr">
        <is>
          <t>Danbury, CT, US</t>
        </is>
      </c>
      <c r="H81" s="2" t="n">
        <v>46076</v>
      </c>
      <c r="I81" t="inlineStr">
        <is>
          <t>**Summary**
-----------
This position is eligible for **the Education Debt Reduction Program (EDRP),** a student loan payment reimbursement program. You must meet specific eligibility requirements per VHA policy and submit your EDRP application within four months of appointment. *Program Approval, award amount (up to $200,000\) \&amp; eligibility period (one to five years) are determined by the VHA Education Loan Repayment Services program office after review of the EDRP application. Former EDRP participants ineligible to apply.*
**This job is open to**
-----------------------
### **The public**
U.S. Citizens, Nationals or those who owe allegiance to the U.S.
### **Federal employees \- Competitive service**
Current federal employees whose agencies follow the U.S. Office of Personnel Management's hiring rules and pay scales.
### **Federal employees \- Excepted service**
Current federal employees whose agencies have their own hiring rules, pay scales and evaluation criteria.
### **Internal to an agency**
Current federal employees of the hiring agency that posted the job announcement.
### **Clarification from the agency**
NOTE: The 2\-page Resume requirement does not apply to this position. For more information, refer to Required Documents below. First area of consideration \- current, permanent RCS employees. Second area of consideration \- current, permanent VHA employees. Third area of consideration \- all other qualified applicants.
**Duties**
----------
Duties of the Supervisory Marriage and Family Therapist (MFT) Program Manager and licensed professional with advance practical experience using evidence based family therapy model while demonstrating progressive professional competency and expertise include but are not limited to:
* Supervising a multidisciplinary staff composed of clinical and administrative team members, whose primary mission is to provide direct readjustment counseling to eligible individuals in the areas of suicide prevention, crisis intervention, short\- and long\-term treatment for symptoms associated with Post\-Traumatic Stress Disorder, and readjustment issues;
* Planning, developing, implementing, coordinating, monitoring, and evaluating professional services rendered by subordinates;
* Setting guidelines and establishing intervention strategies/treatment priorities for individual, group, conjoint and families employing varying clinical and therapeutic modalities;
* Conducting Performance Based Interviews (PBI) and determining selection processes to ensure fair and equitable recruitment of qualified, high achieving, and well prepared applicants;
* Developing networks and working relationships external to the St. Louis Vet Center Director and the Department of Veteran Affairs with Veteran service organizations, community based agencies, and mental health organizations to enhance service delivery and develop referrals of Veteran clients to appropriate care;
* Serving as a consultant and subject matter expert to programs and resources external to the Vet Center on matters of readjustment needs of Veterans;
* Creating, implementing, and measuring market penetration of Vet Center services through a comprehensive outreach plan for the primary service area;
* Ensuring fiscal/budget management, in compliance with applicable RCS and VHA policies and procedures as an approving official for time \&amp; attendance reports, leases/contracts management, staff local travel, Government Purchase Card (GPC) purchases, etc.; and
* Screening/assessing of Veteran clients, treatment planning and goal setting, referral to service providers, development of a resource file, Veteran advocacy, crisis intervention, education/health promotion, coordination of non\-institutional and institutional services, and individual/group counseling.
* Perform other duties as assigned.
**Work Schedule**: Monday\-Friday; 8:00am \- 4:30pm; Some nights and weekends may be required.  
**Telework**: Ad hoc  
**Virtual:** This is not a virtual position.  
**Functional Statement \#**: PD78047A  
**Relocation/Recruitment Incentives**: Not Authorized  
**EDRP Authorized:** *Former EDRP participants ineligible to apply for incentive.*Contact VHA.ELRSProgramSupport@va.gov, the EDRP Coordinator for questions/assistance. Learn more  
**Permanent Change of Station (PCS):** Not Authorized  
**NOTE: Readjustment Counselors are multi\-disciplinary and can be filled by: Social Worker, Psychologist, Licensed Professional Mental Health Counselor, and Marriage \&amp; Family Therapist. Each discipline is announced separately, and applicants must apply to the announcement for which they are qualified.**
**Requirements**
----------------
### **Conditions of employment**
* You must be a U.S. Citizen to apply for this job.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Candidates must meet one of the following:
	+ (1\) Hold a master's degree or doctoral degree in marriage and family therapy from a program approved by COAMFTE,
	+ (2\) Hold a master's degree or doctoral degree in marriage and family therapy from a MFT program from a regionally accredited institution, OR,
	+ (3\) Hold a master's degree or doctoral degree in a comparable mental health degree(Licensed Professional Mental Health Counselor, Social Work, Psychiatric Nursing, Psychology, and Psychiatry) that meets the current VA qualification standard of that profession.
* **Licensure:** Persons hired or reassigned to MFT positions in the GS\-0182 series in VHA must hold a full, current, and unrestricted MFT license to independently practice marriage and family therapy in a State.
* **English Language Proficiency:** MFTs must be proficient in spoken and written English in accordance with VA Handbook 5005, Part II, Chapter 3, Section A, paragraph 3j.
**Grade Determinations**: In addition to the basic requirements for employment, the following criteria must be met when determining the grade of candidates.  
**Marriage and Family Therapist (Program Manager), GS\-13**  
**Experience, Education and Licensure.** In addition to the basic requirements, candidates must have at least one year of progressively complex experience equivalent to the GS\-12 grade level which demonstrates knowledge, skills, and abilities that are directly related to the specific assignment. MFT Program Manager must have graduated from a COAMFTE approved program OR have passed the AMFTRB examination. MFT Program Manager must have five years of post\- licensed clinical experience in family systems theory/therapy and must demonstrate possession of advanced practice skills and judgment, demonstrating progressive professional competency and expertise. **MFT Program Manager must have an AAMFT Approved Supervisor credential.**  
**Demonstrated KSAs.** In addition to the experience above, candidates must demonstrate all of the following Knowledge, Skills, and Abilities (KSAs):
* Skill in assessing qualifications and abilities of current and prospective employees to include staff performance evaluation and may include evaluations of lower level assignments and support staff.
* Ability to facilitate professional development of other MFTs across programs/or locations (i.e. CBOC, outpatient clinics, etc.) and guide them in current practice guidelines.
* Ability to collaborate with leaders of other disciplines within facilities, the community, VISN, and VACO.
* Skill in managing and directing the work of others to accomplish program goals and objectives, reporting requirements and the ability to devise ways to adapt work operations to new and changing programs, staffing and budget requirements. This includes knowledge of VA policy and procedures as well as fair, principled and decisive leadership practices.
* Ability to analyze organizational and operational problems and to develop and implement solutions that result in sound operation of the program.
* Ability to clinically supervise in areas related to the provision of marital and family therapy services to accomplish organizational goals and objectives
**Reference:** VA Qualifications Standards  
**Physical Requirements:** The work does not inherently include physical requirements essential for successful job performance that could not otherwise be performed with a workplace accommodation.
### **Education**
**IMPORTANT:** A transcript must be submitted with your application.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Proof of AAMFT Supervision Designation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Proof of AAMFT Supervision Designation
* Additional Resume/CV
* Performance Appraisal
* Professional Certification
* Resume
* Separation Notice (RIF)
* SF\-15
* SF\-50/ Notification of Personnel Action
* Transcript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 \- Veterans \- Job Seekers \- Veterans' Preference.  
Veterans' preference does not apply for internal or other current permanent Federal agency employees.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03/05/2026 to receive consideration. To preview the questionnaire click https://apply.usastaffing.gov/ViewQuestionnaire/12883784\.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VHA National Recruitment Center
Phone
(844\)456\-5208
Email
VHANationalRecruitmentCenter@va.gov
Address
*Readjustment Counseling Service*  
*120 SE 6th Avenue, Ste. 102*  
*Topeka, KS 66603*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02/24/2026 to 03/05/2026
Salary
$125,431 to \- $163,062 per year
Pay scale \&amp; grade
GS 13
Location
Danbury, CT
1 vacancy
Remote job
No
Telework eligible
Yes—Ad hoc
Travel Required
25% or less \- You may be expected to travel for this position.
Relocation expenses reimbursed
No
Appointment type
Permanent
Work schedule
Full\-time
Service
Excepted
Promotion potential
None
Job family (Series)
* 0182 Marriage and Family Therapist
Supervisory status
Yes
Security clearance
Other
Drug test
No
Position sensitivity and risk
Moderate Risk (MR)
Trust determination process
* Credentialing
* Suitability/Fitness
Financial disclosure
No
Bargaining unit status
No
Announcement number
CBZY\-12883784\-26\-MEK
Control number
858795400</t>
        </is>
      </c>
    </row>
    <row r="82">
      <c r="A82" t="inlineStr">
        <is>
          <t>in-7d3bdba8a69a9c37</t>
        </is>
      </c>
      <c r="B82" t="inlineStr">
        <is>
          <t>Psychology Program Manager - Vet Center Director</t>
        </is>
      </c>
      <c r="C82" t="inlineStr">
        <is>
          <t>US Department of Veterans Affairs</t>
        </is>
      </c>
      <c r="D82" t="inlineStr">
        <is>
          <t>indeed</t>
        </is>
      </c>
      <c r="E82">
        <f>HYPERLINK("https://www.indeed.com/viewjob?jk=7d3bdba8a69a9c37", "https://www.indeed.com/viewjob?jk=7d3bdba8a69a9c37")</f>
        <v/>
      </c>
      <c r="F82">
        <f>HYPERLINK("https://www.usajobs.gov:443/job/858794200", "https://www.usajobs.gov:443/job/858794200")</f>
        <v/>
      </c>
      <c r="G82" t="inlineStr">
        <is>
          <t>Danbury, CT, US</t>
        </is>
      </c>
      <c r="H82" s="2" t="n">
        <v>46076</v>
      </c>
      <c r="I82" t="inlineStr">
        <is>
          <t>**Summary**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**This job is open to**
-----------------------
### **The public**
U.S. Citizens, Nationals or those who owe allegiance to the U.S.
### **Federal employees \- Competitive service**
Current federal employees whose agencies follow the U.S. Office of Personnel Management's hiring rules and pay scales.
### **Federal employees \- Excepted service**
Current federal employees whose agencies have their own hiring rules, pay scales and evaluation criteria.
### **Internal to an agency**
Current federal employees of the hiring agency that posted the job announcement.
### **Clarification from the agency**
First area of consideration \- current, permanent RCS employees. Second area of consideration \- current, permanent VHA employees. Third area of consideration \- all other qualified applicants. \#1 NOTE : Due to a critical staffing shortage, 38 U.S.C. § 7412 waives the requirement to apply Veterans' preference for this job announcement. \#2 NOTE: The 2\-page Resume requirement does not apply to this occupational series. For more information, refer to Required Documents below.
**Duties**
----------
**VA Careers \- Psychologist:** https://youtube.com/embed/77qHlLw9Xck  
Total Rewards of a Allied Health Professional  
Serves as a Supervisory Psychologist RCS Vet Center Director (VCD) and is responsible for the professional and administrative supervision and oversight of all readjustment counseling, outreach, referrals and follow\-up care coordination services provided to eligible individuals within the designated Vet Center Service Area (VSA).
* The VCD supervises both professional and nonprofessional staff including a multi\-disciplinary team of mental health professionals of various performance levels who work in multiple locations (Vet Centers, Vet Center Outstations and Community Access Points) and in communities distant from the Vet Center through planned outreach, often in conjunction with a Mobile Vet Center.
* Responsible for Administrative and outreach staff service functions
* Responsible for the Vet Center's resource and fiscal management, monitoring control points, developing the annual budget, operating within that budget and accounting for appropriated funds
* Leads the coordination and briefing during meetings with Congressional representatives and their staff.
* Lead in planning, establishing and implementing Vet Center policies and procedures, developing staff goals and objectives, and monitoring, coordinating and evaluating the work of all Vet Center staff, including social workers, other Hybrid Title 38 Mental Health Professionals recognized as licensed independent practitioners, Title 5 Readjustment Counselors, outreach workers and program support assistants.
* Provides direct readjustment counseling services within and outside of the Vet Center to include in\-person and virtual services based on client preference, within the parameters of all current VHA directives, state licensure standards and VA OIG expectations.
* Responsible for professional assessment and specialized service planning to address the most complex readjustment problems presented by eligible clients within the Vet Center setting Service provision to such cases requires the incumbent to incorporate complex multiple causation in differential diagnosis and treatment perspectives into the development of the service plan
* Performs other duties as assigned.
**Work Schedule**: Monday\-Friday, 8:00a\-4:30p. Some evenings and weekends required based on the needs of the Vet Center.  
**Recruitment Incentive (Sign\-on Bonus):** Not authorized  
**Permanent Change of Station (Relocation Assistance):** Not Authorized  
**EDRP Authorized:** *Former EDRP participants ineligible to apply for incentive.* Contact VHA.ELRSProgramSupport@va.gov, the EDRP Coordinator for questions/assistance. Learn more  
**Pay:** Competitive salary and regular salary increases. When setting pay, a higher step rate of the appropriate grade may be determined after consideration of higher or unique qualifications or special needs of the VA (Above Minimum Rate of the Grade).**Paid Time Off:** 37\-50 days of annual paid time offer per year (13\-26 days of annual leave, 13 days of sick leave, 11 paid Federal holidays per year)Selected applicants may qualify for credit toward annual leave accrual, based on prior \[work experience] or military service experience.  
**Parental Leave:** After 12 months of employment, up to 12 weeks of paid parental leave in connection with the birth, adoption, or foster care placement of a child.  
**Child Care Subsidy:** After 60 days of employment, full time employees with a total family income below $144,000 may be eligible for a childcare subsidy up to 25% of total eligible childcare costs for eligible children up to the monthly maximum of $416\.66**.**  
**Retirement:** Traditional federal pension (5 years vesting) and federal 401K with up to 5% in contributions by VA  
**Insurance:** Federal health/vision/dental/term life/long\-term care (many federal insurance programs can be carried into retirement)  
**Telework**: Ad hoc  
**Virtual:** This is not a virtual position.  
**Functional Statement \#**: 34121A  
**NOTE: Readjustment Counselors are multi\-disciplinary and can be filled by: Social Worker, Psychologist, Licensed Professional Mental Health Counselor, and Marriage \&amp; Family Therapist. Each discipline is announced separately, and applicants must apply to the announcement for which they are qualified.**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Must pass pre\-employment physical examination.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 (1\) Have a doctoral degree in psychology from a graduate program in psychology accredited by the American Psychological Association (APA), the Psychological Clinical Science Accreditation System (PCSAS), or the Canadian Psychological Association (CPA) at the time the program was completed. The specialty area of the degree must be consistent with the assignment for which the applicant is to be employed. For the purpose of meeting this requirement, the term "specialty area" refers to the specific specialty areas recognized by the accrediting body and not to specific job duties that might require special skills. Currently, APA accredits doctoral programs in the specialty areas of clinical psychology, counseling psychology, school psychology, or combinations of two or more of those areas. PCSAS accredits doctoral programs in psychological clinical science. CPA accredits doctoral programs in clinical psychology, counseling psychology, clinical neuropsychology, and school psychology. There are no job assignments in VHA that require the skills of a school psychologist; therefore, an applicant with a degree in the specialty area of school psychology is not eligible for appointment. Strictly for the purpose of determining eligibility for appointment as a psychologist in VHA, there is no distinction between the specialty areas (with the exception of school psychology).
OR
* (2\) Have a doctoral degree in any area of psychology and, in addition, successfully complete a re specialization program (including documentation of an approved internship completed as part of the re specialization program) meeting both of the following conditions: May qualify based on being covered by the Grandfathering Provision as described in the VA Qualification Standard for this occupation (only applicable to current VHA employees who are in this occupation and meet the criteria).
(a) The re\-specialization program must be completed in an APA or a CPA accredited doctoral program; and, May qualify based on being covered by the Grandfathering Provision as described in the VA Qualification Standard for this occupation (only applicable to current VHA employees who are in this occupation and meet the criteria).(b) the specialty in which the applicant is retrained must be consistent with the assignment for which the applicant is to be employed.  
**NOTE:** The applicant must provide an official transcript and/or certificate documenting the completion of the re\-specialization program, which includes completion of an APA or CPA internship. (Psychologists who have successfully completed a re\-specialization program as described above and who were employed by the Department of Veterans Affairs prior to the implementation of this standard are considered to have fully met the educational requirements of these qualification standards.)  
OR
* (3\) Have a doctoral degree awarded between 1951 and 1978 from a regionally\-accredited institution, with a dissertation primarily psychological in nature.
AND
* (4\) Internships(a) Have successfully completed a professional psychology internship training program that was accredited by APA or CPA at the time the program was completed and that is consistent with the assignment for which the applicant is to be employed.
OR
* (b) New VHA psychology internship programs that are in the process of applying for APA accreditation are acceptable in fulfillment of the internship requirement, provided that such programs were sanctioned by the VHA Central Office Program Director for Psychology and the VHA Office of Academic Affiliations at the time that the individual was an intern;
* (c) VHA facilities that offered full\-time, one\-year pre\-doctoral internships prior to PL 96\-151 (pre 1979\) are considered to be acceptable in fulfillment of the internship requirement;
OR
* (d) Applicants who completed an internship that was not accredited by APA or CPA at the time the program was completed may be considered eligible for hire only if they are currently board certified by the American Board of Professional Psychology in a specialty area that is consistent with the assignment for which the applicant is to be employed. (NOTE: Once board certified, the employee is required to maintain board certification.)
* e) Applicants who have a doctoral degree awarded between 1951 and 1978 from a regionally accredited institution with a dissertation primarily psychological in nature may fulfill this internship requirement by having the equivalent of a one\-year supervised internship experience in a site specifically acceptable to the candidate's doctoral program. If the internship experience is not noted on the applicant's official transcript, the applicant must provide a statement from the doctoral program verifying that the equivalent of a one\-year supervised internship experience was completed in a site acceptable to the doctoral program.
**NOTE:** Psychologists who meet the requirements of this revision and who were employed by the Department of Veterans Affairs prior to the implementation of this standard are considered to have fully met the requirements of this qualification standard.  
**c. Licensure.** Hold a full, current, and unrestricted license to practice psychology at the doctoral level in a State, Territory, or Commonwealth of the United States, or the District of Columbia.  
**d. English Language Proficiency.** Psychologists must be proficient in spoken and written English in accordance with VA Handbook 5005, Part II, Chapter 3, section A, paragraph 3j.  
**Grade Determinations:** In addition to the basic requirements for employment, the following criteria must be met when determining the grade of candidates:  
**Psychology Program Manager, GS\-14**  
**Experience.** At least three years of experience as a professional psychologist, with at least one year equivalent to the GS\-13 grade level.  
**Demonstrated Knowledge, Skills, and Abilities.** In addition to the experience above, the candidate must demonstrate all of the following KSAs:  
1\. Ability to organize work, set priorities, delegate tasks, and meet multiple deadlines.  
2\. Knowledge of and ability to utilize evidence based practices and clinical practice guidelines appropriately and ability to guide staff in using these tools.  
3\. Ability to deal effectively with individuals or groups representing widely divergent backgrounds, interests, and points of view.  
4\. Skill in managing and directing the work of others to accomplish program goals and objectives.  
5\. Ability to translate management goals and objectives into well\-coordinated and controlled work operations.  
6\. Ability to establish and monitor production and performance priorities and standards.  
7\. Ability to analyze organizational and operational problems and to develop and implement solutions that result in sound operation of the program.  
May qualify based on being covered by the Grandfathering Provision as described in the VA Qualification Standard for this occupation (only applicable to current VHA employees who are in this occupation and meet the criteria).  
**Reference:** VA Qualifications Standards  
The full performance level of this vacancy is GS\-14\.  
**Physical Requirements:** The work does not inherently include physical requirements essential for successful job performance that could not otherwise be performed with a workplace accommodation.
### **Education**
**IMPORTANT:** A transcript must be submitted with your application.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Documentation of APA or CPA accredited internship or board certification by the American Board of Professional Psychology.
* Resume
* SF\-50/ Notification of Personnel Action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CV/Resume
* Documentation of APA or CPA accredited internship or board certification by the American Board of Professional Psychology.
* Performance Appraisal
* Professional Certification
* Resume
* SF\-15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03/05/2026 to receive consideration. To preview the questionnaire click https://apply.usastaffing.gov/ViewQuestionnaire/12883783\.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VHA National Recruitment Center
Phone
(844\)456\-5208
Email
VHANationalRecruitmentCenter@va.gov
Address
*Readjustment Counseling Service*  
*120 SE 6th Avenue, Ste. 102*  
*Topeka, KS 66603*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02/24/2026 to 03/05/2026
Salary
$148,222 to \- $192,694 per year
Pay scale \&amp; grade
GS 14
Location
Danbury, CT
1 vacancy
Remote job
No
Telework eligible
Yes—Ad hoc
Travel Required
25% or less \- You may be expected to travel for this position.
Relocation expenses reimbursed
No
Appointment type
Permanent
Work schedule
Full\-time
Service
Excepted
Promotion potential
None
Job family (Series)
* 0180 Psychology
Supervisory status
Yes
Security clearance
Other
Drug test
Yes
Position sensitivity and risk
Moderate Risk (MR)
Trust determination process
* Credentialing
* Suitability/Fitness
Financial disclosure
No
Bargaining unit status
No
Announcement number
CBZY\-12883783\-26\-MEK
Control number
858794200</t>
        </is>
      </c>
    </row>
    <row r="83">
      <c r="A83" t="inlineStr">
        <is>
          <t>in-a638bf0662913709</t>
        </is>
      </c>
      <c r="B83" t="inlineStr">
        <is>
          <t>Development Product Owner Lead – Life Company Financial Institutional Delivery (FID)</t>
        </is>
      </c>
      <c r="C83" t="inlineStr">
        <is>
          <t>USAA</t>
        </is>
      </c>
      <c r="D83" t="inlineStr">
        <is>
          <t>indeed</t>
        </is>
      </c>
      <c r="E83">
        <f>HYPERLINK("https://www.indeed.com/viewjob?jk=a638bf0662913709", "https://www.indeed.com/viewjob?jk=a638bf0662913709")</f>
        <v/>
      </c>
      <c r="F83">
        <f>HYPERLINK("https://www.usaajobs.com/job/-/-/1207/92088759440", "https://www.usaajobs.com/job/-/-/1207/92088759440")</f>
        <v/>
      </c>
      <c r="G83" t="inlineStr">
        <is>
          <t>San Antonio, TX, US</t>
        </is>
      </c>
      <c r="H83" s="2" t="n">
        <v>46076</v>
      </c>
      <c r="I8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currently seeking a talented **Development Product Owner Lead** who will serve as a direct representative of the business on an agile team. Attains, understands, and communicates business vision and needs in order to write and refine user stories/features/epics, prioritize work, and provide guidance to technical teams across programs/portfolios. Uses critical thinking, problem solving, and Agile principles to partner with business owners, subject matter experts, and the development team to build effective solutions. Possesses an expert knowledge and understanding of and ability to work within multiple delivery methodologies, including Agile and other approaches, to deliver business value.
This role is remote eligible in the continental U.S. with occasional business travel. However, individuals residing within a 60\-mile radius of a USAA office will be expected to work on\-site four days per week. Relocation assistance is **not** available for this position.
 **What you'll do:**
* Works with business and Subject Matter Experts to understand business strategy and vision and then writes, refines, accepts and prioritizes stories, features or epics to support effective and compliant solutions while balancing investment and business value.
* Owns and maintains a prioritized work backlog for a single or multiple Agile teams or program. Product backlog includes complete user stories or features with acceptance criteria so that they are consumable and testable by the Agile team or program. Reviews and accepts output of I/T and/or business development to ensure specified acceptance criteria have been completed.
* Serves as a knowledgeable collaborator across multiple business or system domains; is expected to lead development across multiple teams at the program and Epic level.
* Serves as direct representative of the business with one or more delivery teams throughout the product delivery cycle.
* Participates in a cross\-functional team of user experience partners, designers, business analysts, developers, testers and others to develop, execute, solution and release in alignment with program, portfolio or product road maps.
* Partners with sponsors, stakeholders, and IT to facilitate, define and document relevant business processes, gaining an expert understanding of the needs, measures, and risks \&amp; controls for the improvement area.
* Participates with portfolio, program and project level plans related to schedule, scope and resources.
* Prepares the business for the change and provides tactics and metrics for benefits, adoption, and risk. Leverages existing change management routines, as needed.
* Applies expert knowledge in the business development/execution discipline, regularly seeking out opportunities to enhance, improve and advance the function.
* Coaches and mentors less experienced Product Owners, including Seniors.
* Demonstrates expert knowledge in multiple business or system domains and capable of leading development across multiple teams at the program level.
* Identifies engages, influences and leads business stakeholders and Subject Matter Experts across programs.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(Total of 12 years of experience without bachelor’s degree)
* 8 years of experience in process improvement, project delivery, business/requirements analysis or directly related to supported business operations/product line.
* Expert knowledge of Microsoft Office products, applicable databases and product management tools.
* Expert knowledge of multiple technical software delivery methodologies (i.e., Agile, Waterfall, SAFe) with a proven track record in using these skills to develop and manage products through the entire product life cycle.
* Expert experience in analyzing business requirements, process flows and use cases to identify opportunities to streamline business processes in accordance with risk management framework and regulatory requirements.
* Expert understanding and demonstrated use of Process Engineering methodologies and Change Management practices to translate business requirements into functional specifications.
* Expert ability to independently work to gather business requirements, process flows and use cases to develop and deliver on business capabilities within the approved methodology, writing user stories, and following the development process through user story acceptance.
* Advanced experience in analyzing and translating business requirements and the ability to identify opportunities to streamline business processes in accordance with risk management framework and regulatory requirements
**What sets you apart:**
* US military experience through military service or a military spouse/domestic partner
* 3 years of experience working within the Financial Institutional Delivery as a Product Owner
* 2 or more years of experience working with external Distributors selling USAA manufactured annuities
* 2 or more years of experience working with Third Party Administrators (TPA) servicing USAA manufactured annuities
**Compensation range:** The salary range for this position is: **$****114,080 \- $211,680**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84">
      <c r="A84" t="inlineStr">
        <is>
          <t>in-06043920af3665ac</t>
        </is>
      </c>
      <c r="B84" t="inlineStr">
        <is>
          <t>IT Product Manager (Hybrid)</t>
        </is>
      </c>
      <c r="C84" t="inlineStr">
        <is>
          <t>Eversource Energy</t>
        </is>
      </c>
      <c r="D84" t="inlineStr">
        <is>
          <t>indeed</t>
        </is>
      </c>
      <c r="E84">
        <f>HYPERLINK("https://www.indeed.com/viewjob?jk=06043920af3665ac", "https://www.indeed.com/viewjob?jk=06043920af3665ac")</f>
        <v/>
      </c>
      <c r="F84">
        <f>HYPERLINK("https://jobs.eversource.com/job/-/-/7774/91904033488", "https://jobs.eversource.com/job/-/-/7774/91904033488")</f>
        <v/>
      </c>
      <c r="G84" t="inlineStr">
        <is>
          <t>East Berlin, CT, US</t>
        </is>
      </c>
      <c r="H84" s="2" t="n">
        <v>46076</v>
      </c>
      <c r="I84" t="inlineStr">
        <is>
          <t>Eversource will not offer immigration\-related sponsorship for this position. Applicants who require immigration sponsorship—either now or in the future—should not apply. This includes, but is not limited to, direct company sponsorship, listing Eversource as the employer of record on immigration documents, or any work authorization that requires company involvement or documentation (e.g., H\-1B, OPT, STEM OPT, CPT, TN, J\-1, O\-1, etc.).
*Eversource supports work\-life balance by offering hybrid schedules for certain roles. Eligibility is based on job responsibilities, operational needs, nature of**work**and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to**change, based**on managerial discretion and work performance. All applicants must be able to**work* *up to five days in the office if needed (for example: emergencies, training, or other business needs) or should the policy change.*
The IT Product Manager is responsible for leading the design, development, maintenance, and enhancement of business applications for the area. In addition, the manager will be responsible for maintaining and fostering relations with key business partners.
 The incumbent works directly or through subordinates with customers, colleagues, and other key stakeholders to identify client’s information requirements and seeks out opportunities to construct new or modify existing applications that will enable business partners to achieve critical business strategies. Another key aspect of the role is educating the work force on the strategic use of technology. The incumbent will also be responsible for devising strategic plans to reduce the overall application portfolio, minimize complexities within the domain, reduce operational cost, improve application resiliency, and improve service delivery.
The position requires a high level of planning and organization, work management knowledge, the ability to effectively delegate work, ability to establish development standards and work practices, and solid judgement/problem solving skills. The main challenge of the product management process is achieving the optimum integration level of business systems with data integration with communications technology and evolving technology. Other key challenges will be stabilizing newly implemented applications and shifting the operations support model from a waterfall\-based approach to agile for certain key applications.
**Project Execution and** **Gas and Electric Application Support**:
* Oversee and support the execution of work order lifecycle projects.
* Ensure timely and efficient delivery of project milestones.
**Vendor Management**:
* Manage relationships with external vendors.
* Negotiate contracts and ensure compliance with service level agreements (SLAs).
**Executive Reporting**:
* Prepare and present detailed reports to executive leadership.
* Provide insights and recommendations based on data analysis.
**Cross\-Tower Integration**:
* Support the integration of WOLC initiatives across all IT systems, departments, and stakeholders.
* Facilitate collaboration and communication among different IT towers.
**Dependency and Risk Management**:
* Track and manage cross\-program dependencies and risks.
* Develop mitigation strategies and contingency plans.
**Enterprise Environment Integration and Strategy**:
* Coordinate the integration of IT environments across the enterprise.
* Develop and implement strategies to ensure seamless integration and operation.
**Resource Prioritization**:
* Support the prioritization of IT resources for WOLC initiatives.
* Ensure optimal allocation and utilization of resources.
**Delivery Excellence**:
* Drive overall delivery excellence within IT projects and initiatives.
* Implement best practices and continuous improvement methodologies.
**Essential Functions:**
* Lead staff members through service delivery transformation.
* Work closely with new incumbent supplier to ensure contractual obligations and SLA’s are being met.
* Derive metrics to demonstrate and measure delivery improvement and fiscal responsibility.
* Direct the overall deployment and activities of their staff and facilitate the resolution of situations brought to their attention that impact the cost, schedule or technical parameters of projects and key efforts.
* Manages all deliverables and obligations related to application operation; application maintenance and support; and application release management for assigned application portfolio.
* Manages all outsourced managed services and cloud/hosted vendor contract SLAs related to application operation.
* Ensures all applications in portfolio are monitored for performance and assured operations in alignment with all automated and non\-automated department monitoring standards.
* Establish and maintain effective working relationships with key clients.
* Develop and utilize performance metrics to show process for service delivery and SLA adherence.
* Help drive area transition to an agile delivery approach.
* Integrate activities with business unit and other IT departments to ensure the successful implementation and support of project efforts.
* Help to ensure successful delivery of key capital project implementations including seamless transition to steady state support.
* Effectively manage and control maintenance, outside service, and project costs.
* Lead the development of road maps for key applications to ensure application resiliency and provide added business value.
* Evaluation of root cause technical solutions proposed by the supplier; striving for elimination of technical debt.
* Coordinate preparation of statements of work and specifications, estimation of product / service costs and pricing, and negotiation and administration of contracts.
* Negotiate IT’s interests and manage external vendor, contractor and material contracts.
**Technical Knowledge/Skill/Education/Licenses/Certifications:**
*Technical Knowledge/Skill:*
* Strong technical acumen with mastery level of development concepts and underlying technology as well as the software development life cycle.
* Strong analytical and conceptual skills including the ability to solve complex technical problems.
* Ability to work collaboratively and lead a team of direct reports and managed services vendors including day\-to\-day coaching and performance management/assessment.
* Strong customer service and teamwork skills.
	+ Customer\-first orientation and strong passion for delivering quality tools and solutions.
* Strong interpersonal, negotiation and management skills, and strong business acumen.
* Strong experience managing outsourced IT managed services providers a must.
* Ability to think strategically to anticipate the needs of business partners and longevity of applications in portfolio.
* Exhibits an exceptional degree of ingenuity, creativity and/or resourcefulness.
* Ability to prioritize tasks and manage deadlines in a fast\-paced environment, with acute attention to detail.
* Ability to translate data into actionable plans and tactics.
* Ability to maintain strong relationships with stakeholders and managed services providers.
* Excellent communication skills including verbal, written, and presentation skills.
* Applies extensive organizational and/or project management expertise and has full knowledge of other related disciplines. May be viewed as expert within a given field.
*Education:*
Bachelor’s degree from an accredited four\-year college or university with a focus in computer science, computer information systems or a closely related area.
*Experience*:
A minimum of 10 years related experience is required of which (5\) five years includes supervisory/leadership responsibilities. A minimum of (5\) five years related experience managing outsourced IT managed services providers. A minimum of (5\) years’ experience supporting COTS and other application software solutions. Experience working with or supporting operations services related applications such as Ebuilder, Work Studio, Chevin preferred but not required. Knowledge and experience working within an agile framework a plus.
**Working Conditions:**
* Must be available to work emergency restoration assignment as required.
* Must be available to travel between MA/CT/NH as necessary.
### **\#LI\-ES3**
### **\#corpajd**
**Competencies:**
Build trusting relationships
Manage and develop people
Foster teamwork and cross\-functional collaboration
Lead change
Communicate strategic vision
Create an engaged workforce
Focus on the customer
Take ownership \&amp; accountability
**Compensation and Benefits:**
Eversource offers a competitive total rewards program. Check out our careers site for an overview of our benefits programs. Salary is commensurate with your experience. This position is eligible for a potential incentive. The annual salary range for this position is:
$155,690\.00\-$172,990\.00**Worker Type:**
Regular**Number of Openings:**
1**Emergency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t>
        </is>
      </c>
    </row>
    <row r="85">
      <c r="A85" t="inlineStr">
        <is>
          <t>in-29da55a61de41a8d</t>
        </is>
      </c>
      <c r="B85" t="inlineStr">
        <is>
          <t>Principal Technical Program Manager</t>
        </is>
      </c>
      <c r="C85" t="inlineStr">
        <is>
          <t>Microsoft</t>
        </is>
      </c>
      <c r="D85" t="inlineStr">
        <is>
          <t>indeed</t>
        </is>
      </c>
      <c r="E85">
        <f>HYPERLINK("https://www.indeed.com/viewjob?jk=29da55a61de41a8d", "https://www.indeed.com/viewjob?jk=29da55a61de41a8d")</f>
        <v/>
      </c>
      <c r="F85">
        <f>HYPERLINK("https://apply.careers.microsoft.com/careers/job/1970393556769412?utm_source=indeed&amp;domain=microsoft.com", "https://apply.careers.microsoft.com/careers/job/1970393556769412?utm_source=indeed&amp;domain=microsoft.com")</f>
        <v/>
      </c>
      <c r="G85" t="inlineStr">
        <is>
          <t>Redmond, WA, US</t>
        </is>
      </c>
      <c r="H85" s="2" t="n">
        <v>46072</v>
      </c>
      <c r="I85" t="inlineStr">
        <is>
          <t>**Overview**  
On Team Xbox, we aspire to empower the world’s 3 billion gamers to play the games they want, with the people they want, anywhere they want. Gaming, the largest and fastest growing category in media \&amp; entertainment, represents an important growth opportunity for Microsoft. We are leading with innovation, as highlighted by bringing the Game Pass subscription to PC, bringing Xbox to new devices with Cloud Gaming, and our recent acquisition of Activision Blizzard King creating exciting new possibilities for players.
The Xbox Accessories team is seeking a highly qualified candidate to drive software/firmware solutions that enable experiences on Xbox Accessories. We are looking for a Prinicipal Technical Program Manager in software/firmware development to join our team to lead and manage development of Xbox accessories that delight our customers. The candidate must be highly motivated and a self\-starter who will thrive in this fast\-paced technical environment. Experience in the gaming industry or a deep love of gaming as you will be making prioritization decisions to ensure development timelines meet partner\-team schedules while delivering on the key product truths that make Xbox experiences great. This team will be exploring new development models partnering with experts in various technological fields to innovate and expand our development abilities.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alignment with engineering, design, research, field, and business partners to ensure platform progress effectively toward production and Day 1 readiness
* Provide strategic direction by helping teams identify and prioritize product needs, emerging industry opportunities, and gaming native trends
* Set expectations, negotiate timelines, and manage handshakes, dependencies, and deliverables
* Lead regular reviews ensuring partners have clarity on roadmaps, program status, progress, and risks
* Oversee firmware/software level debug as part of end\-to\-end firmware development and debug
* Partner across different teams and geos and contribute to the success of the greater organization
**Qualifications** **Required Qualification:**
* Bachelor's Degree AND 6\+ years experience in engineering, product/technical program management, data analysis, or product development OR equivalent experience.
* 3\+ years of experience managing cross\-functional and/or cross\-team projects.
**Preferred Qualification:*** Bachelor's Degree AND 8\+ years experience in engineering, product/technical program management, data analysis, or product development OR equivalent experience.
* 5\+ years of experience managing cross\-functional and/or cross\-team projects
* 5\+ years of experience in managing software development /platform enablement/ firmware development.
* Experience in technical program management of complex cross\-group, cross\-business, cross\-disciplinary projects
* Experience and skills in C/C\+\+ and OS internals
* Experience in collaborating with internal and external partners to understand their requirements and translating them into solutions
* Experience in low\-level software running on hardware e.g., Firmware, UEFI, BMC, BSP
* Proven ability to synthesize and communicate solutions to complex technical problems and resolve dependencies.
* Organization and project management skills, e.g., experience with SW/FW agile project management methodology, TFS, DevOps, JIRA or similar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6">
      <c r="A86" t="inlineStr">
        <is>
          <t>in-194cef9eebf653a9</t>
        </is>
      </c>
      <c r="B86" t="inlineStr">
        <is>
          <t>Senior Privacy Product Manager - Microsoft AI</t>
        </is>
      </c>
      <c r="C86" t="inlineStr">
        <is>
          <t>Microsoft</t>
        </is>
      </c>
      <c r="D86" t="inlineStr">
        <is>
          <t>indeed</t>
        </is>
      </c>
      <c r="E86">
        <f>HYPERLINK("https://www.indeed.com/viewjob?jk=194cef9eebf653a9", "https://www.indeed.com/viewjob?jk=194cef9eebf653a9")</f>
        <v/>
      </c>
      <c r="F86">
        <f>HYPERLINK("https://apply.careers.microsoft.com/careers/job/1970393556768530?utm_source=indeed&amp;domain=microsoft.com", "https://apply.careers.microsoft.com/careers/job/1970393556768530?utm_source=indeed&amp;domain=microsoft.com")</f>
        <v/>
      </c>
      <c r="G86" t="inlineStr">
        <is>
          <t>Redmond, WA, US</t>
        </is>
      </c>
      <c r="H86" s="2" t="n">
        <v>46071</v>
      </c>
      <c r="I86" t="inlineStr">
        <is>
          <t>**Overview**  
As a Senior Privacy Product Manager within the Microsoft AI (MAI) organization, you will work across our portfolio of products and services to manage the strategy and execution of the privacy program.
You will collaborate with engineering to inform and promote transparency, choice, and privacy management experiences that influence Microsoft’s collection and use of personal data. You will contribute and implement organization\-wide processes for incorporating privacy into the product development cycle and engineering systems.
We are searching for a Senior Product Privacy Manager to help complement daily execution of MAI and Microsoft privacy strategy, to monitor and assure privacy standards are met and help develop guidance and advise engineering teams where Microsoft’s Privacy Standards are outpaced by MAI innovation. The right person has a passion for deeply understanding customer needs, protecting customer rights, and enabling the business. Candidates should have proven experience applying privacy requirements to engineering solutions going beyond standard risk and compliance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Be the privacy advisor to engineering teams. Apply your privacy knowledge and background in developing user consents, data collection requirements, recommending data storage and processing, and ensuring MAI products and services meet privacy requirements and business objectives.
* Translate privacy regulations and standards into actionable requirements.
* Create and execute privacy compliance plans, working across compliance, organization, business, and engineering teams to ensure deliverables are met.
* Identify, drive adoption of, and monitor the implementation of new and existing controls as needed for compliance or new regulations.
* Develop and maintain standards and policies, such as risk assessment templates, audit frameworks, oversight expectations, and reporting metrics.
* Help educate teams and drive compliance as a mindset across engineering and research teams. Identify and drive compliance program improvements, including process improvements, tooling requirements, and opportunities to improve the experience for engineers.
* Help educate teams and drive privacy as a mindset across engineering and research teams. Identify and drive privacy program improvements, including process improvements, tooling requirements, and opportunities to improve the experience for engineers.
**Qualifications** **Required Qualifications:**
* Bachelor's Degree AND 5\+ years experience in product/service/program management or software development
* + OR equivalent experience.
 **Preferred Qualifications:**
* Bachelor's Degree AND 8\+ years experience in product/service/program management or software development
* + OR equivalent experience.
* 3\+ years demonstrated technical and/or feature program management.
* Practical experience creating and maintaining compliance programs and conducting privacy reviews.
* Demonstrated team and project management excellence in medium\-large scale projects including managing a scope, schedule, and budget.
* Experience managing privacy, security, or audit compliance related engineering programs.
* IAPP Certified Information Privacy Professional (CIPP).
\#MicrosoftAI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7">
      <c r="A87" t="inlineStr">
        <is>
          <t>in-c823fb1d6a3da7d3</t>
        </is>
      </c>
      <c r="B87" t="inlineStr">
        <is>
          <t>Senior Technical Program Manager (Network Fiber)</t>
        </is>
      </c>
      <c r="C87" t="inlineStr">
        <is>
          <t>Microsoft</t>
        </is>
      </c>
      <c r="D87" t="inlineStr">
        <is>
          <t>indeed</t>
        </is>
      </c>
      <c r="E87">
        <f>HYPERLINK("https://www.indeed.com/viewjob?jk=c823fb1d6a3da7d3", "https://www.indeed.com/viewjob?jk=c823fb1d6a3da7d3")</f>
        <v/>
      </c>
      <c r="F87">
        <f>HYPERLINK("https://apply.careers.microsoft.com/careers/job/1970393556760290?utm_source=indeed&amp;domain=microsoft.com", "https://apply.careers.microsoft.com/careers/job/1970393556760290?utm_source=indeed&amp;domain=microsoft.com")</f>
        <v/>
      </c>
      <c r="G87" t="inlineStr">
        <is>
          <t>Redmond, WA, US</t>
        </is>
      </c>
      <c r="H87" s="2" t="n">
        <v>46070</v>
      </c>
      <c r="I87" t="inlineStr">
        <is>
          <t>**Overview**  
Cloud Operations and Innovation (CO\+I) is the engine that powers Microsoft’s cloud services. The team is responsible for designing, building, and operating our unified global datacenters; managing the demand planning and capacity utilization of our unified infrastructure; and for operating the physical infrastructure (including supply chain, hardware, power, security, and workflow teams). We focus on smart growth with an emphasis on automation, data driven engineering, cost\-effectiveness, and environmental sustainability. We deliver the core infrastructure and foundational technologies for Microsoft’s over 200 online businesses including Azure, Bing, MSN, Office 365, Xbox Live, Skype, and OneDrive. Our infrastructure is comprised of a large global portfolio of more than 100 datacenters and 1 million servers. Our portfolio is built and managed by a team of subject matter experts working 24x7x365 to support services for more than 1 billion customers and 20 million businesses in over 90 countries worldwide.
The Cloud Infrastructure Acquisitions Network team is responsible for the acquisition of Fiber, Edge, Egress and Peering solutions supporting all of Microsoft’s online services infrastructure. We work with various network engineering, capacity, and long\-range planning teams on a collaborative basis to ensure the Microsoft network has the highest quality and availability globally.
We're looking for someone with experience in a fast\-paced production environment, you must be agile and able to adapt to changing conditions and priorities. The successful candidate will need analytical, excellent communication, and collaboration skills. You will be working with people from many different teams and backgrounds. You must be able to influence others and work cross\-functionally to achieve broad goals. You must be able to work independently and drive for impact and results. A proven track record of successfully managing projects and stakeholders, removing overhead and improving workflows is a primary skill set needed to be successful in this role.
 **Responsibilities**  
* Responsible for developing business and technical requirements that feed into development teams for tooling and reporting enhancements
* Work closely with development and administrative teams to ensure that new features and functionality are implemented per specification
* Collaborate with internal teams to identify and define tooling enhancements that create efficiency through process streamlining, system integration and automation
* Drive continuous improvement in business processes and tools to enable rapid growth and scale.
* Communicate progress internally and collaborate with network deployment teams.
* Manage Technical Project Managers and Data Analytics staff
* Perform leadership responsibilities for the team, including conducting performance evaluations, coaching both individual team members and the group, and preparing monthly and quarterly team metrics and reports for senior leadership
**Qualifications**  
Required Qualifications:
* Bachelor's Degree AND 4\+ years experience in engineering, product/technical program management, data analysis, or product development OR equivalent experience.
* 1\+ years' project or people management experience.
* 1\+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engineering, product/technical program management, data analysis, or product development OR equivalent experience.
* 2\+ years of people management experience.
* 6\+ years of experience managing cross\-functional and/or cross\-team projects.
* 8\+ years of experience in networking technologies or Telecommunications industry with a focus on Network tooling (GIS, TEM, and ticketing systems used for processing network tasks).
* Demonstrated understanding of Security Access Controls.
* Demonstrated business systems analytic skills with a focus on developing business requirements, translating to technical specifications and leading cross functional team through implementation of new system features and enhanced functionality.
* 7\+ years of engineering experience leading, defining and delivering projects or services.
* Demonstrated ability to work closely with technical/engineering teams.
* 7\+ years’ experience managing service suppliers (or equivalent QBR experience).
* In\-depth knowledge of performance metrics.
* Demonstrated MS office skills (Word, Excel, PowerPoint, Visio, Bi\-Dashboards).
* 8\+ years of experience in networking technologies.
* 8\+ years of GIS tooling experience (as power user or administrator).
* Demonstrated understanding of domestic and global carrier networks.
* Experience with Microsoft Dynamics.
\#COICareers \| \#EPCCareers \| \#DCDCareers
Technical Program Management M4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8">
      <c r="A88" t="inlineStr">
        <is>
          <t>in-c501e8874c524103</t>
        </is>
      </c>
      <c r="B88" t="inlineStr">
        <is>
          <t>Product Manager</t>
        </is>
      </c>
      <c r="C88" t="inlineStr">
        <is>
          <t>Microsoft</t>
        </is>
      </c>
      <c r="D88" t="inlineStr">
        <is>
          <t>indeed</t>
        </is>
      </c>
      <c r="E88">
        <f>HYPERLINK("https://www.indeed.com/viewjob?jk=c501e8874c524103", "https://www.indeed.com/viewjob?jk=c501e8874c524103")</f>
        <v/>
      </c>
      <c r="F88">
        <f>HYPERLINK("https://apply.careers.microsoft.com/careers/job/1970393556756181?utm_source=indeed&amp;domain=microsoft.com", "https://apply.careers.microsoft.com/careers/job/1970393556756181?utm_source=indeed&amp;domain=microsoft.com")</f>
        <v/>
      </c>
      <c r="G88" t="inlineStr">
        <is>
          <t>Redmond, WA, US</t>
        </is>
      </c>
      <c r="H88" s="2" t="n">
        <v>46069</v>
      </c>
      <c r="I88" t="inlineStr">
        <is>
          <t>**Overview**  
The **Product Manager II (PM II)** for Growth Analytics in IDEAS owns the definition and delivery of **broader, end‑to‑end product scenarios** that enable teams across Microsoft to experiment, measure impact, and make data‑driven decisions about Copilot growth. This role operates with significant autonomy in an environment with **ambiguity, multiple dependencies, and evolving customer needs**.
You will be responsible for connecting multiple investments across experimentation, analysis, and insights tooling to ensure they work together cohesively to deliver meaningful customer and business outcomes. You will partner closely with engineering, design, data science, and research to shape product strategy, drive execution, and continuously learn through hypothesis‑driven experimentation.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**Product Ownership \&amp; Strategy**
* Own **broader experimentation and analysis scenarios**, defining clear problem statements, success metrics, and outcomes rather than narrowly scoped features.
* Develop and maintain a **product roadmap** that connects multiple investments into a coherent end‑to‑end experience for experimenters and analysts.
* Anticipate risks, dependencies, and downstream impacts, and make informed tradeoffs across scope, quality, time, and partner needs.
**Experimentation \&amp; Analysis Enablement**
* Drive the development of **robust experimentation and analysis tooling**, enabling customers to run A/B tests, multivariant experiments, and post‑experiment analyses at scale.
* Partner with data science and engineering teams to ensure experimentation frameworks are reliable, measurable, and extensible.
* Promote hypothesis‑driven experimentation to validate product decisions and iterate based on learnings.
**Data‑Driven Decision Making**
* Use **quantitative telemetry and qualitative customer insights** to inform product decisions.
* Define and monitor success metrics for product features and experimentation workflows.
* Apply analytical rigor to evaluate outcomes and adjust strategy based on evidence.
**Cross‑Functional Collaboration**
* Work closely with engineering, design, and data science to define requirements, scenarios, and acceptance criteria.
* Communicate product direction, progress, and results clearly to stakeholders across disciplines and levels.
* Proactively identify when additional alignment or help is needed and engage the right partners.
**Customer \&amp; Stakeholder Engagement**
* Engage with internal customers to understand workflows, pain points, and unmet needs related to experimentation and analysis.
* Translate customer feedback into actionable product improvements.
* Ensure alignment between product direction and broader business goals.
**Qualifications** **Required Qualifications:**
* Bachelor's Degree AND 2\+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AND 5\+ years experience in product/service/program management or software development OR equivalent experience.
* 2\+ years experience improving product metrics for a product, feature, or experience in a market (e.g., growing customer base, expanding customer usage, avoiding customer churn).
2\+ years experience disrupting a market for a product, feature, or experience (e.g., competitive disruption, taking the place of an established competing product).
\#DPG \#DGPHiring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9">
      <c r="A89" t="inlineStr">
        <is>
          <t>in-818ae658b8093a61</t>
        </is>
      </c>
      <c r="B89" t="inlineStr">
        <is>
          <t>Principal Hardware Technical Program Manager - Quantum</t>
        </is>
      </c>
      <c r="C89" t="inlineStr">
        <is>
          <t>Microsoft</t>
        </is>
      </c>
      <c r="D89" t="inlineStr">
        <is>
          <t>indeed</t>
        </is>
      </c>
      <c r="E89">
        <f>HYPERLINK("https://www.indeed.com/viewjob?jk=818ae658b8093a61", "https://www.indeed.com/viewjob?jk=818ae658b8093a61")</f>
        <v/>
      </c>
      <c r="F89">
        <f>HYPERLINK("https://apply.careers.microsoft.com/careers/job/1970393556756184?utm_source=indeed&amp;domain=microsoft.com", "https://apply.careers.microsoft.com/careers/job/1970393556756184?utm_source=indeed&amp;domain=microsoft.com")</f>
        <v/>
      </c>
      <c r="G89" t="inlineStr">
        <is>
          <t>Redmond, WA, US</t>
        </is>
      </c>
      <c r="H89" s="2" t="n">
        <v>46069</v>
      </c>
      <c r="I89" t="inlineStr">
        <is>
          <t>**Overview**  
Microsoft Quantum team is dedicated to developing the first scalable, fault\-tolerant quantum computer and is leading progress in areas ranging from quantum hardware and error correction to comprehensive integration with Azure. We are an accomplished and diverse international team focused on constructing a scalable quantum computing system. Our full\-stack strategy encompasses breakthrough developments, spanning the physics of quantum devices to scalable readout and control infrastructures powered by cryo\-electronics. The Microsoft Quantum program aims to transform the future of computing and tackle challenges that are currently beyond reach. We are entering a pivotal phase of accelerated growth in quantum computing, and this position presents a unique opportunity to contribute meaningfully to transformative technology.
As the **Principal Hardware Technical Program Manager** **(TPM)** on the Quantum 1st Party Hardware TPM team, you'll take on a key leadership position to advance Microsoft's quantum hardware infrastructure. In this role, you'll oversee cross\-functional engineering projects, guide pioneering device research and development, and ensure strong execution both internally and with external partners—all while upholding Microsoft's core values of growth mindset, innovation, and inclusion. You will manage functional requirement design and project coordination for the feature team, and dive into technical aspects when necessary. This position calls for an experienced technical program manager with a passion for customer\-driven solutions, along with insight and industry expertise to envision and deliver future technical capabilities that will scale and optimize our Quantum solutions for 1st Party customers.
This is a unique opportunity to be at the forefront of quantum hardware innovation. You will collaborate with leading physicists, quantum theorists, quantum experimentalists, research engineers, systems engineers, technical program managers, supply chain experts, cloud architects, and external partners to accelerate the scale\-up of topological qubits and quantum systems that unlock unprecedented scientific and business value. If you are energized by complex program management challenges, thrive in ambiguity, and have a passion for foundational technologies that redefine what’s possible, we invite you to join us and help shape the future of quantum 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Program Management: Lead all phases of quantum hardware projects, from concept to delivery, working closely with architects, scientists, and engineers for success. Create concise, data\-driven updates on program status, risks, dependencies, and impact for stakeholders and senior executives.
* Planning \&amp; Roadmapping: Coordinate with leadership and engineering teams to build and maintain clear development roadmaps, align milestones, manage resources, and support long\-term goals. Guide Agile processes, encourage transparency, and remove obstacles to meet critical deadlines.
* Team Coordination: Ensure effective collaboration across device physics, cryoelectronic, materials science, manufacturing, supply chain, integration, and cloud hardware operations for scalable solutions.
* Customer Feedback: Use input from internal and pilot customers to improve hardware and processes. This includes potential customers from US Government.
* Risk Mitigation: Identify and reduce risks in technology, scheduling, and operations, applying continuous improvement throughout.
* Supplier Relations: Manage external partnerships, enforce quality and safety standards, and drive cross\-company compliance.
* Culture \&amp; Mentorship: Foster respect, collaboration, integrity, inclusivity, and continuous learning within the team.
* Other: Embody our Culture and Values
**Qualifications** **Required/minimum qualifications**
* Bachelor's Degree AND 6\+ years experience in engineering, physics or a related STEM field, product/technical program management, data analysis, or product development
	+ OR equivalent experience.
* 3\+ years of experience managing cross\-functional and/or cross\-team projects.
* 3\+ years of experience managing large\-scale, interdisciplinary hardware technology projects from concept to delivery, including system integration, cross\-functional team leadership, and coordination across multiple teams.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proof of citizenship,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Ability to apply AI to accelerate engineering and lab workflows. Design and build AI agents/copilots that assist with experiment setup, log triage, measurement report generation, protocol templating, and knowledge retrieval (e.g., instrument manuals, design docs).
* Ability to evaluate agentic solutions with measurable metrics and humanintheloop safeguards following Microsoft Responsible AI requirements for generative AI.
 **Preferred Qualifications:**
* PhD/Doctorate in a relevant field (e.g., quantum information, physics, materials science, electrical engineering, hardware systems) and 12\+ years of applied engineering experience in quantum computing and/or cryogenic hardware programs, or equivalent experience.
* 12\+ years managing multi\-year, highly complex hardware product portfolios involving deep tech and/or first\-of\-a\-kind technologies (e.g., quantum systems, ASICs, FPGA, advanced chip packaging, cryoelectronics, high\-reliability hardware).
* Demonstrated experience leading large\-scale, cross\-functional, cross\-organization hardware systems programs end\-to\-end (R\&amp;D through new technology introduction), with strong program management fundamentals (planning, issue/risk tracking, schedule management, and stakeholder reporting) and proficiency with Agile and Azure DevOps (or similar).
* Direct experience with one or more of: quantum device development, quantum error correction, or quantum measurement/control hardware.
* Experience driving external partnerships (universities/government/consortia) and technology transfer from R\&amp;D to scaled engineering/manufacturing (including quality systems and test protocols), along with proven ability to lead teams in a matrixed environment and communicate complex technical concepts across levels (including executive and non\-technical stakeholders).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0">
      <c r="A90" t="inlineStr">
        <is>
          <t>in-f608e874cc0024a1</t>
        </is>
      </c>
      <c r="B90" t="inlineStr">
        <is>
          <t>Senior Product Manager</t>
        </is>
      </c>
      <c r="C90" t="inlineStr">
        <is>
          <t>Microsoft</t>
        </is>
      </c>
      <c r="D90" t="inlineStr">
        <is>
          <t>indeed</t>
        </is>
      </c>
      <c r="E90">
        <f>HYPERLINK("https://www.indeed.com/viewjob?jk=f608e874cc0024a1", "https://www.indeed.com/viewjob?jk=f608e874cc0024a1")</f>
        <v/>
      </c>
      <c r="F90">
        <f>HYPERLINK("https://apply.careers.microsoft.com/careers/job/1970393556756278?utm_source=indeed&amp;domain=microsoft.com", "https://apply.careers.microsoft.com/careers/job/1970393556756278?utm_source=indeed&amp;domain=microsoft.com")</f>
        <v/>
      </c>
      <c r="G90" t="inlineStr">
        <is>
          <t>Redmond, WA, US</t>
        </is>
      </c>
      <c r="H90" s="2" t="n">
        <v>46069</v>
      </c>
      <c r="I90" t="inlineStr">
        <is>
          <t>**Overview**  
Join the Microsoft Sentinel Data Lake and Graph team—a fast\-growing, mission\-driven group building the next\-generation security data platform. Our team is responsible for delivering a unified, scalable, and intelligent foundation that powers Microsoft Sentinel and the broader security ecosystem. We combine a high\-performance security data lake with a deeply connected graph to enable advanced threat detection, investigation, and response.
We’re looking for a customer\-obsessed and technically curious Senior Product Manager (PM) to join the Sentinel Data Lake and Graph team. As a PM, you’ll help define and deliver capabilities that enable scalable, intelligent, and secure data experiences for defenders and developers. You’ll work closely with engineering, design, and partner teams to shape how security data is ingested, normalized, retained, and queried across multiple modalities—including tabular, graph, and vector.
 **Responsibilities**  
* Own and evolve the product roadmap for the Sentinel Data Lake and Graph platform, prioritizing features that enable scalable, secure, and performant data ingestion, transformation, and access across diverse security workloads.
* Define and drive the development of a unified data catalog that enables discoverability, governance, and schema evolution for petabyte\-scale security data across tabular, graph, and vector modalities.
* Collaborate cross\-functionally with engineering, design, and partner teams across Microsoft Security.
* Translate customer and partner needs into clear product requirements and success metrics, balancing technical feasibility with business impact in a fast\-paced, AI\-driven security environment.
* Lead planning, execution, and go\-to\-market efforts for new platform capabilities, ensuring alignment with broader Microsoft Security strategy and delivering measurable value to internal and external stakeholders.
**Qualifications** **Required/minimum qualifications**
* Bachelor's Degree AND 5\+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or preferred qualifications*** Bachelor's Degree AND 8\+ years experience in product/service/program management or software development OR equivalent experience.
* Experience with high\-scale data platforms: Proven track record of managing and delivering large\-scale data platform projects, such as data lakes or data warehouses, including ownership of infrastructure that handles massive data volumes.
* Understanding of data extraction, transformation, and loading (ETL) pipelines, with hands\-on experience designing and implementing ETL workflows that ensure data quality and reliability.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\#MSFT Security \#SentinelPlatform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1">
      <c r="A91" t="inlineStr">
        <is>
          <t>in-2f07909f1c9096b3</t>
        </is>
      </c>
      <c r="B91" t="inlineStr">
        <is>
          <t>Senior Technical Program Manager</t>
        </is>
      </c>
      <c r="C91" t="inlineStr">
        <is>
          <t>Microsoft</t>
        </is>
      </c>
      <c r="D91" t="inlineStr">
        <is>
          <t>indeed</t>
        </is>
      </c>
      <c r="E91">
        <f>HYPERLINK("https://www.indeed.com/viewjob?jk=2f07909f1c9096b3", "https://www.indeed.com/viewjob?jk=2f07909f1c9096b3")</f>
        <v/>
      </c>
      <c r="F91">
        <f>HYPERLINK("https://apply.careers.microsoft.com/careers/job/1970393556756266?utm_source=indeed&amp;domain=microsoft.com", "https://apply.careers.microsoft.com/careers/job/1970393556756266?utm_source=indeed&amp;domain=microsoft.com")</f>
        <v/>
      </c>
      <c r="G91" t="inlineStr">
        <is>
          <t>Redmond, WA, US</t>
        </is>
      </c>
      <c r="H91" s="2" t="n">
        <v>46069</v>
      </c>
      <c r="I91" t="inlineStr">
        <is>
          <t>**Overview**  
We are seeking a **Senior Technical Program Manager (L64\)** to join the **AI Delivery Inferencing Portfolio** team, a critical enabler of Microsoft’s strategy to **rapidly launch and scale next\-generation GPU infrastructure** supporting AI workloads. This role owns a **regional portfolio of feasibility assessment programs** for GPU deployments and plays a pivotal role in **accelerating the release of high‑quality GPU cluster designs (CLDs)** at scale.
This TPM will operate as part of a senior program management team responsible for **driving end‑to‑end readiness** across a portfolio of **accelerated, purpose‑built AI datacenters**, enabling CO\+I to meet aggressive capacity, quality, and time‑to‑market objectives. Success in this role requires comfort operating under ambiguity, deep technical curiosity, strong orchestration skills, and the ability to create clarity and momentum across highly interdependent engineering and delivery teams.
 **Responsibilities** **Responsibilities:**
**Own Regional GPU Feasibility Portfolio**
* Lead a **regional portfolio of GPU feasibility assessment programs**, ensuring consistent, predictable, and high‑quality execution across multiple parallel initiatives.
* Drive early feasibility validation across power, cooling, space, network, colo sequencing, and deployment constraints to improve execution signal quality and reduce late‑stage risk.
* Establish and maintain a **standardized feasibility pre‑check framework** that enables faster decision‑making and minimizes canceled or reworked execute signals.
**Accelerate GPU Cluster Design Readiness**
* Partner across organizations to accelerate cluster layout design creation and evolution for next‑generation GPU platforms.
* Create and maintain **runbooks, templates, and governance mechanisms** that serve as a single source of truth for cluster design workflows, change management, and handoffs.
* Drive clarity and predictability in change management, balancing speed with quality and downstream execution impact.
**Cross‑Team Orchestration \&amp; Governance**
* Act as a connective tissue across partner teams, aligning priorities, dependencies, and execution signals.
* Design and operationalize **lightweight but robust governance mechanisms** to manage change, dependencies, and risk across complex, cross‑org programs.
* Partner with engineering to enable **automation, tooling, and telemetry** that improves visibility, tracking, and accountability across the feasibility and design lifecycle.
**Drive Datacenter Readiness for AI Workloads**
* Contribute as a senior member of the AI Delivery program management team focused on **readiness for accelerated, purpose‑built AI datacenters**.
* Align feasibility outcomes with capacity planning and execution readiness to ensure **on‑time, high‑confidence launches** of GPU capacity.
* Identify systemic bottlenecks and drive structural improvements that scale beyond a single region or program.
**Leadership, Culture, and Influence**
* Operate as a **trusted partner and thought leader** for stakeholders across disciplines and organizations.
* Model Microsoft’s leadership principles by **creating clarity in ambiguity, generating energy through collaboration, and delivering results** with high standards.
* Mentor and influence other program managers, raising the overall bar for program discipline, technical depth, and operational excellence.
**Qualifications** **Qualifications:**
* Bachelor's Degree AND 4\+ years experience in engineering, product/technical program management, data analysis, or product development OR equivalent experience.
* 2\+ years of experience managing cross\-functional and/or cross\-team projects.
While not required, we also look for the following**Preferred Qualifications:**
* 7\+ years of experience in **technical program management**, infrastructure delivery, or large‑scale systems programs.
* Demonstrated experience managing **complex, cross‑functional portfolios** with significant technical and operational dependencies.
* Strong technical aptitude, with the ability to quickly learn and reason about **datacenter infrastructure, GPU platforms, power and cooling systems, and deployment constraints**.
* Proven ability to design scalable processes, create clarity under ambiguity, and drive execution across diverse stakeholder groups.
* Exceptional communication skills, with experience influencing without authority at senior levels.
* Experience supporting **AI, High Performance Compute, or related accelerated infrastructure** programs.
* Familiarity with **datacenter design, capacity planning, or technical feasibility assessment processes**.
* Experience driving **automation or tooling** to improve operational visibility and execution quality.
* Track record of reducing operational risk, improving quality, and accelerating time to market in high‑stakes environments.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2">
      <c r="A92" t="inlineStr">
        <is>
          <t>in-a67953551cb481ed</t>
        </is>
      </c>
      <c r="B92" t="inlineStr">
        <is>
          <t>Principal Program Manager</t>
        </is>
      </c>
      <c r="C92" t="inlineStr">
        <is>
          <t>Microsoft</t>
        </is>
      </c>
      <c r="D92" t="inlineStr">
        <is>
          <t>indeed</t>
        </is>
      </c>
      <c r="E92">
        <f>HYPERLINK("https://www.indeed.com/viewjob?jk=a67953551cb481ed", "https://www.indeed.com/viewjob?jk=a67953551cb481ed")</f>
        <v/>
      </c>
      <c r="F92">
        <f>HYPERLINK("https://apply.careers.microsoft.com/careers/job/1970393556755085?utm_source=indeed&amp;domain=microsoft.com", "https://apply.careers.microsoft.com/careers/job/1970393556755085?utm_source=indeed&amp;domain=microsoft.com")</f>
        <v/>
      </c>
      <c r="G92" t="inlineStr">
        <is>
          <t>Redmond, WA, US</t>
        </is>
      </c>
      <c r="H92" s="2" t="n">
        <v>46066</v>
      </c>
      <c r="I92" t="inlineStr">
        <is>
          <t>**Overview**  
Microsoft Cloud Operations and Innovation team (CO\+I) is the team behind the Microsoft’s Cloud infrastructure and is responsible for innovating, planning designing, building and operating one of the largest datacenter fleets in the world. We support product teams by providing the secure and compliant, cost efficient and highly available global infrastructure that Microsoft’s customers depend on. Our focus is on smart growth, high efficiency and a trusted experience to customers and partners worldwide.
To keep up with rapidly changing customer and business demands, the Cloud \&amp; Infrastructure Acquisition team within CO\+I is looking for an experienced Principal Program Manager who can lead complex changes to our global infrastructure in partnership with business and engineering stakeholders.
The successful candidate will be a someone who thrives in ambiguity, with attention to detail, has an ability to work in a fast\-paced, ever\-changing environments and a desire to help shape the overall business. You will lead multiple simultaneous large\-scale initiatives with a balance of technical leadership and business judgement.
 **Responsibilities*** Lead delivery of strategic initiatives within Cloud \&amp; Infrastructure Acquisition (CIA) team, leveraging results\-oriented, metrics\-driven programmatic approach
* Develop and maintain a long\-term program roadmap, mitigating risks including technology shifts, industry or market constraints, and cost/pricing pressures
* Guide teams through the development of problem statements, frameworks and methodologies to address crucial business, customer or market opportunities
* Orchestrate efforts to define and implement recommended solutions on large cross\-functional projects with internal teams and external partners, holding teams accountable to achieve desired outcomes throughout the program lifecycle (e.g., quality, compliance, security, safety, sustainability, time\-to\-market).
* Advance CIA’s PM capability by evaluating and improving program management capabilities and encouraging and applying PM best practices across the organization
* Drive simplification and automation to evolve processes, services, and solutions, to increase agility and efficiencies while lowering costs
* Develop and coach a world class program management team that successfully delivers complex, impactful, visible infrastructure projects and programs
 **Qualifications** **Required/Minimum Qualifications:**
* Bachelor's Degree AND 6\+ years experience in engineering, product/technical program management, data analysis, or product development OR equivalent experience.
* 3\+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**While not required, we also look for the following Preferred Qualifications:**
* Bachelor's Degree AND 12\+ years experience engineering, product/technical program management, data analysis, or product development OR equivalent experience.
* 8\+ years of experience managing cross\-functional and/or cross\-team projects.
* Demonstrated command of common process improvement methodologies (Lean, Six\-Sigma, DMAIC)
* High proficiency in verbal and written communication, ability to interact with both technical \&amp; business subject matter experts across multiple organizational levels
* Familiarity with change management methodologies \&amp; ability to drive solution adoption across the organization
* Creative problem\-solving \&amp; analytical skills to drive keen insights and understand root causes combined with a “sense of urgency” to develop solutions
* Master's Degree in Business, Operations, Finance, or related field
\#COICareers \#COICIA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3">
      <c r="A93" t="inlineStr">
        <is>
          <t>in-cacf1115bbfb9f8b</t>
        </is>
      </c>
      <c r="B93" t="inlineStr">
        <is>
          <t>Technical Program Manager</t>
        </is>
      </c>
      <c r="C93" t="inlineStr">
        <is>
          <t>Microsoft</t>
        </is>
      </c>
      <c r="D93" t="inlineStr">
        <is>
          <t>indeed</t>
        </is>
      </c>
      <c r="E93">
        <f>HYPERLINK("https://www.indeed.com/viewjob?jk=cacf1115bbfb9f8b", "https://www.indeed.com/viewjob?jk=cacf1115bbfb9f8b")</f>
        <v/>
      </c>
      <c r="F93">
        <f>HYPERLINK("https://apply.careers.microsoft.com/careers/job/1970393556755043?utm_source=indeed&amp;domain=microsoft.com", "https://apply.careers.microsoft.com/careers/job/1970393556755043?utm_source=indeed&amp;domain=microsoft.com")</f>
        <v/>
      </c>
      <c r="G93" t="inlineStr">
        <is>
          <t>Redmond, WA, US</t>
        </is>
      </c>
      <c r="H93" s="2" t="n">
        <v>46065</v>
      </c>
      <c r="I93" t="inlineStr">
        <is>
          <t>**Overview**  
The Azure Maia team is at the forefront of software\+hardware AI innovation! Azure Maia is Microsoft's in\-house AI accelerator, designed to deliver exceptional performance, scalability, and cost efficiency for frontier AI workloads. If you are passionate about AI and the intersection of software and hardware, thrive in a fast\-paced environment while taking a long\-term view, and are eager to make a significant impact, we want you to be part of our journey. Join us and help create the future of AI with Azure Maia!
As a Technical Program Manager (TPM 2\) on our systems software team, you will collaborate with top engineers and hardware experts to bring new generations of Azure Maia to life and play a pivotal role in integrating Azure Maia into Azure's AI fleet.
 **Responsibilities**  
As a TPM on Azure Maia’s systems software, you apply your craft to ensure seamless delivery of features by overcoming technical challenges, optimizing processes, and ensuring high quality.
Responsibilities include:
* Drive technical projects from requirements through launch, including managing complex project schedules, removing roadblocks and keeping processes running smoothly.
* Partner closely with cross\-functional teams to define, prioritize, and implement features, infrastructure, processes, and workflows.
* Partner with Azure service teams to drive integration of Azure Maia hardware into core Azure cloud services to make it accessible at scale
* Communicate with precision and clarity to drive alignment in both small and broad teams.
* Effectively collaborate, build relationships, and influence cross\-functional team members to achieve product perfection.
* Serve as an escalation point for troubleshooting complex integration issue and implement fixes
* Create documents and internal tools to facilitate delivery
* Proactively develop systems and processes to ensure performance and reliability
* Embody our Culture and Values
**Qualifications** **Required Qualifications:**
* Bachelor’s Degree AND 4\+ years experience in product/service/project/program management or software development
	+ OR equivalent experience.
* 1\+ years of experience managing cross\-functional and/or cross\-team projects with emphasis on large scale cloud Hardware \&amp; infrastructure.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Proven ability to understand, synthesize, summarize, \&amp; communicate solutions to complex technical problems.
* A sizable portfolio of success with driving complex projects spanning multiple teams and matrixed organizations.
* Knowledge of datacenters and operation at scale
* Familiarity with GPUs or other HW/AI accelerators
* Experience with hardware \&amp; software interfaces.
* Familiarity with fundamentals of deep learning and AI
Technical Program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4">
      <c r="A94" t="inlineStr">
        <is>
          <t>in-1e6517858e2b9059</t>
        </is>
      </c>
      <c r="B94" t="inlineStr">
        <is>
          <t>Principal Product Manager</t>
        </is>
      </c>
      <c r="C94" t="inlineStr">
        <is>
          <t>Microsoft</t>
        </is>
      </c>
      <c r="D94" t="inlineStr">
        <is>
          <t>indeed</t>
        </is>
      </c>
      <c r="E94">
        <f>HYPERLINK("https://www.indeed.com/viewjob?jk=1e6517858e2b9059", "https://www.indeed.com/viewjob?jk=1e6517858e2b9059")</f>
        <v/>
      </c>
      <c r="F94">
        <f>HYPERLINK("https://apply.careers.microsoft.com/careers/job/1970393556753112?utm_source=indeed&amp;domain=microsoft.com", "https://apply.careers.microsoft.com/careers/job/1970393556753112?utm_source=indeed&amp;domain=microsoft.com")</f>
        <v/>
      </c>
      <c r="G94" t="inlineStr">
        <is>
          <t>Redmond, WA, US</t>
        </is>
      </c>
      <c r="H94" s="2" t="n">
        <v>46061</v>
      </c>
      <c r="I94" t="inlineStr">
        <is>
          <t>**Overview** **Microsoft Cloud Operations \+ Innovation (CO\+I)** is the organization responsible for building and operating the global infrastructure that powers Microsoft’s cloud. Within CO\+I, **CO\+I Engineering builds and operates software products and platforms that power the planning, execution, and scaling of datacenter capacity for Microsoft’s cloud business.** These solutions enable the delivery of highly complex, multi\-disciplinary, multi\-million\-dollar, multi\-year datacenter construction and lease programs with strict safety, quality, schedule, and cost requirements.
The **CO\+I Engineering** team architects, designs, and delivers the next generation of connected systems and platforms that support these outcomes. Leveraging modern microservices architectures and enterprise ERP platforms, the team builds scalable, real\-time solutions across critical business domains including Supply Chain, Cost Management, Scheduling, Networking, Commissioning, Safety, and Capacity Planning. These systems form the digital backbone for datacenter execution across the global CO\+I footprint.
Aligned to a North Star of end\-to\-end automation, the team is chartered to deliver robust, well\-engineered platforms while also pioneering next\-generation recommendation engines. These capabilities enable advanced cost and schedule modeling, supply and execution planning, and data\-driven decision\-making—seamlessly integrated across the broader CO\+I ecosystem to drive smarter, faster, and more predictable delivery at scale.
Microsoft’s mission is to empower every person and every organization on the planet to achieve more. Guided by a growth mindset, our employees innovate with purpose, collaborate deeply, and hold ourselves accountable to the values of respect, integrity, and inclusion—creating a culture where everyone can thrive at work and beyond.
* This role is located at Redmond, WA.
* Relocation support will be provided, and successful candidates must relocate or reside within 50 miles of the hub office location.
* This role is eligible for hybrid or remote work, up to 40%.
**Responsibilities** **Job Summary**
The Principal Product Manager for S\&amp;OP will drive the end\-to\-end product strategy, architecture direction, and execution of Microsoft’s next\-generation Sales \&amp; Operations Planning capabilities powering global datacenter expansion and AI\-scale infrastructure delivery. This role is highly technical and requires strong experience building enterprise\-grade planning systems, shaping data and platform architecture, and partnering closely with software engineering teams to deliver scalable, reliable, and automated planning solutions.
You will lead the definition and evolution of Microsoft’s unified S\&amp;OP platform—integrating forecasting, supply planning, inventory management, and capacity modeling—by combining deep supply chain expertise with modern software product development practices. The ideal candidate brings a strong technical foundation, fluency in engineering concepts, and hands\-on experience working with developers, architects, and data engineers in an agile environment.
**Key Responsibilities**
**Product Vision \&amp; Architecture Leadership**
* Define and evolve the long\-term technical vision for Microsoft’s S\&amp;OP platform, including architecture direction, data model strategy, integration patterns, and automation opportunities.
* Partner closely with software engineering teams to translate the product vision into scalable, performant, and resilient platform capabilities.
* Drive alignment across CO\+IE, engineering, data platform, cloud supply chain, and finance organizations to ensure a unified S\&amp;OP architecture and roadmap.
**Roadmap Ownership \&amp; Technical Delivery**
* Own the multi\-year product roadmap with a strong focus on platform engineering needs, data engineering pipelines, API strategy, and technical debt management.
* Lead engineering squads through requirements definition, backlog prioritization, sprint planning, and acceptance criteria.
* Ensure high\-quality delivery of software features through strong collaboration with engineering leads, architects, and quality teams.
**End\-to\-End Planning Capabilities**
* Build integrated product capabilities spanning forecasting, scenario modeling, constraint management, supply\-demand balancing, and datacenter capacity optimization.
* Incorporate AI/ML, digital twins, and predictive analytics into planning workflows in collaboration with data science teams.
* Translate complex operational requirements into technical specifications that engineering teams can execute against.
**Cross\-Functional \&amp; Executive Leadership**
* Lead planning workshops, influence technical and business stakeholders, and facilitate alignment across engineering, operations, finance, network planning, and construction teams.
* Create executive\-ready insights and recommendations for monthly/quarterly S\&amp;OP cycles, connecting platform capabilities to business outcomes.
* Drive change management and adoption of new capabilities across global teams.
 **Qualifications** **Required/minimum qualifications:**
Bachelor's Degree AND 8\+ years experience in product/service/program management or software development OR equivalent experience. **Additional or preferred qualifications:**
* Bachelor's Degree AND 8\+ years experience in product/service/program management or software development OR equivalent experience.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5">
      <c r="A95" t="inlineStr">
        <is>
          <t>in-55da71e876e43a77</t>
        </is>
      </c>
      <c r="B95" t="inlineStr">
        <is>
          <t>Senior Product Manager</t>
        </is>
      </c>
      <c r="C95" t="inlineStr">
        <is>
          <t>Microsoft</t>
        </is>
      </c>
      <c r="D95" t="inlineStr">
        <is>
          <t>indeed</t>
        </is>
      </c>
      <c r="E95">
        <f>HYPERLINK("https://www.indeed.com/viewjob?jk=55da71e876e43a77", "https://www.indeed.com/viewjob?jk=55da71e876e43a77")</f>
        <v/>
      </c>
      <c r="F95">
        <f>HYPERLINK("https://apply.careers.microsoft.com/careers/job/1970393556751894?utm_source=indeed&amp;domain=microsoft.com", "https://apply.careers.microsoft.com/careers/job/1970393556751894?utm_source=indeed&amp;domain=microsoft.com")</f>
        <v/>
      </c>
      <c r="G95" t="inlineStr">
        <is>
          <t>US</t>
        </is>
      </c>
      <c r="H95" s="2" t="n">
        <v>46057</v>
      </c>
      <c r="I95"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Customer Acceleration Team (CAT) is part of the Customer Experience Engineering (CxE) division within Microsoft’s Security business and we are looking for a Senior Product Manager to join our team. We work with customers from all over the world to shape the product based on customer insights. The CAT Principal Product Manager will handle technical aspects of customer and partner engagements with a focus on security and AI initiatives. This role entails providing proactive guidance, active listening, dealing with ambiguity and driving technical execution.
The key Microsoft Security products driven through our team are Microsoft Information Protection (MIP) and Data Loss Prevention (DLP). We partner closely with our Purview Product Engineering Teams to improve our products by gathering insights from the thousands of customers we work with daily. To be successful in this role, you are customer obsessed, possess a growth mindset, have excellent analytical skills, and pay tremendous attention to detail. You must have a passion for content creation and be willing to educate the field on best practices and product use. You thrive in an environment where the goal is to make our products easier to use and easier for customers to implement in their organizations. In addition, you have a can\-do attitude and strong written and verbal communication.
 **Responsibilities**  
* Lead technical and strategic engagements with top global customers, handling ambiguity, escalations, and complex security/AI scenarios.
* Deliver compelling demos, architecture reviews, deployment strategies, and success plans for stakeholders from Csuite to analyst level.
* Act as the customer advocate to ensure use cases, blockers, and requirements land clearly with engineering.
* Drive critical insights into engineering, influencing roadmap and priority decisions.
* Validate new features in\-market, gather real customer data, and ensure solutions land with quality.
* Convert adhoc support into scalable programs that raise operational maturity across CxE.
* Build and operationalize agent workflows, process automation, and Copilotintegrated mechanisms that reduce workload for field, customers, and engineering.
* Identify where AI can remove friction from customer deployment, adoption, or product usage.
* Create authoritative content: training sessions, conference material, talk tracks, onepagers, and scenario guides.
* Communicate clearly about initiative risks, accomplishments, learnings and opportunities.
* Become a subject matter expert on new and emerging capabilities from a technical breadth and depth perspective with a focus on security and AI.
* Drive critical feedback, insights, customer requirements to improve the solution, drive value to customers and overall solution adoption and consumption.
* Build and maintain key relationships with customer stakeholders to drive continued confidence and trust with Microsoft.
* Embody our Culture and Values
**Qualifications** **Required/minimum qualifications**
* Bachelor's Degree AND 5\+ years experience in product/service/program management or software development
	+ OR equivalent experience.
 **Other Requirements:** The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Experience with Purview including Data Loss Prevention (DLP) and Information Protection (MIP) or other enterprise security products.
\#MSFTSECURITY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6">
      <c r="A96" t="inlineStr">
        <is>
          <t>in-d650e2be755bcc9f</t>
        </is>
      </c>
      <c r="B96" t="inlineStr">
        <is>
          <t>Principal Technical Program Manager</t>
        </is>
      </c>
      <c r="C96" t="inlineStr">
        <is>
          <t>Microsoft</t>
        </is>
      </c>
      <c r="D96" t="inlineStr">
        <is>
          <t>indeed</t>
        </is>
      </c>
      <c r="E96">
        <f>HYPERLINK("https://www.indeed.com/viewjob?jk=d650e2be755bcc9f", "https://www.indeed.com/viewjob?jk=d650e2be755bcc9f")</f>
        <v/>
      </c>
      <c r="F96">
        <f>HYPERLINK("https://apply.careers.microsoft.com/careers/job/1970393556748552?utm_source=indeed&amp;domain=microsoft.com", "https://apply.careers.microsoft.com/careers/job/1970393556748552?utm_source=indeed&amp;domain=microsoft.com")</f>
        <v/>
      </c>
      <c r="G96" t="inlineStr">
        <is>
          <t>US</t>
        </is>
      </c>
      <c r="H96" s="2" t="n">
        <v>46048</v>
      </c>
      <c r="I96" t="inlineStr">
        <is>
          <t>**Overview**  
Microsoft’s Cloud \&amp; AI organization is building the infrastructure and platforms that power the world’s most advanced AI workloads. From hyperscale cloud services to cutting\-edge AI systems, our teams operate at the intersection of deep technical innovation, global scale, and real\-world customer impact.
In this role, you will lead the planning and execution of complex, multi\-year Engineering deliverables for Microsoft’s strategic AI partnerships. This will involve defining and driving project roadmaps, identifying critical milestones, and leading cross\-functional teams to ensure that deliverables are met on time and to the highest standards of quality. In addition, you will partner with executive stakeholders to communicate progress, manage expectations, and align on strategic objectives, playing a key role in shaping the success of Microsoft’s AI initiatives. Through your leadership, you will ensure excellence in the delivery of engineering commitments for these critical engagements, maintaining a focus on innovation, reliability, and customer impact at every stage.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Own the planning and end\-to\-end delivery of engineering commitments for Microsoft’s strategic AI customers, ensuring alignment with customer goals, technical requirements, and business outcomes.
* Coordinate multi\-workstream programs, manage escalations, and synthesize engineering and operational signals into actionable insights for senior leadership.
* Drive structured intake, prioritization, and transparency across engineering deliverables, ensuring clarity, timely reporting, and proactive identification and resolution of systemic issues.
* Build credibility and trust with customers, while effectively communicating complex AI infrastructure topics.
* Drive clear communication and alignment across stakeholder groups, including Engineering teams, Supply chain, Finance, Business development, Legal, and Security
* Prepare executive\-ready materials and updates to support decision\-making and stakeholder visibility across Cloud \&amp; AI
* Identify opportunities to streamline and automate processes to improve agility, scalability, and on\-time delivery
 **Qualifications** **Required/minimum qualifications**
* Bachelor's Degree AND 6\+ years experience in engineering, product/technical program management, data analysis, or product development OR equivalent experience.
**Additional or preferred qualifications*** Bachelor's Degree AND 12\+ years experience engineering, product/technical program management, data analysis, or product development OR equivalent experience.
* 8\+ years of experience managing cross\-functional and/or cross\-team projects.
* 1\+ year(s) of experience reading and/or writing code (e.g., sample documentation, product demos).
* 3\+ years of experience managing cross\-functional and/or cross\-team projects.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7">
      <c r="A97" t="inlineStr">
        <is>
          <t>in-47d0ff6ac98d36d9</t>
        </is>
      </c>
      <c r="B97" t="inlineStr">
        <is>
          <t>Sr. Product Manager Technical, Deal Tooling &amp; Insights, Strategic Customer Engagements</t>
        </is>
      </c>
      <c r="C97" t="inlineStr">
        <is>
          <t>Amazon Web Services</t>
        </is>
      </c>
      <c r="D97" t="inlineStr">
        <is>
          <t>indeed</t>
        </is>
      </c>
      <c r="E97">
        <f>HYPERLINK("https://www.indeed.com/viewjob?jk=47d0ff6ac98d36d9", "https://www.indeed.com/viewjob?jk=47d0ff6ac98d36d9")</f>
        <v/>
      </c>
      <c r="F97">
        <f>HYPERLINK("https://www.amazon.jobs/jobs/3138889/sr-product-manager-technical-deal-tooling--insights-strategic-customer-engagements?cmpid=DA_INAD200785B", "https://www.amazon.jobs/jobs/3138889/sr-product-manager-technical-deal-tooling--insights-strategic-customer-engagements?cmpid=DA_INAD200785B")</f>
        <v/>
      </c>
      <c r="G97" t="inlineStr">
        <is>
          <t>Herndon, VA, US</t>
        </is>
      </c>
      <c r="H97" s="2" t="n">
        <v>45994</v>
      </c>
      <c r="I9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8">
      <c r="A98" t="inlineStr">
        <is>
          <t>in-a61374c4a69c885d</t>
        </is>
      </c>
      <c r="B98" t="inlineStr">
        <is>
          <t>Sr. Product Manager Technical, Deal Tooling &amp; Insights, Strategic Customer Engagements</t>
        </is>
      </c>
      <c r="C98" t="inlineStr">
        <is>
          <t>Amazon Web Services</t>
        </is>
      </c>
      <c r="D98" t="inlineStr">
        <is>
          <t>indeed</t>
        </is>
      </c>
      <c r="E98">
        <f>HYPERLINK("https://www.indeed.com/viewjob?jk=a61374c4a69c885d", "https://www.indeed.com/viewjob?jk=a61374c4a69c885d")</f>
        <v/>
      </c>
      <c r="F98">
        <f>HYPERLINK("https://www.amazon.jobs/jobs/3138889/sr-product-manager-technical-deal-tooling--insights-strategic-customer-engagements?cmpid=DA_INAD200785B", "https://www.amazon.jobs/jobs/3138889/sr-product-manager-technical-deal-tooling--insights-strategic-customer-engagements?cmpid=DA_INAD200785B")</f>
        <v/>
      </c>
      <c r="G98" t="inlineStr">
        <is>
          <t>Austin, TX, US</t>
        </is>
      </c>
      <c r="H98" s="2" t="n">
        <v>45994</v>
      </c>
      <c r="I9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9">
      <c r="A99" t="inlineStr">
        <is>
          <t>in-afa55db73634f84b</t>
        </is>
      </c>
      <c r="B99" t="inlineStr">
        <is>
          <t>Sr. Product Manager Technical, Deal Tooling &amp; Insights, Strategic Customer Engagements</t>
        </is>
      </c>
      <c r="C99" t="inlineStr">
        <is>
          <t>Amazon Web Services</t>
        </is>
      </c>
      <c r="D99" t="inlineStr">
        <is>
          <t>indeed</t>
        </is>
      </c>
      <c r="E99">
        <f>HYPERLINK("https://www.indeed.com/viewjob?jk=afa55db73634f84b", "https://www.indeed.com/viewjob?jk=afa55db73634f84b")</f>
        <v/>
      </c>
      <c r="F99">
        <f>HYPERLINK("https://www.amazon.jobs/jobs/3138889/sr-product-manager-technical-deal-tooling--insights-strategic-customer-engagements?cmpid=DA_INAD200785B", "https://www.amazon.jobs/jobs/3138889/sr-product-manager-technical-deal-tooling--insights-strategic-customer-engagements?cmpid=DA_INAD200785B")</f>
        <v/>
      </c>
      <c r="G99" t="inlineStr">
        <is>
          <t>Seattle, WA, US</t>
        </is>
      </c>
      <c r="H99" s="2" t="n">
        <v>45994</v>
      </c>
      <c r="I9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00">
      <c r="A100" t="inlineStr">
        <is>
          <t>in-a908e730e50e72e1</t>
        </is>
      </c>
      <c r="B100" t="inlineStr">
        <is>
          <t>Sr. Product Manager Technical, Deal Tooling &amp; Insights, Strategic Customer Engagements</t>
        </is>
      </c>
      <c r="C100" t="inlineStr">
        <is>
          <t>Amazon Web Services</t>
        </is>
      </c>
      <c r="D100" t="inlineStr">
        <is>
          <t>indeed</t>
        </is>
      </c>
      <c r="E100">
        <f>HYPERLINK("https://www.indeed.com/viewjob?jk=a908e730e50e72e1", "https://www.indeed.com/viewjob?jk=a908e730e50e72e1")</f>
        <v/>
      </c>
      <c r="F100">
        <f>HYPERLINK("https://www.amazon.jobs/jobs/3138889/sr-product-manager-technical-deal-tooling--insights-strategic-customer-engagements?cmpid=DA_INAD200785B", "https://www.amazon.jobs/jobs/3138889/sr-product-manager-technical-deal-tooling--insights-strategic-customer-engagements?cmpid=DA_INAD200785B")</f>
        <v/>
      </c>
      <c r="G100" t="inlineStr">
        <is>
          <t>Dallas, TX, US</t>
        </is>
      </c>
      <c r="H100" s="2" t="n">
        <v>45994</v>
      </c>
      <c r="I10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01">
      <c r="A101" t="inlineStr">
        <is>
          <t>in-cb314e7ae784bb93</t>
        </is>
      </c>
      <c r="B101" t="inlineStr">
        <is>
          <t>Sr. Product Manager Technical, Deal Tooling &amp; Insights, Strategic Customer Engagements</t>
        </is>
      </c>
      <c r="C101" t="inlineStr">
        <is>
          <t>Amazon Web Services</t>
        </is>
      </c>
      <c r="D101" t="inlineStr">
        <is>
          <t>indeed</t>
        </is>
      </c>
      <c r="E101">
        <f>HYPERLINK("https://www.indeed.com/viewjob?jk=cb314e7ae784bb93", "https://www.indeed.com/viewjob?jk=cb314e7ae784bb93")</f>
        <v/>
      </c>
      <c r="F101">
        <f>HYPERLINK("https://www.amazon.jobs/jobs/3138889/sr-product-manager-technical-deal-tooling--insights-strategic-customer-engagements?cmpid=DA_INAD200785B", "https://www.amazon.jobs/jobs/3138889/sr-product-manager-technical-deal-tooling--insights-strategic-customer-engagements?cmpid=DA_INAD200785B")</f>
        <v/>
      </c>
      <c r="G101" t="inlineStr">
        <is>
          <t>New York, NY, US</t>
        </is>
      </c>
      <c r="H101" s="2" t="n">
        <v>45994</v>
      </c>
      <c r="I10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02">
      <c r="A102" t="inlineStr">
        <is>
          <t>in-a5b9f87c75cfb143</t>
        </is>
      </c>
      <c r="B102" t="inlineStr">
        <is>
          <t>Sr. Product Manager Technical, Deal Tooling &amp; Insights, Strategic Customer Engagements</t>
        </is>
      </c>
      <c r="C102" t="inlineStr">
        <is>
          <t>Amazon Web Services</t>
        </is>
      </c>
      <c r="D102" t="inlineStr">
        <is>
          <t>indeed</t>
        </is>
      </c>
      <c r="E102">
        <f>HYPERLINK("https://www.indeed.com/viewjob?jk=a5b9f87c75cfb143", "https://www.indeed.com/viewjob?jk=a5b9f87c75cfb143")</f>
        <v/>
      </c>
      <c r="F102">
        <f>HYPERLINK("https://www.amazon.jobs/jobs/3138889/sr-product-manager-technical-deal-tooling--insights-strategic-customer-engagements?cmpid=DA_INAD200785B", "https://www.amazon.jobs/jobs/3138889/sr-product-manager-technical-deal-tooling--insights-strategic-customer-engagements?cmpid=DA_INAD200785B")</f>
        <v/>
      </c>
      <c r="G102" t="inlineStr">
        <is>
          <t>Arlington, VA, US</t>
        </is>
      </c>
      <c r="H102" s="2" t="n">
        <v>45994</v>
      </c>
      <c r="I10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03">
      <c r="A103" t="inlineStr">
        <is>
          <t>in-74e9d64c5d0d694c</t>
        </is>
      </c>
      <c r="B103" t="inlineStr">
        <is>
          <t>VP I, Program Manager</t>
        </is>
      </c>
      <c r="C103" t="inlineStr">
        <is>
          <t>Circana</t>
        </is>
      </c>
      <c r="D103" t="inlineStr">
        <is>
          <t>indeed</t>
        </is>
      </c>
      <c r="E103">
        <f>HYPERLINK("https://www.indeed.com/viewjob?jk=74e9d64c5d0d694c", "https://www.indeed.com/viewjob?jk=74e9d64c5d0d694c")</f>
        <v/>
      </c>
      <c r="F103">
        <f>HYPERLINK("https://recruiting2.ultipro.com/INF1019IRINC/JobBoard/17a8d008-9efe-4e51-8460-47ee205d5229/OpportunityDetail?opportunityId=4c5f6cd1-294a-4f13-8d13-976c7987821f&amp;postingId=4436d3fd-1104-4824-a1f7-0a2b93aef848", "https://recruiting2.ultipro.com/INF1019IRINC/JobBoard/17a8d008-9efe-4e51-8460-47ee205d5229/OpportunityDetail?opportunityId=4c5f6cd1-294a-4f13-8d13-976c7987821f&amp;postingId=4436d3fd-1104-4824-a1f7-0a2b93aef848")</f>
        <v/>
      </c>
      <c r="G103" t="inlineStr">
        <is>
          <t>US</t>
        </is>
      </c>
      <c r="H103" s="2" t="n">
        <v>46078</v>
      </c>
      <c r="I103" t="inlineStr">
        <is>
          <t>**Position Overview:**  
We are seeking an experienced and highly skilled **Client\-Facing Program Executive** who has the capability to be a strategic and trusted advisor to our clients and program manage **multiple global technical teams** rolling our large scale platform as a service projects.
The Program Executive will oversee a portfolio of multi‑year, complex platform implementations, serve as the strategic partner for key client accounts, and drive both business outcomes and technical delivery excellence. This leader will be accountable for client success, commercial growth, stakeholder alignment, and global execution across engineering, data, product, and analytics teams
This role combines strategic leadership, client engagement, and technical acumen. You will translate client requirements into clear development plans, oversee the cross\-functional technical and business insights teams to design, test and deploy the solution to meet the clients reporting needs. If you are a strong communicator, comfortable with ambiguity, and passionate about data storytelling, we’d love to hear from you!
This individual will be responsible for overseeing the execution of a multi\-year technology implementation program , ensuring these projects are completed on time, within scope, and in alignment with client objectives.
The ideal candidate will have a proven ability to manage cross\-functional teams spread across different regions and time zones while maintaining strong client relationships.
**Key Responsibilities:**
* **Executive\-level stakeholder management:**
* Act as the main point of contact for client projects, working closely with the Client to ensure the client’s business needs and technical requirements are understood and met throughout the project lifecycle.
* Have strong interpersonal skills, a ‘can\-do’ philosophy and be a collaborative member of the operations team.
* Foster strong, positive client relationships and act as a trusted advisor during the project delivery
* Regularly update clients on project progress, managing \&amp; communicating risk and issues.
* **Program Strategy**
* Lead discovery sessions to understand client business goals and reporting needs.
* Understand all layers of the Liquid Data stack and Translate requirements into actionable plans for Technology teams.
* Accountable for building rapid rapport and trust with key client contacts (ranging from analysts to executives) and across functions within the highly matrixed Circana organization.
* Lead effective problem solving with the client and internal Circana teams to effectively capture and translate high\-level client requirements into clear plans for the Circana technology team.
* **Global Team Leadership:**
* Proven track record managing **multi\-disciplinary global teams** across different time zones and locations, ensuring collaboration and communication.
* Empower and drive teams to deliver against commitments.
* Coordinate and align the efforts of cross\-functional teams, including data scientists, engineers, analysts, and developers, across different geographic regions.
* Ensure that teams have the resources and support they need to successfully meet project goals and deadlines.
* Foster a culture of collaboration, ensuring that teams work efficiently despite time zone differences and geographical distances.
* **Project Planning and Execution:**
* Lead the planning, coordination, and delivery of client data analytics projects, ensuring alignment with both client business goals and technical requirements.
* Develop comprehensive project plans, defining scope, deliverables, timelines, and key milestones for each phase of the project.
* Collaborate with stakeholders from multiple teams and regions to ensure effective resource allocation, execution, and delivery.
* Monitor the progress of global teams, ensuring that tasks are completed on schedule and to the highest standards.
* **Risk and Issue Management:**
* Identify and manage risks related to project delivery, including data quality, system integration challenges, or resource allocation issues.
* Proactively address potential roadblocks or issues, working with global teams to resolve them quickly and effectively.
* Maintain proactive communication with clients regarding any risks or delays, managing expectations and ensuring timely resolution.
* **Collaboration and Communication:**
* Facilitate clear and consistent communication between clients, global teams, and internal stakeholders.
* Set up regular touchpoints (e.g., meetings, status updates, and reports) to ensure all parties are aligned on project progress and expectations.
* Use collaborative tools (such as Monday.com, Microsoft Teams, Jira, or others) to keep all global teams informed and engaged.
* Ensure that the project documentation, including requirements, timelines, and deliverables, is accessible and up to date for all teams.
* **Reporting and Documentation:**
* Create and maintain detailed project documentation, including project scope, objectives, timelines, and client communications.
* Provide regular reports on project status, including progress, risks, and any client or team updates both internally and externally to clients.
* Ensure that reporting is tailored to both technical and business stakeholders, with a focus on actionable insights and key metrics.
* **Budget and Resource Management:**
* Oversee project budgets, ensuring that global teams are working within financial constraints and delivering projects within the allocated budget.
* Optimize resource allocation across multiple teams and regions, ensuring that all required skill sets are available at the right time.
* Work with internal and client teams to track costs, manage invoicing, and maintain financial transparency.
**Requirements**
* Graduate degree in business, technology or related field.
* Prior experience in a VP/Director/Executive\-level client\-facing consulting role
* Proven revenue/resourcing/budget ownership at scale
* 8\+ years in a program management role, with preference for consulting experience.
* Proven experience in delivering large\-scale data integration and technology implementation projects.
* Demonstrated ability to build and grow long\-term
* Proven experience utilizing consulting methodologies to problem solve and deliver projects.
* Exceptional professionalism and executive presence in client facing communications.
* Exceptional leadership, time management, facilitation, and organizational skills
* Working knowledge of Customer analytics platforms
* Outstanding working knowledge of change management principles and performance evaluation processes
**Preferable Skills and Experience**
* Familiarity with Project Lifecycles, from Requirements through to Implementation whilst being comfortable with ambiguity in an R\&amp;D environment.
* Usage of supporting tools commonly used in e.g. Jira, Confluence, MS Project \&amp; Monday.com
* Understanding of Product Lifecycles
* CPG Experience \- Experience in CPG, but a strong interest in developing knowledge in the industry would also make a candidate successful
* Experience with **cloud platforms** (e.g., AWS, Google Cloud, Azure) and **cloud\-based data analytics**.
* Familiarity with **data\-driven decision\-making** and KPIs specific to client industries: Consumer Packaged Goods and Retail.
**Circana Behaviors**
As well as the technical skills, experience and attributes that are required for the role, our shared behaviors sit at the core of our organization. Therefore, we always look for people who can continuously champion these behaviors throughout the business within their day\-to\-day role:
* Stay Curious: Being hungry to learn and grow, always asking the big questions.
* Seek Clarity: Embracing complexity to create clarity and inspire action.
* Own the Outcome: Being accountable for decisions and taking ownership of our choices.
* Center on the Client: Relentlessly adding value for our customers.
* Be a Challenger: Never complacent, always striving for continuous improvement.
* Champion Inclusivity: Fostering trust in relationships engaging with empathy, respect, and integrity.
* Commit to each other: Contributing to making Circana a great place to work for everyone.
**Location**
This position can be located in the following area(s): Remote with 15%\- 20% travel to Richmond, VA and Stamford CT (Client locations).
*Prospective candidates may be asked to consent to background checks (in accordance with local legislation and our* *candidate privacy notice* *)* *Your current employer will not be contacted without your permission.*
The below range reflects the range of possible compensation for this role at the time of this posting. We may ultimately pay more or less than the posted range. This range may be modified in the future. An employee’s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The salary range for this role is $140K to $200K
This job is also eligible for bonus pay.
We offer a comprehensive package of benefits including paid time off, medical/dental/vision insurance and 401(k) to eligible employees.
You can apply for this role through methods such as our Careers website link and/or Intranet site for internal candidates. This role is subject to AI\-assisted screening. Circana uses artificial intelligence (AI) to assess resumes for alignment with job requirements by helping locate details in resumes that relate to the job description.
The anticipated application deadline for this position is 3/31/2026\.</t>
        </is>
      </c>
    </row>
    <row r="104">
      <c r="A104" t="inlineStr">
        <is>
          <t>in-df3d7c0874d03ff2</t>
        </is>
      </c>
      <c r="B104" t="inlineStr">
        <is>
          <t>Principal Product Manager - Tech, Recommender Systems, Prime Video Personalization &amp; Discovery</t>
        </is>
      </c>
      <c r="C104" t="inlineStr">
        <is>
          <t>Amazon.com</t>
        </is>
      </c>
      <c r="D104" t="inlineStr">
        <is>
          <t>indeed</t>
        </is>
      </c>
      <c r="E104">
        <f>HYPERLINK("https://www.indeed.com/viewjob?jk=df3d7c0874d03ff2", "https://www.indeed.com/viewjob?jk=df3d7c0874d03ff2")</f>
        <v/>
      </c>
      <c r="F104">
        <f>HYPERLINK("https://www.amazon.jobs/jobs/2956622/principal-product-manager--tech-recommender-systems-prime-video-personalization--discovery-?cmpid=DA_INAD200785B", "https://www.amazon.jobs/jobs/2956622/principal-product-manager--tech-recommender-systems-prime-video-personalization--discovery-?cmpid=DA_INAD200785B")</f>
        <v/>
      </c>
      <c r="G104" t="inlineStr">
        <is>
          <t>Washington, DC, US</t>
        </is>
      </c>
      <c r="H104" s="2" t="n">
        <v>45753</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in-4d7a64dfc56c70a6</t>
        </is>
      </c>
      <c r="B105" t="inlineStr">
        <is>
          <t>Principal Product Manager - Tech, Recommender Systems, Prime Video Personalization &amp; Discovery</t>
        </is>
      </c>
      <c r="C105" t="inlineStr">
        <is>
          <t>Amazon.com</t>
        </is>
      </c>
      <c r="D105" t="inlineStr">
        <is>
          <t>indeed</t>
        </is>
      </c>
      <c r="E105">
        <f>HYPERLINK("https://www.indeed.com/viewjob?jk=4d7a64dfc56c70a6", "https://www.indeed.com/viewjob?jk=4d7a64dfc56c70a6")</f>
        <v/>
      </c>
      <c r="F105">
        <f>HYPERLINK("https://www.amazon.jobs/jobs/2956622/principal-product-manager--tech-recommender-systems-prime-video-personalization--discovery-?cmpid=DA_INAD200785B", "https://www.amazon.jobs/jobs/2956622/principal-product-manager--tech-recommender-systems-prime-video-personalization--discovery-?cmpid=DA_INAD200785B")</f>
        <v/>
      </c>
      <c r="G105" t="inlineStr">
        <is>
          <t>Seattle, WA, US</t>
        </is>
      </c>
      <c r="H105" s="2" t="n">
        <v>45753</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in-d10cad337f54e2c8</t>
        </is>
      </c>
      <c r="B106" t="inlineStr">
        <is>
          <t>Program Manager, ReLo Ops Excellence, Relo Ops Integration</t>
        </is>
      </c>
      <c r="C106" t="inlineStr">
        <is>
          <t>Amazon.com</t>
        </is>
      </c>
      <c r="D106" t="inlineStr">
        <is>
          <t>indeed</t>
        </is>
      </c>
      <c r="E106">
        <f>HYPERLINK("https://www.indeed.com/viewjob?jk=d10cad337f54e2c8", "https://www.indeed.com/viewjob?jk=d10cad337f54e2c8")</f>
        <v/>
      </c>
      <c r="F106">
        <f>HYPERLINK("https://www.amazon.jobs/jobs/3167103/program-manager-relo-ops-excellence-relo-ops-integration?cmpid=DA_INAD200785B", "https://www.amazon.jobs/jobs/3167103/program-manager-relo-ops-excellence-relo-ops-integration?cmpid=DA_INAD200785B")</f>
        <v/>
      </c>
      <c r="G106" t="inlineStr">
        <is>
          <t>Nashville, TN, US</t>
        </is>
      </c>
      <c r="H106" s="2" t="n">
        <v>46020</v>
      </c>
      <c r="I10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07">
      <c r="A107" t="inlineStr">
        <is>
          <t>in-9a158288ce15c07b</t>
        </is>
      </c>
      <c r="B107" t="inlineStr">
        <is>
          <t>Program Manager, ReLo Ops Excellence, Relo Ops Integration</t>
        </is>
      </c>
      <c r="C107" t="inlineStr">
        <is>
          <t>Amazon.com</t>
        </is>
      </c>
      <c r="D107" t="inlineStr">
        <is>
          <t>indeed</t>
        </is>
      </c>
      <c r="E107">
        <f>HYPERLINK("https://www.indeed.com/viewjob?jk=9a158288ce15c07b", "https://www.indeed.com/viewjob?jk=9a158288ce15c07b")</f>
        <v/>
      </c>
      <c r="F107">
        <f>HYPERLINK("https://www.amazon.jobs/jobs/3167103/program-manager-relo-ops-excellence-relo-ops-integration?cmpid=DA_INAD200785B", "https://www.amazon.jobs/jobs/3167103/program-manager-relo-ops-excellence-relo-ops-integration?cmpid=DA_INAD200785B")</f>
        <v/>
      </c>
      <c r="G107" t="inlineStr">
        <is>
          <t>Bellevue, WA, US</t>
        </is>
      </c>
      <c r="H107" s="2" t="n">
        <v>46020</v>
      </c>
      <c r="I10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08">
      <c r="A108" t="inlineStr">
        <is>
          <t>in-68ddd8202bb570db</t>
        </is>
      </c>
      <c r="B108" t="inlineStr">
        <is>
          <t>Program Manager, ReLo Ops Excellence, Relo Ops Integration</t>
        </is>
      </c>
      <c r="C108" t="inlineStr">
        <is>
          <t>Amazon.com</t>
        </is>
      </c>
      <c r="D108" t="inlineStr">
        <is>
          <t>indeed</t>
        </is>
      </c>
      <c r="E108">
        <f>HYPERLINK("https://www.indeed.com/viewjob?jk=68ddd8202bb570db", "https://www.indeed.com/viewjob?jk=68ddd8202bb570db")</f>
        <v/>
      </c>
      <c r="F108">
        <f>HYPERLINK("https://www.amazon.jobs/jobs/3167103/program-manager-relo-ops-excellence-relo-ops-integration?cmpid=DA_INAD200785B", "https://www.amazon.jobs/jobs/3167103/program-manager-relo-ops-excellence-relo-ops-integration?cmpid=DA_INAD200785B")</f>
        <v/>
      </c>
      <c r="G108" t="inlineStr">
        <is>
          <t>Dallas, TX, US</t>
        </is>
      </c>
      <c r="H108" s="2" t="n">
        <v>46020</v>
      </c>
      <c r="I10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09">
      <c r="A109" t="inlineStr">
        <is>
          <t>in-0324097ba8a0574b</t>
        </is>
      </c>
      <c r="B109" t="inlineStr">
        <is>
          <t>Program Manager, ReLo Ops Excellence, Relo Ops Integration</t>
        </is>
      </c>
      <c r="C109" t="inlineStr">
        <is>
          <t>Amazon.com</t>
        </is>
      </c>
      <c r="D109" t="inlineStr">
        <is>
          <t>indeed</t>
        </is>
      </c>
      <c r="E109">
        <f>HYPERLINK("https://www.indeed.com/viewjob?jk=0324097ba8a0574b", "https://www.indeed.com/viewjob?jk=0324097ba8a0574b")</f>
        <v/>
      </c>
      <c r="F109">
        <f>HYPERLINK("https://www.amazon.jobs/jobs/3167103/program-manager-relo-ops-excellence-relo-ops-integration?cmpid=DA_INAD200785B", "https://www.amazon.jobs/jobs/3167103/program-manager-relo-ops-excellence-relo-ops-integration?cmpid=DA_INAD200785B")</f>
        <v/>
      </c>
      <c r="G109" t="inlineStr">
        <is>
          <t>Phoenix, AZ, US</t>
        </is>
      </c>
      <c r="H109" s="2" t="n">
        <v>46020</v>
      </c>
      <c r="I10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10">
      <c r="A110" t="inlineStr">
        <is>
          <t>in-cc7f7ece4e00dba2</t>
        </is>
      </c>
      <c r="B110" t="inlineStr">
        <is>
          <t>Principal Product Manager Technical, Creative X - RAPID</t>
        </is>
      </c>
      <c r="C110" t="inlineStr">
        <is>
          <t>Amazon.com</t>
        </is>
      </c>
      <c r="D110" t="inlineStr">
        <is>
          <t>indeed</t>
        </is>
      </c>
      <c r="E110">
        <f>HYPERLINK("https://www.indeed.com/viewjob?jk=cc7f7ece4e00dba2", "https://www.indeed.com/viewjob?jk=cc7f7ece4e00dba2")</f>
        <v/>
      </c>
      <c r="F110">
        <f>HYPERLINK("https://www.amazon.jobs/jobs/3112224/principal-product-manager-technical-creative-x--rapid?cmpid=DA_INAD200785B", "https://www.amazon.jobs/jobs/3112224/principal-product-manager-technical-creative-x--rapid?cmpid=DA_INAD200785B")</f>
        <v/>
      </c>
      <c r="G110" t="inlineStr">
        <is>
          <t>New York, NY, US</t>
        </is>
      </c>
      <c r="H110" s="2" t="n">
        <v>45939</v>
      </c>
      <c r="I110"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111">
      <c r="A111" t="inlineStr">
        <is>
          <t>in-efa4a1a74a0bddb0</t>
        </is>
      </c>
      <c r="B111" t="inlineStr">
        <is>
          <t>Principal Product Manager Technical, Creative X - RAPID</t>
        </is>
      </c>
      <c r="C111" t="inlineStr">
        <is>
          <t>Amazon.com</t>
        </is>
      </c>
      <c r="D111" t="inlineStr">
        <is>
          <t>indeed</t>
        </is>
      </c>
      <c r="E111">
        <f>HYPERLINK("https://www.indeed.com/viewjob?jk=efa4a1a74a0bddb0", "https://www.indeed.com/viewjob?jk=efa4a1a74a0bddb0")</f>
        <v/>
      </c>
      <c r="F111">
        <f>HYPERLINK("https://www.amazon.jobs/jobs/3112224/principal-product-manager-technical-creative-x--rapid?cmpid=DA_INAD200785B", "https://www.amazon.jobs/jobs/3112224/principal-product-manager-technical-creative-x--rapid?cmpid=DA_INAD200785B")</f>
        <v/>
      </c>
      <c r="G111" t="inlineStr">
        <is>
          <t>Seattle, WA, US</t>
        </is>
      </c>
      <c r="H111" s="2" t="n">
        <v>45939</v>
      </c>
      <c r="I11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li-4368697253</t>
        </is>
      </c>
      <c r="B2" t="inlineStr">
        <is>
          <t>Product Manager II - Core Infrastructure</t>
        </is>
      </c>
      <c r="C2" t="inlineStr">
        <is>
          <t>Coinbase</t>
        </is>
      </c>
      <c r="D2" t="inlineStr">
        <is>
          <t>linkedin</t>
        </is>
      </c>
      <c r="E2" t="inlineStr"/>
      <c r="F2" t="inlineStr"/>
      <c r="G2" t="inlineStr"/>
      <c r="H2" t="inlineStr"/>
      <c r="I2"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Core Infrastructure team at Coinbase builds the foundational systems that keep our products online, secure, and scalable. We own the compute, networking, and storage platforms that power Coinbase applications globally. Our work ensures every product runs reliably, cost\-effectively, and with the resiliency required in a highly regulated, always\-on financial environment.
 As an L5 Product Manager, you will own the roadmap for scalability, resilience, and efficiency of Coinbase’s core infrastructure. You will work closely with engineering and SRE teams to evaluate cloud platforms, improve compute and networking systems, and design resilient services that ensure Coinbase’s crypto applications run consistently, securely, and at global scale.
**What you’ll be doing (ie. job duties):** 
* Own the product roadmap for Coinbase’s core infrastructure with emphasis on scalability, resiliency, and cost efficiency for global workloads.
* Collaborate with engineering, SRE, and infrastructure partners to design compute, networking, and storage systems that operate reliably across multiple regions and clouds.
* Lead evaluation and adoption of infrastructure technologies (compute, networking, storage, observability) to improve performance and maintain uptime during demand spikes.
* Anticipate growth driven by product launches, traffic surges, and global expansion, ensuring infrastructure capacity scales ahead of demand.
* Define and monitor SLAs for uptime, latency, and resiliency, and iterate with engineering to consistently meet or exceed these targets.
* Provide Coinbase teams with reliable, secure, and compliant infrastructure services that accelerate product delivery.
**What we look for in you (ie. job requirements):** 
* Ability to translate infrastructure challenges into clear product strategies and measurable outcomes.
* Track record of scaling globally distributed systems and core services to handle large, dynamic workloads with high reliability.
* Skilled collaborator with engineering, SRE, and security partners.
* Familiarity with cloud infrastructure technologies such as Kubernetes, service mesh, distributed storage, networking, and observability platforms.
* Comfortable balancing cost, performance, scalability, and compliance requirements in regulated industries.
**Nice to haves:** 
* Experience with infrastructure for high\-volume, low\-latency, and always\-on applications.
 ID: P71229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3">
      <c r="A3" t="inlineStr">
        <is>
          <t>li-4368832638</t>
        </is>
      </c>
      <c r="B3" t="inlineStr">
        <is>
          <t>Senior Product Manager - Fraud and Abuse</t>
        </is>
      </c>
      <c r="C3" t="inlineStr">
        <is>
          <t>Forter</t>
        </is>
      </c>
      <c r="D3" t="inlineStr">
        <is>
          <t>linkedin</t>
        </is>
      </c>
      <c r="E3" t="inlineStr"/>
      <c r="F3" t="inlineStr"/>
      <c r="G3" t="inlineStr">
        <is>
          <t>New York, United States</t>
        </is>
      </c>
      <c r="H3" t="inlineStr"/>
      <c r="I3" t="inlineStr">
        <is>
          <t>**About the role:**
 Forter’s Fraud and Abuse product team is at the heart of developing Forter’s core offering, enabling businesses to make trust decisions about their customers through the customer journey. We are looking for a
 **Senior Product Manager** 
 based in
 **New York City** 
 (hybrid) to join our Offerings Group.
 This is a unique opportunity to lead an offering from end\-to\-end, developing new features alongside our R\&amp;D teams (Engineering and Analytics), building the narrative and packaging alongside our Marketing team, and gathering direct feedback from our GTM teams and customers globally on their needs.
**What you’ll be doing:**
* Roadmap \&amp; Execution Tracking: Work closely with the Fraud and Abuse Director (based in Tel Aviv) to shape the product roadmap. You will accompany Engineering teams in the execution of ongoing projects, ensuring they are finalized on time and meet all business requirements.
* Feature Release Leadership: Lead the end\-to\-end release process for new features and capabilities. This includes everything from internal training to monitoring initial adoption and feedback.
* Market Feedback Loop: Gather real\-time insights from the global market and GTM teams to inform our product strategy and identify new opportunities for innovation in the fraud and abuse space.
* GTM Enablement \&amp; Deal Support: Act as the primary product point of contact for Sales and Customer Success teams. You’ll support complex deals from a product perspective, helping to translate customer needs into technical possibilities.
* Collateral \&amp; Material Creation: Develop the "connective tissue" between product and sales. Alongside the Product Marketing team, you’ll create GTM materials, product one\-pagers, and enablement documentation that help our teams articulate the value of our Fraud and Abuse solutions.
**What you’ll need:**
* Experience: 5\+ years of Product Management experience in e\-Commerce or B2B SaaS for retailers, with a deep understanding of loyalty systems, LTV growth, Customer Experience and/or the technical logic behind refunds and coupons.
* Communication: Proven ability to effectively communicate (written and verbal) to both technical and non\-technical audiences.
* Organizational Prowess: A "get\-it\-done" attitude with the ability to track multiple projects simultaneously across different time zones.
* Collaboration: A natural ability to build relationships. You’ll be the face of the product team for our New York office while maintaining a tight\-knit partnership with the team in Tel Aviv.
* Technical And Analytical Curiosity: While you don't need to be an engineer, you should be comfortable diving into data, understanding APIs, and learning the "why" behind fraud patterns.
* Self\-Starter Mentality: Since your direct manager is in a different time zone, you must be comfortable working with a high degree of independence and taking initiative.
**About us:**
 Digital commerce is built on trust. At every point along the eCommerce journey, businesses must make a critical decision: Can I trust this customer? Answering this simple question accurately and instantly is powerful—it can accelerate revenue growth and strengthen a company’s connection with its customers. How do we do it? Forter was founded on the insight that it's not about what is being purchased, nor where— but who is behind the interaction.
 The Forter Decision Engine finds patterns across more than one billion identities in our dataset. We isolate fraudsters and protect customers—ensuring everyone gets the experience they deserve. Given that trust is central to how we operate, Forter is very much driven by a defined set of values. We attract remarkable talent and have retention and engagement levels that are well above benchmarks. We’re meticulous about strengthening our culture as we grow and ensuring this is an environment where people can have outsized impact.
**Trust is backed by data – Forter is a recipient of over 10 workplace and innovation awards, including:**
* Great Place to Work Certification (2021, 2022, 2023\)
* Fortune’s Best Workplaces in NYC (2022, 2023 and 2024\)
* Forbes Cloud 100 (2021, 2022, 2023 and 2024\)
* \#3 on Fast Company’s list of “Most Innovative Finance Companies” (2022\)
* Anti\-Fraud Solution of the Year at the Payments Awards (2024\)
* SAP Pinnacle Awards “New Partner Application Award” (2023\)
* Fintech Breakthrough Awards – Best Fraud Prevention Platform (2023\)
**Life as a Forterian:**
*We are a team of over 500 Forterians spread across 3 different continents. Since 2013, we've raised $525 million from investors such as Tiger Global, Bessemer, Sequoia Capital, March Capital and Salesforce Ventures. We're on a mission to bring trust to global digital commerce so that companies like Nordstrom, Priceline, Instacart and ASOS can block fraud, drive revenue and improve customer experience.*
 At Forter, we believe unique people create unique ideas, and valuable experience comes in many forms. So, even if your background doesn't match everything we have listed in the job description, we still encourage you to apply and tell us why your skills and values could be an asset to us. By welcoming different perspectives, we grow together as humans and as a company.
 Forter is an Equal Employment Opportunity employer that will consider all qualified applicants, regardless of race, color, religion, gender, sexual orientation, marital status, gender identity or expression, national origin, genetics, age, disability status, protected veteran status, or any other characteristic protected by applicable law.
 If you need assistance or an accommodation due to a disability, please email us at interviewaccommodation@forter.com. This information will be treated as confidential and used only for the purpose of determining an appropriate accommodation for the interview process.
**Benefits:**
* Competitive salary
* Restricted Stock Units (RSUs)
* Matching 401K Plan
* Comprehensive and generous health insurance, including vision and dental coverage
* Home office allowance
* Generous PTO policy
* Half day Fridays
**Hybrid work:**
 At Forter, we embrace a hybrid work model that blends in\-person connection with the flexibility of remote work. Team members based near our key hubs are expected to work from the office at least three days per week. We believe that regular face\-to\-face collaboration fuels professional development, strengthens our culture, and builds the relationships that help teams thrive.
* Forter does not accept agency resumes. Please do not forward resumes to Forter (or any related) jobs alias or directly to any Forter employees. Forter will not be responsible for any fees related to unsolicited resumes.
*Salary Range:
 **$168,000 \- $208,000 annually** 
 \+ bonus \+ equity \+ benefits*
*The referenced salary range is based on the Company's good faith belief at the time of posting. Actual compensation may vary based on factors such as geographic location, work experience, market conditions, and skill level.*
**Forter's Applicant Privacy Policy**</t>
        </is>
      </c>
    </row>
    <row r="4">
      <c r="A4" t="inlineStr">
        <is>
          <t>li-4371547726</t>
        </is>
      </c>
      <c r="B4" t="inlineStr">
        <is>
          <t>Technical Product Manager</t>
        </is>
      </c>
      <c r="C4" t="inlineStr">
        <is>
          <t>IMC Trading</t>
        </is>
      </c>
      <c r="D4" t="inlineStr">
        <is>
          <t>linkedin</t>
        </is>
      </c>
      <c r="E4" t="inlineStr"/>
      <c r="F4" t="inlineStr"/>
      <c r="G4" t="inlineStr">
        <is>
          <t>Chicago, IL</t>
        </is>
      </c>
      <c r="H4" t="inlineStr"/>
      <c r="I4" t="inlineStr">
        <is>
          <t>IMC is building the next generation of trader facing tools, and we are looking for a Product Manager to help lead that effort. Technology sits at the heart of how we trade, and these applications are not support systems. They are the primary interface traders use all day, every day, to see the market, make decisions, and execute.
 This role sits directly at the intersection of trading and engineering. You will help reimagine how our tools work from the ground up, shaping workflows, visualizations, and interactions where speed and clarity matter. In many cases, a single click or extra second can be the difference between capturing an opportunity or missing it. Your work will have immediate and measurable impact on trading performance.
 You will play a central role in a major reinvestment in our trading platform, with real ownership, high visibility, and the chance to define how traders interact with the market at IMC for years to come.
**Your Core Responsibilities**
* Partner closely with traders to understand daily workflows, decision making, and trading patterns
* Work with engineering teams to design, build, and iterate on high performance GUIs
* Translate trader insights and business needs into clear product goals, priorities, and requirements
* Own initiatives end to end, from problem definition and scoping through delivery, iteration, and adoption with development teams
* Obsess over workflow efficiency, recognizing that every click, keystroke, and visual element matters
* Identify opportunities to share common patterns and tools across desks, but also decide when it makes sense to deviate
* Communicate product direction, priorities, risks, and progress clearly to trading, engineering, and related teams
* Surface dependencies and risks early, see them before they become blockers
**Your Skills And Experience**
* Experience owning and driving complex products that are the central focus of a user’s daily work
* Background in trading, financial markets, trading systems, or closely related domains is ideal but not required
* Strong intuition for how users interact with tools under time pressure, and how design choices affect decision making
* Enough technical depth to work effectively with engineers and reason about systems, data flows, and tradeoffs
* Demonstrated ability to turn ambiguous problems into clear direction and execution
* Clear and effective communicator across disciplines
 The Base Salary range for the role is included below. Base salary is only one component of total compensation; all full\-time, permanent positions are eligible for a discretionary bonus and benefits, including paid leave and insurance. Please visit Benefits \- US \| IMC Trading for more comprehensive information.
 Salary Range
 $200,000 \- $225,000 USD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t>
        </is>
      </c>
    </row>
    <row r="5">
      <c r="A5" t="inlineStr">
        <is>
          <t>li-4374529515</t>
        </is>
      </c>
      <c r="B5" t="inlineStr">
        <is>
          <t>Product Manager, Loan Servicing</t>
        </is>
      </c>
      <c r="C5" t="inlineStr">
        <is>
          <t>Aqua Finance, Inc.</t>
        </is>
      </c>
      <c r="D5" t="inlineStr">
        <is>
          <t>linkedin</t>
        </is>
      </c>
      <c r="E5" t="inlineStr"/>
      <c r="F5" t="inlineStr"/>
      <c r="G5" t="inlineStr"/>
      <c r="H5" t="inlineStr"/>
      <c r="I5" t="inlineStr">
        <is>
          <t>The Product Manager, Loan Servicing is a strategic and tactical individual contributor responsible for the vision, roadmap, and execution of the company’s core loan servicing platform. This role bridges business objectives and technical development to optimize servicing operations and enhance customer engagement across the entire loan lifecycle. Acting as the primary business owner, the role defines and manages priorities, oversees integrations, ensures compliance, and drives efficiency and automation across all servicing functions and release cycles.
**Essential Functions**
* Own the end\-to\-end strategy and roadmap for the loan servicing platform, aligning capabilities with business goals across all operational domains.
* Serve as the primary liaison among key stakeholders, including Operations, IT, Compliance, Finance, and vendor partners, to ensure timely delivery of enhancements and adherence to regulatory standards.
* Define business requirements and manage platform priorities, backlog, and release schedules based on business value, risk, and technical feasibility.
* Lead requirements gathering and translate business needs into clear functional specifications for system enhancements.
* Oversee integration strategy with core systems, ensuring data quality, consistency, and governance.
* Develop and maintain standardized processes for configuration, testing, and deployment of platform changes.
* Monitor system performance, identify optimization opportunities, and implement automation to reduce manual effort and improve efficiency.
* Manage vendor relationships, including issue escalation, roadmap alignment, performance management, and cost negotiations.
* Ensure regulatory compliance through strong platform governance, controls, and audit readiness.
* Provide executive\-level reporting and updates on platform performance, enhancement ROI, and operational impact.
**Required Education And Experience**
* Bachelor’s degree in Business, Information Systems, or a related field, or equivalent combination of education and experience.
* 7 years of experience managing enterprise platforms or complex systems.
* Deep understanding of loan servicing platforms and associated operational processes.
* Proven ability to lead cross\-functional initiatives and manage complex, multi\-year system roadmaps.
* Strong knowledge of regulatory requirements, compliance frameworks, and risk management practices.
* Demonstrated expertise in system integrations, data governance, and process automation.
* Exceptional communication, collaboration, and stakeholder management skills.
* Experience with agile delivery methodologies and backlog management tools.
* Strong analytical and problem\-solving skills with the ability to translate data into actionable insights.
* Experience managing vendor relationships, including contract negotiation and performance management.
**Physical Demands**
 While performing the duties of this job, the employee is frequently required to sit, stand, walk, visualize, talk, hear, and handle or touch objects or controls. The employee may occasionally lift, push, or pull up to 20 pounds.
 This position is an office\-based position where you must be able to sit for long periods of time. The employee will be working on a computer 90% of the time.</t>
        </is>
      </c>
    </row>
    <row r="6">
      <c r="A6" t="inlineStr">
        <is>
          <t>li-4375223612</t>
        </is>
      </c>
      <c r="B6" t="inlineStr">
        <is>
          <t>Staff Product Manager</t>
        </is>
      </c>
      <c r="C6" t="inlineStr">
        <is>
          <t>Ladders</t>
        </is>
      </c>
      <c r="D6" t="inlineStr">
        <is>
          <t>linkedin</t>
        </is>
      </c>
      <c r="E6" t="inlineStr"/>
      <c r="F6" t="inlineStr"/>
      <c r="G6" t="inlineStr"/>
      <c r="H6" t="inlineStr"/>
      <c r="I6" t="inlineStr">
        <is>
          <t>For our client, we are seeking a Staff Product Manager to join the team of a leader in the Enterprise Technology space. You’ll play a key role delivering outcomes for customers and stakeholders in the Enterprise Technology space. You’ll collaborate cross\-functionally and take ownership of priorities. This role offers visibility, growth, and impact.
 Location: Remote \- US based candidates only, no visa sponsorship available
 Compensation: $155,520 – $228,700 annually.
**Responsibilities**
* Lead product requirements for building and enhancing the data platform
* Drive priority initiatives across various organizations and stakeholders
* Understand customer needs for operational and analytical purposes and execute feature delivery on the data pipeline
* Craft and deliver a vision for the data substrate and its primitives in collaboration with product and engineering teams
* Set direction for complex product areas and influence multiple teams and functions
* Accountable for delivery, outcomes, adoption, and long\-term platform health
* Manage cost and resource allocation effectively throughout the product lifecycle
**Qualifications**
* 10\+ years of product management experience in a fast\-paced environment
* Strong background in Data Lakes, Data Streaming, and Event logging with low latency data delivery
* Experience with data platforms or customer engagement platforms and proficiency in big data technologies (Kafka, Spark, Presto/Athena)
* Technically knowledgeable in cloud, APIs, enterprise software, data reliability, and ETL techniques
* Customer\-oriented with the ability to understand and articulate a vision to solve customer challenges
* Ability to solicit and prioritize requirements from diverse sources to work collaboratively with engineering and design teams
* Strategic problem solver capable of overseeing the entire lifecycle from conception to continuous operation
**Benefits**
* Competitive pay and generous time off
* Ample parental and wellness leave
* Comprehensive healthcare coverage
* Retirement savings program
* Opportunities for community involvement through volunteering and donation efforts
 Our client is an equal opportunity employer. We encourage you to apply even if you don’t meet every qualification—your background could be exactly what this team needs.</t>
        </is>
      </c>
    </row>
    <row r="7">
      <c r="A7" t="inlineStr">
        <is>
          <t>li-4308146085</t>
        </is>
      </c>
      <c r="B7" t="inlineStr">
        <is>
          <t>Principal Product Manager - Tech, Sponsored Products and Brands</t>
        </is>
      </c>
      <c r="C7" t="inlineStr">
        <is>
          <t>Amazon</t>
        </is>
      </c>
      <c r="D7" t="inlineStr">
        <is>
          <t>linkedin</t>
        </is>
      </c>
      <c r="E7" t="inlineStr"/>
      <c r="F7" t="inlineStr"/>
      <c r="G7" t="inlineStr">
        <is>
          <t>New York, United States</t>
        </is>
      </c>
      <c r="H7" t="inlineStr"/>
      <c r="I7" t="inlineStr">
        <is>
          <t>**Description**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Job ID: A3096815</t>
        </is>
      </c>
    </row>
    <row r="8">
      <c r="A8" t="inlineStr">
        <is>
          <t>li-4376765754</t>
        </is>
      </c>
      <c r="B8" t="inlineStr">
        <is>
          <t>Senior Product Manager</t>
        </is>
      </c>
      <c r="C8" t="inlineStr">
        <is>
          <t>Visa</t>
        </is>
      </c>
      <c r="D8" t="inlineStr">
        <is>
          <t>linkedin</t>
        </is>
      </c>
      <c r="E8" t="inlineStr"/>
      <c r="F8" t="inlineStr"/>
      <c r="G8" t="inlineStr">
        <is>
          <t>San Francisco, CA</t>
        </is>
      </c>
      <c r="H8" t="inlineStr"/>
      <c r="I8"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a Senior Product Manager for Visa Payment Passkey, you will build world class consumer authentication products that will transform the landscape of payment authentication. You will develop solutions that help worldwide consumers reduce checkout friction and seamlessly authenticate purchases directly with merchants and through AI agents. You will help shape Visa’s near and long\-term strategy on consumer authentication, consumer payments and related solutions and deliver a product roadmap that brings that strategy to life. A strong candidate will have experience leading data\-driven product discovery to launch 0\-1 consumer products. The candidate will have a keen eye for improving user experiences and strong technical skills to optimize front\-end and back\-end solutions.
 To be successful in this role you will need to be a self\-starter, highly organized and deeply understand the mindset of consumers navigating checkout and payment journeys. You will need to able to execute all phases of product management from concept to delivery of new product lines and enhancements to existing consumer authentication flows. You will also need to manage stakeholders across all levels of the organization across the globe.
 Responsibilities:
* Contribute to the vision, strategy, and roadmap for Visa Payment Passkey and consumer authentication products
* Develop clear and compelling product narratives that effectively illustrate the problem space and possible solutions
* Partner with cross\-functional leaders to ensure that our strategy is optimized to meet client needs, driving innovation and ensuring product\-market\-fit
* Understand the broad set of Visa’s product capabilities and identify opportunities to collaborate and create unique solutions to complex problems
* Monitor consumer authentication and digital payments market trends and the competitive landscape to identify potential threats and opportunities
* Continuously collect and interpret market needs from clients, internal users, through market research, and synthesize findings to create and execute new product opportunities
* Manage the product lifecycle from concept through launch and beyond, ensuring timely delivery of products to market. Advocate for efficiency improvements in product operations and PDLC
* Drive the product management and development methodology and process from concept through delivery
* Participate in scrum processes, and ceremonies for product and engineering are followed (prioritize the backlog, create features, coordinate and oversee release planning and execution, ensure process improvements through retrospectives)
 This is a hybrid position. Expectation of days in office will be confirmed by your hiring manager.
**Qualifications**
 Basic Qualifications:
 8 or more years of relevant work experience with a Bachelor Degree or at least 5 years of experience with an Advanced Degree (e.g. Masters, MBA, JD, MD) or 2 years of work experience with a PhD
 Preferred Qualifications:
 9 or more years of relevant work experience with a Bachelor Degree or 7 or more relevant years of experience with an Advanced Degree (e.g. Masters, MBA, JD, MD) or 3 or more years of experience with a PhD
 5\+ years of experience building direct to consumer digital products
 Proficient in Figma (or equivalent design tools) to design basic UI flows
 Hands\-on experience with A/B testing and cohort analysis
 Strong technical knowledge of frontend and backend architecture
 Experience in data and hypothesis driven product development
 7\+ years of experience building direct to consumer digital products
 Prior experience building checkout flows for e\-commerce merchants or marketplaces is a big plus
 Ability to independently write and execute SQL queries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169,100\.00 to 270,800\.00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9">
      <c r="A9" t="inlineStr">
        <is>
          <t>li-4374844538</t>
        </is>
      </c>
      <c r="B9" t="inlineStr">
        <is>
          <t>Senior Product Manager</t>
        </is>
      </c>
      <c r="C9" t="inlineStr">
        <is>
          <t>Cencora</t>
        </is>
      </c>
      <c r="D9" t="inlineStr">
        <is>
          <t>linkedin</t>
        </is>
      </c>
      <c r="E9" t="inlineStr"/>
      <c r="F9" t="inlineStr"/>
      <c r="G9" t="inlineStr">
        <is>
          <t>Albany, NY</t>
        </is>
      </c>
      <c r="H9" t="inlineStr"/>
      <c r="I9"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10">
      <c r="A10" t="inlineStr">
        <is>
          <t>li-4377823789</t>
        </is>
      </c>
      <c r="B10" t="inlineStr">
        <is>
          <t>Product Owner</t>
        </is>
      </c>
      <c r="C10" t="inlineStr">
        <is>
          <t>Daxko</t>
        </is>
      </c>
      <c r="D10" t="inlineStr">
        <is>
          <t>linkedin</t>
        </is>
      </c>
      <c r="E10" t="inlineStr"/>
      <c r="F10" t="inlineStr"/>
      <c r="G10" t="inlineStr">
        <is>
          <t>Birmingham, AL</t>
        </is>
      </c>
      <c r="H10" t="inlineStr"/>
      <c r="I10" t="inlineStr">
        <is>
          <t>Daxko builds the software that powers fitness, wellness, and community organizations—everything from member management and payments to digital engagement and analytics. From small studios to the largest associations, we help thousands of fitness businesses streamline operations, enhance member experiences, and drive sustainable revenue growth.
 As a Product Owner at Daxko, you’ll sit at the intersection of customer needs, business goals, and technical delivery. You’ll partner closely with Product Managers and agile delivery teams to turn real customer problems into clear, actionable work that results in meaningful, high\-quality software.
 You’ll be a trusted voice for our customers, helping teams stay focused on outcomes, value, and impact. If you enjoy collaborating across disciplines, bringing clarity to complexity, and seeing your work come to life in products customers rely on, this role is for you.
**What You’ll Do**
* Act as the voice of the customer within an agile development team, guiding day\-to\-day product decisions
* Partner with Product Managers to shape product vision, strategy, and roadmap
* Create, refine, and prioritize epics, features, user stories, and acceptance criteria to maximize product value
* Own and manage the product backlog, balancing competing priorities and stakeholder needs
* Lead sprint and release planning, including setting goals and ensuring teams deliver against them
* Collaborate closely with Software Engineers and Quality Engineers to ensure shared understanding and successful delivery
* Identify and help mitigate risks that could impact sprint or release goals
* Validate that acceptance criteria are met and represent customer and business needs during sprint reviews
* Contribute to product documentation and launch materials alongside Product Management and Marketing
* Deliver product demos for internal and external audiences
* Serve as a subject matter expert to support Sales, Customer Success, and Support teams when needed
*This list reflects the core responsibilities of the role. Reasonable accommodations may be made to enable individuals with disabilities to perform essential functions.*
**What You Bring**
* A strong sense of ownership and a drive to deliver high\-quality outcomes
* The ability to analyze customer feedback, market trends, and data to identify opportunities and risks
* Clear, compelling communication skills — you can connect the big picture to day\-to\-day work
* Experience translating customer needs into actionable product requirements
* Comfort working in agile environments and delivering value through iterative releases
* A collaborative mindset and the ability to influence across Product, Engineering, Support, and Customer Success
* A genuine passion for creating value for customers
**Experience \&amp; Qualifications**
* Bachelor’s degree in a related field or equivalent professional experience
* 6\+ years of experience in a Product Owner or Product Management role
* Hands\-on experience with agile practices and tools (Scrum, Kanban, Lean Agile)
* Proven ability to prioritize and negotiate a backlog with engineers and senior stakeholders
**Nice To Have**
* Agile, Scrum Product Owner, Pragmatic Marketing, or Project Management certifications
* Experience supporting or leading multiple scrum teams
* Experience partnering with UX teams to design thoughtful, user\-centered solutions
 Daxko is dedicated to pursuing and hiring a diverse workforce. We are committed to diversity in the broadest sense, including thought and perspective, age, ability, nationality, ethnicity, orientation, and gender. The skills, perspectives, ideas, and experiences of all of our team members contribute to the vitality and success of our purpose and values.
 We truly care for our team members, and this is reflected through our offices, and benefits, and great perks. These perks are only for our full\-time team members.
**Some Of Our Favorites Include**
 🏢 🏡 Hybrid work model
 📆 Leave entitlements
 🤕 Recently introduced hospitalization/caregiving leaves
 🍼 Paid parental leaves (Maternity, Paternity, \&amp; Adoption)
 ⚕️Group Health Insurance
 🚵🏽 Accidental Insurance
 💲Tax\-saving reimbursements
 🤑 Provident Fund (PF)
 👖 Casual work environments
 🎉 Company Events and Celebrations
 🏆 Performance achievement awards
 💸 Referral bonus
 🚀 Learning \&amp; Development opportunities</t>
        </is>
      </c>
    </row>
    <row r="11">
      <c r="A11" t="inlineStr">
        <is>
          <t>li-4368218569</t>
        </is>
      </c>
      <c r="B11" t="inlineStr">
        <is>
          <t>Senior Product Manager, AI/ML</t>
        </is>
      </c>
      <c r="C11" t="inlineStr">
        <is>
          <t>Google</t>
        </is>
      </c>
      <c r="D11" t="inlineStr">
        <is>
          <t>linkedin</t>
        </is>
      </c>
      <c r="E11" t="inlineStr"/>
      <c r="F11" t="inlineStr"/>
      <c r="G11" t="inlineStr">
        <is>
          <t>New York, NY</t>
        </is>
      </c>
      <c r="H11" t="inlineStr"/>
      <c r="I1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product management or related technical role.
* 3 years of experience developing or launching products or technologies within artificial intelligence or machine learning (AI or ML).
**Preferred qualifications:**
* 7 years of experience in product management, consulting, co\-founder, or a related technical role.
* Experience creating product roadmaps from conception to launch, driving the product goal, defining the Go\-to\-Market (GTM) strategy, and leading design discussions.
* Experience with User Experience (UX).
* Experience with the latest and greatest AI tools.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developing GenAI platform strategy for custom agents across Workspace and building out the tools and products to enable this transformation for billions of users. You will be developing amazing end user experiences using GenAI technologies such as Gemini and Vertex AI, driving the evolution of our APIs, and partnerships with key Independent Software Vendors (ISVs). You will engage regularly as a trusted advisor with business leaders to understand their strategies to empower their workflows. You will cultivate the productivity app ecosystem which becomes more and more critical in the time of hybrid work.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product goal and strategy for the custom agents.
* Design and lead a multi­\-year roadmap, balancing short­ and long­\-term goals and investments to scale globally.
* Own cross\-functional product development process from ideation through development and commercial launch, collaborating with multiple internal, executive, and external teams to ensure coordination throughout product development, fostering and facilitating timely decision\-making, driving product and delivering success.
* Engage regularly as a trusted advisor with customers to understand their communication strategies, pain points and priorities to inform product strategy, while providing transparency into roadmaps and managing expectations.
* Partner closely with Engineering, UX, and other internal Google teams to drive product and delivery success.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
      <c r="A12" t="inlineStr">
        <is>
          <t>li-4368269145</t>
        </is>
      </c>
      <c r="B12" t="inlineStr">
        <is>
          <t>Product Manager</t>
        </is>
      </c>
      <c r="C12" t="inlineStr">
        <is>
          <t>Tempus AI</t>
        </is>
      </c>
      <c r="D12" t="inlineStr">
        <is>
          <t>linkedin</t>
        </is>
      </c>
      <c r="E12" t="inlineStr"/>
      <c r="F12" t="inlineStr"/>
      <c r="G12" t="inlineStr">
        <is>
          <t>New York, NY</t>
        </is>
      </c>
      <c r="H12" t="inlineStr"/>
      <c r="I12"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is on a mission to improve patient outcomes through data and technology. The Assay E2E team is critical to this mission — we drive the launch of new assays across a growing portfolio of tests by enabling operational excellence, seamless cross\-functional collaboration, and scalable systems.
 We are seeking a Product Manager to join our team, helping us meet the increasing volume and complexity of assay launches. You’ll partner closely with our internal operations teams — spanning order and sample intake, laboratory, bioinformatics, pathology, variant science and reporting — to build and refine workflows that ensure timely, high\-quality launches.
 This role is ideal for someone who thrives in cross\-functional settings, enjoys translating ambiguous requirements into clear roadmaps, and is excited by the opportunity to own mission\-critical launches from conception through delivery.
****Core Responsibilities****
 Launch Readiness \&amp; Execution
* Drive the planning and execution that supports assay launches, ensuring readiness across systems, workflows, and documentation.
* Collaborate with operations, R\&amp;D, and regulatory to define requirements, identify bottlenecks, and implement scalable solutions.
* Support risk mitigation strategies and contingency planning for live or upcoming launches.
 Cross\-functional Leadership
* Translate technical and scientific requirements into structured, implementable product plans.
* Serve as the connective tissue across pathologists, regulatory, engineering, customer systems, and reporting teams.
* Engage with Marketing, Design, and Commercial teams to gather insights that drive customer\-centric experiences aligned with the forefront of scientific advancements.
* Represent product needs in cross\-team forums and ensure alignment on dependencies and timelines.
 Product Development \&amp; Optimization
* Collaborate with engineering on backlog prioritization, iteration planning, and UAT.
* Support and evangelize system enhancements that improve turnaround time for launching assays, reduce manual work, and enable broader assay capabilities.
* Leverage learnings from post\-launch monitoring to propose and lead improvements to core assay infrastructure and tooling.
 Documentation \&amp; Communication
* Maintain clear launch plans, decision logs, and requirements documentation.
* Communicate progress, blockers, and risks to stakeholders proactively and clearly.
* Champion the end\-to\-end launch process by further developing our launch playbook that defines cross\-functional roles, critical milestones, and regulatory checkpoints for genomic products.
**Required Skills \&amp; Experience**
* 3\+ years of product management or technical program management experience (preferably in healthcare, diagnostics, or life sciences).
* Experience working with agile software development teams and translating requirements into product specifications.
* Strong execution mindset with proven ability to manage multiple complex cross\-functional projects.
* Ability to thrive in fast\-paced, ambiguous environments and manage complex dependencies across multiple disciplines.
* Comfort working with technical stakeholders and systems\-level challenges.
* Excellent written and verbal communication skills, especially in high\-stakes or regulated contexts.
* Highly organized with strong attention to detail and a bias toward clarity and structure.
* Experience in launch planning or operational tooling.
* Understanding of the genomics and oncology landscape, specifically in Next\-Generation Sequencing (NGS) and laboratory\-developed tests is a plus.
 CHI: $85,000\-$130,000 NYC/SF: $100,000\-$145,000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13">
      <c r="A13" t="inlineStr">
        <is>
          <t>li-4377866828</t>
        </is>
      </c>
      <c r="B13" t="inlineStr">
        <is>
          <t>Product Manager, AI</t>
        </is>
      </c>
      <c r="C13" t="inlineStr">
        <is>
          <t>Arcade</t>
        </is>
      </c>
      <c r="D13" t="inlineStr">
        <is>
          <t>linkedin</t>
        </is>
      </c>
      <c r="E13" t="inlineStr"/>
      <c r="F13" t="inlineStr"/>
      <c r="G13" t="inlineStr">
        <is>
          <t>San Francisco, CA</t>
        </is>
      </c>
      <c r="H13" t="inlineStr"/>
      <c r="I13" t="inlineStr">
        <is>
          <t>**About Arcade**
 Arcade is building the world’s first AI physical product creation platform, where imagination becomes reality. Our platform lets anyone design, purchase, and sell custom, manufacturable products using natural language and generative AI. We believe everyone should have the power to create physical goods as easily as they post online, and we’re building the infrastructure to make that real for both consumers and businesses.
 We’ve raised $42M from a world\-class group of investors, including Reid Hoffman, Forerunner Ventures (Kirsten Green), Canaan Partners (Laura Chau), Adverb Ventures (April Underwood), Factorial Funds (Sol Bier), Offline Ventures (Brit Morin), Sound Ventures (Ashton Kutcher), Inspired Capital (Alexa von Tobel), and Torch Capital (Jonathan Keidan). Our angel investors include Elad Gil, Ev Williams, Marissa Mayer, Sara Beykpour, Kayvon Beykpour, Anna Veronika Dorogush, Eugenia Kuyda, David Luan, Sharon Zhou, Kelly Wearstler, Karlie Kloss, Colin Kaepernick, Christy Turlington Burns, and Jeff Wilke.
 Arcade is headquartered in San Francisco’s Presidio and led by serial entrepreneur Mariam Naficy (Minted, Eve), and a mission\-driven team from Google, Apple, Stability AI, Glean, NVIDIA, Databricks, LinkedIn, Stanford, MIT, Berkeley, and more. Arcade’s Chief AI Officer is Varun Jampani, a leading researcher who co\-authored Dreambooth and created Stable Diffusion 3\.5, among other things. Raghudeep Gadde, Head of Research at Arcade, was formerly a Principal Scientist at Amazon. Together, we’re pioneering a new category at the intersection of AI, personal expression, and on\-demand manufacturing, and we’re building fast.
**Role Summary**
 Arcade’s Product Manager, AI role is our first full\-time Product hire specifically focused on AI. This role is intended for an individual with extraordinary talent and ambition who wants to build the future of design and commerce AI and who demonstrates founder\-mode ownership. You will report directly to our Co\-Founder \&amp; CEO, Mariam Naficy, and work alongside our engineers, designers, and AI researchers to launch category\-defining experiences.
 The Product Manager, AI will own critical products from day one, prototyping novel workflows, co\-crafting system prompts, defining product strategy, and managing cross\-functional execution at a high\-velocity early\-stage startup.
**What You’ll Do**
* Design and launch work that has real\-world impact, cultural visibility, and end\-to\-end ownership, shaping an entirely new category and product paradigm
* Own end\-to\-end product workflows from ideation to launch, including user research, technical scoping, and post\-launch iteration
* Collaborate closely with engineers, AI researchers, and designers to integrate cutting\-edge models and tools into intuitive, production\-ready features
* Design and test agentic workflows, LLM chains, and multimodal model calls to power core user actions
* Run prompt tuning, tool usage evaluations, and comparative model benchmarks
* Prototype, test, and refine generative AI interfaces that make product creation feel magical, personal, and effortless
* Work closely with engineers in model fine\-turning, including data strategy, experiment design and evals
* Drive both synthetic and real data acquisition and generation: source/licensing, data hygiene, taxonomy, labeling/QA, and evaluation datasets
* Implement taste/quality controls, define acceptance thresholds, and instrument on\-surface quality metrics to protect user trust at scale
**What We’re Looking For**
 We’re looking for an individual who has accomplished remarkable things, wants ownership, and possesses an unrivaled work ethic. We're looking for:
* Extraordinary talent proven in AI, engineering, design, startups, research, or creative fields
* Clear thinker and communicator who brings structure to ambiguity and speak the language of engineers, researchers, and designers alike
* High\-agency operator who moves fast, takes ownership, and has bias toward impact
* Tasteful, low\-ego teammate who brings humility, energy, and judgment to every interaction
* Strong opinions loosely held – unafraid to speak your mind, but receptive to new ideas and changing priors
* You think beyond execution, and prioritize the most urgent, product\-defining problems
* Growth mindset – working in AI means constantly learning and re\-evaluating your views
* A strong product sense and attention to user experience: you care deeply about making products that feel magical, manufacturable, and intuitive
**What You Bring**
* Availability to start in the near term
* A Computer Science, Engineering, Math, Physics or other STEM degree
* Experience building agentic workflows in personal, research, or production settings
* Technically fluent builder comfortable reading source code, working in notebooks, and debugging eval pipelines
* A demonstrated passion and curiosity for AI: you keep up with trends, emerging innovations, and new applications, and think critically about how to leverage them
* Experience building or shipping products: personal projects, internships, startups, or open\-source contributions all count
* Familiarity with modern AI infrastructure — LLMs (and their limitations), prompt engineering, multimodal/image models, vector databases, and agent frameworks.
* Bonus: early\-stage startup experience (Seed–Series B), prior founding experience, or significant shipped side projects
**Additional**
* Competitive compensation
* Lunch provided daily
* Company events
 Arcade is an equal opportunity employer. We’re committed to building a diverse, inclusive, and supportive team, and to creating a platform where anyone, anywhere, can make something meaningful.</t>
        </is>
      </c>
    </row>
    <row r="14">
      <c r="A14" t="inlineStr">
        <is>
          <t>li-4373333765</t>
        </is>
      </c>
      <c r="B14" t="inlineStr">
        <is>
          <t>Product Owner</t>
        </is>
      </c>
      <c r="C14" t="inlineStr">
        <is>
          <t>LTM</t>
        </is>
      </c>
      <c r="D14" t="inlineStr">
        <is>
          <t>linkedin</t>
        </is>
      </c>
      <c r="E14" t="inlineStr"/>
      <c r="F14" t="inlineStr"/>
      <c r="G14" t="inlineStr">
        <is>
          <t>Tampa, FL</t>
        </is>
      </c>
      <c r="H14" t="inlineStr"/>
      <c r="I14"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Product Owner
**Work Location :\-** 
 Mississauga, Ontario, Canada
**Job Description:** 
 Lead team scrums to define product vision roadmap and growth opportunities and communicate with stakeholders throughout the project
 Collaborate with internal and external contacts to analyze needs and align product roadmap to strategic goals
 Work closely with product managers and business teams to create and maintain product backlog according to business value or ROI
 Remain up to date on trends and best practices for agile project management
 Responsibilities
 Plan and prioritize product development and product feature backlog
 Develop detailed product feature specifications and ensure they are clearly understood by relevant teams
 Assess value develop cases and prioritize stories epics and themes to ensure work aligns with product strategy
 Mitigate roadblocks to achieve sprint release goals
 Lead the product release plans and set expectations for delivery of new functionalities
 Serve as product ambassador internally and externally sharing knowledge and answering questions
 Required skills and qualifications
 6 years working as Business Analyst or Product Owner or a combination of both in Banking and Financial services industry
 As a product Owner you will be expected to take a leading role in guiding the development of new features or redesigning of existing ones
 Have strong SQL skills to create SQL queries and analyze and validate data ideally someone who has worked of large sets of data that are used by an organization or its individual members
 Experience performing Data analysis tasks to make informed decisions about the success of products
 Experience in AB testing to make data driven decisions and improve the performance of their products
 Ability to communicate complex ideas clearly and concisely
 Knowledge of DevOps
 Should be well versed in Agile mode for SW Development
 Ability to liaise with a very broad range of senior stakeholders
 Good verbal and written Communication Skills
 Ability to independently research analyze and recommend solutions to close open items and discrepancies.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t>
        </is>
      </c>
    </row>
    <row r="15">
      <c r="A15" t="inlineStr">
        <is>
          <t>li-4368293507</t>
        </is>
      </c>
      <c r="B15" t="inlineStr">
        <is>
          <t>Senior Lead Product Manager - Data Products</t>
        </is>
      </c>
      <c r="C15" t="inlineStr">
        <is>
          <t>Siepe</t>
        </is>
      </c>
      <c r="D15" t="inlineStr">
        <is>
          <t>linkedin</t>
        </is>
      </c>
      <c r="E15" t="inlineStr"/>
      <c r="F15" t="inlineStr"/>
      <c r="G15" t="inlineStr">
        <is>
          <t>Dallas, TX</t>
        </is>
      </c>
      <c r="H15" t="inlineStr"/>
      <c r="I15" t="inlineStr">
        <is>
          <t>Siepe is a fast\-growing technology company headquartered in Dallas, TX – focused on helping investment managers turn complexity into clarity. We build software and data solutions that give hedge funds and financial services firms the visibility, speed, and confidence they need to make better decisions – faster.
 Our platform delivers a unified source of truth that empowers our clients with real\-time, actionable insights. We don’t just serve the industry – we help modernize it!
 Siepe is profitable, privately held, and growing fast. We offer more than just competitive pay and great benefits—we offer the chance to do impactful work alongside sharp, driven teammates in a culture that rewards curiosity, initiative, and follow\-through. Whether you come from finance, tech, or are charting a new path, you’ll find meaningful problems to solve, real ownership, and the momentum to grow your career with purpose.
 Siepe is seeking a Senior Lead Product Manager \- Data Products to lead the product vision, strategy, and execution for our data foundation. This includes stewardship of our security master, pricing/market data integrations, data quality pipelines, and data management tools used across our platform.
 This is a player\-coach role. You will directly own critical data domains while influencing and mentoring a multidisciplinary team of product managers and data analysts. You’ll partner closely with Engineering and Operations to define what “great data” looks like and ensure that Siepe delivers the most trusted, accurate, and timely data in the credit industry.
**What You’ll Do**
* Own the end\-to\-end data product strategy for Siepe — including security master, issuer master, loan identifiers, market data integrations, pricing sources, and reference data normalization.
* Establish the long\-term data vision, defining how Siepe delivers trusted, timely, lineage\-aware data across the entire platform.
* Mentor a high\-performing data product team, including PMs and data analysts.
* Define clear ownership models and KPIs for data domains (accuracy, completeness, lineage, timeliness, SLA adherence).
* Lead the roadmap for Siepe’s security master \&amp; instrument reference — covering bank debt, private credit, public fixed income, equity, structured products, and hybrid instruments.
* Own market data and pricing integrations, including evaluated pricing, terms/conditions data, rating agency feeds, and agent bank sources.
* Partner with Engineering to design scalable data pipelines, validation frameworks, and reconciliation tools that support complex credit workflows.
* Oversee client\-facing and internal data management tools that streamline ingestion, exception handling, and corrections.
* Work closely with Operations to understand client data pain points, exceptions, break rates, and data workflow inefficiencies.
* Partner with Engineering to define data models, schemas, and transformation logic consistent across the platform.
* Collaborate with the OMS, Compliance, Analytics, and AI teams to ensure reliable, well\-governed data powers all downstream experiences.
* Engage directly with clients and industry partners to validate direction and ensure Siepe sets the standard for credit data excellence.
* Partner with our AI/Agent team to automate data quality checks, anomaly detection, reconciliation, and enrichment workflows.
* Champion the use of metadata, lineage, and observability tools to increase trust and transparency in Siepe’s data.
**What You’ll Bring**
* 7\-10\+ years working with financial datasets, focused on bank debt, private credit, public fixed income, and structured products.
* Deep expertise with securities reference data, pricing sources, issuer hierarchies, ratings, amortization schedules, contract details, accruals and credit market data vendors (e.g., ICE, Markit, Bloomberg, Refinitiv).
* Experience building security masters, data quality frameworks, or data ingestion pipelines in a fintech or financial services environment.
* Strong understanding of data modeling, normalization, and lineage concepts.
* Proven ability to mentor and inspire multidisciplinary teams (PMs, data analysts, data engineers).
* A passion for data — and a clear sense of what “great data” looks like in terms of accuracy, completeness, and usability.
* Ability to operate in a fast\-paced, growth\-stage environment with evolving priorities.
* Exceptional communication skills, particularly in bridging technical, operational, and business perspectives.
**What We Offer**
 At Siepe, we don’t just hire talent, we build performance\-driven teams empowered by transparency, curiosity, and continuous growth. Our Total Rewards go beyond the basics: they’re designed to reward bold thinking, support personal development, and create space for meaningful connection whether you're growing your career, your skill set, or your impact.
**Compensation \&amp; Financial Well\-being:**
* Competitive Compensation Packages, including Annual Performance\-Based Bonuses
* 401(k) Retirement Plan with company match to support your long\-term financial goals
* Employee Referral Program – earn rewards for helping us grow our talented team
**Health \&amp; Insurance Benefits**
* Comprehensive Health, Dental, Vision, and Life Insurance
* Flexible plans tailored to support individuals and families
**Learning \&amp; Career Growth**
* Annual investment in your Learning \&amp; Development goals
* On\-the\-job exposure to innovative technologies and financial strategies
* Growth opportunities in a collaborative, fast\-paced environment that values continuous improvement
**Time Off \&amp; Flexibility**
* Flexible Time Off (FTO)
* Flexibility to recharge and maintain work\-life balance
**In\-Office Perks \&amp; Culture**
* Daily meal delivery allowance when working from the office
* Monthly Celebrations and Quarterly Offsite Events
* Annual Holiday Party to celebrate milestones and build team connection
* A vibrant, inclusive office culture that blends fun with purpose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li-4367872665</t>
        </is>
      </c>
      <c r="B16" t="inlineStr">
        <is>
          <t>Product Manager II, Google Cloud</t>
        </is>
      </c>
      <c r="C16" t="inlineStr">
        <is>
          <t>Google</t>
        </is>
      </c>
      <c r="D16" t="inlineStr">
        <is>
          <t>linkedin</t>
        </is>
      </c>
      <c r="E16" t="inlineStr"/>
      <c r="F16" t="inlineStr"/>
      <c r="G16" t="inlineStr">
        <is>
          <t>Sunnyvale, CA</t>
        </is>
      </c>
      <c r="H16" t="inlineStr"/>
      <c r="I16"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5 years of experience in product management or related technical role.
* 2 years of experience developing or launching products or technologies within one or more of the following: Cloud, SaaS, enterprise, internal tools, or supply chain networks.
**Preferred qualifications:**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
      <c r="A17" t="inlineStr">
        <is>
          <t>li-4285777454</t>
        </is>
      </c>
      <c r="B17" t="inlineStr">
        <is>
          <t>Product Manager, Connectors</t>
        </is>
      </c>
      <c r="C17" t="inlineStr">
        <is>
          <t>Glean</t>
        </is>
      </c>
      <c r="D17" t="inlineStr">
        <is>
          <t>linkedin</t>
        </is>
      </c>
      <c r="E17" t="inlineStr"/>
      <c r="F17" t="inlineStr"/>
      <c r="G17" t="inlineStr"/>
      <c r="H17" t="inlineStr"/>
      <c r="I17"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As Glean’s Connectors PM, you’ll expand Glean’s connectors library, improve and deepen our existing product integrations, and improve our Indexing API and custom connector capabilities.
**You Will**
* Spending a lot of time with our customers to deeply understand their knowledge needs
* Developing key parts of our product roadmap, marrying customers’ needs with our product vision
* Empowering your team by giving context, setting direction, and building alignment
* Driving customer\-focused decisions, clear prioritization, and efficient execution
* Coordinating cross\-functionally with with leadership, go\-to\-market teams, and other key stakeholders across the company
* Building processes that will scale as our team and company go through rapid growth
**About You**
* You have 5\+ years of experience in product management at SaaS companies, primarily serving large enterprises with responsibilities spanning customer\-facing surfaces and features as well as internal capabilities and services.
* You have a strong technical background and experience with API\-first products, integration paths, and 3rd party product partnerships.
* You are an excellent written and verbal communicator.
* You have a proven track record of taking ownership, taking initiative, and delivering results.
* You collaborate effectively with cross\-functional partners.
* You have a learning and growth mindset.
* You are mission\-first and understand that your success is measured by your product and team’s success.
* You are an early adopter in building with or adopting AI for your own product craft and you are excited about helping customers accelerate their own AI adoption journey.
**Location:**
* This role is hybrid (3\-4 days a week in one of our SF Bay Area offices)
**Compensation \&amp; Benefits**
 The standard base salary range for this position is $130,000 \- $240,000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8">
      <c r="A18" t="inlineStr">
        <is>
          <t>li-4373238387</t>
        </is>
      </c>
      <c r="B18" t="inlineStr">
        <is>
          <t>Product Manager</t>
        </is>
      </c>
      <c r="C18" t="inlineStr">
        <is>
          <t>Atlantic Partners Corporation</t>
        </is>
      </c>
      <c r="D18" t="inlineStr">
        <is>
          <t>linkedin</t>
        </is>
      </c>
      <c r="E18" t="inlineStr"/>
      <c r="F18" t="inlineStr"/>
      <c r="G18" t="inlineStr"/>
      <c r="H18" t="inlineStr"/>
      <c r="I18" t="inlineStr">
        <is>
          <t>We’re seeking a highly driven Senior Product Operations professional to strengthen platform operations and client delivery as we scale. This role owns onboarding execution, data accuracy, and operational workflows while driving accountability, efficiency, and continuous improvement across teams.
**Key Responsibilities** 
**Client Delivery \&amp; Experience** 
* Own end\-to\-end client onboarding and implementation milestones
* Track SLAs, KPIs, and performance metrics
* Partner with Product \&amp; Engineering to resolve operational / technical issues
**Team Leadership \&amp; Enablement** 
* Provide day\-to\-day direction to Implementation Specialists
* Support offshore data teams to improve quality and consistency
* Partner with Data Quality to strengthen data integrity
**Operational Excellence** 
* Identify bottlenecks and process inefficiencies
* Design scalable workflows and playbooks
* Drive continuous improvement with a strong bias for action
**Qualifications** 
* 7\+ years in operations, client delivery, or product operations
* Proven ability to drive outcomes and solve complex problems
* Strong analytical, organizational, and communication skills
* Experience with KPIs, dashboards, and operational metrics
**Nice to Have** 
* Alternative investments industry exposure
* Salesforce / CRM workflow tools
* SQL and/or advanced Excel
* BI / analytics tools
**Culture \&amp; Values** 
* Extreme Client Service
* Relentless Problem Solving</t>
        </is>
      </c>
    </row>
    <row r="19">
      <c r="A19" t="inlineStr">
        <is>
          <t>li-4377849036</t>
        </is>
      </c>
      <c r="B19" t="inlineStr">
        <is>
          <t>Sr Technical Product Manager - QPU Platform</t>
        </is>
      </c>
      <c r="C19" t="inlineStr">
        <is>
          <t>QuEra Computing Inc.</t>
        </is>
      </c>
      <c r="D19" t="inlineStr">
        <is>
          <t>linkedin</t>
        </is>
      </c>
      <c r="E19" t="inlineStr"/>
      <c r="F19" t="inlineStr"/>
      <c r="G19" t="inlineStr">
        <is>
          <t>Boston, MA</t>
        </is>
      </c>
      <c r="H19" t="inlineStr"/>
      <c r="I19" t="inlineStr">
        <is>
          <t>**About Us**
 We are building quantum computing systems that push the boundary of what is physically possible. Doing so requires a rare combination of scientific depth, engineering rigor, and operational maturity.
 Our Quantum Control Platform sits at the heart of this effort, translating physics breakthroughs into executable engineering across hardware, software, optics, embedded systems, and automation. As we scale, we are looking for a Senior Technical Product Manager to serve as the operational backbone between our quantum physics research team and our multi\-disciplinary engineering organization.
 This is not a traditional software product role. You will operate at the intersection of complex hardware development and modern agile delivery, making them work together in a physics\-constrained environment.
 The Role
 Requirements Translation \&amp; Traceability
 You will work directly with quantum physicists to extract scientific intent — goals such as enabling a logical non\-Clifford gate, achieving specific QPU\-level performance milestones, or meeting target fidelity thresholds — and translate them into structured, executable engineering requirements.
 You will:
* Build full traceable requirement hierarchies from top\-level physics goals down to subsystem specifications
* Cover domains including control electronics, embedded systems, optics, calibration workflows, and automation
* Define clear acceptance criteria and validation plans at every level
* Ensure no critical requirement lives informally in someone’s head
* Your work will create clarity where complexity currently dominates.
 Documentation Discipline \&amp; Governance
 You will own and elevate the requirements process, not just participate in it.
 This includes:
* Defining standardized requirement templates
* Establishing definition\-of\-ready and definition\-of\-done criteria
* Implementing milestone readiness frameworks
* Institutionalizing documentation governance within Jira and Confluence
* Ensuring proper decomposition, traceability, ownership, and auditability
 You will introduce structure without bureaucracy — building systems that accelerate execution rather than slow it down.
 Agile Delivery Partnership
 Engineering owns delivery. You will be their strongest product partner.
 You will:
* Structure requirements so they are consumable by agile hardware and software teams
* Decompose physics goals into Jira epics and stories while preserving validation rigor
* Participate fluently in sprint planning, backlog grooming, and retrospectives
* Operate effectively in hybrid delivery environments where hardware constraints meet agile cadence
 You understand where agile breaks in hardware environments — and how to adapt it without becoming dogmatic or reverting to rigid sequential processes.
 Stakeholder Alignment \&amp; Process Maturity
 You will align scientists, hardware engineers, and software engineers around shared execution frameworks.
 This role requires:
* Translating between research language and engineering execution models in real time
* Surfacing unstated assumptions in scientific requirements
* Challenging habits constructively
* Raising the overall maturity of technical product management across the organization
 You lead through credibility and demonstrated value — not mandate.
 What We’re Looking For
* 8–15\+ years of experience in technical product management within deep\-tech, hardware\-centric, multi\-disciplinary environments
* Background in industries where precision and traceability are non\-negotiable, such as:
* Photonics and optical systems (e.g., Coherent, Lumentum, II\-VI)
* Lidar and sensing (e.g., Luminar, Ouster)
* Defense and aerospace with photonics or directed energy programs
* Scientific instrumentation (e.g., Thorlabs, Newport)
* Semiconductor capital equipment (e.g., ASML, Applied Materials)
* Fusion energy, advanced aerospace, or modern defense companies (e.g., SpaceX, Anduril, Joby)
 You have:
* Personally built requirements governance frameworks, not just operated within them
* Demonstrated end\-to\-end requirement traceability from high\-level goals to subsystem specifications
* Defined acceptance criteria and validation plans across complex systems
* Deep fluency in Jira and Confluence
* Experience with dedicated requirements management tools such as Jama or Aha
* Strong technical grounding in physics, electrical engineering, optics, or related fields
* The ability to engage meaningfully with PhD\-level scientists and systems engineers
 You are:
* A mature, credible operator who earns trust quickly
* Comfortable introducing process discipline in high\-intellect environments
* Comfortable working in ambiguity while building structure
* On\-site in Boston and thrive in fast, whiteboard\-heavy collaboration
 Nice to Have
* Direct experience with quantum computing hardware or quantum software stacks
* Familiarity with neutral atom systems
* Experience with optical system integration, laser control, or free\-space beam control
* Familiarity with calibration workflows, qubit characterization, or QPU benchmarking
* Experience building or scaling a technical product management function
**What Success Looks Like in Year One**
* A fully traceable requirement hierarchy from physics goals to subsystem specifications
* Engineering teams executing against documented requirements with clear acceptance criteria
* Governance frameworks embedded in Jira and Confluence and operating sustainably
* Measurable improvement in organizational requirements maturity
* Scientists and engineers describing the requirements process as a source of clarity, not overhead
 If you thrive at the intersection of frontier science and disciplined engineering execution — and want to help build quantum systems that redefine what computation can do — we would love to talk.
 As QuEra scales from individual machine development to a cohesive platform, this role will ensure that requirements are clearly specified, validation protocols are established, and system builds proceed predictably. By bringing structure, visibility, and technical coherence to our process, this person will enable teams to deliver high\-performance machines efficiently, collaboratively, and with minimal rework.
 Salary: $170,000\-250,000QuEra is committed to cultivating a diverse work environment and is proud to be an equal opportunity employer. We highly value diversity in our current and future employees and do not discriminate (including in our hiring and promotion practices) based on race, religion, color, national origin, gender, gender expression, sexual orientation, age, marital status, veteran status, disability status, or any other characteristic protected by law.</t>
        </is>
      </c>
    </row>
    <row r="20">
      <c r="A20" t="inlineStr">
        <is>
          <t>li-4318542464</t>
        </is>
      </c>
      <c r="B20" t="inlineStr">
        <is>
          <t>Senior Product Manager</t>
        </is>
      </c>
      <c r="C20" t="inlineStr">
        <is>
          <t>Candid Health</t>
        </is>
      </c>
      <c r="D20" t="inlineStr">
        <is>
          <t>linkedin</t>
        </is>
      </c>
      <c r="E20" t="inlineStr"/>
      <c r="F20" t="inlineStr"/>
      <c r="G20" t="inlineStr">
        <is>
          <t>San Francisco, CA</t>
        </is>
      </c>
      <c r="H20" t="inlineStr"/>
      <c r="I20" t="inlineStr">
        <is>
          <t>Candid Health is seeking a Senior Product Manager to join our team and build the products and features that will power the next generation of healthcare companies. As we grow our customers are becoming increasingly complex; our mission is to abstract that complexity into elegant solutions that make their work more efficient and our automations more robust. As a PM on Candid Health’s team you’ll have direct influence over how we plan, prioritize, and execute our roadmap; in close conjunction with stakeholders across the business.
**What You’ll Be Doing**
* You’ll be improving our existing product management practices building out new systems that will enable Candid to deliver great products and services
* You’ll be building and executing the product vision in close collaboration with Engineering and Design
* You’ll be thinking about the macro\-structure of the business and the product to identify gaps and generate new ideas
* You’ll be held accountable for business goals, and ensuring your partner teams are as well
* You’ll be creating rigorous reporting dashboards for visibility and accountability
* You’ll be capturing signal from the field and our customers to understand and prioritize user needs
* You’ll be responsible for communication about new feature customer rollouts to customers and internal stakeholders including company leadership and operations teams
**Who You Are**
* You have 7\+ years of experience as a product manager
* You have experience building data\-intensive products and applications
* You ground your thinking in unit economics of the business
* You are data driven and can leverage it to provide insights and influence critical decisions
* You are outcome oriented, are an effective collaborator, and you bias towards action
* You can get into technical details and know how to code or can read code, if you weren’t an engineer you can talk the talk
* You have led and scaled a successful product function and had broad scope in a fast moving startup or late stage SaaS or Fintech company
* You may have experience working with healthcare or medical billing, or on the technical side of other highly regulated industries
* You may have experience building ML or AI products that solve real world problems
**Pay Transparency**
 The estimated starting annual salary range for this position is $170,000 to $225,000 USD; commensurate with experience.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
**Please note:** 
 we are looking for employees to join our in\-person culture at one of our offices (Denver, New York, or San Francisco). Our weekly schedule is 4 days in\-office and 1 day working remotely.</t>
        </is>
      </c>
    </row>
    <row r="21">
      <c r="A21" t="inlineStr">
        <is>
          <t>li-4302618528</t>
        </is>
      </c>
      <c r="B21" t="inlineStr">
        <is>
          <t>Lead Product Manager</t>
        </is>
      </c>
      <c r="C21" t="inlineStr">
        <is>
          <t>Benepass</t>
        </is>
      </c>
      <c r="D21" t="inlineStr">
        <is>
          <t>linkedin</t>
        </is>
      </c>
      <c r="E21" t="inlineStr"/>
      <c r="F21" t="inlineStr"/>
      <c r="G21" t="inlineStr"/>
      <c r="H21" t="inlineStr"/>
      <c r="I21" t="inlineStr">
        <is>
          <t>**About Us**
 At Benepass we're making benefits easy. We believe people are the most important asset to any company. Traditional one\-size\-fits\-all benefits packages no longer cut it in today's hybrid and remote\-first environment. With Benepass, companies can tailor their benefits to the unique needs of their workforce.
 Through our easy\-to\-use and highly customizable fintech platform, People teams can implement, administer, and track the benefits that meet employees where they are. Employers design their benefits and perks plan by setting a contribution amount and eligible spend categories. Every employee has their own individual definition of wellness and needs different things to help them be their most productive, fulfilled self.
**Our Mission**
 Helping companies reimagine how companies take care of their people.
**Our Investors**
 We are backed by leading investors, including Portage Ventures, Threshold Ventures, Gradient Ventures, Workday Ventures, and Clocktower Technology Ventures. To date, the company has raised $35 million of equity capital.
**Articles**
* Founder Story \- Jaclyn Chen
* Benepass Raises $40M Series B
**Candidate Resources**
* Benepass \| Candidate Resource Page
* Benepass Listed on Inc. Magazine's Best Workplaces of 2023
**The Role**
 Benepass is reimagining how employees discover, understand, and engage with their benefits – and we’re looking for a Lead Product Manager to own a major part of that experience end to end.
 This role is for a senior product manager who wants real ownership in a small, high\-trust team. You’ll take responsibility for a strategic product area, shape its direction, and drive it from early discovery through delivery and iteration. The scope is meaningful, the problems are ambiguous, and the impact is highly visible.
 You’ll work closely with product leadership and cross\-functional partners, with autonomy to run your domain and accountability for outcomes. This is a hands\-on role for someone who enjoys both strategic thinking and building.
**What You’ll Do**
 As the owner of this product area, you’ll be accountable for setting direction, making tradeoffs, and driving outcomes. You will:
* Own a strategic product area focused on employee discovery and engagement, from problem definition through execution
* Reimagine core employee\-facing experiences that help users better understand their benefits and discover relevant options
* Define the strategy and roadmap for your area, making and owning tradeoffs based on user needs, business goals, and constraints
* Lead product discovery to deeply understand employee and employer problems, and translate insights into clear product direction
* Partner closely with Design, Engineering, Product Marketing, and other teams to deliver cohesive, high\-quality experiences
* Drive execution end to end, keeping work moving forward and adjusting course as new information emerges
* Use data, feedback, and judgment to evaluate impact and continuously improve what you build
 You’ll be trusted to operate independently within your domain, while collaborating closely with product leadership on prioritization and broader context.
**What We’re Looking For**
 This role is a strong fit if you:
* Have 6\+ years of experience as a Product Manager, with increasing ownership over time
* Have experience working at a startup or similarly fast\-moving environment, where scope is broad and ambiguity is high
* Are comfortable owning a problem space end to end, from framing through delivery
* Can balance strategic thinking with hands\-on execution
* Communicate clearly and proactively, especially when navigating tradeoffs or uncertainty
* Are curious, thoughtful, and motivated by learning in complex domains
* Take accountability seriously and follow through on what you own
 We’re less focused on specific industries or tools and more interested in how you think, how you work, and how you approach ownership.
**Compensation**
* Base salary of $180,000 to $200,000 \+ equity.
*Range(s) is subject to change. Benepass takes a number of factors into account when determining individual starting pay, including market comparables, interview performance, peer compensation, and years of experience.*
**What We Offer**
* 95% coverage of medical, dental, and vision
* Fantastic benefits (of course 😃), including:
+ $250 WFH setup
+ $150/month cell phone \+ internet
+ $100/month Wellness
* We offer several team onsites a year
* Flexible PTO
 At Benepass, we are working towards reimaging how companies take care of their people. We are committed to creating an inclusive environment for all our employees and are seeking to build a team that reflects the diversity of the people we hope to serve with our revolutionary products. Benepass is proud to be an equal\-opportunity employer.</t>
        </is>
      </c>
    </row>
    <row r="22">
      <c r="A22" t="inlineStr">
        <is>
          <t>li-4367884521</t>
        </is>
      </c>
      <c r="B22" t="inlineStr">
        <is>
          <t>Product Manager II, Google Cloud</t>
        </is>
      </c>
      <c r="C22" t="inlineStr">
        <is>
          <t>Google</t>
        </is>
      </c>
      <c r="D22" t="inlineStr">
        <is>
          <t>linkedin</t>
        </is>
      </c>
      <c r="E22" t="inlineStr"/>
      <c r="F22" t="inlineStr"/>
      <c r="G22" t="inlineStr">
        <is>
          <t>Kirkland, WA</t>
        </is>
      </c>
      <c r="H22" t="inlineStr"/>
      <c r="I2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5 years of experience in product management or related technical role.
* 2 years of experience developing or launching products or technologies within one or more of the following: Cloud, SaaS, enterprise, internal tools, or supply chain networks.
**Preferred qualifications:**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
      <c r="A23" t="inlineStr">
        <is>
          <t>li-4376721959</t>
        </is>
      </c>
      <c r="B23" t="inlineStr">
        <is>
          <t>Senior Product Manager, YouTube Comments</t>
        </is>
      </c>
      <c r="C23" t="inlineStr">
        <is>
          <t>Google</t>
        </is>
      </c>
      <c r="D23" t="inlineStr">
        <is>
          <t>linkedin</t>
        </is>
      </c>
      <c r="E23" t="inlineStr"/>
      <c r="F23" t="inlineStr"/>
      <c r="G23" t="inlineStr">
        <is>
          <t>San Bruno, CA</t>
        </is>
      </c>
      <c r="H23" t="inlineStr"/>
      <c r="I23" t="inlineStr">
        <is>
          <t>**Minimum qualifications:**
* Bachelor's degree or equivalent practical experience.
* 8 years of experience in consumer product management.
* 3 years of experience taking technical products from conception to launch.
* Experience with front end product development working with User Experience (UX) design.
* Experience with A/B testing and user research methodologies.
**Preferred qualifications:**
* Master's degree in a technology or business related field.
* Experience using data to inform product decisions.
* Experience with community\-focused products or creator tools.
* Knowledge of YouTube's platform ecosystem, creators, and viewers.
* Ability to translate user needs and business objectives into detailed product specifications and roadmaps.
* Excellent problem\-solving, communication, and collaboration skills, with the ability to work with cross\-functional teams including engineering, design, and data science.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defining and executing the product strategy for creator experiences for YouTube Comments. Comments are at the heart of users sense of community at YouTube: through comments, creators can connect with their audience and learn about what they love. Working with design, User Experience Researcher (UXR), engineering and data science, you will drive the ideation and execution for high\-impact features with a special focus on leveraging AI to help creators, from chat experiences to recommended actions.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strategy, goals, roadmap, and success metrics for comments features.
* Understand user needs, translating insights into compelling product experiences.
* Build intuitive experiences to power conversations and drive engagement.
* Collaborate with engineering, design, and research teams to bring product goals to life.
* Utilize data\-driven decision\-making to measure performance, identify improvement areas, and iterate on the product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
      <c r="A24" t="inlineStr">
        <is>
          <t>li-4368255932</t>
        </is>
      </c>
      <c r="B24" t="inlineStr">
        <is>
          <t>Product Manager</t>
        </is>
      </c>
      <c r="C24" t="inlineStr">
        <is>
          <t>Tempus AI</t>
        </is>
      </c>
      <c r="D24" t="inlineStr">
        <is>
          <t>linkedin</t>
        </is>
      </c>
      <c r="E24" t="inlineStr"/>
      <c r="F24" t="inlineStr"/>
      <c r="G24" t="inlineStr">
        <is>
          <t>Chicago, IL</t>
        </is>
      </c>
      <c r="H24" t="inlineStr"/>
      <c r="I24"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is on a mission to improve patient outcomes through data and technology. The Assay E2E team is critical to this mission — we drive the launch of new assays across a growing portfolio of tests by enabling operational excellence, seamless cross\-functional collaboration, and scalable systems.
 We are seeking a Product Manager to join our team, helping us meet the increasing volume and complexity of assay launches. You’ll partner closely with our internal operations teams — spanning order and sample intake, laboratory, bioinformatics, pathology, variant science and reporting — to build and refine workflows that ensure timely, high\-quality launches.
 This role is ideal for someone who thrives in cross\-functional settings, enjoys translating ambiguous requirements into clear roadmaps, and is excited by the opportunity to own mission\-critical launches from conception through delivery.
****Core Responsibilities****
 Launch Readiness \&amp; Execution
* Drive the planning and execution that supports assay launches, ensuring readiness across systems, workflows, and documentation.
* Collaborate with operations, R\&amp;D, and regulatory to define requirements, identify bottlenecks, and implement scalable solutions.
* Support risk mitigation strategies and contingency planning for live or upcoming launches.
 Cross\-functional Leadership
* Translate technical and scientific requirements into structured, implementable product plans.
* Serve as the connective tissue across pathologists, regulatory, engineering, customer systems, and reporting teams.
* Engage with Marketing, Design, and Commercial teams to gather insights that drive customer\-centric experiences aligned with the forefront of scientific advancements.
* Represent product needs in cross\-team forums and ensure alignment on dependencies and timelines.
 Product Development \&amp; Optimization
* Collaborate with engineering on backlog prioritization, iteration planning, and UAT.
* Support and evangelize system enhancements that improve turnaround time for launching assays, reduce manual work, and enable broader assay capabilities.
* Leverage learnings from post\-launch monitoring to propose and lead improvements to core assay infrastructure and tooling.
 Documentation \&amp; Communication
* Maintain clear launch plans, decision logs, and requirements documentation.
* Communicate progress, blockers, and risks to stakeholders proactively and clearly.
* Champion the end\-to\-end launch process by further developing our launch playbook that defines cross\-functional roles, critical milestones, and regulatory checkpoints for genomic products.
**Required Skills \&amp; Experience**
* 3\+ years of product management or technical program management experience (preferably in healthcare, diagnostics, or life sciences).
* Experience working with agile software development teams and translating requirements into product specifications.
* Strong execution mindset with proven ability to manage multiple complex cross\-functional projects.
* Ability to thrive in fast\-paced, ambiguous environments and manage complex dependencies across multiple disciplines.
* Comfort working with technical stakeholders and systems\-level challenges.
* Excellent written and verbal communication skills, especially in high\-stakes or regulated contexts.
* Highly organized with strong attention to detail and a bias toward clarity and structure.
* Experience in launch planning or operational tooling.
* Understanding of the genomics and oncology landscape, specifically in Next\-Generation Sequencing (NGS) and laboratory\-developed tests is a plus.
 CHI: $85,000\-$130,000 NYC/SF: $100,000\-$145,000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25">
      <c r="A25" t="inlineStr">
        <is>
          <t>li-4366892732</t>
        </is>
      </c>
      <c r="B25" t="inlineStr">
        <is>
          <t>Sr. Product Manager, Value Servicing</t>
        </is>
      </c>
      <c r="C25" t="inlineStr">
        <is>
          <t>Delta Air Lines</t>
        </is>
      </c>
      <c r="D25" t="inlineStr">
        <is>
          <t>linkedin</t>
        </is>
      </c>
      <c r="E25" t="inlineStr"/>
      <c r="F25" t="inlineStr"/>
      <c r="G25" t="inlineStr">
        <is>
          <t>Atlanta, GA</t>
        </is>
      </c>
      <c r="H25" t="inlineStr"/>
      <c r="I25" t="inlineStr">
        <is>
          <t>**How You'll Help Us Keep Climbing (Overview \&amp; Key Responsibilities)**
 At Delta Air Lines, connection is at the heart of everything we do and guides our every action. We strive to welcome and care for all of our customers during their travels with us and aim to deliver an elevated experience.
 We are seeking a Senior Product Manager to lead the strategy, roadmap, and execution of Servicing capabilities across digital and agent‑assisted channels. This role combines deep servicing expertise, retail/offer‑order thinking, and enterprise product leadership, operating at the intersection of commercial strategy, operations, and core technical platforms.
 This Product Manager will own the next generation of how customers view, receive, and redeem value across our ecosystem. They will lead the vision, strategy, and execution of end‑to‑end value delivery experiences — redefining what “value” means for customers and how seamlessly it shows up in their journey. Ultimately, this PM will transform value from a static benefit into a dynamic, differentiated experience that reinforces why customers choose and stay with us.
**Key Responsibilities**
* Own the end‑to‑end product strategy for servicing and value\-delivery capabilities, defining long‑term vision, outcomes, and measurable success criteria.
* Lead the next generation of customer value experiences, ensuring customers clearly understand, receive, and redeem value seamlessly across their journey.
* Develop and manage a multi‑year roadmap that balances modernization of core servicing platforms with customer‑facing experience improvements.
* Partner with Engineering, CX, Operations, Marketing, and Commercial teams to deliver scalable, flexible, and reliable servicing solutions.
* Define and evolve value distribution and redemption mechanisms, optimizing for transparency, speed, and personalization.
* Drive requirements, prioritization, and tradeoff decisions, ensuring delivery remains aligned to business goals and platform constraints.
* Champion customer insights and data‑driven decisions to identify friction points, unlock new servicing opportunities, and continuously refine the experience.
* Ensure alignment across the enterprise by communicating strategy, progress, and impacts to senior leadership and key stakeholders.
* Promote operational excellence, ensuring solutions scale efficiently, reduce agent pain points, and support effective servicing workflows.
**What You Need To Succeed (Minimum Qualifications)**
* Proven success in understanding and managing complex processes.
* Able to demonstrate intellectual curiosity and critical thinking
* Experience translating a business vision into written technical requirements.
* Ability to communicate clearly to business leaders and technical developers.
* Must have the ability to work well with diverse groups in a time sensitive and team environment with minimal supervision.
* Results oriented and capable of meeting or exceeding deadlines with attention to detail and follow through.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Bachelor's Degree with at least 5\+ years of relevant work experience.
* Preferred Major in quantitative discipline such as Management Information Systems, Business Administration, Economics, Finance, or Engineering.
* Combination of at least 5\+ years of relevant working experience in Revenue Management, Internal or External channels, Business Intelligence, and Data Analytics.
* Experience in at least one commercial or operations function such as Reservations, ACS, eCommerce, Revenue Management, Sales, or IT preferred.
* Experience working in an Agile environment as a Product Manager/Owner.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26">
      <c r="A26" t="inlineStr">
        <is>
          <t>li-4356561844</t>
        </is>
      </c>
      <c r="B26" t="inlineStr">
        <is>
          <t>Senior Product Manager</t>
        </is>
      </c>
      <c r="C26" t="inlineStr">
        <is>
          <t>Medical Home Network</t>
        </is>
      </c>
      <c r="D26" t="inlineStr">
        <is>
          <t>linkedin</t>
        </is>
      </c>
      <c r="E26" t="inlineStr"/>
      <c r="F26" t="inlineStr"/>
      <c r="G26" t="inlineStr"/>
      <c r="H26" t="inlineStr"/>
      <c r="I26" t="inlineStr">
        <is>
          <t>Are you ready to join a passionate community of people who are changing how health care is delivered?  A place where you will find a career you love while truly making a difference building healthier communities.  If this sounds like you, we would love to have you apply as
 **Senior Product Manager,** 
 with Medical Home Network!
 Since 2009, Medical Home Network (MHN) has partnered with Federally Qualified Health Centers (FQHCs) nationwide to transform care in the safety net, reduce health disparities, and build healthier communities. A mission\-driven public benefit corporation, MHN helps FQHCs succeed in value\-based care through technology, care model innovation, and strong partnerships. Our proven approach delivers leading health outcomes, lower costs, and elevated quality performance. We’re expanding our reach and impact to help more FQHCs enhance care for their patients. Modern Healthcare has named MHN one of the Best Places to Work in Healthcare for four years running (2021–2024\). MHN was recently recognized as a Great Place to Work in 2025\.
**THE OPPORTUNITY:** 
 MHN is seeking a Senior Product Manager to lead the strategy and execution of back\-office healthcare technology that supports billing, coding, and revenue cycle management. This role is focused on technical product management and is ideal for a seasoned product leader operating as a high\-impact individual contributor.
 This role will own complex, full\-stack product initiatives and integrations with payer and provider systems. The ideal candidate brings deep experience in healthcare financial operations and is comfortable partnering closely with engineering teams to deliver scalable, data\-driven solutions.
**THE PERKS:** 
* Fun, challenging, and collaborative work environment with passionate colleagues that care deeply about healthcare delivery.
* Recognized as One of the Best Places to Work in Healthcare by Modern Healthcare.
* Competitive benefits programs including Medical, Vision, Dental, HSA, FSA, and 401k.
* Fitness reimbursement, commuter benefits, and tuition assistance.
* Great work life benefits\- Paid time off, sick time, and 12 paid holidays.
* Remote/Hybrid Schedule: This role follows a remote or hybrid work model. Candidates within 50 miles of Chicago are expected to work onsite two days per week (Monday and Tuesday) and remotely three days per week. Candidates outside of the 50\-mile radius are eligible for fully remote work.
**WHAT YOU CAN LOOK FORWARD TO:** 
* Own the product roadmap for MHN’s back\-office and revenue cycle technology
* Lead full\-stack product initiatives spanning billing, coding, claims, and revenue cycle workflows
* Translate complex healthcare financial and operational requirements into clear, actionable product requirements
* Develop detailed user stories, acceptance criteria, and technical requirements
* Partner closely with engineering on architecture\-aware decisions, tradeoffs, and sequencing of work
* Work extensively with claims data and EDI transactions to support payer and provider integrations
* Ensure product solutions support accurate, compliant, and efficient financial aspects of billing and reimbursement
* Collaborate with stakeholders across finance, operations, data, compliance, and clinical teams
* Balance scalability, performance, data integrity, and regulatory requirements in all product decisions
* Use data, metrics, and customer feedback to continuously improve product performance and outcomes
* Act as a senior product thought partner, influencing cross\-functional teams without direct authority
**WHAT YOU’LL NEED TO SUCCEED:** 
* Bachelor’s degree, or equivalent experience.
* 6\+ years of product management experience, with multiple years operating in a senior\-level role
* Strong healthcare technology background with hands\-on experience in billing, coding, and revenue cycle management
* Proven experience delivering products that support claims processing and payer interactions
* Technical product management experience working on full\-stack systems
* Proficiency with claims and EDI data and how they flow through healthcare financial systems
* Excellent communication skills across technical and non\-technical audiences
* Experience in value\-based care, Medicaid, or safety\-net healthcare environments a plus
* Familiarity with clearinghouses, payer systems, and reimbursement models
 Medical Home Network is an equal opportunity employer. We evaluate qualified applicants without regard to race, color, religion, age, sex, sexual orientation, gender identity, national origin, disability, veteran status, or any other protected characteristic. This policy applies to all terms and conditions of employment, including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
      <c r="A27" t="inlineStr">
        <is>
          <t>li-4369082946</t>
        </is>
      </c>
      <c r="B27" t="inlineStr">
        <is>
          <t>Technical Product Manager - FP&amp;A</t>
        </is>
      </c>
      <c r="C27" t="inlineStr">
        <is>
          <t>Lennar</t>
        </is>
      </c>
      <c r="D27" t="inlineStr">
        <is>
          <t>linkedin</t>
        </is>
      </c>
      <c r="E27" t="inlineStr"/>
      <c r="F27" t="inlineStr"/>
      <c r="G27" t="inlineStr">
        <is>
          <t>Miami, FL</t>
        </is>
      </c>
      <c r="H27" t="inlineStr"/>
      <c r="I27"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evolution and transformation of FP\&amp;A platforms within a large\-scale homebuilding organization. This role sits at the intersection of finance, technology, and product, owning the roadmap and delivery of FP\&amp;A capabilities across Oracle JD Edwards (E1\) and Oracle EPM solutions.
 The ideal candidate brings deep understanding of homebuilding financial models, strong FP\&amp;A domain expertise, and hands\-on experience driving enterprise financial system transformations in complex, multi\-entity environments.
* A career with purpose.
* A career built on making dreams come true.
* A career built on building zero defect homes, cost management, and adherence to schedules.
**Your Responsibilities On The Team**
**Product Strategy \&amp; Ownership**
* Own the end\-to\-end product vision and roadmap for FP\&amp;A systems supporting budgeting, forecasting, long\-range planning, and management reporting.
* Translate FP\&amp;A business needs into clear product requirements, epics, and user stories to drive tangible improvements.
* Collaborate with Finance team to prioritize needs based on business value, financial impact, technical complexity, and regulatory needs.
* Demonstrated experience with automation, AI/ML practices to transform manual workloads.
**Oracle EPM Transformation**
* Lead tech modernization and transformation initiatives involving Oracle EPM.
* As part of the Lennar Technology Group (LTG), partner across with LTG \&amp; Finance teams to design scalable, future\-state FP\&amp;A architectures and models.
* Drive integrations between Oracle E1, Oracle EPM, data warehouses, and downstream reporting tools.
**FP\&amp;A \&amp; Homebuilding Domain Leadership**
* Serve as a trusted partner to FP\&amp;A leaders, supporting:
* Community\- and division\-level forecasting
* Land acquisition and development financial modeling
* Cost\-to\-complete, backlog, and margin analysis
* Ensure systems support homebuilding\-specific complexities such as:
* Multi\-entity structures
* Job cost accounting
* Revenue recognition and WIP considerations
**Technical \&amp; Delivery Leadership**
* Collaborate closely with architects, developers, data engineers, and QA teams.
* Ensure high\-quality delivery through agile execution, release planning, and backlog management.
* Balance configuration vs. customization decisions with long\-term maintainability in mind.
**Stakeholder \&amp; Change Management**
* Drive adoption through training, documentation, and change management strategies.
* Communicate roadmap progress, risks, and outcomes to senior leadership.
**Requirements**
* Experience with large, decentralized, multi\-division organizations
* Exposure to cloud data platforms (Snowflake, Azure, OCI, etc.)
* Familiarity with agile / SAFe delivery models
* MBA, Finance, Accounting, or related advanced degree
* Oracle EPM or JD Edwards certifications
**What Success Looks Like**
* FP\&amp;A leaders rely on modern, reliable, and scalable systems for decision\-making.
* Oracle E1 and EPM platforms are tightly integrated, well\-governed, and future\-ready.
* Financial planning cycles are faster, more accurate, and more automated.
* Stakeholders view the TPM as a strategic partner—not just a delivery lead.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28">
      <c r="A28" t="inlineStr">
        <is>
          <t>li-4317590340</t>
        </is>
      </c>
      <c r="B28" t="inlineStr">
        <is>
          <t>Sr. Product Manager (Remote)</t>
        </is>
      </c>
      <c r="C28" t="inlineStr">
        <is>
          <t>Artivion, Inc.</t>
        </is>
      </c>
      <c r="D28" t="inlineStr">
        <is>
          <t>linkedin</t>
        </is>
      </c>
      <c r="E28" t="inlineStr"/>
      <c r="F28" t="inlineStr"/>
      <c r="G28" t="inlineStr">
        <is>
          <t>Kennesaw, GA</t>
        </is>
      </c>
      <c r="H28" t="inlineStr"/>
      <c r="I28" t="inlineStr">
        <is>
          <t>**Company Overview**
 Headquartered in suburban Atlanta, Georgia, Artivion, Inc. is a medical device company focused on developing simple, elegant solutions that address cardiac and vascular surgeons’ most difficult challenges in treating patients with aortic diseases. Artivion’s four major groups of products include: aortic stent grafts, surgical sealants, On\-X mechanical heart valves, and implantable cardiac and vascular human tissues. Artivion has over 1,400 employees worldwide with sales representation in over 100 countries. The Company has manufacturing facilities located in Atlanta, Georgia, Austin, Texas and Hechingen, Germany. Additionally, it has sales and distribution offices in various countries throughout Europe, Asia, and South America. For additional information about Artivion, visit our website, www.artivion.com.
**Position Overview**
 In this role, you will lead the development and execution of the commercialization strategy for the next generation Endovascular Aortic Arch Repair (EAAR) stent graft portfolio at Artivion. You will be responsible for leading upstream voice of customer (VOC) activities and engaging with external vascular surgeon customers to translate market needs into product opportunities. You will represent the customer's perspective, ensuring new product concepts are market\-driven and commercially viable, and manage the introduction of new products through launch. The right candidate will be naturally collaborative, customer\- centric, and able to manage the shifting priorities of multiple projects in a highly visible role within the organization.
**Position Responsibilities**
* Collaborate heavily and assume a leadership role within the Endo Aortic Arch, and Bridging Stent cross functional core teams, providing product marketing support in meeting key project milestones and deliverables.
* Develop and execute voice of customer and market research initiatives to inform product pipeline and drive commercial requirements (customer, product, business needs).
* Interface regularly with customers and regional partners through travel, congresses, and symposia to better understand and deliver on customer needs.
* Partner closely with key opinion leaders to anticipate the future market environment, changes in trends, competitive landscape, and to predict/drive future needs.
* Support trial site selection, training, and engagement throughout clinical trials.
* Develop and manage KOL cardiac and vascular surgeon relationships for the product portfolio.
* Collaborate with Sales Leadership in developing a commercialization plan and integrated marketing plan for the Endovascular Aortic Arch portfolio.
* Develop training and marketing materials to prepare for commercial launch.
* Manage a marketing budget quarterly and execute as defined in the marketing plan.
* Illustrate project management expertise.
**Qualifications**
* Bachelor’s Degree in area such as business, engineering, or life\-sciences.
* 8\+ years experience in medical industry. Previous product management experience in the vascular or cardiac surgery space preferred.
* Strong clinical acumen, and ability to come up to speed quickly on new products and disease states.
* Proven ability to conduct opportunity assessments, market sizing, and roadmap development, along with strong experience in VOC research and competitive analysis.
* Strong analytical skills, including a proven ability to plan and execute market research initiatives as well as synthesize market and customer insights.
* Strong understanding of the product development lifecycle and experience working closely with a range of cross\-functional business partners.
* Good organizational and project management skills, with ability to manage multiple tasks to meet tight deadlines in an environment of competing priorities.
* Highly collaborative and consistently pushes self and others to achieve challenging goals and objectives with a track record of executional success.</t>
        </is>
      </c>
    </row>
    <row r="29">
      <c r="A29" t="inlineStr">
        <is>
          <t>li-4376444472</t>
        </is>
      </c>
      <c r="B29" t="inlineStr">
        <is>
          <t>Senior Product Manager</t>
        </is>
      </c>
      <c r="C29" t="inlineStr">
        <is>
          <t>Insight Global</t>
        </is>
      </c>
      <c r="D29" t="inlineStr">
        <is>
          <t>linkedin</t>
        </is>
      </c>
      <c r="E29" t="inlineStr"/>
      <c r="F29" t="inlineStr"/>
      <c r="G29" t="inlineStr">
        <is>
          <t>Dallas, TX</t>
        </is>
      </c>
      <c r="H29" t="inlineStr"/>
      <c r="I29" t="inlineStr">
        <is>
          <t>Required Skills \&amp; Experience
 \-5\+ years of Product Management experience with ownership of product roadmaps and delivery
 \-Strong experience delivering BI, reporting, and data visualization products
 \-Hands‑on experience with BI and analytics tools, with Tableau or similar visualization platforms strongly preferred
 \-Proven ability to translate business requirements into intuitive, high‑quality dashboards and reporting experiences
 \-Experience working with APIs, data platforms, and analytics ecosystems at a conceptual/product level
 \-Strong stakeholder management skills across executive, business, and technical audiences
 Nice to Have Skills \&amp; Experience
 \-Experience working in global or international environments
 \-Second language proficiency
 \-Exposure to enterprise or franchise‑based business models
 Job Description
 Insight Global is seeking a Senior Product Manager to lead the strategy, development, and rollout of enterprise business intelligence, reporting, and data visualization solutions across international markets. This role owns the product roadmap for how data is visualized, distributed, and consumed by stakeholders ranging from executives to regional and franchise leaders.
 This position is not focused on sourcing, integrating, or transforming raw data. Instead, the role is centered on defining and delivering high‑impact reporting and visualization solutions, including decisions around buy vs. build, tooling strategy, and how insights are best presented to drive decision‑making.
 The Senior Product Manager will partner closely with engineering, analytics, and global business leaders to ensure reporting solutions are scalable, standardized, and aligned to real business needs.
 Key Responsibilities:
 \-Define and execute the product vision and roadmap for BI, reporting, and visualization solutions across international markets
 \-Connect business needs and regional asks to effective data visualization, reporting distribution, and insight delivery
 \-Own product strategy for BI and analytics tooling from a business value and user‑experience perspective
 \-Determine buy vs. build decisions for reporting and visualization platforms to best support executive, operational, and franchise audiences
 \-Partner with engineering, analytics, and platform teams to deliver reliable, well‑rendered reporting solutions (without owning raw data ingestion or transformation)
 \-Drive global standardization of dashboards, reporting frameworks, and visualization best practices while accommodating regional requirements
 \-Collaborate with stakeholders to define success metrics, adoption measures, and business impact of reporting solutions
 \-Manage third‑party vendors and BI technology partners, ensuring alignment to product goals and reporting standards
 \-Support regional initiatives, new market launches, and leadership reporting needs through scalable BI enablement</t>
        </is>
      </c>
    </row>
    <row r="30">
      <c r="A30" t="inlineStr">
        <is>
          <t>li-4361279871</t>
        </is>
      </c>
      <c r="B30" t="inlineStr">
        <is>
          <t>Sr. Product Manager (Generalist)</t>
        </is>
      </c>
      <c r="C30" t="inlineStr">
        <is>
          <t>Jiffy.com</t>
        </is>
      </c>
      <c r="D30" t="inlineStr">
        <is>
          <t>linkedin</t>
        </is>
      </c>
      <c r="E30" t="inlineStr"/>
      <c r="F30" t="inlineStr"/>
      <c r="G30" t="inlineStr">
        <is>
          <t>San Francisco, CA</t>
        </is>
      </c>
      <c r="H30" t="inlineStr"/>
      <c r="I30" t="inlineStr">
        <is>
          <t>We're Jiffy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This is not a typical Product Manager role. The Product Manager \- Generalist will own product strategy, vision, and execution for critical initiatives spanning operational systems and core technology platforms. You'll define roadmaps, drive product decisions, influence stakeholders, and build scalable solutions that impact multiple product lines and business functions.
 This role is ideal for a strategic thinker with strong technical fluency, operational experience, and curiosity for emerging technologies like machine learning and large\-scale systems. You'll balance short\-term delivery with long\-term platform evolution, and work with cross\-functional teams including engineering, operations, data science, and executive leadership.
 This role follows a
 **hybrid work model** 
 with a requirement of
 **a minimum of three (3\) days per week onsite** 
 . Employees should expect to work regularly from the office to support collaboration and business needs.
 The base compensation for this role is expected to range from
 **$150,000 to $200,000** 
 per year. Actual compensation will be based on a variety of factors, including skills, experience, qualifications, and overall fit for the role.
**Requirements**
**Basic Qualifications**
* Bachelors Degree Required in Computer Science or related field
* 3\-6\+ years of product management experience with cross\-functional ownership and measurable delivery outcomes.
* Strong strategic thinking and execution skills with a track record of taking complex problems to production.
* Ability to define, track, and act on meaningful KPIs and product metrics.
* Demonstrated experience working with engineering teams (APIs, architecture, data systems).
* Excellent communication skills with the ability to influence at all levels.
* Background in AI/ML products, platforms, or applied data systems.
* Experience with supply chain, logistics, or e\-commerce operations.
* Technical experience reading and interpreting system architecture / model design.
* Experience in fast\-paced, startup or high\-growth environments
**Preferred Qualifications**
* Startup DNA: You've worked at a seed or Series A\-C startup or have tried to build on your own
* E\-commerce experience
* Research Contributions: You have published papers at top AI conferences (e.g., NeurIPS, ICML) or have made significant contributions to major open\-source AI projects
* You have a strong and nuanced understanding of the risks and ethical considerations of building powerful AI systems
**Why You Will Love Working At Jiffy**
* Opportunity to grow company market share through innovation in the rapidly evolving e\-commerce, AI, and image processing space
* Thrive in a collaborative, high\-growth environment where your ideas directly influence how Jiffy evolves as a leading e\-commerce destination
* High visibility and influence in solving complex problems and delivering cutting edge solutions resulting in direct impact on Jiffy's seamless customer experience
* Access to career development opportunities in a company that invests deeply in professional growth
**Benefits**
**What We Offer**
* Compensation \&amp; Growth: Competitive salary, equity opportunities, and performance\-based bonuses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This range is provided in accordance with California pay transparency requirements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t>
        </is>
      </c>
    </row>
    <row r="31">
      <c r="A31" t="inlineStr">
        <is>
          <t>li-4368236118</t>
        </is>
      </c>
      <c r="B31" t="inlineStr">
        <is>
          <t>Senior Product Manager, AI/ML</t>
        </is>
      </c>
      <c r="C31" t="inlineStr">
        <is>
          <t>Google</t>
        </is>
      </c>
      <c r="D31" t="inlineStr">
        <is>
          <t>linkedin</t>
        </is>
      </c>
      <c r="E31" t="inlineStr"/>
      <c r="F31" t="inlineStr"/>
      <c r="G31" t="inlineStr">
        <is>
          <t>Kirkland, WA</t>
        </is>
      </c>
      <c r="H31" t="inlineStr"/>
      <c r="I3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product management or related technical role.
* 3 years of experience developing or launching products or technologies within artificial intelligence or machine learning (AI or ML).
**Preferred qualifications:**
* 7 years of experience in product management, consulting, co\-founder, or a related technical role.
* Experience creating product roadmaps from conception to launch, driving the product goal, defining the Go\-to\-Market (GTM) strategy, and leading design discussions.
* Experience with User Experience (UX).
* Experience with the latest and greatest AI tools.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developing GenAI platform strategy for custom agents across Workspace and building out the tools and products to enable this transformation for billions of users. You will be developing amazing end user experiences using GenAI technologies such as Gemini and Vertex AI, driving the evolution of our APIs, and partnerships with key Independent Software Vendors (ISVs). You will engage regularly as a trusted advisor with business leaders to understand their strategies to empower their workflows. You will cultivate the productivity app ecosystem which becomes more and more critical in the time of hybrid work.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product goal and strategy for the custom agents.
* Design and lead a multi­\-year roadmap, balancing short­ and long­\-term goals and investments to scale globally.
* Own cross\-functional product development process from ideation through development and commercial launch, collaborating with multiple internal, executive, and external teams to ensure coordination throughout product development, fostering and facilitating timely decision\-making, driving product and delivering success.
* Engage regularly as a trusted advisor with customers to understand their communication strategies, pain points and priorities to inform product strategy, while providing transparency into roadmaps and managing expectations.
* Partner closely with Engineering, UX, and other internal Google teams to drive product and delivery success.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
      <c r="A32" t="inlineStr">
        <is>
          <t>li-4321902647</t>
        </is>
      </c>
      <c r="B32" t="inlineStr">
        <is>
          <t>Product Manager, Sites</t>
        </is>
      </c>
      <c r="C32" t="inlineStr">
        <is>
          <t>Figma</t>
        </is>
      </c>
      <c r="D32" t="inlineStr">
        <is>
          <t>linkedin</t>
        </is>
      </c>
      <c r="E32" t="inlineStr"/>
      <c r="F32" t="inlineStr"/>
      <c r="G32" t="inlineStr">
        <is>
          <t>San Francisco, CA</t>
        </is>
      </c>
      <c r="H32" t="inlineStr"/>
      <c r="I3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Sites is one of our newest products, currently in public beta. It helps creators turn their designs into beautiful, performant websites in just a few clicks — no plugins, code exports, or handoffs required. We’re building the future of “design to product,” and Sites is central to that mission.
 We’re looking for a Product Manager to help own the next chapter of Figma Sites as we move from public beta to general availability. This role is ideal for a builder who thrives at the intersection of design, development, and innovation. You’ll help define the vision, influence company\-wide strategy, and deliver experiences that make it effortless to go from idea to live site.
 This is a full time role that can be held from one of our US hubs or remotely in the United States.
**What you'll do at Figma:**
* Evolve the strategy for Figma Sites, driving adoption and impact as we scale from beta to general availability
* Collaborate with engineering, design, and research to deliver seamless publishing, responsive design, and creative tooling experiences
* Lead cross\-functional alignment across multiple teams — including Figma Design and Figma Make — to enable a flawless “design to production” workflow
* Gather user insights from our growing community and translate them into clear priorities and product decisions
* Shape how AI and prompting enhance creativity, customization, and accessibility in Sites
* Represent Figma Sites across the company, helping drive vision, prioritization, and execution for one of Figma’s most strategic bets
**We’d love to hear from you if you have:**
* 7\+ years of product management experience, including leadership of complex, user\-facing products
* Deep understanding of web creation — you’ve worked on tools that help people design, build, or publish to the web
* Strong product sense and technical fluency; you’re comfortable navigating discussions across design systems, code architecture, and AI workflows
* Proven ability to set ambitious strategies, influence other teams, and execute against company\-level goals
* A knack for execution — you’re organized, pragmatic, and can keep cross\-functional teams focused on impact
* A builder’s mindset and empathy for creators of all levels, from professional designers to first\-time site builders
**While it’s not required, it’s an added plus if you also have:**
* Experience working on site builders, creative tools, or no\-code/low\-code products
* Familiarity with canvas\-based editors or dynamic layout systems
* Exposure to AI\-assisted creation tools, prompting workflows, or generative design systems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33">
      <c r="A33" t="inlineStr">
        <is>
          <t>li-4369090876</t>
        </is>
      </c>
      <c r="B33" t="inlineStr">
        <is>
          <t>Technical Product Manager - FP&amp;A</t>
        </is>
      </c>
      <c r="C33" t="inlineStr">
        <is>
          <t>Lennar</t>
        </is>
      </c>
      <c r="D33" t="inlineStr">
        <is>
          <t>linkedin</t>
        </is>
      </c>
      <c r="E33" t="inlineStr"/>
      <c r="F33" t="inlineStr"/>
      <c r="G33" t="inlineStr">
        <is>
          <t>Bentonville, AR</t>
        </is>
      </c>
      <c r="H33" t="inlineStr"/>
      <c r="I33"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evolution and transformation of FP\&amp;A platforms within a large\-scale homebuilding organization. This role sits at the intersection of finance, technology, and product, owning the roadmap and delivery of FP\&amp;A capabilities across Oracle JD Edwards (E1\) and Oracle EPM solutions.
 The ideal candidate brings deep understanding of homebuilding financial models, strong FP\&amp;A domain expertise, and hands\-on experience driving enterprise financial system transformations in complex, multi\-entity environments.
* A career with purpose.
* A career built on making dreams come true.
* A career built on building zero defect homes, cost management, and adherence to schedules.
**Your Responsibilities On The Team**
**Product Strategy \&amp; Ownership**
* Own the end\-to\-end product vision and roadmap for FP\&amp;A systems supporting budgeting, forecasting, long\-range planning, and management reporting.
* Translate FP\&amp;A business needs into clear product requirements, epics, and user stories to drive tangible improvements.
* Collaborate with Finance team to prioritize needs based on business value, financial impact, technical complexity, and regulatory needs.
* Demonstrated experience with automation, AI/ML practices to transform manual workloads.
**Oracle EPM Transformation**
* Lead tech modernization and transformation initiatives involving Oracle EPM.
* As part of the Lennar Technology Group (LTG), partner across with LTG \&amp; Finance teams to design scalable, future\-state FP\&amp;A architectures and models.
* Drive integrations between Oracle E1, Oracle EPM, data warehouses, and downstream reporting tools.
**FP\&amp;A \&amp; Homebuilding Domain Leadership**
* Serve as a trusted partner to FP\&amp;A leaders, supporting:
* Community\- and division\-level forecasting
* Land acquisition and development financial modeling
* Cost\-to\-complete, backlog, and margin analysis
* Ensure systems support homebuilding\-specific complexities such as:
* Multi\-entity structures
* Job cost accounting
* Revenue recognition and WIP considerations
**Technical \&amp; Delivery Leadership**
* Collaborate closely with architects, developers, data engineers, and QA teams.
* Ensure high\-quality delivery through agile execution, release planning, and backlog management.
* Balance configuration vs. customization decisions with long\-term maintainability in mind.
**Stakeholder \&amp; Change Management**
* Drive adoption through training, documentation, and change management strategies.
* Communicate roadmap progress, risks, and outcomes to senior leadership.
**Requirements**
* Experience with large, decentralized, multi\-division organizations
* Exposure to cloud data platforms (Snowflake, Azure, OCI, etc.)
* Familiarity with agile / SAFe delivery models
* MBA, Finance, Accounting, or related advanced degree
* Oracle EPM or JD Edwards certifications
**What Success Looks Like**
* FP\&amp;A leaders rely on modern, reliable, and scalable systems for decision\-making.
* Oracle E1 and EPM platforms are tightly integrated, well\-governed, and future\-ready.
* Financial planning cycles are faster, more accurate, and more automated.
* Stakeholders view the TPM as a strategic partner—not just a delivery lead.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34">
      <c r="A34" t="inlineStr">
        <is>
          <t>li-4376768137</t>
        </is>
      </c>
      <c r="B34" t="inlineStr">
        <is>
          <t>Technical Product Manager</t>
        </is>
      </c>
      <c r="C34" t="inlineStr">
        <is>
          <t>Haystack</t>
        </is>
      </c>
      <c r="D34" t="inlineStr">
        <is>
          <t>linkedin</t>
        </is>
      </c>
      <c r="E34" t="inlineStr"/>
      <c r="F34" t="inlineStr"/>
      <c r="G34" t="inlineStr"/>
      <c r="H34" t="inlineStr"/>
      <c r="I34" t="inlineStr">
        <is>
          <t>**Sr. Technical Product Manager, Trust CX Innovations \| Seattle, Washington \| Hybrid \| $151,200 \- $204,600** 
 We're working with a global leader in ambient computing and consumer electronics on this exciting opportunity. We are looking for a visionary technical leader to redefine how millions of users interact with AI\-driven devices by building world\-class privacy, accessibility, and responsible AI frameworks.
 This is a high\-impact role where you will sit at the intersection of AI Research, Engineering, and UX Design. You will leverage cutting\-edge tech like Federated Learning and Differential Privacy to ensure that the next generation of smart home devices is as secure and inclusive as it is intelligent.
**The Role** 
 • Lead the product roadmap for Trust and Responsible AI (RAI) initiatives across a massive ecosystem of voice\-activated and AI\-enabled devices.
 • Drive the architectural vision for privacy\-preserving features and accessibility standards, ensuring compliance with global technology regulations like GDPR and CCPA.
 • Partner with Applied Scientists and Engineers to prototype breakthrough AI features using Federated Learning and on\-device processing.
 • Design and launch A/B tests for transparent AI decision\-making interfaces and novel accessibility interactions using computer vision and voice services.
 • Own critical CX metrics, developing data\-driven strategies for product governance and ethical AI guardrails.
**What You'll Need** 
 • Extensive experience in Technical Product Management, specifically within AI/ML, Privacy Engineering, or Consumer Hardware ecosystems.
 • Deep technical fluency in Privacy\-Enhancing Technologies (PETs), AI Governance frameworks, and global accessibility standards (WCAG).
 • Proven track record of working with cross\-functional teams including Legal, Policy, and Engineering to deliver complex, regulated features.
 • Strong analytical skills with the ability to use data and metrics to back up assumptions, recommendations, and drive product actions.
 • Exceptional communication skills to present complex technical solutions to senior leadership and influence global product strategy.
**What's On Offer** 
 • Competitive salary range of $151,200 \- $204,600 plus comprehensive benefits and equity packages.
 • The opportunity to shape the ethical AI landscape for a product used by millions of households worldwide.
 • A hybrid work environment in the heart of Seattle, offering the perfect balance of collaboration and focus.
 • Access to world\-class resources and mentorship within a strategic innovation team focused on the future of AI.
**Apply via Haystack today!**</t>
        </is>
      </c>
    </row>
    <row r="35">
      <c r="A35" t="inlineStr">
        <is>
          <t>li-4377879316</t>
        </is>
      </c>
      <c r="B35" t="inlineStr">
        <is>
          <t>Senior Technical Product Manager - SDK and User Engagement</t>
        </is>
      </c>
      <c r="C35" t="inlineStr">
        <is>
          <t>QuEra Computing Inc.</t>
        </is>
      </c>
      <c r="D35" t="inlineStr">
        <is>
          <t>linkedin</t>
        </is>
      </c>
      <c r="E35" t="inlineStr"/>
      <c r="F35" t="inlineStr"/>
      <c r="G35" t="inlineStr">
        <is>
          <t>Boston, MA</t>
        </is>
      </c>
      <c r="H35" t="inlineStr"/>
      <c r="I35" t="inlineStr">
        <is>
          <t>**Summary**
 QuEra Computing is seeking a
 **Senior Technical Product Manager – SDK and User Engagement** 
 to own the product strategy, delivery, and adoption of the developer tooling that researchers and developers use to run high‑impact
 **experiments and applications** 
 on QuEra’s
 **neutral‑atom quantum computers** 
 . You’ll operate at the intersection of
 **quantum R\&amp;D, scientific software engineering, and an external developer community** 
 , translating capabilities across
 **quantum‑classical hybrid workflows, circuit‑level programming, qubit/atom shuttling, and pulse‑level control** 
 into an SDK that is coherent, usable, and trusted.
 This is a foundational product role in a fast\-growing area. You’ll drive the end\-to\-end developer journey: from “time‑to‑first‑experiment” and documentation quality, to stable APIs and predictable release processes, to community engagement and open\-source governance. Working closely with R\&amp;D and engineering teams, you’ll turn emerging research results (including advances in
 **neutral‑atom platforms and quantum error correction** 
 ) into concrete product requirements, representative examples, and developer\-ready interfaces—balancing rapid innovation with robustness, reliability, and long\-term maintainability.
**Responsibilities**
* Own the SDK product vision and roadmap
+ Define and communicate the product vision, positioning, and roadmap for QuEra’s SDK and developer\-facing software stack.
+ Align priorities across company strategy, hardware/service constraints, internal stakeholders, and external developer needs.
* Translate science and R\&amp;D into software requirements
+ Convert quantum concepts, system capabilities, and new R\&amp;D outcomes into actionable product specifications (PRDs), Request for Comments (RFCs), and well\-scoped deliverables.
+ Identify representative use cases, minimal reproducible examples, and benchmarking targets to validate requirements and guide implementation.
* Collect structured user feedback and drive prioritization
+ Collect structured feedback from customers and users on usability, UI, workflows, recurring pain points, and operational friction.
+ Synthesize insights into roadmap updates and requirements. Partner with software teams to ensure feedback is actionable, prioritized, and reflected in backlogs and release plans.
* Drive developer experience and steward an open\-source community
+ Partner with software engineers and scientists to improve usability across the SDK: APIs, workflows, error messages, onboarding, tutorials, and reference examples.
+ Establish open\-source triage and governance practices: issue taxonomy, labeling, prioritization, contribution guidelines, and community processes.
* Ensure quality, reliability, and operational readiness
+ Support QA, integration readiness, and operational considerations so SDK releases work reliably with hardware services (cloud and/or managed environments).
+ Drive versioning, deprecation policy, change logs, migration guides, and release communications to maintain trust with the community.
+ Help balance early\-stage innovation with stability—setting expectations clearly when features are experimental vs. production\-ready.
**Qualifications**
* M.S. in Computer Science, Physics, or a related field, with 5\+ years of experience in technical product management, developer tools, scientific software, HPC, or adjacent domains.
* Proven ability to work deeply with engineering and research teams—comfortable operating in ambiguity and making sound trade\-offs across scope, schedule, and technical risk.
* Strong understanding or hands\-on experience in modern software engineering practices (API design, backwards compatibility, testing, CI/CD fundamentals, documentation, and lifecycle discipline).
* Ability to learn new quantum algorithms and translate them into clear requirements and minimal examples.
* Working knowledge of compiler concepts (e.g., intermediate representations, compiler transforms, optimization strategies) and a clear understanding of compile\-time vs. runtime trade\-offs.
* Excellent communication and technical writing skills; strong at reframing “XY problems” into clear, actionable requirements.
* Proficiency with product management tools and agile execution (e.g. GitHub and Jira); demonstrated cross\-functional delivery and project/program leadership.
**Preferred Qualifications**
* Ph.D. in quantum computing, quantum information, computer science or engineering (or related area) with demonstrated exposure to software development cycles (especially SDKs, compilers, or scientific tooling).
* 3–5\+ years of hands\-on technical development or research experience in scientific software, compilers, infrastructure, or tooling.
* Experience engaging and growing an open\-source community (triage, contributor workflows, governance, and public roadmap practices).
* Demonstrated systems/low\-level programming experience (e.g., Rust, C\+\+) and/or compiler engineering experience (including contributions to widely used open\-source compilers or developer toolchains).
* Strong track record of translating emerging research into pragmatic product requirements and developer\-ready deliverables.
* Proven technical communication through public artifacts (e.g., blog posts, tutorials, documentation sets, workshops, talks, or example repositories).
 QuEra is committed to cultivating a diverse work environment and is proud to be an equal opportunity employer. We highly value diversity in our current and future employees and do not discriminate (including in our hiring and promotion practices) based on race, religion, color, national origin, gender, gender expression, sexual orientation, age, marital status, veteran status, disability status, or any other characteristic protected by law.</t>
        </is>
      </c>
    </row>
    <row r="36">
      <c r="A36" t="inlineStr">
        <is>
          <t>li-4368278979</t>
        </is>
      </c>
      <c r="B36" t="inlineStr">
        <is>
          <t>Product Manager (Martech)</t>
        </is>
      </c>
      <c r="C36" t="inlineStr">
        <is>
          <t>Software Guidance &amp; Assistance, Inc. (SGA, Inc.)</t>
        </is>
      </c>
      <c r="D36" t="inlineStr">
        <is>
          <t>linkedin</t>
        </is>
      </c>
      <c r="E36" t="inlineStr"/>
      <c r="F36" t="inlineStr"/>
      <c r="G36" t="inlineStr">
        <is>
          <t>San Jose, CA</t>
        </is>
      </c>
      <c r="H36" t="inlineStr"/>
      <c r="I36" t="inlineStr">
        <is>
          <t>Software Guidance \&amp; Assistance, Inc., (SGA), is searching for a
 **Product Manager (Martech)** 
 for a
 **contract** 
 assignment with one of our premier SaaS clients in San Jose, CA. This is a hybrid role with 2\-3 days per week in\-office.
**Responsibilities:**
* Work as a part of a dedicated team following agile scrum model.
* Define key business problems to be solved, formulate mathematical approaches and gather data to solve those problems, develop, analyze/draw conclusions and present
* Create statistical and predictive models, use clustering and classification techniques and algorithms
* Participate in product and feature design with developers.
* Collaborate with product management and engineering teams to understand the requirements and communicate to the team so that they could be used for better test planning and execution.
* Well versed in emerging industry technologies and trends.
**Required** 
**Skills:**
* 2\-5 years of experience in Business Analyst/Product management role.
* A keen desire to solve business problems, and to find patterns and propose solutions that challenge and expand the thinking of everyone around them.
* Knowledge of software development processes and best practices.
* Understanding of Agile/Scrum methodology and working experience in Agile environment is strongly desired.
* This person must be comfortable driving projects, presenting to IT leaders, defining business value and metrics, prioritizing competing priorities, and working in a matrix.
* Must be a self starter that is passionate and curious.
* Excellent communication skills required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37">
      <c r="A37" t="inlineStr">
        <is>
          <t>li-4325511401</t>
        </is>
      </c>
      <c r="B37" t="inlineStr">
        <is>
          <t>Senior Product Manager</t>
        </is>
      </c>
      <c r="C37" t="inlineStr">
        <is>
          <t>Ceribell │ AI-Powered Point-of-Care EEG</t>
        </is>
      </c>
      <c r="D37" t="inlineStr">
        <is>
          <t>linkedin</t>
        </is>
      </c>
      <c r="E37" t="inlineStr"/>
      <c r="F37" t="inlineStr"/>
      <c r="G37" t="inlineStr">
        <is>
          <t>Sunnyvale, CA</t>
        </is>
      </c>
      <c r="H37" t="inlineStr"/>
      <c r="I37" t="inlineStr">
        <is>
          <t>**About Ceribell**
 Ceribell is a medical technology company focused on transforming the diagnosis and management of patients with serious neurological conditions. The Ceribell System is a novel, point\-of\-care electroencephalography (“EEG”) platform specifically designed to address the unmet needs of patients in the acute care setting, and is being used in hundreds of community hospitals, large academic facilities and major IDN's across the country. Our entire team is driven by a shared commitment to transforming the landscape of critical care through our rapid seizure detection technology, come join the movement!
**Position Overview** 
 :
 Ceribell is a medical technology company focused on transforming the diagnosis and management of patients with serious neurological conditions. The Ceribell System is a novel, point\-of\-care electroencephalography (“EEG”) platform specifically designed to address the unmet needs of patients in the acute care setting, and is being used in hundreds of community hospitals, large academic facilities and major IDN’s across the country. Our entire team is driven by a shared commitment to transforming the landscape of critical care through our rapid seizure detection technology, come join the movement!
 Ceribell is seeking a highly motivated
 **Senior Product Manager** 
 to lead the evolution of our
 **Clarity seizure algorithm portfolio** 
 . This individual will play a critical role in defining next\-generation algorithmic solutions.
 The ideal candidate will bring a strong technical background, preferably in
 **EEG, biomedical signal processing, or ML algorithm development** 
 , and be passionate about translating clinical needs into impactful solutions. This role will also serve as a key point of contact with Neurology Key Opinion Leaders (KOLs) to collect voice\-of\-customer insights and shape the roadmap for future product and algorithm innovation.
**What you'll do:**
* Conduct market research and competitive analysis to identify unmet clinical needs and define product strategies that align with Ceribell’s vision and business objectives
* Translate clinical needs into product and algorithm requirements.
* Serve as the Voice of Customer (VOC) by building and maintaining strong relationships with neurology KOLs and other stakeholders.
* Collaborate closely with cross\-functional teams including Design, Engineering, Clinical, and Regulatory to design and develop the algorithm products.
* Partner with commercial teams to define go\-to\-market strategies that align with Ceribell’s vision and business objectives, support product positioning and launch plans.
**What We're Looking For:**
* Bachelor’s degree in Biomedical Engineering, Neuroscience, Electrical Engineering, Computer Science, or related technical discipline; Advanced degree (PhD or MD) preferred.
* Proven technical or clinical background in EEG signal processing, biomedical signal processing, or algorithm development.
* Proven experience managing algorithm or software product development lifecycles.
* 2\+ years of product management or business analytics experience preferred.
* Ability to independently conduct product research, including literature review, physician interviews, and competitive landscape assessments.
* Strong analytical skills with the ability to derive market and product insights from complex data.
* Excellent executive communication, presentation, and stakeholder management skills.
* Ability to travel up to 25%.
 Compensation Range
 $178,000—$196,000 USD
 A candidate’s final salary offer will be based on their skills, education, work location and experience, and thus it may differ from the posted range. Compensation may also include bonuses consistent with Ceribell’s corporate compensation plan. Note, the above description is not all\-encompassing and Ceribell reserves the right to change or modify job duties and assignments at any time.
**In addition to your base compensation, Ceribell offers eligible employees the following:**
* Performance\-based incentive compensation (varies by role)
* Equity opportunities
* 100% Employer paid Health Benefits for Employees
* 50% \- 70% Employer paid Health, Dental \&amp; Vision for dependents (depending on plan selection)
* 100% paid Life and Long\-Term Disability Insurance
* 401(k) with a generous company match
* Employee Stock Purchase Plan (ESPP) with a discount
* Monthly cell phone stipend
* Flexible paid time off
* 13 Paid Holidays \+ 3 Company Wellness Days
* Excellent parental leave policy
* Fantastic culture with tremendous career advancement opportunities
* Joining a mission\-minded organization!
**Application Deadline:** 
 Ongoing
**Equal Opportunity Employer**
 Ceribell is an Equal Opportunity Employer. All qualified applicants will receive consideration for employment without regard to race, color, religion, sex (including pregnancy, childbirth and related medical conditions), sexual orientation, gender identity or expression, national origin, age, marital status, disability, veteran status or any other characteristic protected by law. Any applicant with a disability who requires an accommodation during the application process should contact talent@ceribell.com to request reasonable accommodation.
**Privacy Statement**
 For information on how Ceribell processes personal data of job applicants, please review our Privacy Policy.
**Compliance Disclaimer**
 If you believe this job posting is non\-compliant, please submit a report to legal@ceribell.com. Please note that we will not respond to inquiries unrelated to job posting compliance.</t>
        </is>
      </c>
    </row>
    <row r="38">
      <c r="A38" t="inlineStr">
        <is>
          <t>li-4377861926</t>
        </is>
      </c>
      <c r="B38" t="inlineStr">
        <is>
          <t>Technical Product Manager for Cloud Services</t>
        </is>
      </c>
      <c r="C38" t="inlineStr">
        <is>
          <t>Kommerce Hub</t>
        </is>
      </c>
      <c r="D38" t="inlineStr">
        <is>
          <t>linkedin</t>
        </is>
      </c>
      <c r="E38" t="inlineStr"/>
      <c r="F38" t="inlineStr"/>
      <c r="G38" t="inlineStr">
        <is>
          <t>Tampa, FL</t>
        </is>
      </c>
      <c r="H38" t="inlineStr"/>
      <c r="I38" t="inlineStr">
        <is>
          <t>Project requires background in
 **AWS, cloud services, Retail POS solutions** 
 ,
 **B2B, E\-Commerce, Payments, Integrated Banking and other related domains** 
 . Experience in working in a Start\-up environment is a huge plus.
 As Technical Product Owner, you will design and build our cloud services, Integrate Cloud Security and Enhance web portal. Working with our product Leaders and Stake holders, you’ll develop reusable Cloud services components and portals that manages the B2B Lifecycle.
**In This Role You Can Expect To**
* Responsible for designing, deliver and implement the key modules of KHub in AWS which is POS solutions, B2B, E\-Commerce team, Payments, Integrated Banking and other Deposits.com API.
* Own all phases of the product development life cycle, from conception to delivery to customers.
* Craft code that meets our internal standards for style and scalability
* Collaborate with other developers to flesh out technical requirements.
* Learn from other engineers and help drive continuous improvement of our platform.
* Work in an Agile\-ish environment – we move fast and work in two\-week sprints.
* Report directly to the CTO. You’ll learn the ins and outs of our business and technology and your ideas will always be heard. There’s no red tape here.
* Work with agile methodologies and tools – including Confluence, Jira, working in a Lean/Agile/Scrum environment.
* Initiate and implement ITIL services to speed up the product development process.
* Work very closely with business stakeholder, AWS engineers, UI Developers, UX designer and architect to define product requirements and collaborate within agile teams to drive product management activities.
* You are responsible to integrate Flex Payments, Deposits.com payment API and CYCLR Cloud API integration and design the User specific module with easy UI/UX System.
* Provide SME (Subject Matter Expertise) in B2B (Business to Business) Payments and integrations with AP (Account Payable) automation and ERP (Enterprise Resource Planning) software.
* Work with SQL DBA team to enhance and architect the multi\-tenancy Database.
* Propose improvements to existing payment features, communicate and priorities these changes along with other development priorities and projects.
* Performing incremental and iterative product development, which can react very quickly to the market environment preferably using Agile methodology.
* Participate in preparation/prioritization of portfolio/solution backlogs to continuously synthesize into program backlog and team backlogs.
* Identify gaps between current system and client/market needs.
* Coordinate with UAT teams on testing resources and timelines, content being tested, ensuring requirements trace back to test scenarios and cases, and ensuring who is responsible for the requirements being tested.
* Write Complex SQL Queries, Stored procedures, data load scripts, and fine tuning the queries to optimize the performance in Oracle database.
* Develop an Inventory of Reports, Interfaces, Conversions, Extensions, Forms and workflows to support the new processes and solution across work streams.
**You’re a Good Fit For The Role If**
* Work very closely with business stakeholder, UX designer and architect to define product requirements and collaborate within agile teams to drive product management activities
* Consistently assess and analyze the impact of existing and new features
* Propose improvements to existing features, communicate and priorities these changes along with other development priorities and projects.
* Performs activities to support opportunities for existing products \&amp; gathers data on customer needs to identify product opportunities
* Experience in breaking down high\-level features into tactical user\-stories and assigning and supervising them across multiple organizations.
* Strong ability to identify and resolve cross\-project interdependencies.
* Performing incremental and iterative product development, which can react very quickly to the market environment preferably using Agile methodology.
* Participate in preparation/prioritization of portfolio/solution backlogs to continuously synthesize into program backlog and team backlogs.
* Identify gaps between current system and client/market needs.
**Required Technical And Professional Expertise**
* Bachelor’s degree in business or engineering related discipline;
* Overall \+ years of which 4\+ years in Product management in IT E\-commerce or AWS implemented projects.
* Hands on experience in installation, configuration and support of enterprise software.
* Experience with POS retail Integrations, ITIL and Banking/Payments Integrations is MUST.
* 
* Experience with SCRUM methodology</t>
        </is>
      </c>
    </row>
    <row r="39">
      <c r="A39" t="inlineStr">
        <is>
          <t>li-4368512579</t>
        </is>
      </c>
      <c r="B39" t="inlineStr">
        <is>
          <t>Enterprise Product Manager</t>
        </is>
      </c>
      <c r="C39" t="inlineStr">
        <is>
          <t>Accurate Background</t>
        </is>
      </c>
      <c r="D39" t="inlineStr">
        <is>
          <t>linkedin</t>
        </is>
      </c>
      <c r="E39" t="inlineStr"/>
      <c r="F39" t="inlineStr"/>
      <c r="G39" t="inlineStr"/>
      <c r="H39" t="inlineStr"/>
      <c r="I39" t="inlineStr">
        <is>
          <t>When you join Accurate Background, you’re an integral part of making every hire the start of a success story. Your contributions will help us fulfill our mission of advancing the background screening experience through visibility and insights, empowering our clients to make smarter, unbiased decisions.
 We are seeking an Enterprise Product Manager (Group level) to lead a multi\-product portfolio spanning the Candidate and Client experiences across our background check platform. This product leader will own and drive measurable improvements to existing experiences and create new 0 to 1 workflows that raise trust, reduce friction, and improve operational efficiency.
 This is a high visibility role with high strategic influence across Engineering, Sales, Operations, and Account Management. You will own the strategy and execution of the roadmap for the Candidate and Client Portals.
**Responsibilities**
* Define and communicate a clear multi\-year vision for the Candidate and Client experiences aligned with company strategy and business outcomes
* Drive improvements to Candidate and Client experience gaps focusing on quality, workflow adoption, and self\-serve experiences.
* Define and build AI driven experiences across Candidate and Client portals.
* Partner with Sales and Account Management to ensure enterprise customer needs and expansion drivers are reflected in strategy and execution.
* Partner deeply with Customer Support and Operations to improve resolution paths and eliminate preventable customer contact drivers.
* Establish a culture of hypothesis\-driven discovery and experimentation, using quantitative and qualitative insights to prioritize.
* Define success metrics, instrumentation, and reporting for key journeys and initiatives; continuously learn and iterate from results.
* Ensure product delivery is predictable, measurable, and aligned to clear outcomes; raise execution standards across pods through strong product operating rhythms.
* Lead and develop Product Owners strengthening discovery, roadmap planning, customer empathy, and execution rigor.
**Qualifications**
* 8\-10 years of Product Management experience with increasing scope and complexity.
* Demonstrated experience leading multi\-product and/or multi\-pod portfolios.
* Proven people leadership experience managing PMs and/or POs, including coaching and performance development.
* Strong track record of owning end\-to\-end customer experiences, including portal/dashboard\-heavy products.
* Deep product craft in customer discover, journey mapping, prioritization, roadmap development, and delivery management.
* Strong data fluency. Ability to define metrics, interpret funnel performance, and drive outcomes through experimentation and iteration.
* Exceptional cross\-functional leadership skills, including stakeholder alignment, executive communication, and decision facilitation.
* High customer empathy and a systems thinking approach to complex workflows and dependencies.
**Preferred Qualifications**
* Experience working in a compliance\-heavy, regulated industry (e.g.: background)
* Experience building or modernizing enterprise self\-serve portals that drive adoption and reduce operational load.
* Experience partnering closely with Compliance/Legal on product requirements, risk mitigation and policy driven constraints.
**Why Join Us**
* Impact at scale: Your work will touch both enterprise customers and millions of candidates going through the hiring process.
* High Visibility: You will have the opportunity to define and execute strategy for two of our most important customer types: Clients and Candidates.
 $122,200 \- $160,000 a year
 The annual base salary for this position ranges from $122,000 \- $160,000\. Pay will vary depending on job\-related knowledge, skills, experience, and relevant education and training. This position may also be eligible for an annual performance\-based bonus, commission, or other variable pay plan. The Company also offers a full range of benefits, including medical, dental, and 401k. Your recruiter can share more details about the specific compensation package during the hiring process.
**The Accurate Way:**
 We offer a fun, fast\-paced environment, with lots of room for growth. We have an unwavering commitment to diversity, ensuring everyone has a complete sense of belonging here. To do this, we follow four guiding principles –
 **Take Ownership, Be Open, Stay Curious, Work as One** 
 – core values that dictate what we stand for, and how we behave.
**Take ownership.**
 Be accountable for your actions, your team, and the company. Accept responsibility willingly, especially when it’s what’s best for our customers. Give others every reason to trust you, believe in you, and count on you. Rise to every occasion with your personal best.
**Be open.**
 Be open to new ideas. Be inclusive of people and ways of doing things. Make yourself accessible and approachable, and communicate with genuineness, transparency, honesty, and respect. Embrace differences.
**Stay curious.**
 Stay curious even as you move forward. Tirelessly ask questions and challenge the status quo in your pursuit of new ideas, ways to solve problems, and to continually grow and improve.
**Work as one.**
 Work together to create the best customer and workplace experience. Put our customers and employees first—before individual or departmental agendas. Make sure they get the help they need to succeed.
**About Accurate Background:**
 Accurate Background’s vision is to make every hire the start of a success story. As a trusted provider of employment background screening and workforce monitoring services, Accurate Background gives companies of all sizes the confidence to make smarter, unbiased hiring decisions at the speed of demand. Experience a new standard of support with a dedicated team, comprehensive technology and insight, and the most extensive coverage and search options to advance your business while keeping your brand and people safe.
 Accurate is an equal\-opportunity employer and is committed to hiring talented and qualified individuals with diverse backgrounds. All qualified applicants will receive consideration for employment without regard to sex, gender identity, sexual orientation, race, color, religion, national origin, disability, protected veteran status, age, or any other characteristic protected by law.
 Accurate will consider for employment all qualified applicants, including those with criminal histories, in a manner consistent with the requirements of applicable state and local laws.
**Special Notice:**
 Accurate is aware of schemes involving fraudulent job postings/offers and/or individuals or entities claiming to be employees of Accurate. Those involved are offering fabricated employment opportunities to applicants, often asking for sensitive personal and financial information. If you believe you have been contacted by anyone misrepresenting themselves as an employee of Accurate, please contact \[email protected] .
* Please be advised that all legitimate correspondence from an Accurate employee will come from "@accurate.com" email accounts.
* Accurate will not interview candidates via text or email. Our interviews are conducted by recruiters and leaders via the phone, Zoom/Teams or in an in\-person format.
* Accurate will never ask candidates to make any type of personal financial investment related to gaining employment with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0">
      <c r="A40" t="inlineStr">
        <is>
          <t>li-4368884514</t>
        </is>
      </c>
      <c r="B40" t="inlineStr">
        <is>
          <t>Principal Product Manager</t>
        </is>
      </c>
      <c r="C40" t="inlineStr">
        <is>
          <t>Granicus</t>
        </is>
      </c>
      <c r="D40" t="inlineStr">
        <is>
          <t>linkedin</t>
        </is>
      </c>
      <c r="E40" t="inlineStr"/>
      <c r="F40" t="inlineStr"/>
      <c r="G40" t="inlineStr"/>
      <c r="H40" t="inlineStr"/>
      <c r="I40" t="inlineStr">
        <is>
          <t>**The Company**
**Serving the People Who Serve the People**
 Granicus is driven by the excitement of building, implementing, and maintaining technology that is transforming the Govtech industry by bringing governments and its constituents together. We are on a mission to support our customers with meeting the needs of their communities and implementing our technology in ways that are equitable and inclusive. Granicus has consistently appeared on the GovTech 100 list over the past 5 years and has been recognized as the best companies to work on BuiltIn.
 Over the last 25 years, we have served 5,500 federal, state, and local government agencies and more than 300 million citizen subscribers power an unmatched Subscriber Network that use our digital solutions to make the world a better place. With comprehensive cloud\-based solutions for communications, government website design, meeting and agenda management software, records management, and digital services, Granicus empowers stronger relationships between government and residents across the U.S., U.K., Australia, New Zealand, and Canada. By simplifying interactions with residents, while disseminating critical information, Granicus brings governments closer to the people they serve—driving meaningful change for communities around the globe.
 Want to know more? See more of what we do here .
**Job Summary**
 Granicus is seeking an experienced Principal Product Manager to lead the strategy and execution of our CRM product portfolio for destination marketing organizations (DMOs). This senior\-level role will drive the modernization of our flagship legacy CRM product through the successful rollout of a next\-generation platform, while ensuring continued value delivery from existing solutions. The Principal Product Manager will own the product roadmap, align business objectives with customer needs, and lead a team of two Product Managers to deliver high\-impact outcomes across multiple value streams.
**What Your Impact Will Look Like**
* Define and communicate the vision and strategy for the CRM portfolio, balancing innovation with legacy product support.
* Act as the primary owner of the product roadmap, ensuring alignment with business goals and market trends.
* Drive the successful implementation and adoption of the new CRM platform, including migration planning and customer onboarding.
* Oversee maintenance and incremental improvements for CRM products to sustain customer satisfaction and revenue.
* Lead and mentor two Product Managers, providing coaching and career development.
* Collaborate with engineering, design, marketing, and customer success teams to deliver roadmap priorities on time and within scope.
* Apply data\-driven decision\-making to prioritize trade\-offs and clarify requirements throughout the agile development lifecycle.
* Participate in PI planning, sprint ceremonies, and retrospectives to ensure alignment and execution.
* Define success metrics, monitor product performance, and communicate progress to stakeholders and executive leadership.
**You Will Love This Job If You Have**
* 5\+ years of product management experience, including leadership of complex product portfolios.
* Proven success in SaaS product strategy and execution, ideally within CRM or marketing technology domains.
* Experience managing platform transitions or large\-scale product migrations.
* Strong understanding of agile methodologies and scaled frameworks (e.g., SAFe).
* Technical fluency to engage with engineering teams on APIs, data models, and system architecture.
* Exceptional communication and stakeholder management skills.
* Ability to build business cases and make data\-driven decisions.
* Experience in tourism, destination marketing, or related industries is a plus.
* Ability to influence without authority and champion change when needed.
* Strong analytical and problem\-solving skills.
* Ability to balance strategic vision with tactical execution in a fast\-paced environment.
* Passion for customers and delivering exceptional user experiences.
* Ability to build strong working relationships across all levels of the organization and with distributed teams.
**Pay Range**
 USD $129,000\.00 \- USD $145,000\.00 /Yr.
**About Us**
 Don’t have all the skills/experience mentioned above? At Granicus, we are trying to build diverse, inclusive teams. We do not have degree requirements for most of our roles. If you don’t meet every requirement above but are excited to learn more, we encourage you to apply. We might just be able to find another role that could be a perfect fit!
**Security And Privacy Requirements**
* Responsible for Granicus information security by appropriately preserving the Confidentiality, Integrity, and Availability (CIA) of Granicus information assets in accordance with the company's information security program.
* Responsible for ensuring the data privacy of our employees and customers, their data, as well as taking all required privacy training in a timely manner, in accordance with company policies.
**The Team**
* We are a remote\-first company with a globally distributed workforce across the United States, Canada, United Kingdom, India, Armenia, Australia, and New Zealand.
**The Culture**
* At Granicus, we are building a transparent, inclusive, and safe space for everyone who wants to be a part of our journey.
* A few culture highlights include – Employee Resource Groups to encourage diverse voices
* Coffee with Mark sessions – Our employees get to interact with our CEO on very important and sometimes difficult issues ranging from mental health to work\-life balance and current affairs.
* Microsoft Teams communities focused on wellness, art, furbabies, family, parenting, and more.
* We bring in special guests from time to time to discuss issues that impact our employee population
**The Impact**
* We are proud to serve dynamic organizations around the globe that use our digital solutions to make the world a better place — quite literally. We have so many powerful success stories that illustrate how our solutions are impacting the world. See more of our impact here .
**The Benefits**
 At Granicus, we offer a
 **comprehensive and flexible benefits package** 
 designed to support your well\-being, growth, and work\-life balance—starting from day one.
 Here’s what you can expect as a U.S.\-based team member:
**Flexibility \&amp; Balance**
* Flexible Time Off – Take the time you need to rest, recharge, and live your life.
* Company\-Wide Wellbeing Days – Paid days off to unplug and focus on your mental health.
* Work From Home Reimbursement – Support a productive home office environment.
**Health \&amp; Wellness**
* Multiple Health Plan Options – Including a 100% employer\-paid plan.
* Employer HSA Contributions – When enrolled in a High\-Deductible Health Plan.
* Fitness Reimbursement Program – Stay active, your way.
* On\-Demand Mental Health Support – Access to Headspace and other wellness tools.
**Family \&amp; Future**
* Paid Parental Leave – For both birthing and non\-birthing parents.
* Traditional \&amp; Roth 401(k) – With a generous company match.
* Life \&amp; AD\&amp;D Insurance – 100% employer\-paid coverage for peace of mind.
**Growth \&amp; Recognition**
* Online Learning Platforms – Fuel your professional development.
* Competitive Salary \&amp; Bonuses – Your contributions are valued and rewarded.
**Equal Opportunity Employer**
 Granicus is committed to providing equal employment opportunities. All qualified applicants and employees will be considered for employment and advancement without regard to race, color, religion, creed, national origin, ancestry, sex, gender, gender identity, gender expression, physical or mental disability, age, genetic information, sexual or affectional orientation, marital status, status with regard to public assistance, familial status, military or veteran status or any other status protected by applicable law.</t>
        </is>
      </c>
    </row>
    <row r="41">
      <c r="A41" t="inlineStr">
        <is>
          <t>li-4370121391</t>
        </is>
      </c>
      <c r="B41" t="inlineStr">
        <is>
          <t>Product Manager, Data Products</t>
        </is>
      </c>
      <c r="C41" t="inlineStr">
        <is>
          <t>Viasat</t>
        </is>
      </c>
      <c r="D41" t="inlineStr">
        <is>
          <t>linkedin</t>
        </is>
      </c>
      <c r="E41" t="inlineStr"/>
      <c r="F41" t="inlineStr"/>
      <c r="G41" t="inlineStr">
        <is>
          <t>Carlsbad, CA</t>
        </is>
      </c>
      <c r="H41" t="inlineStr"/>
      <c r="I41"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thrilled to announce an exciting opportunity for a Data Product Manager to join our dynamic team in Carlsbad, CA! This hybrid role offers the unique blend of working collaboratively within our Carlsbad office and the flexibility of remote work.
 In this pivotal role, you will architect the foundation for how we collect, store, govern, and activate customer data across our Advertising and Media/Entertainment business lines. You will serve as the central orchestrator between data engineering, legal, privacy, business partners, and analytics teams to build a comprehensive, privacy\-first data ecosystem that unlocks personalization, targeting, and insights while maintaining the highest standards of compliance and user trust.
**The day\-to\-day**
 Strategy \&amp; Vision
* Define and drive the end\-to\-end product strategy for first\-party user data, including collection methodology, storage architecture, governance frameworks, and activation use cases
* Establish the data roadmap that aligns with business priorities across Advertising and Media/Entertainment verticals
* Identify strategic opportunities to harness first\-party data for competitive advantage, revenue growth, and improved user experiences
 Data Infrastructure \&amp; Governance
* Determine what user\-level data we need to collect, where it should live, and how it should be structured for maximum utility and compliance
* Define data retention policies, access controls, and security protocols in partnership with IT and information security teams
* Design taxonomy and classification systems for user attributes, behaviors, and segments that serve multiple business use cases
 Privacy \&amp; Legal Collaboration
* Partner closely with legal and privacy teams to ensure compliance with global regulations (GDPR, CCPA, ePrivacy, etc.) and emerging privacy standards
* Develop privacy policies, consent management frameworks, and user communication strategies
* Champion privacy\-by\-design principles and implement privacy\-enhancing technologies
 Use Case Development \&amp; Activation
* Define and prioritize data use cases that drive value for Advertising (audience targeting, attribution, measurement) and Media/Entertainment (content personalization, recommendations, engagement) business lines
* Translate business needs into technical requirements and data specifications
* Build frameworks for audience segmentation, identity resolution, and cross\-platform data integration
 Analytics \&amp; Measurement
* Drive analytics strategy to extract actionable insights from first\-party data
* Establish benchmarks and measurement frameworks to quantify the impact of data initiatives
* Design experimentation approaches (A/B testing, incrementality studies) to optimize data\-driven personalization and targeting
 Cross\-Functional Leadership
* Collaborate with engineering and data science teams to build scalable, reliable data platforms and pipelines
* Enable sales, marketing, and product teams with data capabilities, tools, and education
* Communicate data strategy, progress, and insights to executive leadership and key partners
**What You'll Need**
* Bachelor's degree or equivalent experience in Computer Science, Engineering, Data Science, Business, or equivalent
* 8\+ years of product management experience, with 3\+ years focused on data products, customer data platforms, data strategy, or MarTech/AdTech ecosystems
* Proven track record of building and scaling first\-party data capabilities in sophisticated, multi\-business\-line organizations
 Technical Knowledge
* Deep understanding of data platform technologies (CDPs, data warehouses, data lakes, identity graphs)
* Solid grasp of data modeling, ETL/ELT processes, API integrations, and data pipeline architectures
* Knowledge of identity resolution methodologies, data enrichment strategies, and data quality management
 Privacy \&amp; Compliance Expertise
* Extensive knowledge of data privacy regulations (GDPR, CCPA/CPRA, and emerging standards)
* Experience designing consent management, data subject rights workflows, and privacy governance programs
* Familiarity with privacy\-enhancing technologies (differential privacy, data clean rooms, secure multi\-party computation)
 Business \&amp; Strategy Savvy
* Ability to translate business goals into data requirements and technical specifications
* Experience defining data monetization strategies and measuring data product return on investment
* Track record of influencing without authority and driving consensus across diverse partner groups
 Communication \&amp; Leadership
* Outstanding written and verbal communication skills, with ability to translate technical concepts for executive and non\-technical audiences
* Strong analytical and problem\-solving capabilities, with data\-driven decision\-making approach
* Experience managing sophisticated, multi\-quarter initiatives with multiple dependencies
**What Will Help You On The Job**
* Experience in Advertising, Digital Media, Entertainment, or Aviation industries.
* Hands\-on experience with AdTech/MarTech platforms (DMPs, CDPs, DSPs, data clean rooms).
* Understanding of advertising concepts including audience targeting, attribution modeling, media mix optimization, and measurement frameworks.
* Familiarity with content personalization, recommendation engines, and engagement analytics.
* Knowledge of 1st/2nd/3rd/zero\-party data strategies and cookie deprecation solutions.
* Experience with cloud data platforms (Snowflake, BigQuery, Databricks, AWS/Azure data services).
* Background in analytics tools and visualization platforms (SQL, Tableau, Looker, etc).
**Salary range**
 $145,500\.00 \- $230,000\.00 / annually. For specific work locations within San Jose, the San Francisco Bay area and New York City metropolitan area, the base pay range for this role is $181,000\.00\- $271,000\.00/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42">
      <c r="A42" t="inlineStr">
        <is>
          <t>li-4376770359</t>
        </is>
      </c>
      <c r="B42" t="inlineStr">
        <is>
          <t>Senior Product Manager - Visa Payment Passkey</t>
        </is>
      </c>
      <c r="C42" t="inlineStr">
        <is>
          <t>Visa</t>
        </is>
      </c>
      <c r="D42" t="inlineStr">
        <is>
          <t>linkedin</t>
        </is>
      </c>
      <c r="E42" t="inlineStr"/>
      <c r="F42" t="inlineStr"/>
      <c r="G42" t="inlineStr">
        <is>
          <t>San Francisco, CA</t>
        </is>
      </c>
      <c r="H42" t="inlineStr"/>
      <c r="I42"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a Senior Product Manager for Visa Payment Passkey, you will build world class consumer authentication products that will transform the landscape of payment authentication. You will develop solutions that help worldwide consumers reduce checkout friction and seamlessly authenticate purchases directly with merchants and through AI agents. You will help shape Visa’s near and long\-term strategy on consumer authentication, consumer payments and related solutions and deliver a product roadmap that brings that strategy to life.
 A strong candidate will have experience leading data\-driven product discovery to launch 0\-1 consumer products. The candidate will have a keen eye for improving user experiences and strong technical skills to optimize front\-end and back\-end solutions.
 To be successful in this role you will need to be a self\-starter, highly organized and deeply understand the mindset of consumers navigating checkout and payment journeys. You will need to able to execute all phases of product management from concept to delivery of new product lines and enhancements to existing consumer authentication flows. You will also need to manage stakeholders across all levels of the organization across the globe.
 Responsibilities:
* Contribute to the vision, strategy, and roadmap for Visa Payment Passkey and consumer authentication products
* Develop clear and compelling product narratives that effectively illustrate the problem space and possible solutions
* Partner with cross\-functional leaders to ensure that our strategy is optimized to meet client needs, driving innovation and ensuring product\-market\-fit
* Understand the broad set of Visa’s product capabilities and identify opportunities to collaborate and create unique solutions to complex problems
* Monitor consumer authentication and digital payments market trends and the competitive landscape to identify potential threats and opportunities
* Continuously collect and interpret market needs from clients, internal users, through market research, and synthesize findings to create and execute new product opportunities
* Manage the product lifecycle from concept through launch and beyond, ensuring timely delivery of products to market. Advocate for efficiency improvements in product operations and PDLC
* Drive the product management and development methodology and process from concept through delivery
* Participate in scrum processes, and ceremonies for product and engineering are followed (prioritize the backlog, create features, coordinate and oversee release planning and execution, ensure process improvements through retrospectives)
 This is a hybrid position. Expectation of days in office will be confirmed by your hiring manager.
**Qualifications**
 Basic Qualifications:
 8 or more years of relevant work experience with a Bachelor Degree or at least 5 years of experience with an Advanced Degree (e.g. Masters, MBA, JD, MD) or 2 years of work experience with a PhD
 Preferred Qualifications:
 9 or more years of relevant work experience with a Bachelor Degree or 7 or more relevant years of experience with an Advanced Degree (e.g. Masters, MBA, JD, MD) or 3 or more years of experience with a PhD
 5\+ years of experience building direct to consumer digital products
 Proficient in Figma (or equivalent design tools) to design basic UI flows
 Hands\-on experience with A/B testing and cohort analysis
 Strong technical knowledge of frontend and backend architecture
 Experience in data and hypothesis driven product development
 7\+ years of experience building direct to consumer digital products
 Prior experience building checkout flows for e\-commerce merchants or marketplaces is a big plus
 Ability to independently write and execute SQL queries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169,100\.00 to 270,800\.00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43">
      <c r="A43" t="inlineStr">
        <is>
          <t>li-4368888834</t>
        </is>
      </c>
      <c r="B43" t="inlineStr">
        <is>
          <t>Principal Product Manager, Crypto</t>
        </is>
      </c>
      <c r="C43" t="inlineStr">
        <is>
          <t>SoFi</t>
        </is>
      </c>
      <c r="D43" t="inlineStr">
        <is>
          <t>linkedin</t>
        </is>
      </c>
      <c r="E43" t="inlineStr"/>
      <c r="F43" t="inlineStr"/>
      <c r="G43" t="inlineStr">
        <is>
          <t>San Francisco, CA</t>
        </is>
      </c>
      <c r="H43" t="inlineStr"/>
      <c r="I4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**About The Role**
 We’re hiring a Principal Product Manager to lead the strategy, execution, and evolution of our stablecoin and crypto platform products.
 In this role, you will own the systems that power issuance, custody, movement, and settlement of regulated, asset\-backed digital currencies. You’ll be responsible for defining and executing SoFi's stablecoin strategy across both blockchain and traditional financial rails, with a strong focus on accuracy, resilience, and regulatory alignment.
 This is a senior individual contributor role for a product leader who thrives at the intersection of financial infrastructure, distributed systems, and regulatory requirements. You will work deeply with engineering to shape architecture and long\-term technical investments, while partnering closely with compliance, legal, risk, and security to ensure our stablecoin capabilities meet the highest standards of safety, transparency, and control.
**Responsibilities**
**Stablecoin product experience is required.**
* Own the product vision, roadmap, and execution for stablecoin issuance and lifecycle management, including minting, burning, redemption, and supply governance.
* Define and deliver on\-chain and off\-chain settlement systems that enable reliable, high\-throughput movement of digital dollars across blockchain and traditional financial rails.
* Partner closely with engineering to drive core architectural decisions and guide long\-term infrastructure investments.
* Engage with risk, compliance, and security teams to align platform capabilities with regulatory requirements (e.g., KYC/AML, travel rule).
* Collaborate with internal crypto product teams to ensure platform solutions unlock new product opportunities.
* Design funds\-flow controls, transaction limits, and circuit breakers to support safe operation under normal and stressed conditions.
* Define success metrics and rigorously measure performance, efficiency, and system health.
* Lead complex build\-vs\-buy evaluations, including vendor assessments for custody and blockchain infrastructure.
* Stay current with emerging crypto technologies, protocols, custody models, and regulatory changes that may impact platform strategy.
**Minimum Qualifications**
* 10\+ years of product management experience, with significant ownership of complex financial or infrastructure products operating at scale.
* Proven track record launching, or operating stablecoins or asset\-backed digital currencies, including hands\-on involvement in issuance, redemption, or on\-chain value transfer.
* Strong technical fluency across distributed systems, APIs, and blockchain\-based transaction flows, with the ability to engage deeply in architecture and design discussions with engineering.
* Experience defining and managing mint/burn controls, funds\-flow rules, transaction limits, and operational safeguards for digital money products.
* Experience partnering with engineering to navigate architecture decisions and technical trade\-offs.
* Demonstrated ability to balance long\-term platform investments with near\-term delivery needs.
* Strong cross\-functional collaboration skills, particularly with engineering, security, compliance, legal, and analytics.
* Strong judgment balancing regulatory rigor, system reliability, and product velocity in ambiguous and high\-stakes environments.
* Excellent written and verbal communication skills, with the ability to simplify technical complexity for diverse stakeholders.
**Preferred Qualifications**
* Relevant experience around launching/operating a Stablecoin, 3rd party integrations with custodians, liquidity providers, trade aggregators, knowledge of both retail and institutional trading, knowledge of secured lending.
* Experience with crypto infrastructure products such as custody, wallets, or blockchain nodes.
* Familiarity with crypto\-specific regulatory frameworks (KYC/AML, custody rules, travel rule).
* Background working in fintech, payments infrastructure, or digital asset companies.
* Passionate about leveraging crypto and DeFi technologies to modernize and expand the capabilities of traditional finance.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4">
      <c r="A44" t="inlineStr">
        <is>
          <t>li-4361285895</t>
        </is>
      </c>
      <c r="B44" t="inlineStr">
        <is>
          <t>Product Manager</t>
        </is>
      </c>
      <c r="C44" t="inlineStr">
        <is>
          <t>OneSource Virtual</t>
        </is>
      </c>
      <c r="D44" t="inlineStr">
        <is>
          <t>linkedin</t>
        </is>
      </c>
      <c r="E44" t="inlineStr"/>
      <c r="F44" t="inlineStr"/>
      <c r="G44" t="inlineStr"/>
      <c r="H44" t="inlineStr"/>
      <c r="I44" t="inlineStr">
        <is>
          <t>OneSource Virtual (OSV) has helped more than 1,000 Workday customers take their teams from transactional to transformational with innovative technology and services for HR, payroll, and finance. Founded in 2008, OSV is the leading exclusive provider of Business\-Process\-as\-a\-Service (BPaaS) solutions for Workday, delivering services with unparalleled choice, unwavering commitment, and uncompromising support. OneSource Virtual’s global headquarters is located in Dallas, Texas, with additional locations across North America and Europe. Find your company’s solution at www.onesourcevirtual.com.
**Job Description Summary**
 The Product Manager is responsible for assessing, evaluating, coordinating, and integrating the various stages of the product lifecycle, from conceptualization through execution. This role serves as a central hub, aligning the product’s development with strategic inputs from across the organization and ensuring that all functional contributions cohere into a comprehensive product strategy. The Product Manager will collaborate closely with cross\-functional teams, including technical, marketing, sales, and external partners, to deliver outstanding customer\-centric products and services.
**Essential Functions/Duties/Responsibilities**
* Facilitate the development and definition of the product strategy and roadmap.
* Collect, analyze, make recommendations, prioritize, and address product and customer needs that align with organizational goals.
* Collaborate with engineering, sales, and marketing teams to ensure successful product launches and market adoption.
* Coordinate competitive analysis and market research to inform product decisions.
* Drive product innovation and manage the lifecycle from inception to phase\-out.
* Oversee product\-related deliverables, which may include PRDs, metrics, budgets, forecasts, pricing, and performance measures.
* Facilitate, understand, influence, manage expectations, and build relationships with cross\-functional teams and partner collaborations to achieve product objectives.
* Other duties as assigned.
 Competencies
* Communicates Effectively: Demonstrates the ability to convey information clearly and make compelling points to ensure understanding across diverse audiences.
* Collaborates: Works cooperatively with others across the organization to achieve shared objectives.
* Manages Complexity: Makes sense of complex, high quantity, and sometimes contradictory information to effectively solve problems.
* Situational Adaptability: Adapts approach and demeanor in real\-time to match the shifting demands of different situations.
* Action Oriented: Takes on new opportunities and tough challenges with a sense of urgency, high energy, and enthusiasm.
* Plans and Aligns: Plans and prioritizes work to meet commitments aligned with organizational goals.
* Resourceful: Secures and deploys resources effectively and efficiently.
* Business Insight: Applies knowledge of business and the marketplace to advance the organization's goals.
* Balances Stakeholders: Anticipates and balances the needs of multiple stakeholders.
* Customer Focus: Builds strong customer relationships and delivers customer\-centric solutions.
 Supervisory Responsibility
* This role does not have any supervisory responsibilities.
**Qualifications And Experience**
* Bachelor’s degree or equivalent required.
* Minimum of 3\-5 years of experience in product management, preferably in a related industry.
* Proven track record of managing all aspects of a successful product throughout its lifecycle.
* Strong problem\-solving skills and willingness to roll up one’s sleeves to get the job.
* Excellent written and verbal communication skills.
* Proven ability to develop product strategies and effectively communicate recommendations to executive management.
**Preferred Skills**
* Experience with Human Resource Information Systems (HRIS) and Finance \&amp; Accounting Systems, preferably Workday.
* Working knowledge of both relational and non\-relational databases.
* Familiarity with Agile and Scrum methodologies.
* Strong analytical and quantitative skills, including the ability to use data and metrics to support decisions and develop business cases.
* Understanding of cloud computing, SaaS models, and software development lifecycle (SDLC).
* Ability to manage multiple priorities in a fast\-paced environment.
* Excellent organizational skills with attention to detail.
* Ability to thrive in a collaborative and team\-oriented setting.
 You are encouraged to learn and share ideas when you join the OneSource Virtual team. We reward innovative thinking, fresh perspectives, creative collaboration, and hard work. As an organization experiencing routine strategic growth, we are always on the lookout for intelligent, talented, and forward\-thinking professionals to join our team. OSV employees enjoy a values\-based culture, upward mobility, and professional development with opportunities of all kinds.</t>
        </is>
      </c>
    </row>
    <row r="45">
      <c r="A45" t="inlineStr">
        <is>
          <t>li-4357734704</t>
        </is>
      </c>
      <c r="B45" t="inlineStr">
        <is>
          <t>Product Manager - Android</t>
        </is>
      </c>
      <c r="C45" t="inlineStr">
        <is>
          <t>Bose Corporation</t>
        </is>
      </c>
      <c r="D45" t="inlineStr">
        <is>
          <t>linkedin</t>
        </is>
      </c>
      <c r="E45" t="inlineStr"/>
      <c r="F45" t="inlineStr"/>
      <c r="G45" t="inlineStr">
        <is>
          <t>Framingham, MA</t>
        </is>
      </c>
      <c r="H45" t="inlineStr"/>
      <c r="I45"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**Software Product Manager – Android**
**About Bose \&amp; The Audio Technology Team**
 For over 60 years, Bose has been a leader in delivering premium audio experiences, setting the benchmark for performance, elegance, and simplicity. Bose’s Technology Licensing team plays a pivotal role in expanding that legacy, transforming proprietary innovations into market\-ready software and technology solutions that power products across the consumer electronics, automotive, and wearables industries.
 We focus on shipping real software platforms that integrate cleanly into modern Android 16, 17 and beyond, scale across partners, and represent Bose’s technical credibility in system audio, spatial processing, and acoustic tuning.
**About The Role**
 We are seeking a Software Product Manager to lead the Android platform software team and own Bose’s Android audio platform. This role delivers spatial audio processing, acoustic tuning algorithms, elegant system\-level UX, and orchestrated multi\-device audio experiences across Android phones, wearables, and connected devices.
 The role operates at the intersection of current Android platform capabilities, advanced audio systems, and long\-term business strategy, serving multiple stakeholders including Android OEMs, internal and external tuning engineers, and licensing leadership.
 This is a hands\-on, platform leadership role, not a feature PM position.
**Key Responsibilities**
**Product Leadership \&amp; Execution**
* Lead the Android platform software team as Product Owner for a persistent Agile team.
* Own roadmap, backlog prioritization, and delivery sequencing across Android platform milestones.
* Define core platform capabilities versus OEM\-specific extensions, ensuring scalability across partners.
* Ensure foundational audio pipeline bring\-up precedes optimization, spatial feature layering, and UX refinement.
**Android Platform Ownership**
* Own integration into Android system audio, including AudioFlinger, audio effects frameworks, and Audio HAL using AIDL\-based interfaces.
* Manage Android version dependencies across AOSP, OEM forks, and Android CDD requirements.
* Guide architectural decisions across ARM processing, Qualcomm Hexagon DSP, and MediaTek audio DSP targets.
* Understand trade\-offs between framework changes, vendor hooks, and application\-layer solutions in modern Android.
**Spatial Processing \&amp; Acoustic Tuning**
* Own product definition for spatial audio, binaural rendering, HRTFs, and device\-specific acoustic tuning algorithms.
* Support internal and external tuning engineers with clear configuration surfaces, constraints, and validation expectations.
* Reason end\-to\-end about latency budgets, buffering, synchronization, clock drift, and power consumption.
* Ensure system\-level audio UX remains coherent across use cases including media, voice, and immersive playback.
**Connectivity, Sensors \&amp; Experience Orchestration**
* Understand Bluetooth audio pipelines, including LE Audio, LC3, Auracast, and Fast Pair.
* Coordinate with embedded and wearable teams on head tracking, IMU ingestion, and sensor fusion paths.
* Ensure platform decisions enable orchestrated, cross\-device audio experiences rather than isolated features.
**Stakeholder \&amp; Strategy Alignment**
* Balance requirements from Android OEM partners, tuning teams, and long\-term platform and licensing strategy.
* Define clear ownership boundaries between Bose software, OEM platform changes, and third\-party components.
* Ensure platform investments support future ecosystem expansion and repeatable software licensing.
**Required Experience**
**Must\-Have**
* 8\+ years in software product management or technical product leadership.
* Experience leading system\-level or platform software teams.
* Strong working knowledge of Android platform internals, especially modern Android audio.
* Proven ability to ship software tied to hardware, firmware, and OS integration.
* Technical credibility with Android framework, DSP, embedded, and Bluetooth engineers.
**Preferred**
* Experience with spatial audio, real\-time signal processing, or acoustic tuning systems.
* Familiarity with Qualcomm and MediaTek Android audio stacks.
* Experience with Android OEM integration, AOSP\-based development, or platform licensing models.
**Why Join Us?**
* Work on cutting\-edge technologies that power next\-generation experiences in consumer electronics.
* Collaborate with leading engineers, business leaders, and SoC vendors to bring Bose innovations to market.
* Be part of a startup\-like environment within a globally recognized brand.
* Gain exposure to spatial audio, AI\-driven voice enhancement, immersive sound, and IoT in a fast\-evolving industry.
 If you are passionate about shaping the future of audio and thrive in a technical, business\-driven product management role, we’d love to hear from you!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$150,600\-$207,150\.The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46">
      <c r="A46" t="inlineStr">
        <is>
          <t>li-4368284016</t>
        </is>
      </c>
      <c r="B46" t="inlineStr">
        <is>
          <t>Senior Product Manager, Virtual Private Cloud</t>
        </is>
      </c>
      <c r="C46" t="inlineStr">
        <is>
          <t>Google</t>
        </is>
      </c>
      <c r="D46" t="inlineStr">
        <is>
          <t>linkedin</t>
        </is>
      </c>
      <c r="E46" t="inlineStr"/>
      <c r="F46" t="inlineStr"/>
      <c r="G46" t="inlineStr">
        <is>
          <t>Sunnyvale, CA</t>
        </is>
      </c>
      <c r="H46" t="inlineStr"/>
      <c r="I46" t="inlineStr">
        <is>
          <t>**Minimum qualifications:**
* Bachelor's degree or equivalent practical experience.
* 8 years of experience in product management or a related technical role.
* 3 years of experience taking technical products from conception to launch (e.g., ideation to execution, end\-to\-end, 0 to 1, etc.).
* Experience with networking, network architecture, networking protocols, and software architecture.
**Preferred qualifications:**
* 10 years of experience with product management, with a focus on cloud networking.
* 3 years of experience in software development or engineering.
* Understanding of AI/ML technologies, including: CPU/GPU roadmap, TPU roadmap and offering, CUJs, Smart NICs market landscape and Neo Clouds.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millions of employees and organizations empower their employees, serve their customers, and build what’s next for their business — all with technology built in the cloud.
 As large enterprises and AI/ML training customers look to Google Cloud Platform (GCP) for deploying their business critical workloads, Virtual Private Cloud (VPC) becomes the fundamental construct that they interact with and build on. With this, our mission is to provide the world's most reliable, performant, and feature\-rich network connectivity, empowering innovation on Google Cloud Platform. In this role, you will work cross\-functionally to influence strategy and road map and deliver products from conception to launch.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Advocate Private Service Connect (PSC) as the default private connectivity on Google Cloud. Own the road map to resolve critical limitations for adoption (e.g., RDMA, security, automation). Simplify Agentic AI connectivity.
* Drive product strategy for AI/ML on Virtual Private Cloud (VPC). Evolve core VPC with new hardware (e.g., Andromeda, Bare Metal), partnering to deliver performance, and cost.
* Lead cross\-functional planning and deliver priorities across teams. Engage with customers to resolve blockers, manage escalations, and translate feedback to unblock business agreements.
* Lead Go\-to\-Market and new business generation strategies to accelerate adoption. Develop external messaging and content (e.g., blog posts) communicating the value of high\-performance and private connectivity.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7">
      <c r="A47" t="inlineStr">
        <is>
          <t>li-4372034133</t>
        </is>
      </c>
      <c r="B47" t="inlineStr">
        <is>
          <t>Product Manager, Data Products &amp; Analytics</t>
        </is>
      </c>
      <c r="C47" t="inlineStr">
        <is>
          <t>Acuity</t>
        </is>
      </c>
      <c r="D47" t="inlineStr">
        <is>
          <t>linkedin</t>
        </is>
      </c>
      <c r="E47" t="inlineStr"/>
      <c r="F47" t="inlineStr"/>
      <c r="G47" t="inlineStr">
        <is>
          <t>Atlanta, GA</t>
        </is>
      </c>
      <c r="H47" t="inlineStr"/>
      <c r="I47" t="inlineStr">
        <is>
          <t>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
 Work location:
* This position may be based anywhere in the United States and includes travel as part of the responsibilities.
**Job Summary**
 We’re seeking a strategic, hands\-on Product Manager for Data Products in AYI Tech, with a primary focus on Planning and Supply Chain Analytics. You’ll develop and execute the Data Products roadmap, delivering new analytics and ML/AI capabilities that enable proactive, forward‑looking decisions and improve business outcomes. You’ll balance immediate needs with long‑term vision, partnering with a diverse set of stakeholders to shape how data drives action across a leading industrial technology company.
****Key Responsibilities****
* Drive Product Roadmap Development: Define the evolution of new Data Products, analytics, and ML/AI capabilities that leverage historical and forward\-looking planning data to derive insights and support decision\-making. Articulate what’s feasible, impactful, and logical, sequencing features that align with stakeholder needs and enterprise priorities.
* Take Ownership of Planning Data Products: Maintain and continuously enhance a suite of existing, widely used Planning reports, ensuring responsiveness and continuity.
* Influence Stakeholders and Shape Demand: Engage with Planners, Sourcing Managers, Sales and Product Leads, and Finance Executives. Translate the high\-level needs of this diverse set of stakeholders into concrete, scalable data solutions, and align competing asks to the roadmap and enterprise priorities.
* Define and Validate Metrics: Ensure accuracy, trust, and usefulness in every measure. Define and implement KPIs that align with and enhance our organization’s Planning maturity and guide users to take timely actions when performance deviates from plan.
* Represent Analytics in Business Forums: Participate in Quarterly Business Reviews and Steering Committees to share roadmaps, align on priorities, and establish Planning Analytics as a critical enterprise capability.
**Minimum Requirements**
* B.Sc. in Business, Engineering, Information Systems, Computer Science, or related discipline (or equivalent practical experience).
* 3\+ years of experience in Product Management, Industrial Engineering, Systems Engineering, Operations Consulting, or structured problem solving in the context of technology and IT systems.
* Familiar with end\-2\-end Planning and/or ERP solutions (e.g., Blue Yonder, Kinaxis, o9 Solutions, SAP, Palantir, Oracle).
* Demonstrated track record of leveraging business intelligence data and/or usage data to prioritize the implementation of new functionality and guide day\-to\-day product execution.
* Proven ability to identify, document, and articulate user needs and define the associated user experience.
* Excellent interpersonal skills with an ability to work well with highly cross\-functional teams
* Intellectually curious with a data\-driven mindset; experience shipping and iterating new product functionality based on data.
* Strong communication skills in both written and verbal forms.
* Available to travel based on business needs (1 – 20%).
**Preferred Requirements**
* M.Sc. in Computer Science, Information Systems, or related discipline.
* Experience with IBP processes and/or Planning platforms (e.g., o9 Solutions, Anaplan, SAP IBP).
* Exposure to sourcing or supply management analytics.
* Familiarity with Azure Data Lake and/or Databricks environments.
* Familiarity AI/ML capabilities.
* Background in B2B, supply chain, or manufacturing\-heavy organizations.
* Product management training or certification (e.g., Pragmatic, CSPO, Reforge).
**The range for this position is $93,000\.00 to $167,400\.00\. Placement within this range may vary, depending on the applicant’s experience and geographic location. Acuity offers generous benefits including health care, dental coverage, vision plans, 401K benefits, and commissions/incentive compensation depending on the role. For a list of our benefits, click here .**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Please click here and here for more information.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an accommodation, you may contact us at (770\) 922\-9000, select option 4\.  Please clearly indicate what type of accommodation you are requesting and for what requisition .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t>
        </is>
      </c>
    </row>
    <row r="48">
      <c r="A48" t="inlineStr">
        <is>
          <t>li-4368690729</t>
        </is>
      </c>
      <c r="B48" t="inlineStr">
        <is>
          <t>Senior Product Manager (Creative Intelligence)</t>
        </is>
      </c>
      <c r="C48" t="inlineStr">
        <is>
          <t>Smartly</t>
        </is>
      </c>
      <c r="D48" t="inlineStr">
        <is>
          <t>linkedin</t>
        </is>
      </c>
      <c r="E48" t="inlineStr"/>
      <c r="F48" t="inlineStr"/>
      <c r="G48" t="inlineStr">
        <is>
          <t>New York, United States</t>
        </is>
      </c>
      <c r="H48" t="inlineStr"/>
      <c r="I48" t="inlineStr">
        <is>
          <t>Are you passionate about leading innovative product development in the dynamic world of digital advertising and creative?
 **Join our esteemed Product Management team as a Senior Product Manager** 
 and drive the evolution of our
 **Creative Intelligence** 
 for digital advertisement!
****About the Team:****
 At Smartly, we empower our clients with cutting\-edge solutions for digital advertising across various social media channels. As part of our Creative Product team, you will play a pivotal role in revolutionizing how businesses strategize, execute, scale, and optimize their advertising efforts around Creative through our Smartly Advertising Platform. Your contributions will directly impact our client's ability to save time and maximize returns on their advertising investments by providing a seamless cross\-channel experience with excellent Creative at scale.
 As a Senior Product Manager, you will spearhead the development of our creative\-centric tooling within our platform. Your role involves shaping the vision and execution of Smartly Creative’s Creative Reporting encompassing Creative Element Level Reporting across our platforms, Creative Predictive Potential and Creative Insights ensuring we have solid and winning roadmap for these topics for 2026 and beyond; In this role, you will collaborate with the Creative PM team aligning with the owners of the tools such as Producer, Editor and External templates and the fully integrated DSPs we have. In addition, liaising with the broader PM team owning the social platforms supported by Smartly Media.
****As a Senior Product Manager, you will:****
* Gain deep customer insights to define product priorities and problems to solve
* Lead product discovery activities, including user research and prototype testing
* Collaborate with cross\-functional teams to craft product vision and roadmap
* Own the product roadmap\+backlog and prioritize feature development
* Develop go\-to\-market strategies to drive product adoption and demand
* Conduct client workshops and presentations to showcase product capabilities
* Manage stakeholder relationships and ensure alignment of strategy and execution
****What we're looking for:****
* 5\+ years of product management experience, preferably in B2B SaaS
* Working experience in the DSP ad ecosystem and ad\-serving technologies including signal and targeting strategies.
* Proven track record of leading high\-impact projects and driving user or revenue growth
* Strong leadership skills with experience in cross\-functional collaboration
* Expertise in launching successful software products and features
* Background in technologically complex domains, such as digital advertising
* Proficiency in data analysis and handling large datasets
* Bachelor's or Master's degree in Marketing or related fields
* Ability to work and willingness to work from the New York office at least 3 days per week
* Excellent English and willingness plus ability to travel internationally to meet internal teams and partners
**What We Offer You...**
* Five weeks paid time off (PTO), 11 company paid holidays, unlimited sick days
* Generous healthcare packages \&amp; mental health benefits
* 401K plus matching \&amp; equity grants for all new Smartlies
* Wellness benefit \&amp; learning reimbursement opportunities
* Volunteer time off days \&amp; company donation matching opportunities
* And so much more…
 Smartly is committed to being the best place to work for growth\-minded individuals to thrive \- explore more in our Culture Handbook!
 The base pay range for this position is as mentioned below per year, plus an annual performance bonus. We take into consideration an individual’s background, expertise, and experience in determining final salary. In addition to annual salary, Smartly’s total rewards provide employees with stock options, medical/dental/vision insurances, retirement savings benefits, parental leave, 5 weeks vacation, unlimited sick days, life insurance, and disability benefits. This information is provided in accordance with applicable law. Base pay information is based on market location.
 Salary (base) in USD: $150,000 to $189,000 USD.
****About Smartly****
 Smartly is the AI\-powered advertising technology company transforming ad experiences for brands and their consumers. Our comprehensive advertising platform seamlessly integrates the capabilities of media, creative, and intelligence to power more than 800 billion impressions and generate more than 300 billion creatives annually, delivering tangible business outcomes for brands and advertisers.
 Smartly is the only company in the industry recognized as a Leader in The Forrester Wave: Creative Advertising Technologies with PwC validating the results it delivers for brands. We manage creative and media for 700\+ brands worldwide and $6B in ad spend across the largest media platforms, including Facebook, Google, Instagram, Pinterest, Snap, and TikTok. Our end\-to\-end technology, unmatched access to media platforms and exceptional customer service help Fortune 500 brands to reach and engage consumers and learn what performs best.Smartly is a multinational and diverse team of 750\+ Smartlies from 60\+ nationalities, working in 13 countries. Together, we want to create and maintain an inclusive environment where everyone feels respected and heard. Our Diversity, Equity \&amp; Inclusion approach is at the heart of it.
 Visit Smartly to learn more.
 The processing of your information is described in our Candidate Privacy Notice.</t>
        </is>
      </c>
    </row>
    <row r="49">
      <c r="A49" t="inlineStr">
        <is>
          <t>li-4328940671</t>
        </is>
      </c>
      <c r="B49" t="inlineStr">
        <is>
          <t>Senior Product Manager, Partner Experience</t>
        </is>
      </c>
      <c r="C49" t="inlineStr">
        <is>
          <t>Xometry</t>
        </is>
      </c>
      <c r="D49" t="inlineStr">
        <is>
          <t>linkedin</t>
        </is>
      </c>
      <c r="E49" t="inlineStr"/>
      <c r="F49" t="inlineStr"/>
      <c r="G49" t="inlineStr">
        <is>
          <t>North Bethesda, MD</t>
        </is>
      </c>
      <c r="H49" t="inlineStr"/>
      <c r="I4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Product Manager** 
 to lead the development of our
 **Partner Experience products.** 
 In this role, you’ll focus on creating seamless and rewarding experiences for manufacturers in the Xometry network — from onboarding and quoting to fulfillment, ratings, and re\-engagement. Your work will be essential to making partnerships with Xometry frictionless, driving long\-term success and satisfaction across our supplier ecosystem.
**Responsibilities:**
* Own and execute the roadmap for specific areas of the partner journey such as quoting tools, onboarding workflows, fulfillment guidance, or partner performance insights.
* Collaborate closely with engineers, designers, and the partner operations team to launch impactful improvements.
* Analyze performance metrics like order acceptance rates, fulfillment speed, and partner satisfaction to identify opportunities.
* Gather feedback directly from partners to inform product decisions and prioritize enhancements.
* Ensure feature adoption through thoughtful rollout strategies, in\-app education, and partner communications.
* Partner with other PMs and business units to align roadmap and dependencies.
**Qualifications:**
* 5\+ years of product management experience, preferably in marketplaces, supply chain, or logistics tooling.
* Demonstrated success shipping features in complex operational or B2B environments.
* Analytical mindset and ability to interpret data to guide decisions.
* Strong communication skills and stakeholder alignment abilities.
 The estimated base salary range for new hires into this role is $135,000\- $175,000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50">
      <c r="A50" t="inlineStr">
        <is>
          <t>li-4354943076</t>
        </is>
      </c>
      <c r="B50" t="inlineStr">
        <is>
          <t>Senior Product Manager, Payments</t>
        </is>
      </c>
      <c r="C50" t="inlineStr">
        <is>
          <t>myGwork - LGBTQ+ Business Community</t>
        </is>
      </c>
      <c r="D50" t="inlineStr">
        <is>
          <t>linkedin</t>
        </is>
      </c>
      <c r="E50" t="inlineStr"/>
      <c r="F50" t="inlineStr"/>
      <c r="G50" t="inlineStr"/>
      <c r="H50" t="inlineStr"/>
      <c r="I50" t="inlineStr">
        <is>
          <t>**This job is with Automattic, an inclusive employer and a member of myGwork – the largest global platform for the LGBTQ\+ business community. Please do not contact the recruiter directly.** 
**The role**
 We’re hiring a senior, hands\-on Product Manager to join WooCommerce Payments and take ownership of a defined area within our payments products and partner integrations.
 You’ll collaborate closely with the Head of Product, and work day\-to\-day with engineering, design, support, and partnerships. This role is deeply executional. You’ll spend much of your time in the work: in Linear writing and refining issues, triaging bugs and incidents, reviewing and shaping flows in Figma, creating lightweight prototypes, and writing briefs or PRDs when they’re needed.
 Payments at WooCommerce run at a serious scale—billions in total payment volume—and the quality of this experience directly affects merchant revenue, shopper conversion, and the success of Woo’s commercial engine. This role sits right where reliability, trust, and execution matter most.
**What You’ll Work On**
* Own product direction and execution for a key part of the payments product area, with clear goals, priorities, and measurable outcomes.
* Improve merchant and shopper experiences across onboarding, checkout, refunds and disputes, payouts, reporting, and overall reliability.
* Raise the quality bar by reducing failures and friction, lowering support volume, and improving product ratings and merchant trust.
* Use data, support signals, and merchant feedback to decide what to work on next, define success measures, and make tradeoffs explicit.
* Work closely with priority payments partners (including Stripe and PayPal) to improve integrations, ship changes, manage dependencies, and resolve issues.
* Keep stakeholders aligned through clear, direct writing and communication about progress, risks, and decisions.
**What we’re looking for**
* 7\+ years in product roles, with senior IC experience owning complex problem spaces and influencing cross\-functional teams through clarity of communication and precision of execution.
* 4\+ years in payments or fintech, ideally on products operating at scale; experience with large or global launches is a plus.
* Strong product judgment. You can make good calls in messy situations and don’t need perfect information to move forward.
* Comfort working on critical, high\-trust systems where reliability matters and small changes can have outsized impact.
* Ability to work deeply with engineers and designers on complex problems, including technical constraints and tradeoffs.
* Strong analytical habits and a practical approach to metrics, dashboards, and instrumentation.
* Clear written and verbal communication in a distributed, async environment.
* Familiarity with WooCommerce, WordPress, or open\-source ecosystems is a plus.
**Salary range: $170,000\-$240,000 USD.** 
 Please note that salary ranges are global, regardless of location, and we pay in local currency.
 We are searching for high\-caliber candidates with the skills and qualities to have a net positive for Automattic. Pay will reflect the potential contribution and the impact you can bring, which may, in some cases, go beyond the range stated.
 We’re pleased to offer a straightforward, competitive base salary, providing financial clarity without complex variable components. This isn’t your typical work\-from\-home job: we are a fully\-remote company with an open vacation policy. To see a full list of benefits by country, consult our Benefits Page. And check out these links to learn more about How We Hire and What We Expect from Ourselves.
**About Automattic**
 Now in our 20th year, we’re the people behind WordPress.com, WooCommerce, Beeper, Tumblr, Simplenote, Jetpack, Longreads, Day One, PocketCasts, and more. We believe in making the web a better place.
 We’re a distributed company with more than 1500 Automatticians in nearly every corner of the globe, speaking over a hundred different languages. Enriched by this diversity, we’re united by a singular mission: to democratize publishing, commerce, and messaging so anyone with a story can tell it, anyone with a product can sell it, and everyone can manage their communications from a single source. In short, we help maintain a balance in society, creating and continually refining powerful tools people can use to compete fairly—regardless of income, gender, politics, language, or where they live in the world.
 We believe in Open Source, and the vast majority of our work is available under the GPL. Automattic is a Most Loved Company, an Equal Opportunity employer, and Disability Confident Committed. (Here’s what that might mean for you.) If you need disability\-related accommodations during the application or interview process, please fill out this form. We are committed to ensuring an accessible hiring process for all candidates. Learn more about our Employee Resource Groups.
 You can track your application status and more at MyGreenhouse.
 To learn about how we handle your data, please review our Privacy Policy.
 All qualified applicants will receive consideration for employment without regard to race, color, religion, sex, sexual orientation, gender identity, national origin, disability, or status as a protected veteran. View the “Know Your Rights: Workplace Discrimination is Illegal” poster here. Automattic participates in the E\-Verify program in certain locations, as required by law.
 ]]\&gt;</t>
        </is>
      </c>
    </row>
    <row r="51">
      <c r="A51" t="inlineStr">
        <is>
          <t>li-4377868612</t>
        </is>
      </c>
      <c r="B51" t="inlineStr">
        <is>
          <t>Legacy Modernization Product Manager</t>
        </is>
      </c>
      <c r="C51" t="inlineStr">
        <is>
          <t>Nava</t>
        </is>
      </c>
      <c r="D51" t="inlineStr">
        <is>
          <t>linkedin</t>
        </is>
      </c>
      <c r="E51" t="inlineStr"/>
      <c r="F51" t="inlineStr"/>
      <c r="G51" t="inlineStr"/>
      <c r="H51" t="inlineStr"/>
      <c r="I51" t="inlineStr">
        <is>
          <t>**About Nava**
 Nava is a consultancy and public benefit corporation working to make government services simple and effective. Since 2015, federal, state, and local agencies have trusted Nava to help solve highly scrutinized technology modernization challenges.
 As a client services company, we guide agencies constrained by legacy systems to a future with sharp user experiences built on secure, reliable, fault\-tolerant cloud infrastructure. We bill for our time, offering our expertise and problem\-solving approach to help our government partners enhance their digital products and services. People are at the heart of our work, from members of the public who rely on benefit programs to government agency staff. Through human\-centered design and modern engineering best practices, we help our government partners understand user needs and deliver on their missions more effectively. This focus gives everyone at Nava the opportunity to do work that is meaningful, impactful, and deeply connected to public good.
**Position Summary**
 Nava is seeking a Product Manager to join our legacy modernization solutions team that is focused on developing tools that accelerate how Nava teams modernize legacy systems. As part of this team, you will support early stage product development, including but not limited to problem identification, rapid prototyping and experimentation, market research, and user research in support of achieving product market fit.
 What you'll do
* Create and execute product strategies for discovering and developing solutions that accelerate Nava's legacy modernization delivery teams: Solutions that break vendor lock\-in and accelerate the modernization of legacy systems, that help teams rapidly understand legacy systems, and that help teams migrate legacy systems quickly and safely
* Quickly iterate within problem spaces to identify promising solutions
* Work closely with business development to track pipeline to understand market needs and opportunities
* Fill gaps and adapt to changing team needs in order to drive team outcomes
* Measure team impact and report on progress towards company goals
 Desired experience
* Minimum of 5 years of experience in developing and implementing enterprise class solutions leveraging industry standard patterns and practices
* Experience in early stage product discovery and development
* Experience with market research and go\-to\-market experience
* Successful delivery of complex features or products
* History of building strong relationships internally with peers and working cross\-functionally with other internal disciplines
* Experience with business development within government digital services firms like Nava
* Experience with legacy modernization problems
 You should also be comfortable with
* Responding to, sharing internally, and absorbing feedback in a clear, quick, and concise manner
* Cross\-discipline collaboration and problem\-solving including internal improvement areas like team structure, norms, standards, and processes with other teammates
* Large amounts of ambiguity around goals, scope, and priorities
* Being able to recognize new organic growth opportunities, grounded in pain points or needs we hear from the client, and collaborate with the Program Manager
* Working with and being fluent in technical products such as SDKs, APIs, frameworks, and libraries
* Experimenting with AI and following the changing landscape within AI
* Having a growth mindset
**Compensation**
 $98,000 \- $153,000 a year
**Other Requirements**
***All roles at Nava require the following:***
 Legal authorization to work in the United States
 Ability to meet any other requirements for government contracts for which candidates are hired
 Work authorization that doesn’t require visa sponsorship, now or in the future
 May be subject to a government background check or security clearance, depending on the contract
**Perks working with Nava**
**Health coverage** 
 — comprehensive medical, dental, and vision plans to support your overall health needs
**Insurance coverage** 
 — Nava provides disability, life, and accidental death insurance at no cost
**Time off** 
 — vacation, holidays (including Juneteenth), and floating holidays to rest and recharge
**Company holidays** 
 — enjoy 12 paid federal holidays each year on top of your regular PTO
**Annual bonus** 
 — when Nava meets its goals, eligible employees receive a performance\-based annual bonus
**Parental leave** 
 — paid time off for new parents, plus weekly meals delivered to your home
**Wellness program** 
 — full platform offering physical, mental, \&amp; emotional health resources \&amp; support tools
**Virtual care** 
 — see doctors online with no copay through UnitedHealthcare’s virtual visit program
**Sabbatical leave** 
 — earn extended unpaid leave after continuous service for personal growth or rest
**401(k) match** 
 — Nava matches 4% of your salary to support your retirement savings plan
**Flexible work** 
 — remote\-first environment with flexibility built around your schedule and responsibilities
**Home office setup** 
 — company laptop \&amp; setup assistance provided via Staples for remote work needs
**Utility support** 
 — monthly reimbursement to help offset eligible home office utility expenses
**Learning opportunities** 
 — internal training programs and resources to help grow your professional skills
**Development opportunities** 
 — LinkedIn Learning access \&amp; an annual allowance for courses, tuition, \&amp; certs
**Referral bonus** 
 — get rewarded when you refer great people who join the Nava team
**Commuter benefits** 
 — pre\-tax commuter programs to support in\-office travel when applicable
**Supportive culture** 
 — A collaborative and remote\-friendly team environment where people genuinely care
**Location**
 We have fully remote options if you reside in one of the following states:
 Alabama, Arizona, California, Colorado, DC, Delaware, Florida, Georgia, Illinois, Louisiana, Maine, Maryland, Massachusetts, Michigan, Minnesota, Missouri, Nevada, North Carolina, New Jersey, New York, Ohio, Oklahoma, Oregon, Pennsylvania, Rhode Island, South Carolina, Texas, Tennessee, Utah, Virginia, Washington, Wisconsin
* If you are not living in one of the states listed above, unfortunately, you will not be considered for a position at this time.
**Stay in touch**
 Sign up for our newsletter to find out about career opportunities, new partnerships, and news from the broader civic tech community.
 Please contact the recruiting team at recruiting@navapbc.com if you would like to request reasonable accommodation during the application or interviewing process.
*We participate in E\-Verify. Upon hire, we will provide the federal government with your Form I\-9 information to confirm that you are authorized to work in the U.S. This role requires you to work from the contiguous United States.*
**Equal Employment Opportunity**
 Nava is committed to providing equal employment opportunities without discrimination or harassment on the basis of race, gender and/or gender identity or expression, color, creed, religion, religious creed, age, national origin, ethnicity, disability, veteran or military status, sex, sexual orientation, reproductive health autonomy, pregnancy, childbirth, and medical conditions related to pregnancy or childbirth, genetic information, domestic violence victim status, marital status, citizenship status, or any other characteristic protected by law. Nava prohibits any such discrimination or harassment. This policy applies to all employees, applicants, contractors, and temporary workers of Nava.</t>
        </is>
      </c>
    </row>
    <row r="52">
      <c r="A52" t="inlineStr">
        <is>
          <t>li-4368596121</t>
        </is>
      </c>
      <c r="B52" t="inlineStr">
        <is>
          <t>Sr Product Manager, Crypto Consumer Trading</t>
        </is>
      </c>
      <c r="C52" t="inlineStr">
        <is>
          <t>OKX</t>
        </is>
      </c>
      <c r="D52" t="inlineStr">
        <is>
          <t>linkedin</t>
        </is>
      </c>
      <c r="E52" t="inlineStr"/>
      <c r="F52" t="inlineStr"/>
      <c r="G52" t="inlineStr">
        <is>
          <t>New York, United States</t>
        </is>
      </c>
      <c r="H52" t="inlineStr"/>
      <c r="I52"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**About The Opportunity**
 We are seeking a highly strategic and results\-oriented Sr Product Manager to drive the vision, strategy, and execution of our retail trading platform. This role requires deep domain expertise in both cryptocurrency and traditional financial (TradFi) trading products to deliver a seamless, high\-performance, and compliant user experience that positions our platform as an industry leader.
**What You’ll Be Doing**
* Product Strategy \&amp; Vision: Define and articulate the long\-term vision and product strategy for the consumer trading platform, ensuring alignment with overall business goals.
* Customer\-Centric Development: Leverage deep domain knowledge to understand customer needs, translating these insights into an effortless and intuitive trading experience.
* End\-to\-End Product Lifecycle Management: Drive the entire product lifecycle from ideation and requirement definition (PRDs/user stories) through development, UAT, launch, optimization, and scaling.
* Liquidity \&amp; Execution Quality Oversight: Own the strategy for liquidity parameters and fee structures, collaborating with market makers and institutional partners to optimize spreads, slippage, fill rates and conversion rates.
* Market \&amp; Competitor Analysis: Conduct comprehensive market and competitor research to identify innovative opportunities and ensure our trading system maintains a leading edge in the crypto market.
* Cross\-Functional Leadership: Serve as the primary liaison and point of contact across engineering, product design, risk, legal, compliance, operations, marketing, and business teams to ensure seamless execution and launch of products.
* Regulatory Compliance: Partner closely with compliance and legal teams to deliver regulatory\-sensitive launches, navigating requirements across major jurisdictions.
* Team Leadership \&amp; Mentorship: Build, lead, and mentor a high\-performing team of product managers, fostering a collaborative culture of excellence and professional growth.
**What We Look For In You**
* Experience: Minimum of 4\+ years of product management experience, with a strong focus on crypto trading platforms, consumer trade products, blockchain/digital assets, or fintech
* Technical Acumen: Strong understanding of exchange liquidity economics and risk frameworks, including pricing, spread, limit, tick sizes, leverage/position tiers, and fee strategy etc
* Stakeholder Management: Demonstrated ability to work directly with institutional clients, market makers, and vendor partners, exhibiting excellent stakeholder management and communication skills.
* Data\-Driven Mindset: Ability to define and track clear success metrics and use data and analytics to inform product decisions and drive continuous improvement
* Regulatory Knowledge: Proven experience delivering regulatory\-sensitive launches and partnering closely with compliance/risk teams
**Perks \&amp; Benefits**
 Competitive total compensation package
 L\&amp;D programs and Education subsidy for employees' growth and development
 Various team building programs and company events
 Wellness and meal allowances
 Comprehensive healthcare schemes for employees and dependants
 More that we love to tell you along the process!
**OKX Statement**
 The salary range for this position is $223,611\.00 to $268,333\.00\. The salary offered depends on a variety of factors, including job\-related knowledge, skills, experience, and market location. In addition to the salary, a performance bonus and long\-term incentives may be provided as part of the compensation package, as well as a full range of medical, financial, and/or other benefits, dependent on the position offered. Applicants should apply via Okcoin and OKX internal or external careers site.
 OKX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for employment qualified applicants with arrest and conviction records.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is>
      </c>
    </row>
    <row r="53">
      <c r="A53" t="inlineStr">
        <is>
          <t>li-4332389032</t>
        </is>
      </c>
      <c r="B53" t="inlineStr">
        <is>
          <t>Senior Product Manager - Platform &amp; Infrastructure</t>
        </is>
      </c>
      <c r="C53" t="inlineStr">
        <is>
          <t>WEKA</t>
        </is>
      </c>
      <c r="D53" t="inlineStr">
        <is>
          <t>linkedin</t>
        </is>
      </c>
      <c r="E53" t="inlineStr"/>
      <c r="F53" t="inlineStr"/>
      <c r="G53" t="inlineStr"/>
      <c r="H53" t="inlineStr"/>
      <c r="I53" t="inlineStr">
        <is>
          <t>WEKA is architecting a new approach to the enterprise data stack built for the age of reasoning.
 **NeuralMesh by WEKA** 
 sets the standard for agentic AI data infrastructure with a cloud and AI\-native software solution that can be deployed anywhere. It transforms legacy data silos into data pipelines that dramatically increase GPU utilization and make AI model training and inference, machine learning, and other compute\-intensive workloads run faster, work more efficiently, and consume less energy.
 WEKA is a pre\-IPO, growth\-stage company on a hyper\-growth trajectory. We’ve raised $375M in capital with dozens of world\-class venture capital and strategic investors. We help the world’s largest and most innovative enterprises and research organizations, including 12 of the Fortune 50, achieve discoveries, insights, and business outcomes faster and more sustainably. We’re passionate about solving our customers’ most complex data challenges to accelerate intelligent innovation and business value. If you share our passion, we invite you to join us on this exciting journey.
**What’s Cool About This Job**
 At WEKA, we have high performance down cold. This role is ultra focused on delighting customers with our expanding capabilities. Join our cutting\-edge team leading Product Management for the parts that are riding on rails—Platform and Infrastructure—where your impact on hardware interfacing will bubble up to every Wekkie and customer as improvements in performance, resiliency, and flexibility. In this role, you'll be at the forefront of technology, contributing to the success of customers who are pushing the boundaries of what's possible with high performance storage. As a key player in our dynamic company, you'll have the opportunity to shape the future of protocol services and make a significant impact in the world of computing.
 Bring Your Expertise – and Your Passion
 Your Domain Knowledge Stems From Storage And Networking Experience, With Your Expertise Covering Its Intersection. Important Factors Leading To Your Success Include
* Expertise: You have proven experience in product management within the software industry, with a deep understanding of network\-based storage systems. You are familiar with the intricacies of high\-performance distributed systems and possess a demonstrated ability to drive the development of innovative and forward\-thinking solutions.
* Leadership Skills: Strong leadership skills with a history of successfully leading cross\-functional teams. Ability to inspire and motivate team members to achieve ambitious goals while maintaining a collaborative and positive working environment.
* Strategic Vision: A strategic thinker who can develop and execute product strategies that align with market trends and customer needs. Proven ability to translate strategic goals into actionable plans and deliver results.
* Communication Skills: Excellent communication and interpersonal skills, with the ability to articulate complex technical concepts to both technical and non\-technical stakeholders. Experience presenting product strategies and roadmaps to internal teams and external customers.
**Responsibilities Include**
* Develop and execute a comprehensive product strategy for platform and infrastructure aligned with company goals and market demands
* Create and maintain a detailed product roadmap, ensuring that it reflects the evolving needs of our customers and the ever\-changing technology landscape
* Define the strategy and guide development of network\- and drive\- based features, including RDMA, high availability, and drive health
* Conduct thorough technical analyses, collaborating closely with R\&amp;D teams to address performance\-related concerns and anomalies
* Build Excel\-based complementary tools for Sizing, Pricing, and other purposes
* Working with teams across geographies and business units
* Collaborate with cross\-functional teams to ensure the data management architecture aligns with industry best practices and meets the evolving needs of our customers.
* Stay abreast of industry trends, standards, and emerging technologies related to distributed storage and data engineering workflows, and incorporate these into the product roadmap.
* Work closely with Engineering, UX/UI, Sales, and Support teams to ensure the seamless integration of features and enhancements.
* Foster a collaborative and innovative environment, encouraging open communication and effective teamwork across different departments.
**Desired Qualifications**
 This role requires a strong foundation in both written and verbal communication, especially within a technical context.
**Key Qualifications Include**
* Minimum of 8\-10 years of progressive experience in product management, with a focus on storage products using NVMe and SSD drives
* Understanding of PCIe architecture and NVMe drive interfaces
* Demonstrable understanding of RAID\- and erasure\-coded data protection schemes
* Knowledge of drive failure handling and rebuild processes
* Familiarity with drive performance characteristics (IOPS, throughput, latency)
* Demonstrable understanding of RDMA technologies (InfiniBand, RoCE), GPUDirect Storage integration, and DPDK or other kernel\-bypass networking
* Familiarity with network buffer management and zero\-copy data paths, NUMA topology, and CPU affinity optimization
* Experience with network interface card offloading, DMA operations, and hardware failure domains
* Excellent listening, oral, and written communication/presentation skills with a strong ability to influence people at all levels and in various functions
**Come Prepared To Talk About**
* NVMe command sets
* Drive health monitoring
* I/O scheduling and queue depth optimization
* Drive encryption and secure erase methodologies
* Multi\-pathing and other drive failover mechanisms
* Ethernet vs. InfiniBand trade\-offs and use cases
* Network topology design (fat\-tree, mesh, spine\-leaf, etc.)
* MTU configuration and its impact
* High availability mechanisms for networked machines, ARP configuration impacts, and broadcast domain management
* Performance isolation between workloads in distributed systems
**The WEKA Way**
* We are Accountable: We take full ownership, always–even when things don’t go as planned. We lead with integrity, show up with responsibility \&amp; ownership, and hold ourselves and each other to the highest standards.
* We are Brave: We question the status quo, push boundaries, and take smart risks when needed. We welcome challenges and embrace debates as opportunities for growth, turning courage into fuel for innovation.
* We are Collaborative: True collaboration isn’t only about working together. It’s about lifting one another up to succeed collectively. We are team\-oriented and communicate with empathy and respect. We challenge each other and conduct positive conflict resolution. We are being transparent about our goals and results. And together, we’re unstoppable.
* We are Customer Centric: Our customers are at the heart of everything we do. We actively listen and prioritize the success of our customers, and every decision we make is driven by how we can better serve, support, and empower them to succeed. When our customers win, we win.
 Concerned that you don’t meet every qualification above?
*Studies have shown that women and people of color may be less likely to apply for jobs if they don’t meet every qualification specified. At WEKA, we are committed to building a diverse, inclusive and authentic workplace. If you are excited about this position but are concerned that your past work experience doesn’t match up perfectly with the job description, we encourage you to apply anyway – you may be just the right candidate for this or other roles at WEKA.*
*WEKA is an equal opportunity employer that prohibits discrimination and harassment of any kind. We provide equal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54">
      <c r="A54" t="inlineStr">
        <is>
          <t>li-4341228286</t>
        </is>
      </c>
      <c r="B54" t="inlineStr">
        <is>
          <t>Senior Product Manager - Advertising Data Platforms Compliance</t>
        </is>
      </c>
      <c r="C54" t="inlineStr">
        <is>
          <t>Warner Bros. Discovery</t>
        </is>
      </c>
      <c r="D54" t="inlineStr">
        <is>
          <t>linkedin</t>
        </is>
      </c>
      <c r="E54" t="inlineStr"/>
      <c r="F54" t="inlineStr"/>
      <c r="G54" t="inlineStr">
        <is>
          <t>Culver City, CA</t>
        </is>
      </c>
      <c r="H54" t="inlineStr"/>
      <c r="I54"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**Your New Role...** 
 We are looking for a passionate and driven Senior Product Manager to join the DTC Data Product Compliance team. In this role, you will report to the Sr. Director of Privacy, Data Product Compliance. You will be working cross\-functionally within the Product \&amp; Design organization across multiple product verticals: engineering, legal, data science, and analytics with a focus on privacy\-preserving advertising platforms and technical frameworks. You will be defining scalable solutions that integrate across WBD’s DTC platforms supporting a wide range of advertising partners, internal stakeholders, and data use cases. You will be motivated to dive deep into the rapidly evolving tech landscape, rapidly changing regulatory environment, and legal nuances across multiple global regions where we operate.
 We value product management that drives with discipline and attention to detail. You’re a good fit for this role if you are customer obsessed, collaborative, and data driven. You are a highly effective communicator and can build trust with all areas of the business. You must be comfortable regularly engaging with executive leadership to effectively communicate governance and compliance requirements and secure alignment on product roadmap priorities. You can work autonomously, have strong organizational and analytical skills, and are a proven collaborator and problem solver.
**Your Role Accountabilities...** 
* Own the product vision and execution for large\-scale, privacy\-preserving advertising workflows powered by data clean rooms, including advertiser first\-party data onboarding, identity matching against our 1P datasets, audience creation and activation, and attribution and measurement across the modern ad tech ecosystem.
* Partner with engineering and advertising teams to design and ship scalable, standardized, privacy\-preserving solutions that operate within clean room and signal\-restricted environments, delivering products that meet the needs of advertisers, agencies, third\-party measurement vendors, and other ad tech providers.
* Provide product expertise and thought leadership in the areas of backend data compliance and privacy, with an understanding of how regulations and partner requirements impact and influence use of data across various business processes and functions.
* Gather, define, and clearly document data use cases through partnership with stakeholders, including Data Platform Engineering, Data Science (ML/AI), Advertising, Marketing, Analytics, Experimentation, Research, Fraud \&amp; Abuse.
* Operate well in the face of ambiguity and imperfect knowledge, drill into business data and research results to identify clear direction and focus.
* Stay informed on the latest industry trends, emerging technologies, and advancements in data handling to assess their impact on maintaining compliance and their potential for novel privacy solutions.
* Cultivate and maintain strong relationships with key stakeholders across the business to enable customer focused features with a “privacy by design” approach.
* Promote a culture of privacy awareness and compliance throughout the organization.
* Build healthy, trusting relationships and contribute to a culture of respect by giving feedback respectfully, exchanging ideas openly, and receiving feedback humbly.
**Qualifications \&amp; Experience...** 
* 5\+ years of backend/platform Product Management experience within a technology or digital organization.
* 2\+ years of experience with technical frameworks in the digital ads ecosystem.
* Strong knowledge of privacy and compliance for consumer data used in the advertising space.
* Built and delivered a roadmap for data clean room and ads measurement product by evaluating build vs. buy options.
* Has experience collaborating with data clean room providers, ad measurement providers, advertisers, and agencies.
* Proficiency with analyzing technical architecture diagrams and creating data flows.
* Experience partnering with technical teams on highly complex projects.
* Commitment to fostering an inclusive team culture built on empathy.
* Excellent written and verbal communication skills, with a focus on documentation that communicates complex subject matter simply and clearly.
* Proven ability to partner effectively with stakeholders across legal, product, and engineering functions.
* Excellent problem solving, critical thinking, and analytical skills.
* Detail\-oriented; self\-starter, accountable, and empowered.
* Curiosity and a willingness to learn.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$98,070\.00 \- $182,130\.00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55">
      <c r="A55" t="inlineStr">
        <is>
          <t>li-4371012983</t>
        </is>
      </c>
      <c r="B55" t="inlineStr">
        <is>
          <t>Product Manager (Global Automotive Products) IV</t>
        </is>
      </c>
      <c r="C55" t="inlineStr">
        <is>
          <t>TE Connectivity</t>
        </is>
      </c>
      <c r="D55" t="inlineStr">
        <is>
          <t>linkedin</t>
        </is>
      </c>
      <c r="E55" t="inlineStr"/>
      <c r="F55" t="inlineStr"/>
      <c r="G55" t="inlineStr"/>
      <c r="H55" t="inlineStr"/>
      <c r="I55" t="inlineStr">
        <is>
          <t>**At TE, you will unleash your potential working with people from diverse backgrounds and industries to create a safer, sustainable and more connected world.**
**Job Overview**
 TE Connectivity's Product Management Teams manage all aspects of a product, from driving new product development to manufacturing to marketing. They are responsible for overall product strategy, business leadership and capacity plans in order to meet sales and profit targets.
**Role Responsibilities**
* Driver of the internal product strategies for product lines in the EMA Portfolio
* Owner of the Product Business Plan
* Shape a powerful portfolio for connectivity solutions for Mechatronics \&amp; Relays
* Responsible for forecast and profitability of the product line
* Develop and execute strategic product roadmaps aligning with overall business objectives
* Initiator of improvement measures in order to continuously develop the margin of the product line
* Active management of the product life cycle and closing of portfolio gaps
* Business Partner in cross\-functional project teams for the new development of products
* Implementation of sales activities both on site at the customer as well as in online and print media
* Responsible for the pricing strategy and definition of the new product introduction in cooperation with adjacent departments (Marketing, Sales, Engineering, Operations, Manufacturing Engineering)
* Support of the sales department in commercialization of new technologies
* Analysis of competitors, their products and market strategies
* Participation in the continuous further development of the Product \&amp; Technology Roadmap
* Leading role in coordination the product portfolio strategy with other regions
**What Your Background Should Look Like**
* Bachelor's or Master's degree in (electrical) engineering or similar
* Minimum 3 years proven track record in Product Management
* Advanced technical and commercial understanding
* Open to innovative ideas and food for thought, excellent analytical and problem\-solving skills, with the ability to translate customer requirements into actionable product strategies
* Knowledge of TE systems such as SAP, C2S, iBP and Planisware as a plus
* Strategic mindset with the ability to think creatively and drive innovation in a competitive market
* Proactive, dynamic team player who can independently and seamlessly take on internal, external and cross\-departmental activities within the organization
* Automotive industry experience is highly preferred
* Exceptional communication and interpersonal skills
* Curiosity as well as high flexibility and agility in assessing, planning and executing
* Willingness to travel is required
 \#TANAUV
**Competencies**
 Values: Integrity, Accountability, Inclusion, Innovation, Teamwork
**About Te Connectivity**
 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 Learn more at www.te.com and on LinkedIn, Facebook, WeChat, Instagram and X (formerly Twitter).
**Compensation**
* Competitive base salary commensurate with experience: $139,000 \- $190,000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**IMPORTANT NOTICE REGARDING RECRUITMENT FRAUD**
 TE Connectivity has become aware of fraudulent recruitment activities being conducted by individuals or organizations falsely claiming to represent TE Connectivity. Please be advised that TE Connectivity
 **never requests payment or fees** 
 from job applicants at any stage of the recruitment process. All legitimate job openings are posted exclusively on our official careers website at te.com/careers, and all email communications from our recruitment team will come
 **only from actual email addresses ending in @te.com** 
 . If you receive any suspicious communications, we strongly advise you not to engage or provide any personal information, and to report the incident to your local authorities.</t>
        </is>
      </c>
    </row>
    <row r="56">
      <c r="A56" t="inlineStr">
        <is>
          <t>li-4328949431</t>
        </is>
      </c>
      <c r="B56" t="inlineStr">
        <is>
          <t>Lead Product Manager (Relocation to Bangkok)</t>
        </is>
      </c>
      <c r="C56" t="inlineStr">
        <is>
          <t>Coda</t>
        </is>
      </c>
      <c r="D56" t="inlineStr">
        <is>
          <t>linkedin</t>
        </is>
      </c>
      <c r="E56" t="inlineStr"/>
      <c r="F56" t="inlineStr"/>
      <c r="G56" t="inlineStr">
        <is>
          <t>California, United States</t>
        </is>
      </c>
      <c r="H56" t="inlineStr"/>
      <c r="I56" t="inlineStr">
        <is>
          <t>**Why Coda**
 Coda is a global growth engine for commerce. We bring together powerful capabilities that connect people, digital products, and payments through our suite of trusted digital monetization and distribution solutions.
 We recently acquired Recharge, Europe’s leading prepaid payments and digital gift card business, bringing both companies together into one organisation with broader reach, deeper capabilities across B2B and B2C commerce and a stronger global footprint.
 Today, we stand as a team of more than 600 people, representing 57 nationalities across 23 locations. We are headquartered in Singapore with offices in Amsterdam, Dubai, Shanghai and other hubs across Southeast Asia. 
 Our B2B business works with publishers and brands to support growth across markets. We run Codapay for local payment acceptance and Custom Commerce for direct\-to\-consumer webstores. We manage catalogue, prepaid and distribution services that extend reach globally, and we operate Giftcloud’s rewards and incentives capabilities. We take on the operational complexity around payments, tax and compliance so partners can scale with clarity and focus.
 On the consumer side, we operate a portfolio of trusted storefronts including Codashop, Recharge.com , Startselect.com , mobiletopup.co.uk and other local sites that give customers secure and easy access to digital credit, game vouchers, gift cards and prepaid products.
 Our people are at the heart of what we do. Coda’s culture is centered on respect, clarity, ownership, and collaboration. We work hard and play hard together.
 If you’re looking for growth and impact in a fast\-paced global team, Coda is the place for you.
**Product Management at Coda** 
 At Coda, Product Managers translate customer success into commercial impact. They maximize enterprise value by solving real customer problems and turning those wins into measurable outcomes. PMs at Coda think like founders: they take end\-to\-end ownership, shrink the time from insight to execution, and hold a high bar for craft and quality.
**About the role** 
 This is a highly cross\-functional, hands\-on role. You’ll work closely with Engineering, Design, Data, and GTM, and you’ll do whatever it takes to ship: talk to customers, dig into data, write tight specs, prototype flows, sweat UX details, and remove blockers. You’ll make good decisions in ambiguity, be right a lot, drive clear priorities, and deliver meaningful results.
**Responsibilities** 
* **Own the roadmap and outcomes:** 
 Set direction, make tradeoffs, and ensure the roadmap delivers measurable business impact (revenue, retention, margin, or market share)
* **Turn strategy into execution:** 
 Lead the team through agile sprint cycles, breaking initiatives into clear stories, requirements, and milestones that ship
* **Define success and measure it:** 
 Establish success metrics up front, instrument what matters, and use data \+ customer feedback to iterate quickly
* **Make the hard prioritization calls:** 
 Navigate the tension between today’s immediate needs and the product’s long\-term health to build sustainable competitive advantage
* **Unblock the team relentlessly:** 
 Remove roadblocks for Engineering, Design, Data, and GTM so the team can move fast without compromising quality
* **Be a full\-stack executor:** 
 If needed, jump in to talk to customers, write copy, prototype flows, build enablement materials, write docs, analyze data, or respond to CS tickets
* **Drive results, not consensus:** 
 You are not a peacemaker or a consensus driver. Your job is not to include every opinion. You will listen hard, decide, and move. You’re not here to make everyone happy. You’re here to ship and win
* **Lead through influence and ownership:** 
 Keep stakeholders aligned, ensure nothing falls through the cracks, take accountability when things go wrong, and give the team credit when things go right
**Requirements** 
* **A track record of delivering successful outcomes.** 
 You can point to products you’ve led where you didn’t just "ship features," but moved core business metrics (revenue, churn, margin, or market share)
* **Strong product judgment.** 
 You can make hard calls in ambiguity, explain the tradeoffs, and be right more often than not
* **Ruthless prioritization.** 
 You can clearly articulate why we should invest in problem A vs. B based on customer value and long\-term business impact
* **A high bar for craft.** 
 You care about the “why” and the “how” behind great products. You sweat details, have great taste, and know what it takes to ship something special
* **A strong bias to action.** 
 Speed matters. You ship MVPs, learn fast and iterate. You reduce the time from insight to execution without lowering standards
* **High ownership.** 
 You operate without boundaries and never hide behind “not my job.” When you see a gap, you don’t wait for permission. You do whatever it takes to deliver the outcome
* **Analytical rigor.** 
 You’re deeply comfortable with data. You can run your own analysis, understand complex schemas, and use data to pressure\-test decisions
* **Clear, strategic communication.** 
 You can distill complex problems into a crisp narrative that aligns execs and gives teams clarity and momentum
 We are proud to be an equal opportunity employer, embracing the unique qualities of every individual, regardless of gender, race, age, religion, disability, or other local protected classes. Our goal is to foster an inclusive environment where everyone feels welcome and valued.
 Due to the large number of exceptional applications we receive, we can only reach out to shortlisted candidates. If you don't hear from us, rest assured there may be another opportunity at Coda that aligns better with your unique abilities. Remember to check our Careers Page for more exciting job openings!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7">
      <c r="A57" t="inlineStr">
        <is>
          <t>li-4377843558</t>
        </is>
      </c>
      <c r="B57" t="inlineStr">
        <is>
          <t>Vice President, Product Manager – Proprietary Wallets &amp; Lending Innovation</t>
        </is>
      </c>
      <c r="C57" t="inlineStr">
        <is>
          <t>JPMorganChase</t>
        </is>
      </c>
      <c r="D57" t="inlineStr">
        <is>
          <t>linkedin</t>
        </is>
      </c>
      <c r="E57" t="inlineStr"/>
      <c r="F57" t="inlineStr"/>
      <c r="G57" t="inlineStr">
        <is>
          <t>New York, NY</t>
        </is>
      </c>
      <c r="H57" t="inlineStr"/>
      <c r="I57" t="inlineStr">
        <is>
          <t>**Job Description**
 As a
 **Vice President, Product Manager** 
 in Connected Commerce on the Wallet and Lending Innovation organization, you will set the vision for the next generation of payment platforms, champion innovative thinking, and build seamless customer experiences that become the foundation of Chase digital payments and commerce. We’re seeking a strategic leader who is customer obsessed, deeply technical, and thrives in complex environments. You will be responsible for creating and executing the product roadmap, driving product development, monitoring platform performance, and scaling payments platforms to millions of customers.
**Job Responsibilities**
* Define and own the roadmap for the product line; establish and communicate the vision and strategy for the product/platform.
* Lead the conceptualization, design, and delivery of technical products, including APIs, data models, and data processing pipelines.
* Oversee the creation of detailed product requirements and user stories, ensuring business needs are translated into robust technical solutions.
* Partner with Technology, Design, and Analytics leadership to drive product development and ensure cross\-functional alignment.
* Drive the design and implementation of robust Settlement and Reconciliation platforms, services, and data pipelines to ensure accuracy and reliability in payment processing and reporting.
* Manage product backlog creation and grooming, support agile product delivery, launch and go to market for product, production support, issue \&amp; defect resolution, and prioritization.
* Navigate and lead within a large, complex organization—driving clarity through ambiguity, structuring problems, and aligning multiple teams toward common goals.
* Build and maintain strong executive stakeholder relationships across business, technology, risk, controls, legal, and compliance teams; facilitate effective communication and collaboration at all levels.
* Monitor product performance against goals, identify and scope implementation paths for enhancements, and create remediation plans when needed.
* Foster a culture of innovation, learning, and collaboration within the team and across the organization.
* Ensure a strong risk and controls environment in partnership with cross\-functional teams.
**Required Qualifications, Capabilities, And Skills**
* 7\+ years of experience in product management, with a focus on technical products (APIs, databases, data processing, or similar).
* Deep experience in the financial technology or payments industry, with a strong understanding of payment flows, digital wallets, and money movement.
* Proven track record of driving change and delivering results within large, highly matrixed organizations; adept at navigating ambiguity and structuring complex problems.
* Exceptional stakeholder management and collaboration skills; able to influence and align cross\-functional and executive teams.
* Demonstrated leadership in building scalable platforms and driving customer\-centric innovation.
* Outstanding verbal and written communication skills, with experience presenting to senior leadership.
* Strong knowledge of APIs, engineering practices, and the product development lifecycle using Agile methodologies.
* Experience managing risk and controls at scale.
* Bachelor’s or Master’s degree in Computer Science, Engineering, Business Administration, or comparable field of study.
**Preferred Qualifications, Capabilities, And Skills**
* Candidates with Fintech background or payment platform experience strongly preferred.
* Experience building and scaling Settlement and Reconciliation platforms, services, and data pipelines within payments or financial services environments.
* Demonstrated expertise in designing solutions that ensure accurate transaction settlement, reconciliation, and reporting across complex payment ecosystems.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58">
      <c r="A58" t="inlineStr">
        <is>
          <t>li-4369060741</t>
        </is>
      </c>
      <c r="B58" t="inlineStr">
        <is>
          <t>Sr. Principal Product Manager</t>
        </is>
      </c>
      <c r="C58" t="inlineStr">
        <is>
          <t>Microsoft</t>
        </is>
      </c>
      <c r="D58" t="inlineStr">
        <is>
          <t>linkedin</t>
        </is>
      </c>
      <c r="E58" t="inlineStr"/>
      <c r="F58" t="inlineStr"/>
      <c r="G58" t="inlineStr">
        <is>
          <t>Mountain View, CA</t>
        </is>
      </c>
      <c r="H58" t="inlineStr"/>
      <c r="I58" t="inlineStr">
        <is>
          <t>**Overview**
 Join the Copilot for Education team as a Senior Principal Product Manager and lead the
 development of AI‑first learning experiences that help students excel in their schoolwork and educational journeys. This role sits at the intersection of learning science, adaptive technologies, and cutting‑edge AI, driving products that meaningfully improve student outcomes at scale.
 You will shape product vision, strategy, and execution across multiple feature areas to create tools that motivate, personalize, and enhance student learning outcomes. Your work will directly impact millions of learners by making education more accessible, effective, and inspiring. Your work will advance Microsoft’s mission to empower every student to achieve more.
**Responsibilities**
**Product Strategy \&amp; Vision**
* Define and own the long‑term product strategy for student‑focused learning tools, integrating learning science, adaptive learning, and AI‑driven workflows.
* Translate complex educational, technical, and market insights into a clear product vision and roadmap across multiple feature areas.
* Drive product‑market fit by synthesizing customer signals, competitive analysis, and research evidence to identify unmet or emerging student needs.
* Establish success metrics (OKRs, KPIs, learning efficacy measures) and ensure alignment with Microsoft’s broader AI strategy.
* Partner with researchers, educators, and data science teams to validate hypotheses, run experiments, and incorporate evidence‑based instructional methods.
* Champion learning efficacy and motivational frameworks into product experiences.
* Identify opportunities to disrupt the education market with innovative, student‑centered solutions that differentiate Copilot for Education.
**Cross‑Functional Leadership \&amp; Execution**
* Lead end‑to‑end product execution —from ideation to launch to iteration—ensuring high standards of quality, security, accessibility, and responsible AI.
* Collaborate with engineering, design, research, marketing, and data teams to deliver cohesive, scalable student experiences.
* Drive alignment resolving complex dependencies and influencing senior stakeholders to support product strategy and investments.
* Use data and AI‑driven insights to continuously improve engagement, retention, and student outcomes.
* Leverage AI‑powered tools and prototyping workflows to accelerate design exploration, experimentation, and iteration.
**Qualifications**
**Required/minimum qualifications:**
 Bachelor's Degree in Computer Science or related technical field AND 8\+ years technical engineering experience with coding in languages including, but not limited to, C, C\+\+, C\#, Java, JavaScript, or Python OR equivalent experience.
**Additional Or Preferred Qualifications**
* Master's Degree in Computer Science or related technical field AND 12\+ years technical engineering experience with coding in languages including, but not limited to, C, C\+\+, C\#, Java, JavaScript, or Python OR Bachelor's Degree in Computer Science or related technical field AND 15\+ years technical engineering experience with coding in languages including, but not limited to, C, C\+\+, C\#, Java, JavaScript, or Python OR equivalent experience.
* 8\+ years of product management experience, with a strong track record of shipping impactful consumer education technology products.
* Deep understanding of learning science, adaptive learning, and engagement\-driven design
* Experience working with cross\-functional teams including research, engineering, design, data, and education stakeholders.
* Passion for improving educational outcomes and creating engaging, student\-centered learning experiences.
* Strong analytical skills with the ability to leverage data to inform product decisions.
* Excellent communication and leadership skills, capable of inspiring teams and influencing senior leaders.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9">
      <c r="A59" t="inlineStr">
        <is>
          <t>li-4377857266</t>
        </is>
      </c>
      <c r="B59" t="inlineStr">
        <is>
          <t>Product Manager</t>
        </is>
      </c>
      <c r="C59" t="inlineStr">
        <is>
          <t>Actalent</t>
        </is>
      </c>
      <c r="D59" t="inlineStr">
        <is>
          <t>linkedin</t>
        </is>
      </c>
      <c r="E59" t="inlineStr"/>
      <c r="F59" t="inlineStr"/>
      <c r="G59" t="inlineStr">
        <is>
          <t>Hartford, CT</t>
        </is>
      </c>
      <c r="H59" t="inlineStr"/>
      <c r="I59" t="inlineStr">
        <is>
          <t>**Hiring for a Product Manager in West Hartford!**
**Job Description**
 Join a dynamic team at a growing company, located in West Hartford, CT, that is committed to innovation and the development of new and emerging markets. We have three openings: Product Manager – Emerging Markets, Product Manager, and Senior Product Manager. These roles will be part of an integrated product management team, owning the full product lifecycle from concept to launch, optimization, and discontinuation. The work model is hybrid, with local presence required, and the reason for these openings is due to business growth.
**Responsibilities**
* Research emerging markets, technologies, construction trends, and ecosystems.
* Identify product opportunities aligned with brand, technical strengths, and manufacturing capabilities.
* Define MVPs, requirements documents, market sizing, pricing strategy, and initial forecasts.
* Translate conceptual ideas into executable business cases.
* Partner with category Product Managers to hand off defined opportunities for development.
* Explore transversal technologies that may span multiple product categories.
* Leverage broader organizational resources, including existing data center divisions.
* Identify partnerships, collaborations, and acquisition paths to improve speed to market.
* Present findings to leadership, sales, and customers.
* Define product strategy, roadmap, and requirements.
* Partner with engineering and manufacturing on development and sourcing.
* Manage pricing, inventory, and operational performance.
* Lead go\-to\-market strategy including messaging, training, and sales enablement.
* Monitor market trends, customer feedback, and competitive landscape.
* Drive category innovation and incremental growth initiatives.
* Lead major product lines while developing and managing Associate Product Managers.
* Own long\-term strategy, financial performance, and talent development.
* Prepare and lead SO\&amp;P reviews.
* Identify M\&amp;A opportunities aligned with long\-term strategy.
* Represent the brand with executive leadership and customers.
**Essential Skills**
* Hardware product management experience or strong hardware exposure.
* Highly collaborative working style.
* Comfort working cross\-functionally with engineering, sales, marketing, operations, and leadership.
* Ability to communicate complex ideas clearly to non\-technical audiences.
* Strong business acumen and business case rigor.
* Experience in new product development and product lifecycle management.
* Experience in market discovery and emerging markets.
**Additional Skills \&amp; Qualifications**
* Electrical, construction, or building infrastructure experience.
* Data center market exposure (required for Emerging Markets role).
* Design thinking experience.
* Manufacturing exposure.
* Salesforce and PowerBI familiarity.
* MBA or advanced degree.
**Work Environment**
 The work environment is highly collaborative and team\-oriented, fostering a curious and innovation\-driven mindset. Our culture encourages internal networking and has a 'nerds who like happy hour' energy. The position offers hybrid flexibility, with remote work on Mondays and Fridays, and in\-office presence on Tuesdays, Wednesdays, and Thursdays. The role involves about 25% travel. We provide resources such as Copilot access and R\&amp;D budget support for tools and research needs.
**Job Type \&amp; Location**
 This is a Permanent position based out of West Hartford, CT.
**Pay And Benefits**
 The pay range for this position is $100000\.00 \- $150000\.00/yr.
 Company Benefits Competitive base salary with performance\-based bonus opportunities Comprehensive medical, dental, and vision insurance Strong 401(k) program with company match Generous paid time off and company holidays Paid parental leave and family\-supportive benefits Short\-term and long\-term disability coverage Hybrid work model with flexibility and in\-person collaboration Professional development and career growth opportunities Access to modern tools and technology, including AI\-enabled productivity tools Stable, growth\-oriented organization with long\-term career paths Opportunities to work on products used in real\-world, mission\-critical environments Inclusive, collaborative culture with emphasis on teamwork and impact
**Workplace Type**
 This is a hybrid position in West Hartford,CT.
**Application Deadline**
 This position is anticipated to close on Mar 10,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60">
      <c r="A60" t="inlineStr">
        <is>
          <t>li-4353051269</t>
        </is>
      </c>
      <c r="B60" t="inlineStr">
        <is>
          <t>Senior Product Manager - Financial Crimes</t>
        </is>
      </c>
      <c r="C60" t="inlineStr">
        <is>
          <t>Mercury</t>
        </is>
      </c>
      <c r="D60" t="inlineStr">
        <is>
          <t>linkedin</t>
        </is>
      </c>
      <c r="E60" t="inlineStr"/>
      <c r="F60" t="inlineStr"/>
      <c r="G60" t="inlineStr">
        <is>
          <t>San Francisco, CA</t>
        </is>
      </c>
      <c r="H60" t="inlineStr"/>
      <c r="I60" t="inlineStr">
        <is>
          <t>Risk is the nervous system behind every magical banking\* experience. It senses, responds, protects, without fanfare. It doesn’t power motion, but without it, motion goes awry.
 At Mercury, we build systems that identify good customers and protect them. We create fluid, intelligent experiences that let customers move confidently and securely through their day. We believe our obligation to the customer does not stop with the transaction but our aim is to ensure a strong financial ecosystem across the entire banking infrastructure.
 We’re looking for a Senior Product Manager to lead the evolution of our Financial Crimes systems. You’ll define and build the infrastructure that underpins our Anti\-Money Laundering and Sanctions monitoring and reporting.
 This role is ideal for someone who sees platforms not as abstract systems, but as multipliers of impact. Someone who understands that well\-structured data and decisions are the foundation for everything from delightful automation to resilient control.
*\*Mercury is a fintech company, not an FDIC\-insured bank. Banking services provided through Choice Financial Group and Column N.A., Members FDIC.*
**What you'll do:**
* Define the vision and technical roadmap for Mercury’s FinCrimes team.
* Build flexible, high precision monitoring platforms
* Ensure reporting requirements are seamless and efficient
* Partner with engineering, risk strategy, data science, and risk operations to design APIs, data platforms, rule engines, and model orchestration workflows
* Enable continuous improvement by designing feedback loops that connect decisions to outcomes
* Collaborate with domain PMs (fraud, onboarding) to build reusable capabilities that reduce redundancy and amplify speed
* Establish a platform strategy that balances extensibility, resilience, observability, and performance. Balancing internal systems with external partners.
* Define and track platform health, adoption, and impact metrics
**What you bring:**
* 7\+ years of product management experience, including time spent building platform or infrastructure products
* Good understanding of AML and Sanctions domain
* Technical fluency; ability to dive deep in partnership with engineering while maintaining clarity for non\-technical stakeholders
* A product mindset that blends customer empathy with systems thinking
* Track record of creating internal tools or platforms that unlock speed, consistency, or quality across product teams
* Experience partnering with ML/DS teams to deploy and manage risk or scoring models
* Comfort operating in ambiguity and building new foundations from scratch
* Experience in risk, compliance, or financial services is a plus, but not required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61">
      <c r="A61" t="inlineStr">
        <is>
          <t>li-4357851122</t>
        </is>
      </c>
      <c r="B61" t="inlineStr">
        <is>
          <t>Principal IT Product Manager</t>
        </is>
      </c>
      <c r="C61" t="inlineStr">
        <is>
          <t>Palo Alto Networks</t>
        </is>
      </c>
      <c r="D61" t="inlineStr">
        <is>
          <t>linkedin</t>
        </is>
      </c>
      <c r="E61" t="inlineStr"/>
      <c r="F61" t="inlineStr"/>
      <c r="G61" t="inlineStr">
        <is>
          <t>Santa Clara, CA</t>
        </is>
      </c>
      <c r="H61" t="inlineStr"/>
      <c r="I61"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We are seeking a Principal Product Manager with an AI first mindset to drive requirements, development, and deployment of our critical Configure, Price, Quote (CPQ) system for Palo Alto Networks (PANW)Sellers, Partners and Distributors. In this role, you will be responsible for driving digital transformation utilizing cutting edge AI technologies to help us scale our Sales, Services Implementations with Sellers, Partners and Distributors.
**Your Impact**
 Requirements Gathering and Analysis, analyze, and document business requirements from stakeholders using various techniques such as interviews, workshops, and documentation review leveraging AI powered tools to extract key insights.
 Conduct thorough analysis of business processes, workflows, and systems to identify areas for improvement and opportunities for AI / Agentic solutions
 Translate business requirements into clear and detailed functional specifications, user stories, and use cases for IT projects
 Solution Design and ValidationWork closely with product managers, architects, developers, and cross functional IT teams to design, innovate and validate technology solutions that meet business requirements and align with architectural standards
 Testing and Quality AssuranceWork with QA/QE function to develop and execute test plans, test cases, and test scripts to validate system functionality, performance, and usability against business requirements \- where applicable, work with QA/QE to automate test cases for regression testing
 Collaborate with stakeholders to conduct user acceptance testing (UAT) and ensure that technology solutions meet business expectations and quality standards
 Facilitate defect triage and resolution, working closely with development teams to address issues and ensure timely delivery of high\-quality software releases
 Stakeholder Communication and Relationship ManagementServe as a liaison between business and IT teams, facilitating effective communication, collaboration, and alignment throughout the project lifecycle
 Build and maintain strong relationships with business partners, understanding their needs, priorities, and challenges to effectively advocate for technology solutions that drive business value
 Provide regular updates and status reports to stakeholders, project teams, and management, highlighting progress, risks, and opportunities for improvement
**Qualifications**
**Your Experience**
 12 years of experience and a bachelors or 8 years of experience and a masters degree
 8\-10\+ years of experience in Product Management or a related field
 Bachelor's Degree in business administration, computer science, engineering, or an equivalent combination of skills, training, and experience
 Knowledge and experience with Salesforce CPQ is a must.
 Experience driving innovative CPQ solutions with a preference in leveraging AI Knowledge of the Q2C quote to cash) process is preferred
 Advanced analytical skills and a track record of driving analysis for new, innovative, and disruptive products
 Extensive experience working with and guiding cross\-functional teams in a high technology company
**Advanced Data Analysis And Visualization Skills Is Required**
 Experience with different requirement gathering techniques (e.g., workshops, interviews, user stories, use cases)
 Outstanding written and verbal communication skills, with the ability to present complex information to various audiences
 Exceptional leadership and mentoring abilities Strategic thinking and problem\-solving skills
 Ability to influence and drive consensus across multiple stakeholders
 A proactive, self starter with a results\-driven attitude and an ability to thrive in a fast\-paced environment
 Must be in SF bay area to be onsite 3 days/week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$164,000\.00 \- $266,000\.00/yr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62">
      <c r="A62" t="inlineStr">
        <is>
          <t>li-4267315601</t>
        </is>
      </c>
      <c r="B62" t="inlineStr">
        <is>
          <t>Senior Strategic Product Manager - Life Sciences</t>
        </is>
      </c>
      <c r="C62" t="inlineStr">
        <is>
          <t>MilliporeSigma</t>
        </is>
      </c>
      <c r="D62" t="inlineStr">
        <is>
          <t>linkedin</t>
        </is>
      </c>
      <c r="E62" t="inlineStr"/>
      <c r="F62" t="inlineStr"/>
      <c r="G62" t="inlineStr">
        <is>
          <t>Bedford, MA</t>
        </is>
      </c>
      <c r="H62" t="inlineStr"/>
      <c r="I62"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We have an exciting opportunity for you to join as a Senior Strategic Product Manager in a highly visible role within the Single Use and Integrated Systems Business Franchise. You will act as the business owner to set the direction and drive the growth of our product portfolio, focusing on Fill \&amp; Finish and Sterile Sampling applications in the GLP\-1 market. Your deep knowledge of global market dynamics, customer applications, and business opportunities will be essential in developing and implementing strategies for market leadership in this evolving sector.
**What You Will Do**
* Develop a clear vision and strategic plan, including long\-range planning, product portfolio positioning, and evolution of the portfolio for modalities/applications that create value for customers, with a focus on the GLP\-1 market.
* Act as the owner to drive the product development roadmap, including business cases, market sizing, financial analysis, and forecasting, and lead successful product launches from concept through commercialization, particularly for the GLP\-1 market.
* Work collaboratively and cross\-functionally with R\&amp;D, commercial, operations, and other key business partners to drive business results in a global high matrix setup.
* Actively monitor competitive activity, market trends, and customer feedback related to GLP\-1, translating these insights into winning strategies for new and existing products.
* Develop and execute Annual Operating Plans (AOP), including go\-to\-market execution focused on revenue growth, operating margin, innovation, and lifecycle management.
* Formulate pricing strategies to maximize top and bottom\-line goals, taking into account the competitive landscape.
* Frequently present updates and insights to stakeholders, sponsors, and senior management, focusing on the impact of your strategies in the GLP\-1 market.
 We invite you to bring your expertise and passion for innovation to our team as we strive to lead in the GLP\-1 market and beyond. Join us in making a meaningful impact!
**Who You Are**
**Minimum Qualifications:**
* Bachelor’s Degree in a scientific or engineering discipline.
* 5\+ years of experience in a product management and/or strategic marketing role, preferably within the bioprocessing industry.
**Preferred Qualifications**
* Experience in the bioprocessing industry and single\-use manufacturing, ideally in sampling and Fill \&amp; Finish applications.
* Comprehensive Understanding of Single\-Use Assemblies: Strong understanding of single\-use assemblies and their critical role in sampling and Fill \&amp; Finish applications within the bioprocessing industry, focusing on their impact on process efficiency, regulatory compliance, and overall enhancement of operational workflows.
* Familiarity with the GLP\-1 market and its dynamics is highly desirable.
* Advanced degree in a quantitative or scientific field (MBA, Master’s, or PhD) is preferred.
* Strong problem\-solving skills with attention to detail, along with the ability to analyze business impact and make effective decisions.
* Excellent analytical and communication skills, including proficiency in written, verbal, and presentation formats.
* Proven experience in digital solutions, particularly integrated systems with software and customer\-facing design configurator tools.
* Self\-motivated and energetic, with a strong ability to drive business results and initiatives.
* Excellent organizational and interpersonal skills, demonstrating the ability to thrive in a fast\-paced, cross\-functional environment.
* Ability to manage multiple projects simultaneously with a high degree of independence and agility.
* Highly collaborative, with a demonstrated ability to influence and navigate within a global matrix organization.
 Pay Range for this position: $120,600\-181,300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63">
      <c r="A63" t="inlineStr">
        <is>
          <t>li-4342931664</t>
        </is>
      </c>
      <c r="B63" t="inlineStr">
        <is>
          <t>Senior Product Manager- Credit, Cash Advance &amp; Lending</t>
        </is>
      </c>
      <c r="C63" t="inlineStr">
        <is>
          <t>Alt</t>
        </is>
      </c>
      <c r="D63" t="inlineStr">
        <is>
          <t>linkedin</t>
        </is>
      </c>
      <c r="E63" t="inlineStr"/>
      <c r="F63" t="inlineStr"/>
      <c r="G63" t="inlineStr"/>
      <c r="H63" t="inlineStr"/>
      <c r="I63"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Alt’s cash advance and lending products are rapidly becoming core revenue drivers. We’re hiring a Senior PM to own the full credit system end\-to\-end — underwriting logic, risk thresholds, expected\-loss modeling, decisioning speed, borrowing experience, and all operational workflows linked to sending and receiving funds.
 This role sits at the intersection of credit risk, financial modeling, product design, and operational execution. You’ll partner closely with Pricing (Alt Value), Data Science, Finance, and CX to build a world\-class credit engine that delivers fast liquidity while maintaining strong portfolio performance.
 You do not need to be a quant, but you must be comfortable with underwriting fundamentals, expected\-vs\-actual loss modeling, LTV logic, and risk controls — and equally comfortable designing clean, intuitive borrower flows. You will own both the backend credit engine and the customer\-facing UI/UX for cash advances and loans.
*This is a high\-impact role directly tied to revenue, capital efficiency, and customer trust.*
**Why This Role Exists**
 Alt’s lending and cash advance products require fast, accurate underwriting and seamless customer experiences. As we scale to larger loan sizes, more asset categories, and additional financing products, we need a dedicated PM to own the credit decisioning engine and improve both portfolio outcomes and customer liquidity.
 Your mandate is to increase usable liquidity for customers (more accepted offers, more completed loans), while reducing losses and improving model accuracy.
**What You’ll Own**
* Credit Decisioning Engine
* Own underwriting logic for both cash advances and loans.
* Partner with Data Science to refine model thresholds, LTV caps, expected\-loss calculations, and override rules.
* Improve calibration between expected loss (EL) and actual portfolio performance.
* Ensure decisioning is fast, consistent, and scalable across asset categories.
* Cash Advance \&amp; Lending Product Experience
* Own the borrower UI/UX end\-to\-end: application → offer → funding → repayment.
* Improve clarity, trust, and ease\-of\-use in the borrowing experience.
* Reduce friction and increase completion rates for both cash advances and loans.
* Develop features that encourage responsible, repeat borrowing.
* Portfolio Performance \&amp; Risk
* Monitor loss rates, delinquency, utilization, and customer repayment behavior.
* Work with Finance to maintain healthy margins and capital efficiency.
* Implement guardrails that reduce adverse selection and improve overall risk quality.
* Build dashboards and reporting that clearly communicate model health.
* Operational Workflows
* Own CX/Ops flows related to funding, repayment, manual review, and exceptions.
* Reduce operational overhead through automation and clear logic pathways.
* Ensure operational processes scale with volume while maintaining strong controls.
* Roadmap \+ Execution
* Build and own the quarterly roadmap for cash advances and lending.
* Align Engineering, Data Science, CX, Finance, Compliance, and Marketplace Ops.
* Communicate priorities clearly and drive disciplined, cross\-functional execution.
**Metrics You’ll Own**
**Northstar Metric:** 
 Risk\-Adjusted Portfolio Performance
 (Balancing high advance/lending volume with model accuracy, low losses, and healthy customer repayment.)
**KPIs**
**Offer Acceptance Rate** 
 (cash advances)
 → % of customers who receive and accept an advance offer
**Lending Conversion Rate** 
 (loans)
 → % of customers who complete the lending flow and take out a loan
**Loss Rate vs Expected Loss** 
 (EL)
 → Calibration of the underwriting model
**Delinquency Rate** 
 (Loans)
 → Portfolio health and repayment behavior
**What Great Looks Like (6 Months)**
* Higher offer acceptance and lending conversion without increasing losses.
* Faster underwriting decisions (hours → minutes).
* Improved model calibration: expected loss vs actual loss variance reduced.
* A simpler, more intuitive borrowing experience that increases customer trust and usage.
* Clean, scalable operational workflows with fewer manual interventions.
* Predictable, stable portfolio performance tied directly to Alt Value.
**Who You Are**
* 5–8\+ years of PM experience in credit, lending, underwriting, risk, or fintech.
* Strong understanding of underwriting logic, expected\-loss modeling, delinquency, and LTV frameworks.
* Comfortable interpreting model outputs and turning them into credit rules and customer\-facing flows.
* Experienced partnering with Finance, Data Science, CX, and Engineering.
* A product thinker who can simplify complex financial decisions into clear, user\-friendly interfaces.
* Able to operate at multiple altitudes — from credit model details to high\-level product strategy.
* You move fast, take ownership, and communicate clearly.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$170,000 \- $180,000, plus equity. Offers may vary based on experience, location, and other factors.</t>
        </is>
      </c>
    </row>
    <row r="64">
      <c r="A64" t="inlineStr">
        <is>
          <t>li-4368675552</t>
        </is>
      </c>
      <c r="B64" t="inlineStr">
        <is>
          <t>Principal, Product Manager – Data Foundations &amp; Measurement [Ads]</t>
        </is>
      </c>
      <c r="C64" t="inlineStr">
        <is>
          <t>Fetch</t>
        </is>
      </c>
      <c r="D64" t="inlineStr">
        <is>
          <t>linkedin</t>
        </is>
      </c>
      <c r="E64" t="inlineStr"/>
      <c r="F64" t="inlineStr"/>
      <c r="G64" t="inlineStr">
        <is>
          <t>Madison, WI</t>
        </is>
      </c>
      <c r="H64" t="inlineStr"/>
      <c r="I64" t="inlineStr">
        <is>
          <t>**What we’re building and why we’re building it.**
 Every month, millions of people use Fetch,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**About The Role**
 We’re looking for a Principal Product Manager, Data Foundations \&amp; Measurement to define and drive Fetch’s end\-to\-end data and measurement strategy. In this highly technical role, you’ll work deep within our data workflows and systems to build scalable ad products, unify our data sources, and establish standardized frameworks across ad objects and surfaces.
 You’ll partner closely with Engineering, Design, Analytics, and Sales to build the foundational capabilities that power our data and measurement ecosystem. As the organization’s measurement expert, you will set the standards for how measurement is defined and applied across Fetch, shape our on\- and off\-platform measurement strategies, and determine what data we share with partners and how we deliver it.
 As part of the broader data strategy, you will also help define how we approach audience construction and scaling, and identify tooling that accelerates system and product development including solutions like text\-to\-SQL or agentic technologies. Additionally, you will own the development of our sellable data strategy, ensuring Fetch’s unique data assets are packaged and monetized effectively.
 You’ll be joining Fetch at a pivotal moment, as new technologies and tooling transform how we build, integrate, and scale our products.
 This is a full\-time role that can be held from one of our US offices or remotely in the United States.
**What You’ll Do**
* Own the vision, strategy, and execution for Fetch’s data, audience, and measurement foundation—building robust, scalable systems that support all ad products.
* Develop standardized frameworks used across ad objects, surfaces, and measurement workflows.
* Shape Fetch’s measurement strategy, including on\- and off\-platform products, key measurement partnerships, and the frameworks for partner\-facing data delivery.
* Lead the development of our sellable data strategy, determining how Fetch’s unique data assets should be packaged, governed, and monetized.
* Help shape how off\-platform audiences are constructed, scaled, and operationalized.
* Identify and implement tooling that accelerates data and product workflows including solutions like text\-to\-SQL or agentic technologies.
* Work closely with Engineering, Data Science, Analytics, Sales, and Operations to align on priorities, make trade\-offs, and drive execution.
* Collaborate with GTM and Business Development to identify, evaluate, and build partnerships across the data and measurement ecosystem.
**Minimum Qualifications**
* 7\+ years of product management experience, including 3\+ years in ad tech with a strong track record of building data\-intensive or measurement\-focused products.
* Technical proficiency in data and measurement systems, including data pipelines, APIs, event taxonomies, reporting and eligibility frameworks, conversion modeling, and partner\-facing data delivery. Comfortable partnering with engineering on architecture, data models, and system design.
* Proven ability to set strategy, make trade\-offs, and drive alignment across engineering, analytics, product, operations, sales, and executive stakeholders.
* Strong technical aptitude and fluency working with data systems, measurement pipelines, APIs, and emerging tools such as text\-to\-SQL or agentic technologies.
* Comfort operating in ambiguity—able to define problem spaces, create structure, and drive execution with limited guidance.
* A self\-starter mindset with the ability to work independently and thrive in fast\-changing environments.
* Excellent communication skills for working with internal teams as well as external partners and vendors.
* Strong problem\-solving skills and the ability to reason through complex systems and data\-rich challenges.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t>
        </is>
      </c>
    </row>
    <row r="65">
      <c r="A65" t="inlineStr">
        <is>
          <t>li-4353011331</t>
        </is>
      </c>
      <c r="B65" t="inlineStr">
        <is>
          <t>Senior Product Manager - Financial Crimes</t>
        </is>
      </c>
      <c r="C65" t="inlineStr">
        <is>
          <t>Mercury</t>
        </is>
      </c>
      <c r="D65" t="inlineStr">
        <is>
          <t>linkedin</t>
        </is>
      </c>
      <c r="E65" t="inlineStr"/>
      <c r="F65" t="inlineStr"/>
      <c r="G65" t="inlineStr"/>
      <c r="H65" t="inlineStr"/>
      <c r="I65" t="inlineStr">
        <is>
          <t>Risk is the nervous system behind every magical banking\* experience. It senses, responds, protects, without fanfare. It doesn’t power motion, but without it, motion goes awry.
 At Mercury, we build systems that identify good customers and protect them. We create fluid, intelligent experiences that let customers move confidently and securely through their day. We believe our obligation to the customer does not stop with the transaction but our aim is to ensure a strong financial ecosystem across the entire banking infrastructure.
 We’re looking for a Senior Product Manager to lead the evolution of our Financial Crimes systems. You’ll define and build the infrastructure that underpins our Anti\-Money Laundering and Sanctions monitoring and reporting.
 This role is ideal for someone who sees platforms not as abstract systems, but as multipliers of impact. Someone who understands that well\-structured data and decisions are the foundation for everything from delightful automation to resilient control.
*\*Mercury is a fintech company, not an FDIC\-insured bank. Banking services provided through Choice Financial Group and Column N.A., Members FDIC.*
**What you'll do:**
* Define the vision and technical roadmap for Mercury’s FinCrimes team.
* Build flexible, high precision monitoring platforms
* Ensure reporting requirements are seamless and efficient
* Partner with engineering, risk strategy, data science, and risk operations to design APIs, data platforms, rule engines, and model orchestration workflows
* Enable continuous improvement by designing feedback loops that connect decisions to outcomes
* Collaborate with domain PMs (fraud, onboarding) to build reusable capabilities that reduce redundancy and amplify speed
* Establish a platform strategy that balances extensibility, resilience, observability, and performance. Balancing internal systems with external partners.
* Define and track platform health, adoption, and impact metrics
**What you bring:**
* 7\+ years of product management experience, including time spent building platform or infrastructure products
* Good understanding of AML and Sanctions domain
* Technical fluency; ability to dive deep in partnership with engineering while maintaining clarity for non\-technical stakeholders
* A product mindset that blends customer empathy with systems thinking
* Track record of creating internal tools or platforms that unlock speed, consistency, or quality across product teams
* Experience partnering with ML/DS teams to deploy and manage risk or scoring models
* Comfort operating in ambiguity and building new foundations from scratch
* Experience in risk, compliance, or financial services is a plus, but not required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66">
      <c r="A66" t="inlineStr">
        <is>
          <t>li-4325251834</t>
        </is>
      </c>
      <c r="B66" t="inlineStr">
        <is>
          <t>Product Manager - Advanced Surgical - Upstream</t>
        </is>
      </c>
      <c r="C66" t="inlineStr">
        <is>
          <t>CONMED Corporation</t>
        </is>
      </c>
      <c r="D66" t="inlineStr">
        <is>
          <t>linkedin</t>
        </is>
      </c>
      <c r="E66" t="inlineStr"/>
      <c r="F66" t="inlineStr"/>
      <c r="G66" t="inlineStr">
        <is>
          <t>Denver, CO</t>
        </is>
      </c>
      <c r="H66" t="inlineStr"/>
      <c r="I66" t="inlineStr">
        <is>
          <t>The Product Manager plays a critical role in shaping the future of CONMED’s Advanced Surgical portfolio by identifying high\-value market opportunities, driving innovation, and ensuring products meet evolving customer needs. In this role, the Product Manager will advance organizational goals by leading upstream product strategy—driving market research, Voice of Customer (VOC) programs, product development, and cross\-functional planning. The position ensures customer insights, competitive intelligence, and strategic priorities are transformed into actionable requirements, guiding the portfolio from early concept through development readiness. Candidates must reside in EST, CST or MST time zones within the United States.
**Key Duties And Responsibilities**
* Conduct market and customer research to identify trends, unmet needs, and whitespace opportunities that guide long\-term product strategy.
* Segment markets and define target user groups to inform portfolio prioritization and roadmap planning.
* Lead VOC and field immersion programs to capture clinical pain points and workflow insights.
* Track, analyze, and translate VOC findings into clear, actionable product development requirements and design inputs.
* Rationalization and optimization of portfolio to align with business strategic direction and evolving customer needs
* Partner with cross\-functional teams—including R\&amp;D, Clinical, Regulatory, and Quality—to lead product development efforts and ensure alignment from concept through feasibility.
* Validate early concepts and prototypes with key opinion leaders (KOLs), clinicians, and strategic partners to refine design direction and value proposition.
* Build and manage the front end of the new product pipeline, ensuring concepts are well\-defined and aligned with strategic priorities.
* Develop business cases with market sizing, financial modeling, cost modeling, and ROI analysis to support investment and resource allocation decisions. Ability to outline data driven recommendations.
* Evaluate Build, Buy, or Partner opportunities to accelerate innovation and strengthen the product portfolio.
* Collaborate with downstream marketing and commercial teams to ensure seamless transition from concept to launch readiness.
* Align upstream strategies globally, adapting for regional market needs, customer dynamics, and regulatory requirements.
* Monitor competitive intelligence and emerging technologies to maintain differentiation and identify disruptive trends.
* Represent the business at industry events and professional forums to capture insights and reinforce brand presence.
* Define and track KPIs such as pipeline health, VOC conversion rate, and time\-to\-concept to guide innovation and portfolio decisions.
* Champion a data\-driven, customer\-centered approach to ensure the voice of the customer remains at the core of all product decisions.
**Minimum Qualifications**
**Education**
* Bachelor’s Degree or equivalent.
**Experience**
* 3\-5 years related experience in successful upstream marketing roles in the medical device industry.
* 3\-5 years of experience utilizing Microsoft Office including Word, Excel and PowerPoint.
**Other Attributes**
* Must have excellent skills in Microsoft Office including Word, Excel and PowerPoint.
* Experience operating in highly regulated environments set by governmental agencies, independent regulatory bodies, medical associations, and patient advocacy organizations throughout the product lifecycle.
* Ability to meet with customers at hospitals and to be a member of a credentialing agency.
* Ability to lead and contribute to interdisciplinary teams with demonstrated results.
* Proven ability to execute and lead upstream projects within timeline and budget.
* Demonstrated strong organizational and communication skills.
* Demonstrated ability to build relationships with sales teams and physicians.
* Thorough knowledge of relevant anatomy, surgical procedures, and clinical needs.
* Thorough knowledge of surgeon and sales education process.
* Strong knowledge of laparoscopic procedures preferred.
* Preferred knowledge of insufflation market.
* This position is not eligible for employer based sponsorship.
 This job posting is anticipated to close on 2/1/2026\. We may, however, extend this time period, in which case the posting will remain available on careers.conmed.com. Please submit your application as soon as possible as we will be reviewing applications on a rolling basis as we receive them.
 Disclosure as required by applicable law, the annual salary range for this position is $104,000 \- $160,000\. The actual compensation may vary based on geographic location, work experience, education and skill level. The salary range is CONMED’s good faith belief at the time of this posting.
 Colorado residents: In any materials you submit, you may redact or remove age identifying information such as age, date of birth, or dates of school attendance or graduation. You will not be penalized for redacting or removing this information.
**Benefits**
 CONMED offers a wide array of benefits to fit your unique needs. Visit our Benefits Page for more information.
* Competitive compensation
* Excellent healthcare including medical, dental, vision and prescription coverage
* Short \&amp; long term disability plus life insurance \-\- cost paid fully by CONMED
* Retirement Savings Plan (401K) \-\- CONMED matches your contributions dollar for dollar, with the potential for up to 7% per pay period
* Employee Stock Purchase Plan \-\- allows stock purchases at discounted price
* Tuition assistance for undergraduate and graduate level courses
**Know someone at CONMED?** 
 Have them submit you as a referral before applying for this position to be eligible for our Employee Referral Program incentives!
 CONMED is an equal opportunity employer and does not discriminate on the basis of any legally protected status or characteristic. Protected veterans and individuals with disabilities are encouraged to apply. The Know Your Rights: Workplace Discrimination is Illegal Poster reaffirms this commitment.
 Colorado Residents: In any materials you submit, you may redact or remove age\-identifying information such as age, date of birth, or dates of school attendance or graduation. You will not be penalized for redacting or removing this information.
 If you feel you need a reasonable accommodation pursuant to the ADA, you are encouraged to contact us at 800\-929\-7176 option \#5\.</t>
        </is>
      </c>
    </row>
    <row r="67">
      <c r="A67" t="inlineStr">
        <is>
          <t>li-4340395501</t>
        </is>
      </c>
      <c r="B67" t="inlineStr">
        <is>
          <t>Salesforce Product Owner, Member and Participant Growth</t>
        </is>
      </c>
      <c r="C67" t="inlineStr">
        <is>
          <t>Rotary International</t>
        </is>
      </c>
      <c r="D67" t="inlineStr">
        <is>
          <t>linkedin</t>
        </is>
      </c>
      <c r="E67" t="inlineStr"/>
      <c r="F67" t="inlineStr"/>
      <c r="G67" t="inlineStr">
        <is>
          <t>Evanston, IL</t>
        </is>
      </c>
      <c r="H67" t="inlineStr"/>
      <c r="I67" t="inlineStr">
        <is>
          <t>**Job Title:** 
 Salesforce Product Owner, Member \&amp; Participant Growth
**Area:** 
 Member \&amp; Participant Experience
**Reports to:** 
 Product Manager, Member \&amp; Participant Growth
**Classification:** 
 Exempt
**Location:** 
 Evanston, IL
 This position is designated as
 **Hybrid \- Fully Flexible** 
 and expected to work from our world headquarters office once per month to several times a week. The specific days in the office are determined by managers based on business requirements. Rotary is under the jurisdiction of Illinois employment laws; we require all employees to live within reasonable daily commuting distance to Evanston.
**Organization Overview**
 Rotary is a membership organization that unites people from all continents and cultures who take action to deliver real, long\-term solutions to pressing issues facing our communities and the world. Each year, Rotary members expand their networks, build lasting relationships, and invest more than $300 million and 16 million volunteer hours to improve lives and create positive change in the world. In exchange for hard work and dedication in support of Rotary’s clubs, members and other participants, and their humanitarian service projects, our employees receive competitive salaries, flexible schedules, comprehensive benefits, and job enrichment. To learn more, visit http://www.rotary.org.
**Rotary’s Commitment to Belonging**
 At Rotary, we foster a welcoming environment where all employees are valued and empowered. We are dedicated to creating meaningful opportunities and supporting the growth and well\-being of our team. Join us in building a world where everyone can unite, take action, and create lasting change.
**Position Overview**
 The Salesforce Product Owner will be primarily responsible for managing the lifecycle of a portfolio of capabilities led by our Salesforce Product Manager. This role works closely with Key Stakeholders, and Product Managers to understand the organizational goals and priorities driving roadmaps. We are looking for a forward thinker able to see the bigger picture of the integrated system (Marketing Cloud, CRM, Experience Cloud, Non\-Profit Cloud and Data Integration). In this role you’ll tackle the challenge of juggling multiple solution capabilities and mastering the technical complexities of Rotary’s products. Your work will have a profound impact, driving participant\-focused solutions, leading market innovations, and enhancing product quality.
 The Salesforce Product Owner reports to a Product Manager aligned to a portfolio of solution capabilities.
**You Will Have**
* Bachelor’s degree in engineering, Computer Science, Management Information System or equivalent experience required.
* Proficiency in Salesforce platform, including Marketing Cloud and Experience Cloud.
* Knowledge of Agile Values, Principles, and mindset with at least 3\-5 years’ experience acting in a Salesforce Business Analyst role, or a similar role.
* Salesforce certifications (e.g., Sales Cloud, Nonprofit Cloud, Marketing Cloud, Experience Cloud) preferred.
* Experience with Salesforce integrations and third\-party applications.
* Strong technical acumen and system thinking.
* Proficiency using Confluence, SharePoint, and JIRA.
* A consumer\-centric focus with experience managing user experience components.
* An ability to articulate and clearly communicate and document complex problems and solutions simply and logically.
* Demonstrated track record in effective requirement elicitation and analysis.
* Excellent critical thinking and communication skills.
* Self\-motivation is crucial.
* Familiarity with Salesforce Einstein Analytics.
* Certified in Scaled Agile \- SAFe® Product Owner (PO/PM) a plus.
**You Are Good At**
* Excellent verbal and written communication skills.
* Bringing a strong understanding of Salesforce best practices and functionality to Rotary
* Team oriented with proven ability to build consensus across groups with different priorities and lead diverse cross\-functional teams.
* Tackling problems with creativity and a positive attitude.
* Analytical and decision\-making skills.
* Managing more than one product.
* Being flexible and adaptable to change.
**You Will Be Responsible For**
**Product Ownership \&amp; Backlog Management**
* Owning the product backlog and priority of backlog items; ensure it is transparent, visible, and understood.
* Creating and communicating backlog items (i.e., writing user stories).
* Accepting user stories.
* Prioritizing and sequencing stories to maximize business value while maintaining a sustainable pace.
**Strategic Planning \&amp; Roadmap**
* Managing the product roadmap of solution capabilities.
* Closely collaborating with your Product Manager and/or Business Stakeholder to gain product understanding and prioritize backlog items efficiently.
**Stakeholder Engagement \&amp; Feedback Integration**
* Processing and analyzing product feedback from stakeholders.
* Conducting demos for all required stakeholders.
* Running UAT.
**Cross\-Team Collaboration \&amp; Dependency Management**
* Collaborating with IT back\-end teams and shared services to assist decision\-making and sequencing of critical technology enablers.
* Ensuring ongoing collaboration with other product development teams to align work and proactively manage cross\-team dependencies.
**Issue Management \&amp; Quality Assurance**
* Monitoring, triaging, and investigating production issues.
**Technical Coordination \&amp; Requirements Analysis**
* Analyzing functional and non\-functional product requirements, dependencies, and constraints and decomposing them into tasks for the development team.
* Working with the Salesforce System Administrator to coordinate upgrades or data integration changes requiring Rotary support.
**Leadership Attributes**
* Communication: Be open to receiving ideas from diverse viewpoints and able to communicate messages so that they are universally understood.
* Collaboration: Builds partnerships and works jointly with others to meet shared objectives.
* Accountability: Have a clear sense of ownership and take personal responsibility for actions.
* Adaptability: Respond to changes willingly and recognize when to adjust based on the situation.
**Salary range**
 $109,350 \- $121,500
**Why Work For Rotary?**
* Generous medical, dental, and vision benefits package
* Progressive 401k matching contributions
* Above market and generous paid time off package
* Tuition reimbursement
* Professional development opportunities
* On\-site cafeteria and coffee bar with special pricing for Rotary employees
* Flextime\-several different work schedules to choose from
* Close to CTA, Metra, a variety of stores, and many food options
**Please Note**
* Rotary does not provide VISA sponsorship or relocation assistance</t>
        </is>
      </c>
    </row>
    <row r="68">
      <c r="A68" t="inlineStr">
        <is>
          <t>li-4363992150</t>
        </is>
      </c>
      <c r="B68" t="inlineStr">
        <is>
          <t>Technical Product Manager - Cloud Products &amp; Patterns</t>
        </is>
      </c>
      <c r="C68" t="inlineStr">
        <is>
          <t>Jobs via eFinancialCareers</t>
        </is>
      </c>
      <c r="D68" t="inlineStr">
        <is>
          <t>linkedin</t>
        </is>
      </c>
      <c r="E68" t="inlineStr"/>
      <c r="F68" t="inlineStr"/>
      <c r="G68" t="inlineStr">
        <is>
          <t>Charlotte, NC</t>
        </is>
      </c>
      <c r="H68" t="inlineStr"/>
      <c r="I68"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70 countries across EMEA, North America, Latin America and Asia Pacific. We employ 25,000 people globally, more than half located in Asia Pacific. LSEG's ticker symbol is LSEG.
**OUR PEOPLE:**
 People are at the heart of what we do and drive the success of our business. Our culture of connecting, creating opportunity and delivering excellence shape how we think, how we do things and how we help our people fulfil their potential. We embrace diversity and actively seek to attract individuals with unique backgrounds and perspectives. We break down barriers and encourage teamwork, enabling innovation and rapid development of solutions that make a difference. Our workplace generates an enriching and rewarding experience for our people and customers alike. Our vision is to build an inclusive culture in which everyone feels encouraged to fulfil their potential.
 We know that real personal growth cannot be achieved by simply climbing a career ladder \- which is why we encourage and enable a wealth of avenues and interesting opportunities for everyone to broaden and deepen their skills and expertise. As a global organisation spanning 70 countries and one rooted in a culture of growth, opportunity, diversity and innovation, LSEG is a place where everyone can grow, develop and fulfil your potential with meaningful careers!!
**ROLE SUMMARY:**
 As the
 **Technical Product Manager** 
 you will join our Cloud Products \&amp; Patterns team here at LSEG. You will play a pivotal role in defining, owning, and evolving a suite of Azure\-based infrastructure patterns delivered as Infrastructure\-as\-Code (IaC) using Terraform, to help accelerate application migrations to Azure. These patterns are tailored to meet our business and user requirements, enabling scalable, secure, and efficient cloud adoption across the enterprise.
 You will lead the product lifecycle\-from discovery to delivery\-of Azure Cloud Products and Infrastructure Patterns for use within LSEG, ensuring alignment with business needs and seamless integration into CI/CD pipelines to support application migrations to Azure.
**WHAT YOU'LL BE DOING:**
* Product Ownership \&amp; Strategy
+ Define and maintain the product roadmap for Azure Cloud Products \&amp; Infrastructure Patterns.
+ Lead feature discovery and define functional and non\-functional requirements.
+ Drive adoption of patterns through the Cloud Product Framework (CPF), a business framework for delivering infrastructure patterns through collecting user requirements
* Delivery \&amp; Implementation
+ Oversee the design, implementation, and lifecycle of reusable infrastructure patterns.
+ Ensure patterns are production\-ready, secure, and aligned with LSEG enterprise standards.
+ Support LSEG application teams in migrating workloads to Azure using these patterns.
* Governance \&amp; Standards
+ Contribute to the definition of policies, controls, and standards for infrastructure patterns and to enable cloud product consumption.
+ Ensure pattern compliance with internal governance and security requirements.
* Technical Leadership
+ Provide hands\-on expertise in Azure services, Terraform, and CI/CD practices.
+ Resolve engineering, coding, security, and architectural challenges.
+ Lead PoCs, evaluate tools, and provide recommendations.
* Enablement \&amp; Community
+ Create and maintain a library of reusable infrastructure patterns, templates and modules.
+ Deliver training, documentation, and mentoring to development teams.
+ Promote adoption, self\-service and reusability across the organization.
**What You'll Deliver**
* A well\-defined and maintained roadmap for Azure Cloud Products \&amp; Infrastructure Patterns.
* Standardized templates and scripts for IaC and CI/CD orchestration.
* A scalable service catalog of Azure cloud products and infrastructure patterns \- customised for use in LSEG.
* Educational materials and enablement sessions for internal teams.
* A consistent, compliant, and developer\-friendly pattern adoption experience.
**WHAT YOU'LL BRING:**
* Proven experience in product management or technical leadership roles in cloud infrastructure.
* Deep understanding of Azure architecture, services, and governance.
* Hands\-on experience with Terraform (or similar IaC tools) and CI/CD pipelines.
* Familiarity with Agile methodologies (Scrum, Kanban).
* Strong analytical and problem\-solving skills.
* Excellent communication and stakeholder management abilities.
**Preferred Qualifications**
* Azure Solutions Architect certification (or equivalent).
* Experience with multi\-cloud environments.
* Background in enterprise\-scale cloud migrations.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69">
      <c r="A69" t="inlineStr">
        <is>
          <t>li-4353171140</t>
        </is>
      </c>
      <c r="B69" t="inlineStr">
        <is>
          <t>Senior Commercial Product Manager – NGS Solutions</t>
        </is>
      </c>
      <c r="C69" t="inlineStr">
        <is>
          <t>Integrated DNA Technologies</t>
        </is>
      </c>
      <c r="D69" t="inlineStr">
        <is>
          <t>linkedin</t>
        </is>
      </c>
      <c r="E69" t="inlineStr"/>
      <c r="F69" t="inlineStr"/>
      <c r="G69" t="inlineStr">
        <is>
          <t>San Diego, CA</t>
        </is>
      </c>
      <c r="H69" t="inlineStr"/>
      <c r="I69" t="inlineStr">
        <is>
          <t>**Bring more to life.**
 Are you ready to accelerate your potential and make a real difference within life sciences, diagnostics and biotechnology?
 At Integrated DNA Technologies (IDT),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Our team at Integrated DNA Technologies (IDT) is united by a commitment to collaboration and scientific excellence, building on a strong foundation of innovation, expertise, and reliability. Guided by our vision to help researchers rapidly move from the lab to life\-changing advances, we work closely with global partners to accelerate progress and genomics breakthroughs across fields such as cancer, infectious diseases, rare genetic disorders, and more. At IDT, you’ll be part of a culture rooted in continuous learning and improvement—where your growth fuels our mission to accelerate the pace of genomics and helps shape a healthier, brighter future for all.
 Learn about the Danaher Business System, which makes everything possible.
 The Sr. Commercial Product Manager – NGS Solutions is responsible for collaborating cross\-functionally with Sales and Marketing to drive revenue and margin growth in alignment with long\-term business objectives.
 This position reports to the Vice President, Gene Reading Solutions, and is part of the Integrated DNA Technologies Business Unit, located in Boulder, CO. It will be an on\-site role.
**In This Role, You Will Have The Opportunity To**
* Develop an annual strategic plan to drive actions that lead to sustainable growth and the advancement of strategic objectives
* Serve as a commercial subject matter expert and product champion internally and externally
* Regularly analyze market trends, competitor performance, sales channels, and regulatory requirements
* Manage product life cycle from new product launch to obsolescence
* Partner with Sales and Marketing teams to develop effective positioning strategies, marketing campaigns, collateral, sales tools, and training programs to drive growth
**The Essential Requirements Of The Job Include**
* Bachelor’s degree in a relevant field (biology, chemistry, biochemistry, bioinformatics) with 5 years of experience in genomics industry roles
* 3\+ years of experience in NGS product management
* 2\+ years of experience in high\-touch customer\-facing roles
* Demonstrated assay commercialization success in genomics, next\-generation sequencing, or a related industry, inclusive of chemistry and analytics products
**Travel, Motor Vehicle Record \&amp; Physical/Environmental Requirements**
* Willingness and ability to travel up to 20% domestically and internationally
**It would be a plus if you also possess previous experience in:**
* PhD in biological sciences (biology, chemistry, biochemistry) or a related field
* Demonstrated understanding of the competitive landscape, technologies, trends, and key challenges in the NGS and oncology research market
 IDT,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$130,000\-$170,000
 *.*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70">
      <c r="A70" t="inlineStr">
        <is>
          <t>li-4368519700</t>
        </is>
      </c>
      <c r="B70" t="inlineStr">
        <is>
          <t>Technology and Innovation - Technical Program Manager (FinTech / LegalTech)</t>
        </is>
      </c>
      <c r="C70" t="inlineStr">
        <is>
          <t>Riveron</t>
        </is>
      </c>
      <c r="D70" t="inlineStr">
        <is>
          <t>linkedin</t>
        </is>
      </c>
      <c r="E70" t="inlineStr"/>
      <c r="F70" t="inlineStr"/>
      <c r="G70" t="inlineStr"/>
      <c r="H70" t="inlineStr"/>
      <c r="I70" t="inlineStr">
        <is>
          <t>**About The Role**
 We are seeking an experienced Technical Program Manager to lead the delivery of complex, business‑critical systems in regulated FinTech or LegalTech environments. This role goes beyond analytics or reporting platforms—you will own the execution of ERP or SaaS business systems that power financial, legal, and compliance\-driven transactional workflows.
 You will be responsible for driving cross\-system process transformations, managing risk in regulated environments, and ensuring successful delivery across tightly integrated platforms.
**What You’ll Do**
* Own end\-to\-end delivery of ERP or SaaS business systems supporting financial, legal, billing, or compliance workflows
* Lead cross\-system, enterprise\-grade transformations involving multiple integrated platforms
* Manage project planning, execution, dependencies, and risk for business\-critical initiatives
* Coordinate with engineering, finance, legal, compliance, and operations stakeholders to align technical delivery with business outcomes
* Drive requirements definition, system integration planning, and implementation oversight
* Ensure adherence to regulatory, compliance, and audit requirements throughout delivery
* Identify and mitigate risks in high\-impact, high\-complexity transactional systems
* Communicate clearly and proactively with executive stakeholders on progress, risks, and delivery timelines
* Support post\-implementation stabilization and operational handoff
**Who You Are**
* 7\+ years of experience as a Technical Program Manager or Program Manager
* Strong hands\-on ownership of ERP or SaaS business systems (not analytics\-only platforms)
* Direct experience with payments, billing, finance, legal operations, or compliance systems
* Proven track record delivering cross\-system, regulated, business\-critical transformations
* Experience managing integrated, transactional platforms in complex environments
* Excellent stakeholder communication skills, with the ability to engage technical and non\-technical audiences
* Comfortable operating in high\-risk, compliance\-driven environments
**Preferred Qualifications**
* Experience with ERP systems supporting Finance, Legal, or Compliance functions
* Ownership of SaaS platforms in regulated domains
* Background in FinTech or LegalTech organizations
* Experience delivering systems subject to audits, regulatory oversight, or strict controls
**About Riveron**
 At Riveron, we partner with clients—from global multinationals to high\-growth private entities—to solve complex finance challenges, guided by our DELTA values: Drive, Excellence, Leadership, Teamwork, and Accountability. Our entrepreneurial culture thrives on collaboration, diverse perspectives, and delivering exceptional outcomes. We are committed to fostering growth, both for our clients and our people, through mentorship, integrity, and a client\-centric approach. This inclusive environment offers flexibility, progressive benefits, and meaningful opportunities for impactful work that supports well\-being in and out of the office.
**Check Us Out On Social Media**
 LinkedIn Glassdoor Instagram Facebook
*Riveron Consulting is an Equal Opportunity Employer and believes that we are stronger together through our diversity. All qualified applicants will receive consideration for employment without regard to race, color, religion, sex, age, national origin, disability status, protected veteran status, sexual orientation, gender identity or any other characteristic protected by law.*
 This position is eligible for a full range of benefits including medical, dental, and vision insurance, 401(k) with company match, and PTO. A complete description of all available benefits can be found at Riveron's Benefits page at https://riveron.com/riveron\-life/.
**Fraud Alert**
 Please beware of fraudulent schemes or impersonations when going through the job application process. A Riveron employee will never recruit via text or extend unsolicited employment offers. Additionally, a Riveron employee will never ask you to exchange money or purchase anything as part of the recruiting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1">
      <c r="A71" t="inlineStr">
        <is>
          <t>li-4361354523</t>
        </is>
      </c>
      <c r="B71" t="inlineStr">
        <is>
          <t>Senior Product Manager - Teams Messaging Experiences (Core UX)</t>
        </is>
      </c>
      <c r="C71" t="inlineStr">
        <is>
          <t>Microsoft</t>
        </is>
      </c>
      <c r="D71" t="inlineStr">
        <is>
          <t>linkedin</t>
        </is>
      </c>
      <c r="E71" t="inlineStr"/>
      <c r="F71" t="inlineStr"/>
      <c r="G71" t="inlineStr">
        <is>
          <t>Redmond, WA</t>
        </is>
      </c>
      <c r="H71" t="inlineStr"/>
      <c r="I71" t="inlineStr">
        <is>
          <t>**Overview**
 Microsoft Teams is the fastest growing business application in Microsoft’s history, helping hundreds of millions of people around the world connect and collaborate. The Messaging Core Experiences team sits at the heart of the app, delivering foundational experiences for people and agents to communicate and collaborate in the modern workplace. We’re working to make Teams everyone’s preferred collaboration tool, winning customer love by building flows that are polished and thoughtfully designed, so people choose Microsoft Teams.
 Are you ready to transform how people and agents collaborate in the modern workplace? Messaging is the foundation of collaboration in Microsoft Teams, enabling people and agents to work together seamlessly. Our team has delivered recent innovations such as threaded conversations in channels, AI\-powered summary cards, custom emojis, and enhanced reactions \- and we're looking for someone passionate about creating intuitive, well\-crafted experiences that help millions connect, communicate, and collaborate daily. This role requires building durable systems that solve complex problems with elegant, user\-centered solutions that remain flexible to support diverse customer needs. Our team is at a pivotal moment in redefining collaborative productivity, and we're looking for a creative, self\-driven, and forward\-thinking product leader to own and advance messaging experiences in Microsoft Teams, the fastest growing business application Microsoft's history.
 We are looking for a
 **Senior Product Manager** 
 with a strong background in systems thinking and the ability to consider consequences of a central design on all the experiences built on top of it. We are adapting the foundational principles Teams is built on to support new ways of working. Ownership areas span chats, channels, and meeting contexts – everywhere people collaborate. The implications of this Senior Product Mnager decisions will ripple throughout the product, impacting each Teams user.
**Responsibilities**
* Building UX systems and consider consequences of a central design on all the experiences built on top of it.
* Responsible for adapting the foundational principles Teams is built on to support new ways of working, supporting collaboration between individuals, groups, and agents, in channels, chats, and meetings.
* Defining principles and incorporate feedback without losing sight of core goals.
* Advocating the proposed solution with stakeholders, finding creative solutions to account for their requirements while maintaining a simple experience for customers.
* Communicating detailed requirements to engineering partners, zoom out to story\-tell the end\-to\-end experience to executives.
**Qualifications**
**Required Qualifications:**
* Bachelor's Degree AND 5\+ years experience in product/service/program management or software development
+ OR equivalent experience.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2">
      <c r="A72" t="inlineStr">
        <is>
          <t>li-4376738769</t>
        </is>
      </c>
      <c r="B72" t="inlineStr">
        <is>
          <t>Early IT Program Manager, School of Information Technology, CECH</t>
        </is>
      </c>
      <c r="C72" t="inlineStr">
        <is>
          <t>University of Cincinnati</t>
        </is>
      </c>
      <c r="D72" t="inlineStr">
        <is>
          <t>linkedin</t>
        </is>
      </c>
      <c r="E72" t="inlineStr"/>
      <c r="F72" t="inlineStr"/>
      <c r="G72" t="inlineStr">
        <is>
          <t>Campus, IL</t>
        </is>
      </c>
      <c r="H72" t="inlineStr"/>
      <c r="I72" t="inlineStr">
        <is>
          <t>**Current UC employees must apply internally via
 *SuccessFactors***
**Next Lives at the University of Cincinnati**
 Founded in 1819, the University of Cincinnati ranks among the nation’s best urban public research universities. Home to more than 53,600 students, 12,000 faculty and staff, and over 360,000 living alumni, UC, a Carnegie 1 institution, combines research prowess with a physical setting The New York Times has called “the most ambitious campus design program in the country." UC's momentum has never been stronger as the anchor of the Cincinnati Innovation District, the oldest cooperative education (co\-op) program in the country with students earning $94 million annually through paid experiences, an academic health system, and as a member of the Big 12 Conference. The university contributes $10\.6 billion in economic impact to the city and $22\.7 billion to the state of Ohio. At UC, next is all of us. Learn more at uc.edu.
 UC is a mission\-driven organization where we are committed to student success and positively transforming the community through scholarship and service. We thrive on innovation, making an impact, and fostering an environment where staff and faculty are key contributors to UC’s success.
**About The School Of Information Technology**
 The School of Information Technology (SoIT) is a national leader in studying solutions and needs that connect people, information, and the technology of the time. The SoIT is home to Ohio's first Master of Science, and Doctor of Philosophy degrees in Information Technology. In addition, it is home to Ohio's first ABET accredited Bachelor of Science in Information Technology and a Bachelor of Science in Cybersecurity. The SoIT has been growing at 15% annually and currently serves more than 1,550 students with 33 full\-time faculty members, 38 full\-time staff, and 39 adjunct faculty. The SoIT is home to several centers including an NSA/DHS Center for Academic Excellence in Cyber Defense, the Information Technology Solutions Center, the Ohio Cyber Range Institute, Applied Machine Learning and Intelligence Center, the Justice, Law, and Information Technology Institute, and the Civic Technology Center. In 2017, the SoIT launched the Early IT as a collaborative ecosystem among educational institutions and industry to significantly advance the readiness of the state’s information technology talent.
 The SoIT is an interdisciplinary, team\-oriented, mission\-driven, dynamic, and entrepreneurial environment. It empowers individuals to become passionate, solution\-minded Information Technology professionals by fostering continuous innovation, research, leadership development, interdisciplinary problem solving, and real\-world experience. More information about the SoIT can be found at http://cech.uc.edu/it.
 The Early IT ecosystem is a collaborative partnership with K12 districts, community colleges, education service centers, and the industry with the goal of removing barriers to college education and career success for all. The SoIT collaborates with its partners to create pathways for learners to advance their degrees, create success experiences to enable learners to achieve their goals, and create practical experiences to equip the learners with advanced hands\-on technical skills, problem solving skills, and communication skills. More information on the Early IT ecosystem can be found at: https://www.cech.uc.edu/schools/it/early\-it.html
**Job Overview**
 The SoIT is seeking a program manager to support the Early IT ecosystem. This includes managing relationships with the various academic and industry partners, collaborating with the Early IT team to problem solve, increase efficiency, innovate to ensure success, and managing the life cycle of projects and activities with the various partners. The program manager will report to the Associate Director for Early IT.
 This position is 100% on\-site but may offer flexibility for a hybrid work option once training is complete. Hybrid work arrangements are at the discretion of the supervisor and are subject to change in accordance with the School of Information Technology telework policy and university policies.
**Essential Functions**
* Manage, design, develop, modify and present programs. Perform program needs assessment and make recommendations.
* Implement policies and procedures.
* Act as a liaison to internal departments, external entities, and community organizations.
* May prepare and edit reports and/or newsletters and develop publication materials.
* Perform related duties based on departmental needs. This job description can be changed at any time.
* Assist with managing the operation of the SoIT Early College program
* Assist with organizing events, workshops and other related activities such as Early IT Roundtable and Teacher Fellowship.
* Assist with developing and implementing marketing strategies to recruit students and program participants.
* Assist with managing relationships with current school partners.
* Coordinate with faculty and staff in support of the program.
* Assist with meeting grant requirements and development of new grant proposals.
**Required Education**
* Bachelor's Degree.
* Seven (7\) years of relevant work experience and/or other specialized training can be used in lieu of education requirement.
**Required Trainings/Certifications**
 N/A
**Required Experience**
 Three (3\) years of relevant experience.
**Additional Qualification Considered**
* Experience with the Early IT ecosystem is preferred.
* Experience working in a school\-based setting; high school experience preferred.
* Experience working with school districts, especially in implementation of new programs.
* Experience working with multiple organizations such as regional consortiums.
* Understanding the administrative functions, academic programs, and requirements of a university.
* Ability to work in a fast\-paced environment.
**Physical Requirements/Work Environment**
* Office environment/no specific unusual physical or environmental demands.
**Application Process**
 Review of the applications will start as soon as possible until the position is filled. Applicants must submit:
* Cover Letter
* CV/Resume
* At least three references
**Compensation And Benefits**
 UC offers an exceptional benefits package designed to support your well\-being, financial security, and work\-life balance. Eligibility varies by position and FTE. Highlights include:
**Salary/Hourly Pay Rate Information:** 
 \[\[custRCM\_PostingSalary]]
**Comprehensive Tuition Remission**
 UC provides tuition remission for you and your eligible dependents, covering tuition costs for nearly all undergraduate and graduate programs offered by the university.
**Robust Retirement Plans**
 As a UC employee, you won’t contribute to Social Security (except Medicare). Instead, you’ll choose between state pension plans (OPERS, STRS) or an Alternative Retirement Plan (ARP), with UC contributing 14–18% of your salary based on position.
**Real Work\-Life Balance**
 UC prioritizes work\-life balance with a generous time\-off policy, including:
 Vacation and sick time
 11 paid holidays and additional end\-of\-year paid time off (Winter Season Days)
 6 weeks of paid parental leave for new parents
**Additional Benefits Include**
* Competitive salary range of $50,000 \- $55,000 based on experience
* Comprehensive health coverage (medical, dental, vision, prescription)
* Flexible spending accounts \&amp; wellness programs
* Professional development \&amp; mentorship opportunities
 For questions about the UC recruiting process or to request accommodations with the application, please contact Human Resources at
 **jobs@uc.edu.**
**Equal Opportunity Employer. Building a workplace where all qualified applicants will receive consideration for employment, including Individuals with Disabilities and Protected Veterans.**
 REQ: \[\[id]]</t>
        </is>
      </c>
    </row>
    <row r="73">
      <c r="A73" t="inlineStr">
        <is>
          <t>li-4361645089</t>
        </is>
      </c>
      <c r="B73" t="inlineStr">
        <is>
          <t>Program Manager, Relo Ops Excellence, Relo Ops Integration</t>
        </is>
      </c>
      <c r="C73" t="inlineStr">
        <is>
          <t>Amazon</t>
        </is>
      </c>
      <c r="D73" t="inlineStr">
        <is>
          <t>linkedin</t>
        </is>
      </c>
      <c r="E73" t="inlineStr"/>
      <c r="F73" t="inlineStr"/>
      <c r="G73" t="inlineStr">
        <is>
          <t>Bellevue, WA</t>
        </is>
      </c>
      <c r="H73" t="inlineStr"/>
      <c r="I73" t="inlineStr">
        <is>
          <t>**Description**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 Operational capabilities to support new business needs
* Operational processes to reduce cost through performance efficiencies
* Standard Operating Procedures to ensure compliance, quality, and scalability
* Field tools and dashboards to assist with execution of brilliant basic pillars
* Shared projects with other WWR\&amp;R teams – NCRC, ReCommerce, ROE Programs and Tech – as cross functional stakeholders
* Create dashboards and track success metrics
 A day in the life
 The Program Managers of the OI team own scoping, designing, and implementing:
* Operational capabilities to support new business needs
* Operational processes to reduce cost through performance efficiencies
* Standard Operating Procedures to ensure compliance, quality, and scalability
* Field tools and dashboards to assist with execution of brilliant basic pillars
*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
**Company** 
 \- Amazon.com Services LLC
 Job ID: A3158546</t>
        </is>
      </c>
    </row>
    <row r="74">
      <c r="A74" t="inlineStr">
        <is>
          <t>li-4368510489</t>
        </is>
      </c>
      <c r="B74" t="inlineStr">
        <is>
          <t>Senior Technical Program Manager, Billing (TPM)</t>
        </is>
      </c>
      <c r="C74" t="inlineStr">
        <is>
          <t>Glean</t>
        </is>
      </c>
      <c r="D74" t="inlineStr">
        <is>
          <t>linkedin</t>
        </is>
      </c>
      <c r="E74" t="inlineStr"/>
      <c r="F74" t="inlineStr"/>
      <c r="G74" t="inlineStr">
        <is>
          <t>Palo Alto, CA</t>
        </is>
      </c>
      <c r="H74" t="inlineStr"/>
      <c r="I74"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an experienced Billing Technical Program Manager (TPM) to lead cross\-functional programs across billing, invoicing, payments, and revenue operations at Glean. You will sit at the intersection of Product, Engineering, Finance, RevOps, and GTM, owning multi\-quarter initiatives that evolve how we monetize Glean: from pricing and packaging and usage\-based/seat\-based models, to billing infrastructure, tax \&amp; compliance integrations, and reporting and controls. This is a highly visible role where you will drive clarity in ambiguity, design and run rigorous execution frameworks, and ensure we can ship reliable, compliant, and scalable billing capabilities that keep pace with our product and business growth.
**You Will**
* Own and drive end\-to\-end technical programs across the Billing \&amp; Revenue domain – from problem definition and scoping, through design, implementation, launch, and post\-launch stabilization.
* Translate business strategy (e.g., new pricing/packaging, new product SKUs, usage/consumption models) into concrete technical roadmaps, milestones, and execution plans across multiple engineering teams and partner functions.
* Build and maintain program source\-of\-truth artifacts (roadmaps, program charters, status, risks, decision logs) that enable fast, aligned decision\-making.
* Act as the central connective tissue between Product, Engineering, Finance, Accounting, RevOps, Sales, Legal, and Support for all things billing.
**About You** 
* 5\+ years of experience in technical program management or closely related role.
* Proven track record of leading complex, cross\-functional technical programs in a high\-growth B2B SaaS or product engineering environment.
* Strong technical depth: comfortable working with distributed systems, data pipelines, APIs, and systems integrations; able to engage in detailed design discussions and ask the right questions to manage risk and scope.
* Demonstrated ability to impose structure on ambiguity: you can take a loosely defined problem, bring clarity, define options, and drive toward a decision and execution plan.
* Excellent written and verbal communication skills; able to translate between deeply technical engineering details, business constraints, and customer impact.
* Comfort operating in a fast\-paced, evolving environment where priorities may shift, and new business opportunities can change the roadmap.
* Nice to have:
+ Experience with one or more of: usage\-based / consumption billing, multi\-entity or multi\-currency billing, tax engines, or complex customer hierarchies
+ Background working closely with Finance, Accounting, and RevOps on revenue recognition, financial close, and compliance needs
+ Familiarity with tools in the quote\-to\-cash ecosystem
+ Prior experience at an early\- or growth\-stage startup where you’ve helped build billing capabilities from relatively early maturity
**Location:**
* This role is a hybrid (4 days a week in our Palo Alto office)
**Compensation \&amp; Benefits**
 The standard base salary range for this position is $198,000 \- $235,500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75">
      <c r="A75" t="inlineStr">
        <is>
          <t>li-4376741428</t>
        </is>
      </c>
      <c r="B75" t="inlineStr">
        <is>
          <t>Senior Technical Program Manager</t>
        </is>
      </c>
      <c r="C75" t="inlineStr">
        <is>
          <t>RemoteHunter</t>
        </is>
      </c>
      <c r="D75" t="inlineStr">
        <is>
          <t>linkedin</t>
        </is>
      </c>
      <c r="E75" t="inlineStr"/>
      <c r="F75" t="inlineStr"/>
      <c r="G75" t="inlineStr"/>
      <c r="H75" t="inlineStr"/>
      <c r="I75" t="inlineStr">
        <is>
          <t>**1\. About Our Client** 
 : The organization operates in the data streaming industry, addressing the challenge of moving data in real time to enable faster decision\-making and smarter operations. Their platform streams information in near real\-time, allowing companies to react quickly and deliver dynamic user experiences. The company’s technology aims to serve as a foundational system for modern enterprises requiring reliable, scalable data flow.
**2\. About the Opportunit** 
 y: The Senior Technical Program Manager plays a critical role in leading and executing high\-priority technical programs that are essential to the organization’s success. This position drives cross\-functional alignment across product, engineering, finance, and security teams to build key enterprise infrastructure. The role ensures the delivery of complex initiatives, setting standards for program management and facilitating decision\-making among distributed teams
**.** 
**3\. Responsibiliti** 
 e
* s:
* Lead end\-to\-end delivery of large\-scale technical projects, including business continuity, disaster recovery, cost efficiency, and architecture shi
* ftsTranslate business goals into detailed technical requirements and communicate architecture trade\-offs to non\-technical stakehold
* ersEstablish program management standards with clear milestones, KPIs, and risk\-mitigation pl
* ansCollaborate with leadership to prioritize roadmaps, resolve dependencies, and manage resources for critical progr
* amsManage relationships and facilitate decision\-making across global, distributed teams and key partn
**ers** 
**4\. Requirem** 
 e
* nts:
* 5\-8\+ years of technical program management experience in cloud\-native or high\-scale software environ
* mentsStrong understanding of distributed systems, cloud platforms (AWS, GCP, or Azure), and data streaming technologies such as Apache
* KafkaAlignment with values emphasizing intelligence, humility, empathy, and a results\-driven app
* roachAbility to navigate ambiguity and proactively drive efficiency improve
* mentsProven collaboration skills across engineering, product, finance, and data
* teamsBachelor’s degree in Computer Science, Engineering, or related technical
**field** 
**5\. Pay Range and Compensation P** 
 a
* ckage:
* The pay range and compensation package for this role will be determined based on the candidate’s experience, skills, and other relevant f
**actors.** 
**6\. Equal Opportunity S** 
 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6">
      <c r="A76" t="inlineStr">
        <is>
          <t>li-4375220424</t>
        </is>
      </c>
      <c r="B76" t="inlineStr">
        <is>
          <t>Systems Program Manager, GO Systems</t>
        </is>
      </c>
      <c r="C76" t="inlineStr">
        <is>
          <t>Meta</t>
        </is>
      </c>
      <c r="D76" t="inlineStr">
        <is>
          <t>linkedin</t>
        </is>
      </c>
      <c r="E76" t="inlineStr"/>
      <c r="F76" t="inlineStr"/>
      <c r="G76" t="inlineStr">
        <is>
          <t>San Francisco, CA</t>
        </is>
      </c>
      <c r="H76" t="inlineStr"/>
      <c r="I76" t="inlineStr">
        <is>
          <t>GO Systems is a horizontal team serving Global Operations accountable for delivery of systems and tooling strategies. GO Systems combines expertise in our products with operational, analytical, and technical skills to design and manage scalable processes. This work is enabled by a team of Systems Program Managers accountable for delivery across one of the following categories of jobs to be done: workflow design and management, workflow execution (production), and implementing tooling changes into Operations. GO Systems sits at the nexus between Engineering and Operations and is a technology\-first organization. This individual can work through the hands\-on technical side of tooling (e.g., completing configurations, investigating tooling bugs, and conducting testing) while also building interpersonal relationships and managing XFN communications.
 Systems Program Manager, GO Systems Responsibilities:
* Systems Program Managers within GO Systems contribute to advancing GO’s tooling strategies across three categories of jobs to be done:
* Workflow Design and Management: GO Systems is responsible for defining, building, and maintaining repeatable, sustainable processes that support GO’s tooling ecosystem (e.g., roadmapping, bug management, vendor insights)
* Workflow Execution / Production: GO Systems executes its internal workflows utilizing a combination of FTE and Vendor resources
* Implementing Tooling Changes into Operations: GO Systems facilitates significant tooling changes within GO’s ecosystem, with support including scope and design of technical solutions, project / program management, acceptance and experimental testing, training users on new tooling solutions, and providing expert opinion as GO’s tooling subject matter experts
* Systems Program Managers meet these responsibilities by exercising the following foundational skillsets:
* Program Management: A primary job to be done for GO Systems is implementing tooling changes into operations. Awareness of program and project management best practices is essential to delivering technically sound solutions at scale for Operations
* Cross\-Functional Partner Engagement: GO Systems serves an important role in balancing the business needs of Operations with the priorities of Meta’s various product teams. Systems Program Managers are regularly called upon to problem solve, prioritize, and inform business decisions happening in both Product and Operations
 Minimum Qualifications:
* Bachelor's degree in a directly related field, or equivalent practical experience
* 12\+ years of experience with end\-to\-end project management in a product, technical, and/or operations environment
* Experience initiating and driving multiple projects simultaneously with minimal guidance
* Experience with systems and tools used by Operations teams
* Experience partnering with technical teams (e.g., Engineering, Product Management, Data Science)
* Demonstrated experience in creating reference documents and communicating them with stakeholders
* Strategic thinker with problem\-solving skills, and analytical mindset
* Communication \&amp; Documentation Skills: Effective communication and rudimentary documentation skills are a core expectation of all Systems Program Managers
* Experience with tools supporting Operations functions and technical proficiency about systems ecosystems is a must for this role
 Preferred Qualifications:
* 1\+ years of experience using at least one scripting or programming language (SQL, PHP, Python, Haskell)
* 3\+ years of experience working directly with technical teams to scope requirements, create Service Level Agreements (SLAs), reporting on critical metrics and drive technical decisions
* Experience working at the nexus of product (engineering) and operations (integrity, support, or annotations functions)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$152,000/year to $214,000/year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7">
      <c r="A77" t="inlineStr">
        <is>
          <t>li-4377879675</t>
        </is>
      </c>
      <c r="B77" t="inlineStr">
        <is>
          <t>Operations Program Manager</t>
        </is>
      </c>
      <c r="C77" t="inlineStr">
        <is>
          <t>Swooped</t>
        </is>
      </c>
      <c r="D77" t="inlineStr">
        <is>
          <t>linkedin</t>
        </is>
      </c>
      <c r="E77" t="inlineStr"/>
      <c r="F77" t="inlineStr"/>
      <c r="G77" t="inlineStr"/>
      <c r="H77" t="inlineStr"/>
      <c r="I77" t="inlineStr">
        <is>
          <t>**About Our Client** 
 Our client is growing its team of passionate creatives and builders on a mission to make design accessible to all. The platform helps teams bring ideas to life—whether you're brainstorming, creating a prototype, translating designs into code, or iterating with AI. From idea to product, the organization empowers teams to streamline workflows, move faster, and work together in real time from anywhere in the world. If you're excited to shape the future of design and collaboration, join the team!
 Program management goes beyond tracking timelines—it’s about enabling scale, driving clarity, and delivering meaningful outcomes in a fast\-moving, product\-led organization. The company is looking for a strong individual contributor to lead complex, cross\-functional programs that help Product Support scale while maintaining a high\-quality customer and specialist experience.
**About The Role** 
 As an
 **Operations Program Manager** 
 on Product Support, you’ll own high\-impact initiatives that sit at the intersection of support operations, tooling, and process improvement. You’ll work closely with partners across Product Support, Engineering, Product, Analytics, Legal, and Security to turn ambiguous problems into structured plans and shipped outcomes. This role has real impact both internally—by enabling specialists to do their best work—and externally—by improving how customers experience support as the organization grows.
 This is a full time role that can be held from one of our US hubs or remotely in the United States.
**Key Responsibilities** 
* Own and drive complex, cross\-functional programs that improve the scalability, efficiency, and quality of Product Support
* Lead initiatives end\-to\-end, from problem definition and planning through execution, rollout, and iteration
* Partner closely with Engineering, Product, Data, and Support teams to deliver tooling, workflow, and process improvements
* Bring structure to ambiguous problem spaces by defining scope, success metrics, milestones, risks, and operating rhythms
* Support change management and adoption for new tools and processes, ensuring teams are set up for success through transitions
* Identify and surface insights from support data, customer feedback, and operational signals to inform prioritization and improvements
* Communicate progress, tradeoffs, and decisions clearly to stakeholders and leadership
**Required Qualifications** 
* Proven ability to lead complex programs as a Program Manager or similar role, with clear ownership from start to finish
* Experience working with Customer Support, Product Support, or Customer Operations teams
* Comfort partnering with technical teams and operating across both operational and technical problem spaces
* Strong communication and influencing skills, with the ability to drive alignment without direct authority
* A high\-ownership mindset, strong attention to detail, and comfort navigating ambiguity in fast\-paced environments
**Preferred Qualifications** 
* Worked on support tooling, internal tools, or operational workflows
* Supported community, social, or forum\-based support channels
* Exposure to global or multi\-language support environments
* Partnered with workforce management, vendor operations, or analytics functions
**Compensation and Benefits** 
 If based in the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**Salary Range:** 
**$122,000—$178,000 USD** 
*Examples of accommodations include but are not limited to:* 
* Holding interviews in an accessible location
* Enabling closed captioning on video conferencing
* Ensuring all written communication be compatible with screen readers
* Changing the mode or format of interviews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78">
      <c r="A78" t="inlineStr">
        <is>
          <t>li-4353021524</t>
        </is>
      </c>
      <c r="B78" t="inlineStr">
        <is>
          <t>Stormwater Program Manager</t>
        </is>
      </c>
      <c r="C78" t="inlineStr">
        <is>
          <t>Meta</t>
        </is>
      </c>
      <c r="D78" t="inlineStr">
        <is>
          <t>linkedin</t>
        </is>
      </c>
      <c r="E78" t="inlineStr"/>
      <c r="F78" t="inlineStr"/>
      <c r="G78" t="inlineStr">
        <is>
          <t>San Francisco, CA</t>
        </is>
      </c>
      <c r="H78" t="inlineStr"/>
      <c r="I78" t="inlineStr">
        <is>
          <t>Meta designs, builds, leases, and operates the most innovative and efficient data centers in the world. Developing, operating, and managing the data center infrastructure and facilities the “right” way is synonymous with ensuring high uptime, capacity availability, flexibility and capital and operational cost efficiency in a safe working environment.Meta is seeking a Stormwater Program Manager to support cross\-functional program efforts for the large and growing global infrastructure portfolio during pre\-development, design, construction, and operations phases. This position will report directly to the Water Team Manager within the broader Site Development team and will work closely with other Infrastructure teams. Travel may be needed to visit sites to better understand design and operations, meet site teams, and attend agency and stakeholder meetings.
 Stormwater Program Manager Responsibilities:
* Develop and lead the growth of the stormwater program within Meta infrastructure projects as the company continues to grow
* Lead stormwater due diligence, including evaluation of potential stormwater impacts from offsite water sources, direct discharges, and construction, as well as completing stormwater risk assessments
* Lead discussions and maintain long\-term relationships with public utilities and regulatory agencies regarding technical aspects of stormwater projects, including planning, design, construction, permitting and operations/maintenance, as well as other offsite infrastructure improvements
* Coordinate with internal teams to identify, implement, and monitor stormwater Best Management Practices during construction and operations, including alternative and construction stormwater uses
* Review and interpret environmental reports, topographic surveys, and geotechnical data
* Advance development and ownership of site\-specific stormwater maintenance plans and agreements, in accordance with federal/state/local and internal requirements as applicable, in collaboration with design, environmental, and operations teams
* Confirm that stormwater monitoring and reporting requirements are integrated within operations teams maintenance plans/procedures, including onboarding documentation for vendors in support of site operations
* Work with internal and external stakeholders to coordinate stormwater\-related utility billing activities and external stakeholder communication
* Periodically review and identify regulatory changes, in collaboration with the Meta Policy team and Environmental Compliance team, by monitoring relevant policies that could affect stormwater for specific sites (in construction and/or operationally)
* Facilitate and drive communication and cross\-team coordination between internal stormwater stakeholders, including Environmental, Sustainability, Engineering, Design, Construction, and other teams
* Provide expertise to broad internal and external teams, coordinating on relevant stormwater issues and requirements across the project lifecycle
* Develop training and educational tools regarding compliance and awareness
* Scope, review findings, and provide direction to consultants and internal teams, when needed
* Travel domestically (up to 30%)
 Minimum Qualifications:
* Bachelor’s degree in related field
* 10\+ years professional experience in the planning, design, construction, and operation of utility or private infrastructure projects related to stormwater design, construction, operations and/or compliance
* Technical expertise related to stormwater discharge, reuse, as well as policy, permitting, and regulations
* Professional experience in working with public utilities and regulatory agencies
* Demonstrated experience with communication, organizational and program management skills
* Experience managing multiple projects concurrently and coordinating with internal staff, external consultants, and other stakeholders
* Experience working in teams, establishing and maintaining cross\-functional and working relationships
* Experience communicating and working with highly confidential information
 Preferred Qualifications:
* Master’s degree in related field
* Experience with stormwater infrastructure planning for data centers
* CSM or CESCP certification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$160,000/year to $232,000/year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9">
      <c r="A79" t="inlineStr">
        <is>
          <t>li-4368696872</t>
        </is>
      </c>
      <c r="B79" t="inlineStr">
        <is>
          <t>National Program Manager</t>
        </is>
      </c>
      <c r="C79" t="inlineStr">
        <is>
          <t>Hadassah</t>
        </is>
      </c>
      <c r="D79" t="inlineStr">
        <is>
          <t>linkedin</t>
        </is>
      </c>
      <c r="E79" t="inlineStr"/>
      <c r="F79" t="inlineStr"/>
      <c r="G79" t="inlineStr">
        <is>
          <t>New York, NY</t>
        </is>
      </c>
      <c r="H79" t="inlineStr"/>
      <c r="I79" t="inlineStr">
        <is>
          <t>The National Program Manager is responsible for the planning, development and execution of national programs that advance Hadassah’s mission and strategic priorities. This role collaborates closely with national staff and volunteer leadership to deliver high\-quality, mission\-driven programs that engage members, supporters, and friends of Hadassah.
 The National Program Manager serves as both a strategic thinker and a hands\-on project manager, ensuring programs are impactful, fiscally responsible, inclusive, and aligned with organizational goals.
**Duties And Responsibilities**
* Design, implement, and manage a portfolio of national programs, initiatives, and events (virtual and in\-person) that support Hadassah’s mission and strategic objectives
* Develop program goals, timelines, budgets, and evaluation metrics
* Ensure programs are delivered on time, within scope, and within budget
* Oversee logistics, content development and speaker coordination
* Collaborate with national departments, including Philanthropy, Engagement and Marketing \&amp; Communications to ensure cohesive programming
* Partner with volunteer leaders and staff to assess needs and identify program opportunities
* Support cross\-functional initiatives and organizational priorities, including philanthropic events, conferences and conventions
* Prepare briefing materials, agendas, and reports for volunteer and staff counterparts
* Serve as a key point of contact for program\-related inquiries from regions and national leadership
* Prepare reports and presentations on program performance, participation, and outcomes
* Maintain accurate schedules, and records
* Other tasks and duties reasonably related to job responsibilities
* Additional duties as required
**Required Knowledge, Education, Experience**
* BA plus 3\-5 years of experience in a related field
* Experience developing and implementing programs nationwide
* Experience working with lay leadership
* Working knowledge of MS office, program management software (e.g. Basecamp, Salesforce etc.) and Zoom</t>
        </is>
      </c>
    </row>
    <row r="80">
      <c r="A80" t="inlineStr">
        <is>
          <t>li-4361388083</t>
        </is>
      </c>
      <c r="B80" t="inlineStr">
        <is>
          <t>Learning Systems Program Manager, WWGS (Worldwide Grocery Stores)</t>
        </is>
      </c>
      <c r="C80" t="inlineStr">
        <is>
          <t>Amazon</t>
        </is>
      </c>
      <c r="D80" t="inlineStr">
        <is>
          <t>linkedin</t>
        </is>
      </c>
      <c r="E80" t="inlineStr"/>
      <c r="F80" t="inlineStr"/>
      <c r="G80" t="inlineStr">
        <is>
          <t>Austin, TX</t>
        </is>
      </c>
      <c r="H80" t="inlineStr"/>
      <c r="I80" t="inlineStr">
        <is>
          <t>**Description**
 Application deadline: Feb 27, 2026
 We are seeking a training professional with a passion for Learning Management Systems and visualizing data. You will need a high degree of ownership, strong business acumen, excellent communication skills, and experience with learning technologies. You thrive in a fast\-paced environment and are great at hitting deadlines and driving projects to completion.
 If you are an experienced and innovative training professional who is passionate about high\-quality, innovative, and meaningful learning experiences that drive measurable results with far\-reaching impact, then we want to hear from you.
 We are looking for someone who can deliver learning and development solutions that meet a broad range of needs and continuously drive excellence and engagement across the organization. We are currently seeking an Learning Systems Program Manager to streamline, implement, and scale new and existing training programs for store employees across Amazon’s worldwide grocery store network. This role is critical to the successful scaling and maintenance of world\-class operational training programs.
 Key job responsibilities
* Develop and maintain training reports for regular consumption of field operations.
* Execute data quality checks focused on completeness and standardization on training records while minimizing duplicity.
* Use learning management systems to create automated assignments, assessments, and evaluations to track the effectiveness of Training Programs/Initiatives.
* Interpret learning requirements and translate those requirements into a workable framework of events, materials and programs on the LMS platform.
* Upload course materials, including configuration of functionality such as complex curricula, cohorts, communications, surveys, reports, and notifications.
* Perform testing to ensure programs function properly once launched.
* Troubleshoot and root\-cause systems\-based training issues via a ticketing system.
**Basic Qualifications**
* 3\+ years of program or project management experience
* Experience using data and metrics to determine and drive improvements
* Experience working cross functionally with tech and non\-tech teams
* Bachelor's degree in a relevant field or equivalent work experience
* 3\+ years' experience working with learning management systems.
* Proven knowledge of xAPI, SCORM, LMS, LRS.
* Proven ability to communicate complex data effectively.
* Proven experience in all Microsoft Office applications, specifically MS Excel, MS PowerPoint, and MS Word.
**Preferred Qualifications**
* Experience prioritizing and managing time effectively in dynamic environments
* Familiarity with tool integrations using APIs and scripting.
* Knowledge of current trends in learning technology, such as artificial intelligence, augmented reality, virtual reality, etc.
* Experience working in a physical retail environment driving improvements that have resulted in measurable business impact.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$74,200 \- $129,800 annually
 National $66,800 \- $142,800 annually
**Company** 
 \- Amazon.com Services LLC \- A57
 Job ID: A3158188</t>
        </is>
      </c>
    </row>
    <row r="81">
      <c r="A81" t="inlineStr">
        <is>
          <t>li-4308037375</t>
        </is>
      </c>
      <c r="B81" t="inlineStr">
        <is>
          <t>Engineering Program Manager- Applied Air Handler</t>
        </is>
      </c>
      <c r="C81" t="inlineStr">
        <is>
          <t>Daikin Applied Americas</t>
        </is>
      </c>
      <c r="D81" t="inlineStr">
        <is>
          <t>linkedin</t>
        </is>
      </c>
      <c r="E81" t="inlineStr"/>
      <c r="F81" t="inlineStr"/>
      <c r="G81" t="inlineStr">
        <is>
          <t>Plymouth, MN</t>
        </is>
      </c>
      <c r="H81" t="inlineStr"/>
      <c r="I81" t="inlineStr">
        <is>
          <t>*Make your mark at the world's largest HVAC company*
 Daikin Applied is seeking an
 **Engineering Program Manager** 
 who will lead programs and projects within the Applied Air Handling Program Management Office focusing on new product development. Additionally, they will support and execute strategic initiatives and programs that will achieve Daikin’s Product Roadmaps and profitability goals. This position provides Technical, Organizational, and Strategic Program Leadership. This position leverages Engineering, Program Management, and Project Management skills and competencies to ensure Product Development goals and objectives are successfully achieved by the execution of the Applied Air Handling (AAH) business strategy. This position works very closely with Product Management and Engineering Leadership to execute Product Strategy roadmaps. All levels of Engineering Program/Project management are tasked with delivering Engineering Programs, Projects, and Initiatives within prescribed scope, time and funding parameters by performing the following duties personally or through department leadership. Come be a part of an exciting journey at Daikin Applied, where innovation and excellence drive our every endeavor!
**Location:** 
 4 days a week in office, Plymouth, MN
**What You Will Do**
* Leads new Product Development Engineering teams and collaborates with multiple functions to execute strategic initiatives and/or product roadmaps that maximize the value of the business and profitability of new products
* Works closely with business leaders to plan future projects, schedules, and manage the portfolio of projects/programs, and their interdependencies
* Define, maintain, and monitor program and project scope objectives, involving all relevant stakeholders and ensuring technical feasibility
* Meet strategic goals
* Rigorously manages scope to ensure commitments are achieved within agreed\-on time, cost, and quality parameters
* Ensure functional commitments are achieved, strong understanding of Product Development Engineering deliverables within agreed\-on time, cost, and quality parameters. Understand Key Engineering Product Requirements and Deliverables: PVSR, DFMEA, PFMEA, DVP\&amp;R
* Successfully manage the relationship with key stakeholders
* Provide a centralized, single point of contact for the programs and projects they manage
* Managing project budgets and forecasts related to project scope and timing
* Resolve problems in assigned programs using innovative solutions and interface with others in the company, report and escalate to executive management as needed
* Manage changes to the project scope, project schedule, and project costs
* Delegate tasks and responsibilities as appropriate, identify and resolve conflicts, manage project dependencies and constraints
* Manage project/ program risks and develop contingency plans where required
* Prepare and present reports periodically on the status of assigned programs and projects
**What’s In It For You**
* The ability to make an impact and shape your career with a company that is passionate about growth
* The support of an organization that believes it is vital to include and engage diverse people, perspectives, and ideas to achieve our best
**Minimum Qualifications**
* Bachelor’s Degree in Engineering, Scientific, Math or Physics
* 4 to 6 years Engineering Program/Project Management, Engineering Department Management
* Industrial Equipment, Manufacturing or Automotive Industry experience
* Work visa sponsorship is not available for this position
**Preferred Qualifications**
* Master’s degree in Engineering, Scientific, Math or Physics
* PMP certification
* 8\+ years Engineering Program/Project Management, Engineering Department Management
* Experience in HVAC or mechanical servicing industry
**Benefits**
* Daikin Applied offers the following benefits for this position, subject to applicable eligibility requirements:
* Multiple medical insurance plan options \+ dental and vision insurance
* 401K retirement plan with employer contributions matching 100% of the first 3% of employee contributions and 50% on the next 2% of employee contributions
* Company provided life insurance \+ optional employee paid voluntary life insurance, dependent life coverage and voluntary accident coverage
* Short term and long\-term disability
* 3 weeks of paid time off for new employees \+ 11 company paid holidays
* Vacation accrues on a monthly basis, unless applicable federal, state and local law requires a faster accrual
* Paid sick time in accordance of the federal, state and local law
* Paid parental leave and tuition reimbursement after 6 months of continuous service
 The typical annual base salary for this position ranges from
 **$100,800k \- $166,700K \+ up to 20% bonus in MN.** 
 The range displayed represents the pay range for all positions in the job grade which this position falls. Individual base pay will depend on a wide range of factors including your skills, qualifications, experience, and location.
 If you're looking for an engaging career with growth opportunities in a supportive environment, you'll love a career at Daikin Applied!</t>
        </is>
      </c>
    </row>
    <row r="82">
      <c r="A82" t="inlineStr">
        <is>
          <t>li-4377862767</t>
        </is>
      </c>
      <c r="B82" t="inlineStr">
        <is>
          <t>Program Manager</t>
        </is>
      </c>
      <c r="C82" t="inlineStr">
        <is>
          <t>Advanced Technology Services (ATS)</t>
        </is>
      </c>
      <c r="D82" t="inlineStr">
        <is>
          <t>linkedin</t>
        </is>
      </c>
      <c r="E82" t="inlineStr"/>
      <c r="F82" t="inlineStr"/>
      <c r="G82" t="inlineStr">
        <is>
          <t>Greenville, SC</t>
        </is>
      </c>
      <c r="H82" t="inlineStr"/>
      <c r="I82" t="inlineStr">
        <is>
          <t>Founded in 1985, ATS is a company with a presence in the United States, Mexico and the United Kingdom. We are professionals in Industrial Maintenance and we make factories run better. Fundada en 1985, ATS es una empresa con presencia en los Estados Unidos, México y el Reino Unido. Somos profesionales en mantenimiento industrial y hacemos que las fábricas funcionen mejor.
**Principal Duties/Responsibilities:** 
 · Collaborates with leaders and various departments to develop programs.
 · Develops and implements the program’s strategy and roadmap based on needs of the organization.
 · Serves as the primary owner for program related deliverables.
 · Develops and manages the program’s budget and project timelines and plans.
 · Recommends, prepares, monitors, and evaluates metrics and performance indicator dashboards.
 · Leads, evaluates, and trains direct reports and project members.
 · Schedules regular meetings with key customers and project members.
 · Acts as a subject matter expert and key technical resource.
 · Prepares operational reports and performs other responsibilities as required.
 · Reviews completed programs/projects and drives organizational learning and process improvement.
 · Provides expertise and ownership for service catalog delivery.
**Knowledge, Skills, Abilities (KSAs), \&amp; Competencies:** 
**Essential KSAs:** 
 · Bachelor’s degree from a four\-year college in business, or related discipline and a minimum of five years of related experience and/or training
 · Technical/operating knowledge and skills required to lead, manage, and support specific program
 · Ability to lead cross\-functional projects and accomplish deadlines in a fast paced work environment
 · Strong problem solving, mathematical, analytical, and decision making skills
 · Strong business acumen and collaborative working style
 · Excellent interpersonal and presentation skills
 · Proficient with Microsoft Office (Word, Excel, PowerPoint)
 · Ability to develop positive relationships working with various departments / customers
 · Ability to travel between 25% and 50% of the time
**Desirable KSAs:** 
 · Advanced degree in a related field
 · Proficiency with specific systems and applications may be desired
**Competencies:** 
 · Building Business Alliances
 · Strategic Thinking
 · Negotiation
 · Presentation Skills
 · Planning and Organizing
**Physical Demands and Working Conditions:** 
 While performing the duties of this job, the employee is regularly required to use hands, speak, and hear. The employee is occasionally required to sit for long periods, reach with arms, and use close vision. At times, the employee is required to use a telephone, a keyboard and computer, and other office equipment. Work is typically performed in a moderately noisy business office.
 ATS believes in fair and equitable pay. Please note that actual salaries may vary within the range, or be above or below the range, based on factors including, but not limited to, education, training, experience, professional achievement, business need, and location. We also offer market leading benefit programs including Medical, Dental and Vision plans, PTO, a 401k retirement plans with employer matching, tuition reimbursement, and more.
 Pay Range
 $123,066\.14 \&amp;mdash; $164,088\.20 USD
 **ATS is committed to providing equal employment opportunities in all aspects of employment to all applicants and employees without regard to age, color, race, religion, sex (including pregnancy, gender identity, and sexual orientation), national origin, disability, veteran status, genetic information, or other legally protected status. Review the privacy policy here.** 
 ATS se compromete a brindar igualdad de oportunidades de empleo en todos los aspectos del empleo a todos los solicitantes y empleados, independientemente de su edad, color, raza, religión, sexo (incluido el embarazo, identidad de género y orientación sexual), origen nacional, discapacidad, estatus de veterano, información genética u otro estatus legalmente protegido. Revisión de la política de privacidad aquí here.</t>
        </is>
      </c>
    </row>
    <row r="83">
      <c r="A83" t="inlineStr">
        <is>
          <t>li-4353111401</t>
        </is>
      </c>
      <c r="B83" t="inlineStr">
        <is>
          <t>Stormwater Program Manager</t>
        </is>
      </c>
      <c r="C83" t="inlineStr">
        <is>
          <t>Meta</t>
        </is>
      </c>
      <c r="D83" t="inlineStr">
        <is>
          <t>linkedin</t>
        </is>
      </c>
      <c r="E83" t="inlineStr"/>
      <c r="F83" t="inlineStr"/>
      <c r="G83" t="inlineStr">
        <is>
          <t>Menlo Park, CA</t>
        </is>
      </c>
      <c r="H83" t="inlineStr"/>
      <c r="I83" t="inlineStr">
        <is>
          <t>Meta designs, builds, leases, and operates the most innovative and efficient data centers in the world. Developing, operating, and managing the data center infrastructure and facilities the “right” way is synonymous with ensuring high uptime, capacity availability, flexibility and capital and operational cost efficiency in a safe working environment.Meta is seeking a Stormwater Program Manager to support cross\-functional program efforts for the large and growing global infrastructure portfolio during pre\-development, design, construction, and operations phases. This position will report directly to the Water Team Manager within the broader Site Development team and will work closely with other Infrastructure teams. Travel may be needed to visit sites to better understand design and operations, meet site teams, and attend agency and stakeholder meetings.
 Stormwater Program Manager Responsibilities:
* Develop and lead the growth of the stormwater program within Meta infrastructure projects as the company continues to grow
* Lead stormwater due diligence, including evaluation of potential stormwater impacts from offsite water sources, direct discharges, and construction, as well as completing stormwater risk assessments
* Lead discussions and maintain long\-term relationships with public utilities and regulatory agencies regarding technical aspects of stormwater projects, including planning, design, construction, permitting and operations/maintenance, as well as other offsite infrastructure improvements
* Coordinate with internal teams to identify, implement, and monitor stormwater Best Management Practices during construction and operations, including alternative and construction stormwater uses
* Review and interpret environmental reports, topographic surveys, and geotechnical data
* Advance development and ownership of site\-specific stormwater maintenance plans and agreements, in accordance with federal/state/local and internal requirements as applicable, in collaboration with design, environmental, and operations teams
* Confirm that stormwater monitoring and reporting requirements are integrated within operations teams maintenance plans/procedures, including onboarding documentation for vendors in support of site operations
* Work with internal and external stakeholders to coordinate stormwater\-related utility billing activities and external stakeholder communication
* Periodically review and identify regulatory changes, in collaboration with the Meta Policy team and Environmental Compliance team, by monitoring relevant policies that could affect stormwater for specific sites (in construction and/or operationally)
* Facilitate and drive communication and cross\-team coordination between internal stormwater stakeholders, including Environmental, Sustainability, Engineering, Design, Construction, and other teams
* Provide expertise to broad internal and external teams, coordinating on relevant stormwater issues and requirements across the project lifecycle
* Develop training and educational tools regarding compliance and awareness
* Scope, review findings, and provide direction to consultants and internal teams, when needed
* Travel domestically (up to 30%)
 Minimum Qualifications:
* Bachelor’s degree in related field
* 10\+ years professional experience in the planning, design, construction, and operation of utility or private infrastructure projects related to stormwater design, construction, operations and/or compliance
* Technical expertise related to stormwater discharge, reuse, as well as policy, permitting, and regulations
* Professional experience in working with public utilities and regulatory agencies
* Demonstrated experience with communication, organizational and program management skills
* Experience managing multiple projects concurrently and coordinating with internal staff, external consultants, and other stakeholders
* Experience working in teams, establishing and maintaining cross\-functional and working relationships
* Experience communicating and working with highly confidential information
 Preferred Qualifications:
* Master’s degree in related field
* Experience with stormwater infrastructure planning for data centers
* Professional Engineer License
* CSM or CESCP certification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$160,000/year to $232,000/year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4">
      <c r="A84" t="inlineStr">
        <is>
          <t>li-4341277836</t>
        </is>
      </c>
      <c r="B84" t="inlineStr">
        <is>
          <t>Sr Technical Program Manager, Vehicle Hardware</t>
        </is>
      </c>
      <c r="C84" t="inlineStr">
        <is>
          <t>Relativity Space</t>
        </is>
      </c>
      <c r="D84" t="inlineStr">
        <is>
          <t>linkedin</t>
        </is>
      </c>
      <c r="E84" t="inlineStr"/>
      <c r="F84" t="inlineStr"/>
      <c r="G84" t="inlineStr">
        <is>
          <t>Long Beach, CA</t>
        </is>
      </c>
      <c r="H84" t="inlineStr"/>
      <c r="I84" t="inlineStr">
        <is>
          <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The Vehicle Engineering organization at Relativity Space owns the hardware that makes up the Terran R launch vehicle through the full life cycle from design through build, qualification and flight. The team also owns the analysis, software, CONOPs development, risk management, and customer\-facing and regulatory activities needed to operate Terran R successfully.
**About The Role**
 We are seeking a Senior Technical Program Manager to support vehicle hardware design and development. Successful candidates in this role will analyze problems and drive recommendations for decisions that balance the needs of technical teams and the business overall, actively manage schedules, proactively identify programmatic risk and implement mitigation plans, collaborate with senior management to communicate change and manage resources, implement Program Management strategies for the launch service, the vehicle and the supporting enterprise toolsets, and drive alignment across all company functions by coordinating teams through clear and regular communication. When there are multiple paths to choose, this individual will help align the teams on the best path to a common goal. Where there are points of impasse, this individual will build a bridge. Keen judgment and strong leadership by influence are foundational elements for this role.
* Timeline/Schedule: Analyze requirements, resources, and dependencies to create a reliable timeline for vehicle hardware delivery and rally the team to meet it. Create and maintain master schedules that drive the program forward
* Risk Management: Identify, assess, and mitigate risks associated with program execution, ensuring proactive problem resolution to address risks coming down the pipeline
* Process Improvement: Spearhead the creation and continual refinement of effective, lightweight processes that help the team work more efficiently and improve collaboration between teams. Build buy\-in within the team and key partners to implement processes effectively
* Resource Management: Identify resource gaps and orchestrate cross\-functional planning for resource allocation, including headcount, budget allocation, and workspace needs. Ensure efficient utilization of resources to support program and departmental objectives
* Goal Tracking \&amp; Reporting: Monitor and report on the progress towards organizational goals, objectives, and milestones. Facilitate strong communication within departments and across the program to ensure transparency in program status for all relevant stakeholders
**About You**
* Bachelor’s degree in engineering, science, mathematics, or related fields; aerospace, electrical, or mechanical engineering degree preferred
* 5\+ years experience in a program management role on a complex technical hardware project; prefer experience with software and operations as well
* Experience managing programs across matrix organizations, building sustainable processes, and coordinating design releases and key engineering trades
* Proven ability to deliver complex hardware programs
* Proven ability to lead by influence and collaborate with technical owners (engineering, supply chain, manufacturing, test, and launch) to establish a plan without crowding out their ownership
**Nice To Haves But Not Required**
* Experience with launch vehicles and aerospace hardware
* Strong executive presence, including ability to drive clarity and action across all levels within the company
* Experience and measurable evidence of solving ambiguous problems, including the introduction of new tools and processes
* PMP, MBA, Master’s in engineering, science, mathematics or related fields, or equivalent experience preferred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$130,000—$166,000 USD
**We are an equal opportunity employer and value diversity at our company. We do not discriminate on the basis of race, religion, color, national origin, gender, sexual orientation, age, marital status, veteran status, or disability status.**
***If you need a reasonable accommodation, please contact us at accommodations@relativityspace.com.***</t>
        </is>
      </c>
    </row>
    <row r="85">
      <c r="A85" t="inlineStr">
        <is>
          <t>li-4357900982</t>
        </is>
      </c>
      <c r="B85" t="inlineStr">
        <is>
          <t>Principal IT Program Manager (NPI)</t>
        </is>
      </c>
      <c r="C85" t="inlineStr">
        <is>
          <t>Palo Alto Networks</t>
        </is>
      </c>
      <c r="D85" t="inlineStr">
        <is>
          <t>linkedin</t>
        </is>
      </c>
      <c r="E85" t="inlineStr"/>
      <c r="F85" t="inlineStr"/>
      <c r="G85" t="inlineStr">
        <is>
          <t>Santa Clara, CA</t>
        </is>
      </c>
      <c r="H85" t="inlineStr"/>
      <c r="I85"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We are seeking an experienced Program and Delivery Manager to join the Palo Alto Networks New Product Introduction (NPI) team within IT. The ideal candidate will have a strong background in portfolio management, roadmapping, and delivering complex business and technology transformation projects. You will act as a strategic partner to cross\-functional teams, driving program health, making data\-driven decisions, and managing executive communications to ensure the successful delivery of our company’s most strategic NPI initiatives.
****Key Responsibilities****
* Lead New Product Introduction (NPI) and large transformational initiatives, identifying cross\-functional dependencies, anticipating and mitigating risks, and managing stakeholder expectations.
* Manage the NPI portfolio by collaborating with business stakeholders, product managers, and scrum masters to align business strategy with program execution.
* Drive transformation roadmaps and collaborate with stakeholders to help scale business capabilities with the growth of the organization.
* Candidate should be “AI Ready’ and should be able to drive NPI velocity leveraging AI tools.
+ Algorithmic Velocity Driving: Proven ability to identify bottlenecks in the NPI lifecycle and deploy AI/ML or automation solutions (e.g., predictive scheduling, AI\-driven risk mitigation) to measurably reduce time\-to\-market.
+ Data\-Centric Program Orchestration: Expert proficiency in leveraging data pipelines and low\-code/no\-code tools to automate cross\-functional handoffs, documentation generation , and real\-time status reporting across PLM and ERP systems.
* Communicate program status and progress effectively across multiple levels, including the executive leadership team, managers, and peers.
* Partner with product teams to facilitate initiatives for new product launches, feedback management, and escalations.
* Develop and deliver presentations and reports on the progress of transformational initiatives to our operational leaders and executive team.
* Contribute to the development and rollout of project delivery and portfolio management standards across the organization.
* Demonstrate curiosity to learn and optimize existing business processes, and assist in the development of business cases and value analyses.
**Qualifications**
****Required Qualifications****
* Minimum of 12\+ years of program management experience in a fast\-moving, agile environment, or equivalent military experience.
* Bachelor's degree in Engineering or a related field, or an MBA.
* Functional experience in go\-to\-market programs, customer experience, finance operations, or another core business capability.
* Hands\-on expertise with Agile/Scrum methodologies and related tools (e.g., Jira, Confluence, Smartsheet).
* Demonstrated ability to lead cross\-functional teams and deliver technical solutions while mitigating or removing obstacles.
**Preferred Qualifications**
* Experience working for a large, enterprise technology company.
* Experience driving quarterly portfolio planning workshops using proven frameworks to optimize ROI and measurable business value.
* A self\-starter with excellent judgment, incredible attention to detail, and a drive that motivates others on the team.
* Highly collaborative team player comfortable providing and receiving open, real\-time feedback to continuously improve team performance.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$155,000\.00 \- $251,000\.00/yr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86">
      <c r="A86" t="inlineStr">
        <is>
          <t>li-4377868458</t>
        </is>
      </c>
      <c r="B86" t="inlineStr">
        <is>
          <t>Program Manager</t>
        </is>
      </c>
      <c r="C86" t="inlineStr">
        <is>
          <t>BioSpace</t>
        </is>
      </c>
      <c r="D86" t="inlineStr">
        <is>
          <t>linkedin</t>
        </is>
      </c>
      <c r="E86" t="inlineStr"/>
      <c r="F86" t="inlineStr"/>
      <c r="G86" t="inlineStr">
        <is>
          <t>Rockville, MD</t>
        </is>
      </c>
      <c r="H86" t="inlineStr"/>
      <c r="I86" t="inlineStr">
        <is>
          <t>**Description**
**Who is USP?**
 The U.S.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USP is seeking a Program Manager Digital Standards to oversee crossfunctional planning, execution, and delivery across the growing Digital Standards product and policy ecosystem. This role ensures coordinated progress across multiple workstreams, including digital reference standards, qNMR software, supply chain analytics, digital documentary standards, USP digital method conversion, policy development, industry pilots, marketing, and scientific development. The Program Manager will maintain the Digital Standards master plan, track timelines and dependencies, ensure budgets are managed responsibly, and flag risks and resource needs to leadership.
 As pharmaceutical development and manufacturing continues its digitalization journey, USP is seeking to take an active, collaborative role in helping advance digitalization of analytical development and quality control workflows through the delivery of chemical reference and analytical method standards directly into digital environments. This position will help ensure that resources are used efficiently and processes are established to help USP scale its Digital Standards portfolio.
**This role is hybrid, with an expected travel commitment of up to 10% for planning workshops, crossfunctional meetings, and program reviews.**
**How will YOU create impact here at USP?**
 As part of our mission to advance scientific rigor and public health standards, you will play a vital role in increasing global access to high\-quality medicines through public standards and related programs. USP prioritizes scientific integrity, regulatory excellence, and evidence\-based decision\-making to ensure health systems worldwide can rely on strong, tested, and globally relevant quality standards.
 Additionally, USPs People and Culture division, in partnership with the Equity Office, invests in leadership and workforce development to equip all employees with the skills to create high\-performing, inclusive teams. This includes training in equitable management practices and tools to promote engaged, collaborative, and results\-driven work environments.
**Responsibilities**
 The
 **Program Manager, Digital Standards** 
 has the following responsibilities:
* Develop and maintain the Digital Standards portfolio roadmap, ensuring alignment across product, scientific, policy, marketing, and communications workstreams.
* Lead crossfunctional program planning activities, coordinating objectives, milestones, dependencies, and resourcing needs.
* Track progress of all Digital Standards initiatives, including product development, policy work, pilots, marketing campaigns, and scientific deliverables.
* Establish and manage project governance structures, including meeting cadences, decision logs, and issue/risk escalation pathways.
* Develop integrated dashboards, portfolio reports, and KPIs for leadership visibility.
* Monitor budget allocations, track monthly actuals, and forecast future spending across program areas.
* Identify crossteam risks, bottlenecks, and resourcing gaps; surface mitigation recommendations to leadership.
* Maintain documentation including charters, schedules, risk registers, budget trackers, and communication plans.
* Support annual and quarterly planning activities, ensuring alignment with Digital Standards strategy and USP priorities.
* Facilitate crossteam communication to maintain transparency and ensure coordinated execution across all workstreams.
 Success will be measured by ontime delivery of program milestones, improved coordination and transparency across workstreams, effective budget oversight, and the ability to anticipate and resolve risks before they impact strategic execution.
**Who is USP Looking For?**
 The Successful Candidate Will Have a Demonstrated Understanding Of Our Mission, Commitment To Excellence Through Inclusive And Equitable Behaviors And Practices, Ability To Quickly Build Credibility With Stakeholders, Along With The Following Competencies And Experience
* Bachelors degree in project management, business, science, engineering, or a related field.
* Minimum of 7 years of experience in project or program management, preferably within scientific, digital, regulatory, or healthcare environments.
* Experience coordinating crossfunctional teams and managing complex, multistream programs.
* Demonstrated ability to track budgets, manage timelines, and report portfolio status at an executive level.
* Familiarity with digital product development, scientific workflows, or regulatory processes.
* Strong communication, organizational, and stakeholdermanagement skills.
* Experience with project management tools (e.g., MS Project, Smartsheet, Planner, Asana, Jira).
* Ability to manage ambiguity and drive alignment in complex, evolving environments.
* Experience in pharmaceutical, scientific, healthcare, nonprofit, or regulated industries.
**Additional Desired Preferences**
* PMP, PgMP, Agile, or other formal project/program management certifications.
* Experience supporting regulatory, standardsdevelopment, or structureddata programs.
* Experience with portfolio budgeting or multiprogram financial forecasting.
* Experience in digital transformation or scientific/analytical software programs.
* Demonstrated ability to design and optimize program governance models.
* Experience developing dashboards or reporting systems for senior leadership.
* Rigorous commitment to measurement and continuous improvement of work processes.
* Experience using AI tools to automate or accelerate work.
**Supervisory Responsibilities**
 None, this is an individual contributor role.
**Benefits**
 USP provides the benefits to protect yourself and your family today and tomorrow. From company\-paid time off and comprehensive healthcare options to retirement savings, you can have peace of mind that your personal and financial well\-being is protected.
**Compensation**
 Base Salary Range: USD $85,200\.00 $108,400\.00 annually.
 Target Annual Bonus: % Varies based on level of role.
 Individual compensation packages are based on various factors unique to each candidates skill set, experience, qualifications, equity, and other job\-related reasons.
 Note: USP does not accept unsolicited resumes from 3rd party recruitment agencies and is not responsible for fees from recruiters or other agencies except under specific written agreement with USP.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
**Job Category** 
 Project Management
**Job Type** 
 Full\-Time</t>
        </is>
      </c>
    </row>
    <row r="87">
      <c r="A87" t="inlineStr">
        <is>
          <t>li-4376762434</t>
        </is>
      </c>
      <c r="B87" t="inlineStr">
        <is>
          <t>MAT Program Manager</t>
        </is>
      </c>
      <c r="C87" t="inlineStr">
        <is>
          <t>Native American Community Clinic</t>
        </is>
      </c>
      <c r="D87" t="inlineStr">
        <is>
          <t>linkedin</t>
        </is>
      </c>
      <c r="E87" t="inlineStr"/>
      <c r="F87" t="inlineStr"/>
      <c r="G87" t="inlineStr">
        <is>
          <t>Minneapolis, MN</t>
        </is>
      </c>
      <c r="H87" t="inlineStr"/>
      <c r="I87" t="inlineStr">
        <is>
          <t>**Position Summary:** 
 The MOUD Program Manager will oversee NACC’s integrated services for Opiate Use disorder, including both the office\-based MOUD program and the public health dosing program. These two programs function as a continuum, patients enter through office\-based visits and, when appropriate, transition to the public health dosing program for ongoing care. This role provides leadership across that continuum, ensuring coordinated, culturally grounded, and compliant service delivery. The ideal candidate is a licensed Public Health Nurse with experience in chemical health settings, program management, and staff supervision.
**Key Responsibilities:** 
* Provide overall programmatic and clinical oversight of NACC’s MAT services, ensuring alignment between office\-based treatment and the public health dosing program.
* Provide nursing leadership and clinical supervision within the MAT program, supporting evidence\-based interventions, promoting culturally and harm reduction\-informed care, and ensuring coordination across nursing and support staff in both office\-based treatment and public health dosing settings.
* Supervise and support MAT nursing staff, including nurses working in both the office\-based and dosing programs.
* Supervise administrative and social support staff in the public health dosing program, ensuring wraparound services are well\-coordinated to meet clients’ needs.
* Develop, implement, and refine innovative public health programming and clinical interventions that address gaps in care and respond to the evolving needs of clients receiving MAT services, with an emphasis on culture\-based and community\-driven solutions.
* Coordinate closely with medical providers, behavioral health staff, harm reduction teams, and traditional medicine providers to ensure seamless care transitions and collaborative treatment planning.
* Build and maintain administrative systems to support efficient documentation, communication, and billing across both components of MAT services.
* Monitor program budgets and support long\-term financial sustainability by aligning services with reimbursement opportunities and operational efficiencies.
* Use data to track key performance indicators, assess service gaps, and drive continuous improvement in care delivery and access.
* Monitor program quality, compliance, and patient safety in collaboration with the medical director, quality improvement team, and other clinical leaders.
* Lead efforts to expand public health services based on emerging community needs, clinical evidence, and available resources.
* Promote a team culture rooted in compassion, accountability, and respect, aligned with NACC’s mission and Indigenous values.
 QUALIFICATIONS:
* Licensed RN in Minnesota; Public Health Nurse certification strongly preferred
* Bachelor's degree in nursing
* 3\+ years of experience in substance use treatment, ideally including MOUD
* Experience supervising staff and managing clinical or public health programs
* Strong preference for candidates with experience developing public health initiatives
* Familiarity with harm reduction, culturally responsive care, and Indigenous values
* Skilled in team leadership, care coordination, and using data to guide improvement
* Comfortable working across disciplines and EHR systems</t>
        </is>
      </c>
    </row>
    <row r="88">
      <c r="A88" t="inlineStr">
        <is>
          <t>li-4368871449</t>
        </is>
      </c>
      <c r="B88" t="inlineStr">
        <is>
          <t>Program Manager, Carriers</t>
        </is>
      </c>
      <c r="C88" t="inlineStr">
        <is>
          <t>CIRCOR International, Inc.</t>
        </is>
      </c>
      <c r="D88" t="inlineStr">
        <is>
          <t>linkedin</t>
        </is>
      </c>
      <c r="E88" t="inlineStr"/>
      <c r="F88" t="inlineStr"/>
      <c r="G88" t="inlineStr">
        <is>
          <t>Tampa, FL</t>
        </is>
      </c>
      <c r="H88" t="inlineStr"/>
      <c r="I88" t="inlineStr">
        <is>
          <t>**ORGANIZATIONAL STRUCTURE**
 BUSINESS: Leslie Controls, Inc
 LOCATION: Tampa, FL
 DIRECT REPORTING: Senior Program Manager, Carriers
**POSITION DETAILS**
***Position Summary***
 The Program Manager constantly monitors the progress of the job and interfaces with all internal departments in order to ensure that job contractual requirements are met. Attends the kick off meeting and to all relevant meetings with clients. They will be responsible for the overall direction, coordination, implementation, execution, control and completion of specific Programs ensuring consistency with company strategy, commitments and goals.
***Principal Activities***
* Lead the planning and implementation of global Programs
* Facilitate the definition of Program scope, goals and deliverables
* Define Program tasks and resource requirements
* Develop full scale Program plans
* Manage Program budget, resource allocation
* Plan and schedule Program timelines
* Track Program deliverables using appropriate tools
* Constantly monitor and report on progress of the Program to all stakeholders
* Implement and manage Program changes and interventions to achieve Program outputs
* Program evaluations and assessment of results
* Be a principal customer contact until the contract is shipped complete to the customer
* Manage the financial health of Programs including status, revenues, metrics and reporting, actively impacting on Programs profitability.
* Responsible for the business relationship with assigned customers in the administration of contracts. This includes direct customer liaison; coordination and communication of engineering and manufacturing schedules; control of order changes technically and commercially; assurance that test and quality standards are achieved; interface with the customer in drawing and document information exchanges; review of contract specifications and communication of the requirements to the Program Team.
* Contract management and communication to assure customer satisfaction with cognizance of contract costs and schedule.
* The Program Manager provides support in all areas including, procurement, scheduling, expediting, production, inspection, shipping and document control.
* Manage Program risk issues including receivables, claims, contract changes, margin enhancement, and effective Program closeout
* Lead Program team through a regular system of contract reviews to identify \&amp; manage risks, monitor operational performance against the agreed timescales, and instigates corrective action where appropriate
* Provides effective communication within both organizations. This involves contract updates with the customer when appropriate. Regularly reviews status reports prepared by Program personnel and modifies schedules or plans as required. Prepares Program update reports for customer and management
* All other duties as assigned
**Candidate Requirements**
***Knowledge, Skills \&amp; Abilities***
* Acts as Customers’ advocate within the organization and is accountable for Customer Satisfaction.
* Process improvement
* Budget oversight
* Skilled at Program management
* Familiar with standard manufacturing concepts, practices and procedures.
* Self\-starter, organized, thorough and meticulous, able to work under pressure.
* Experience in a technical environment
* Able to plan work and commit to meeting deadlines.
* Dedicated to high degree of accuracy.
* Proficient in Microsoft, Excel, and Access software.
***Education***
* Bachelor’s degree, preferably in Mechanical Engineering, with at least five years’ relevant experience. Valve, regulator, fluid mechanics/control related coursework/education will be additional qualification, will consider work experience in lieu of degree.
* PMP Certification preferred
**Other**
* U.S. Citizen
***CIRCOR is an EEO Employer of Females / Minorities / Veterans / Individuals with Disabilities***</t>
        </is>
      </c>
    </row>
    <row r="89">
      <c r="A89" t="inlineStr">
        <is>
          <t>li-4376742306</t>
        </is>
      </c>
      <c r="B89" t="inlineStr">
        <is>
          <t>Technical Program Manager, Infrastructure Delivery, Google Data Centers</t>
        </is>
      </c>
      <c r="C89" t="inlineStr">
        <is>
          <t>Google</t>
        </is>
      </c>
      <c r="D89" t="inlineStr">
        <is>
          <t>linkedin</t>
        </is>
      </c>
      <c r="E89" t="inlineStr"/>
      <c r="F89" t="inlineStr"/>
      <c r="G89" t="inlineStr">
        <is>
          <t>Addison, TX</t>
        </is>
      </c>
      <c r="H89" t="inlineStr"/>
      <c r="I89"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**Atlanta, GA, USA; Austin, TX, USA; Addison, TX, USA; Kirkland, WA, USA; New York, NY, USA; Reston, VA, USA; San Francisco, CA, USA; Sunnyvale, CA, USA** 
 .
 **Minimum qualifications:**
* Bachelor's degree in a technical field, or equivalent practical experience.
* 8 years of experience in program management.
* 8 years of experience in technical program management within infrastructure, hardware, or mission\-critical environments.
* Experience with data center construction lifecycles, including mechanical, electrical, and plumbing (MEP) systems, and critical path scheduling.
* Experience presenting concepts and risk\-mitigation strategies to executive leadership.
**Preferred qualifications:**
* Master’s degree in Mechanical Engineering, Electrical Engineering, Civil Engineering, or Computer Engineering.
* 8 years of experience managing cross\-functional or cross\-team projects.
* Experience at a major cloud provider or hyperscale data center operator.
* Experience implementing automation or AI\-driven workflows to replace manual tracking and project management processes.
* Ability to drive results through influence and build trust across global engineering and construction teams.
* Ability to take ambiguous projects and drive clarity and momentum through strong leadership and organizational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proactive role, you will take ownership of complex infrastructure projects, motivating cross\-functional teams, synchronizing multi\-disciplinary workstreams, and guiding engineering and construction groups toward flawless implementation. You will bridge the gap between high\-level strategy and ground\-level execution, ensuring that our global data center scaling efforts move efficiently from concept to active deployment at pace.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large\-scale, high\-impact data center projects, actively unblocking teams, managing dependencies, and ensuring full operational integration.
* Manage and synchronize complex workstreams, including design, power/utility, network, and site construction.
* Translate complex technical requirements between software/network engineers and physical infrastructure/construction teams.
* Navigate a cross\-functional environment, communicating effectively with executives and aligning cross\-functional teams.
* Implement and integrate AI\-enabled productivity tools and cloud\-native collaboration suites to automate reporting, streamline documentation, and predict project risks.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0">
      <c r="A90" t="inlineStr">
        <is>
          <t>li-4377886339</t>
        </is>
      </c>
      <c r="B90" t="inlineStr">
        <is>
          <t>Program Manager, Value Chain Excellence</t>
        </is>
      </c>
      <c r="C90" t="inlineStr">
        <is>
          <t>BD</t>
        </is>
      </c>
      <c r="D90" t="inlineStr">
        <is>
          <t>linkedin</t>
        </is>
      </c>
      <c r="E90" t="inlineStr"/>
      <c r="F90" t="inlineStr"/>
      <c r="G90" t="inlineStr">
        <is>
          <t>Covington, GA</t>
        </is>
      </c>
      <c r="H90" t="inlineStr"/>
      <c r="I90" t="inlineStr">
        <is>
          <t>**Job Description Summary**
 The Value Chain Excellence role will support the UCC E2E Value Stream Leaders on key initiatives critical to delivering on each Platforms' short and long\-term strategic vision to achieve targeted COGS and GP%. He/She will be responsible for identifying ways to more effectively and efficiently design and manufacture our product portfolio through effective leadership and collaboration across multiple functions (i.e. Plant Operations, R\&amp;D, Marketing, Quality, Supply Chain). Analyze existing processes \&amp; products, recommend improvements, and oversee implementation.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**Responsibilities**
* Lead operations UCC representative on specific Platform Gross Profit Improvement projects: scheduling \&amp; facilitating internal workshops, coordinating Field visits with the commercial team, scheduling \&amp; facilitating the manufacturing, sterilization, \&amp; distribution visits \&amp; process mapping to create roadmap of savings. Continue to oversee workstream as project moves into execution phase to ensure delivery of results.
* Support the End to End Value Stream Leaders to develop the platform rolling ASR cost leadership programs with cross\-site monitoring and tracking mechanisms.
* Collaborate across Operations, Marketing, and R\&amp;D to deploy the cost leadership strategy.
* Collaborate with Marketing Portfolio Managers on lifecycle management; recommend strategies to improve GP through sku optimization and ensure appropriate procedures are followed to discontinue product.
**Education**
**Education and Experience:**
* Requires Bachelors Degree, Engineering preferred or relevant field.
* Certification in Project Management, Lean Six Sigma preferred
**Experience**
* Minimum 5 years of experience in Operations, Engineering, Continuous Improvement, Supply Chain or Engineering
* Experience leading projects, kaizens, and or blitz’s
* Experience leading complex initiatives with multiple stakeholders
* Experience with navigating ERP systems
* Nice to Have: Finance or Accounting Experience
**Knowledge And Skills**
* Curious Mindset / Outside the Box thinker
* Turn Ideas into Action
* Problem Solver / Fix it Mentality
* Strong verbal, written, facilitation, and presentation skills
* Strong Analytical \&amp; Critical Thinking skills
* Ability to collaborate across functions, sites, and geographies
* Basic understanding of standard costing and costed Bill of Materials \&amp; Routers
* The position may require up to 50% travel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**Benefits**
 At BD, we are committed to supporting our associates’ well\-being, development, and success through a performance\-based culture. For this position, BD offers a competitive compensation package along with the following benefits specific to this role:
* Annual Bonus
 Health and Well\-being Benefits
* Medical coverage
* Health Savings Accounts
* Flexible Spending Accounts
* Dental coverage
* Vision coverage
* Hospital Care Insurance
* Critical Illness Insurance
* Accidental Injury Insurance
* Life and AD\&amp;D insurance
* Short\-term disability coverage
* Long\-term disability insurance
* Long\-term care with life insurance
 Other Well\-being Resources
* Anxiety management program
* Wellness incentives
* Sleep improvement program
* Diabetes management program
* Virtual physical therapy
* Emotional/mental health support programs
* Weight management programs
* Gastrointestinal health program
* Substance use management program
* Musculoskeletal surgery, cancer treatment, and bariatric surgery benefit
 Retirement and Financial Well\-being
* BD 401(k) Plan
* BD Deferred Compensation and Restoration Plan
* 529 College Savings Plan
* Financial counseling
* Baxter Credit Union (BCU)
* Daily Pay
* College financial aid and application guidance
 Life Balance Programs
* Paid time off (PTO), including all required State leaves
* Educational assistance/tuition reimbursement
* MetLife Legal Plan
* Group auto and home insurance
* Pet insurance
* Commuter benefits
* Discounts on products and services
* Academic Achievement Scholarship
* Service Recognition Awards
* Employer matching donation
* Workplace accommodations
 Other Life Balance Programs
* Adoption assistance
* Backup day care and eldercare
* Support for neurodivergent adults, children, and caregivers
* Caregiving assistance for elderly and special needs individuals
* Employee Assistance Program (EAP)
* Paid Parental Leave
* Support for fertility, birthing, postpartum, and age\-related hormonal changes
 Leave Programs
* Bereavement leaves
* Military leave
* Personal leave
* Family and Medical Leave (FML)
* Jury and Witness Duty Leave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Your career at BD.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Primary Work Location
 USA GA \- Covington BMD
 Additional Locations
 USA NJ \- Franklin Lakes, USA RI \- Warwick, USA TX \- El Paso \- Northwestern Dr.
 Work Shift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$99,600\.00 \- $164,300\.00 USD Annual</t>
        </is>
      </c>
    </row>
    <row r="91">
      <c r="A91" t="inlineStr">
        <is>
          <t>li-4335484419</t>
        </is>
      </c>
      <c r="B91" t="inlineStr">
        <is>
          <t>Linkage Program Manager</t>
        </is>
      </c>
      <c r="C91" t="inlineStr">
        <is>
          <t>Guidehouse</t>
        </is>
      </c>
      <c r="D91" t="inlineStr">
        <is>
          <t>linkedin</t>
        </is>
      </c>
      <c r="E91" t="inlineStr"/>
      <c r="F91" t="inlineStr"/>
      <c r="G91" t="inlineStr">
        <is>
          <t>Bethesda, MD</t>
        </is>
      </c>
      <c r="H91" t="inlineStr"/>
      <c r="I91" t="inlineStr">
        <is>
          <t>**Job Family**
 Data Science \&amp; Analysis
**Travel Required**
 None
**Clearance Required**
 Ability to Obtain Public Trust
**What You Will Do**
 We are currently searching for a Linkage Program Manager. The Linkage Program Manager is responsible for leading and overseeing data linkage operations within federal environments. This role requires deep expertise in federal data security and management standards, advanced knowledge of data linkage methodologies, and a strong technical foundation to manage production activities effectively. The Program Manager ensures compliance, quality assurance, and risk management while delivering high\-quality outcomes. This is a full\-time onsite position supporting the NIH office in Bethesda, MD.
* Provide strategic leadership and oversight for linkage\-related program activities.
* Manage and direct production operations involving complex data linkage tasks.
* Ensure compliance with federal data security and management procedures and standards.
* Oversee risk management and quality assurance processes for federal datasets.
* Collaborate with stakeholders to ensure successful execution and delivery of program objectives.
* Communicate clearly and effectively in both verbal and written formats.
**What You Will Need**
* Bachelor’s in Bioinformatics, Health Services, Economics, or a related research discipline.
* A minimum of TWO (2\) years of experience in risk management, quality assurance, and data security for federal datasets.
* A minimum of TWO (2\) years of experience as a task lead on projects of comparable size and complexity.
* Proven expertise in data linkage methodologies and large\-scale data integration.
* Demonstrated success in leading tasks within or for a federal agency or organization.
* Strong technical background in statistical analysis, technologies, network devices, hardware, and software relevant to linkage operations.
* Demonstrable and deep knowledge of federal procedures and standards related to data security and management.
* Must be able to OBTAIN and MAINTAIN a Federal or DoD "PUBLIC TRUST"; candidates must obtain approved adjudication of their PUBLIC TRUST prior to onboarding with Guidehouse. Candidates with an ACTIVE PUBLIC TRUST or SUITABILITY are preferred.
**What Would Be Nice To Have**
* Experience managing secure data environments and compliance frameworks.
* Familiarity with federal data governance and privacy regulations.
* Strong leadership and organizational skills with the ability to manage cross\-functional teams.
 The annual salary range for this position is $85,000\.00\-$141,000\.00\.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92">
      <c r="A92" t="inlineStr">
        <is>
          <t>li-4377846476</t>
        </is>
      </c>
      <c r="B92" t="inlineStr">
        <is>
          <t>Program Manager</t>
        </is>
      </c>
      <c r="C92" t="inlineStr">
        <is>
          <t>Actalent</t>
        </is>
      </c>
      <c r="D92" t="inlineStr">
        <is>
          <t>linkedin</t>
        </is>
      </c>
      <c r="E92" t="inlineStr"/>
      <c r="F92" t="inlineStr"/>
      <c r="G92" t="inlineStr">
        <is>
          <t>Chantilly, VA</t>
        </is>
      </c>
      <c r="H92" t="inlineStr"/>
      <c r="I92" t="inlineStr">
        <is>
          <t>**Program Manager (Space Electronic Systems)**
**Job Description**
 The Program Manager will directly manage one or more flight programs, ensuring customer satisfaction, execution to cost and schedule, risk management, and delivery of high\-quality products. The manager will coordinate with key functional areas such as Engineering, Operations, Supply Chain, Contracts, and Finance to ensure effective planning and execution of their programs. Additionally, they will mentor other PMO members and operate as part of a team to ensure the overall success of the business unit.
**Responsibilities**
* Manage cost, schedule, risk, and customer interface for flight programs.
* Collaborate with a Lead Systems Engineer who will manage technical execution.
* Mentor other Project Managers.
* Lead the development of space hardware programs.
**Essential Skills**
* Risk management
* Space hardware
* Product development process
* Program management
* Electrical engineering
* Electronics
* Design
* Systems engineering
* Space flight hardware
**Additional Skills \&amp; Qualifications**
* Bachelor's degree and 9\+ years, or graduate degree and 7\+ years, of applicable experience
* Experience in managing government programs of a technical nature including FAR\-based contracts with multiple CLINs
* Financial management and planning experience
* Working knowledge of Government contract types (including OTA and FAR based)
* Experience managing product development programs, including design, development, procurement, prototype, and production elements
* Proficiency in MS Office Suite including MS Project, Excel, PowerPoint, and Word
* Bachelor's degree in business or engineering (preferred)
* Space electronic systems experience (preferred)
* Familiarity with Earned Value Management (preferred)
* PMP Certification, or the ability to obtain within 6\-months of starting employment (preferred)
**Work Environment**
 The position offers a hybrid work environment ideally in Fairfax, with the possibility of a remote candidate who can travel 30\-50%. Systems engineers are assigned one or more programs at a time for which they are responsible. This role provides the opportunity to work in a fast\-paced, R\&amp;D environment with product development cycles ranging from 8\-12 months. The organization is medium\-sized, with a flat structure and comprised of highly technical\-minded engineers focused on solving customer problems.
**Job Type \&amp; Location**
 This is a Permanent position based out of Fairfax, VA.
**Pay And Benefits**
 The pay range for this position is $200000\.00 \- $220000\.00/yr.
* 6% 401k contribution \- 4 weeks PTO \- 7 holidays, with company shutdown Dec. 25th\-31st
**Workplace Type**
 This is a hybrid position in Fairfax,VA.
**Application Deadline**
 This position is anticipated to close on Mar 6,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93">
      <c r="A93" t="inlineStr">
        <is>
          <t>li-4374605763</t>
        </is>
      </c>
      <c r="B93" t="inlineStr">
        <is>
          <t>Senior Program Manager</t>
        </is>
      </c>
      <c r="C93" t="inlineStr">
        <is>
          <t>Carrier</t>
        </is>
      </c>
      <c r="D93" t="inlineStr">
        <is>
          <t>linkedin</t>
        </is>
      </c>
      <c r="E93" t="inlineStr"/>
      <c r="F93" t="inlineStr"/>
      <c r="G93" t="inlineStr">
        <is>
          <t>Athens, GA</t>
        </is>
      </c>
      <c r="H93" t="inlineStr"/>
      <c r="I93" t="inlineStr">
        <is>
          <t>**About Carrier**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For more information, visit corporate.carrier.com or follow Carrier on social media at @Carrier.
**About This Role**
 We are seeking a
 **Senior Program Manager** 
 to oversee projects within Carrier Climate Solutions Transportation (CST) business segment. Projects are focused on design of product, manufacturing product, NPI, cost reduction and quality.
**Responsibilities**
* Program Planning and Execution: Develop detailed program plans; managing resources and dependencies across products, platforms and regions, ensuring successful execution.
* Team Leadership: Lead, motivate and mentor program and project teams, providing clear direction and support to ensure project goals are met.
* Budget Management: Monitor program and project budgets, track expenses, and implement cost\-saving measures. Advocate for additional funding when necessary.
* Stakeholder Management: Maintain regular communication with stakeholders, including team members, senior leadership and executives. Provide updates on program and project progress and address any issues that arise.
* Risk/Issue Management: Identify potential risks or issues and develop mitigation strategies and corrective action plans to ensure program/project success.
* Quality Control: Perform project quality checks throughout the project lifecycle to ensure CST project management standards are maintained.
* Documentation: Prepare and maintain comprehensive program documentation, including program plans, reports, proposals, change requests and meeting minutes.
**Required Qualifications**
* Bachelors Degree
* 7\+ years of experience in project or program management
**Preferred Qualifications**
* Strong program leadership, communication, and organizational skills.
* Proficiency in project management software (e.g., MS Project, Jira, Planisware, etc.).
* Familiarity with project management processes (e.g., Waterfall, Agile, SAFe, Kanban, etc.)
* PMP certification is a plus.
* Stakeholder collaboration experience
* Strong interpersonal, communication and leadership skills
* Ability to interact constructively with diverse teams, including international
* Can navigate competing priorities, sometimes conflicting priorities
* Willingness to travel as needed to oversee programs, projects and meet with stakeholders.
* Strong project management tool knowledge and practical application experience
* Strong project management skills with ability to think ahead, anticipate potential problems, and proactively drive project execution
**Benefits**
 Employees are eligible for benefits, including:
* Health Care benefits: Medical, Dental, Vision; wellness incentives
* Retirement benefits
* Time Off and Leave: Paid vacation days, up to 15 days; paid sick days, up to 5 days; paid personal leave, up to 5 days; paid holidays, up to 13 days; birth and adoption leave; parental leave; family and medical leave; bereavement leave; jury duty; military leave; purchased vacation
* Disability: Short\-term and long\-term disability
* Life Insurance and Accidental Death and Dismemberment
* Tax\-Advantaged Accounts: Health Savings Account; Healthcare Spending Account; Dependent Care Spending Account
* Tuition Assistance
**To learn more about our benefits offering, please click here:** 
 Work With Us \| Carrier Corporate The specific benefits available to any employee may vary depending on state and local laws and eligibility factors, such as date of hire and the applicability of collective bargaining agreements.
 This position is entitled to short\-term cash incentives, subject to plan requirements.
**Pay Range**
 The annual salary for this position is $146,750–$205,250\. Factors which may affect pay within this range include, but are not limited to, skills, education, experience, and other unique qualifications of the successful candidate.
 Applications will be accepted for at least 3 days from Job Posting Date. Job Posting Date: 02/19/2026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is>
      </c>
    </row>
    <row r="94">
      <c r="A94" t="inlineStr">
        <is>
          <t>li-4368660460</t>
        </is>
      </c>
      <c r="B94" t="inlineStr">
        <is>
          <t>Senior Easements Program Manager</t>
        </is>
      </c>
      <c r="C94" t="inlineStr">
        <is>
          <t>Microsoft</t>
        </is>
      </c>
      <c r="D94" t="inlineStr">
        <is>
          <t>linkedin</t>
        </is>
      </c>
      <c r="E94" t="inlineStr"/>
      <c r="F94" t="inlineStr"/>
      <c r="G94" t="inlineStr">
        <is>
          <t>Redmond, WA</t>
        </is>
      </c>
      <c r="H94" t="inlineStr"/>
      <c r="I94" t="inlineStr">
        <is>
          <t>**Overview**
 Cloud Operations and Innovation (CO\+I) delivers the global datacenter infrastructure capacity that powers Microsoft’s cloud platform. Within CO\+I, the Land Development team enables cloud growth by delivering and pre\-positioning real estate, land rights, and infrastructure access required to support datacenter development at scale.
 Easements to support the delivery of datacenter capacity are increasingly prevalent and complex. The
 **Senior Easements Program Manager** 
 leads end\-to\-end execution of easements and related real estate instruments (power, water, fiber, access, and other critical infrastructure) to keep development and build milestones on track across a fast\-moving, multi\-stakeholder portfolio.
 This role partners closely with Land Development Managers, Acquisition Managers, Engineering \&amp; Design, Utilities, Fiber, Construction, and Legal, as well as external parties (utilities, landowners, public agencies, and consultants). The ideal candidate brings strong program and transaction leadership, a bias for action, and a passion for building scalable, repeatable processes that improve speed, quality, and risk management.
**Responsibilities**
* Drive cross\-team delivery of power, water, fiber, access, and other easements required for datacenter development and infrastructure delivery.
* Lead negotiations and commercial terms with landowners, utilities, public agencies, and other counterparties to secure timely execution.
* Project\-manage external land/ROW suppliers and consultants; set scope, priorities, timelines, and quality expectations, and remove blockers.
* Partner with internal and external legal counsel to streamline drafting, review, approvals, and signature workflows to meet critical deadlines.
* De\-risk easement delivery by engaging early in site diligence (e.g., title/ALTA review inputs, constraints identification, and market/authority research) and coordinating mitigation plans.
* Own stakeholder communication and reporting: track milestones, risks, dependencies, and decisions; provide clear, executive\-ready updates.
* Drive standardization and continuous improvement: create repeatable playbooks, templates, and automation/controls to improve predictability and reduce cycle time.
**Qualifications**
**Required/Minimum Qualifications:**
* Bachelor's Degree in Business Management, Real Estate, Project Management, or related field AND 5\+ years of experience in infrastructure real estate delivery, right\-of\-way, and/or easement acquisition and negotiation across multiple utility/infrastructure types OR relevant experience OR 7\+ years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While not required, we also look for the following
 **Preferred Qualifications:**
* Bachelor's Degree in Business Management, Real Estate, Project Management, or related field AND 7\+ years of experience in infrastructure real estate delivery, right\-of\-way, and/or easement acquisition and negotiation across multiple utility/infrastructure types OR 10\+ years equivalent experience.
* Direct datacenter development, utility delivery, or large\-scale linear infrastructure experience.
* Experience working in a large, matrixed organization and/or across multiple geographies.
* Familiarity with route engineering constraints for fiber, water, and power projects.
* Experience with project scheduling tools (e.g., Microsoft Project) and process automation/standardization.
* Demonstrated ability to manage multiple concurrent transactions and stakeholders, prioritize effectively, and deliver results under time pressure.
* Negotiation, written and verbal communication, and executive\-ready stakeholder management skills.
* Proficiency with Microsoft tools (Outlook, Excel, PowerPoint, Word, SharePoint) and comfort tracking workflows and reporting milestones.
 \#COICareers \| \#EPCCareers \| \#DCDCareers \|\#COICIA
 Real Estate Portfolio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5">
      <c r="A95" t="inlineStr">
        <is>
          <t>li-4374539954</t>
        </is>
      </c>
      <c r="B95" t="inlineStr">
        <is>
          <t>Fitness Program Manager II</t>
        </is>
      </c>
      <c r="C95" t="inlineStr">
        <is>
          <t>HealthFitness</t>
        </is>
      </c>
      <c r="D95" t="inlineStr">
        <is>
          <t>linkedin</t>
        </is>
      </c>
      <c r="E95" t="inlineStr"/>
      <c r="F95" t="inlineStr"/>
      <c r="G95" t="inlineStr">
        <is>
          <t>Washington, DC</t>
        </is>
      </c>
      <c r="H95" t="inlineStr"/>
      <c r="I95"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We’re looking for a
 **hands\-on Fitness Program Manager II** 
 to lead two corporate fitness locations in DC. This role is a great fit if you:
* Enjoy leading and developing staff in an active, high\-energy environment
* Excel at communication, relationship management, and problem\-solving
* Want a stable schedule: Monday–Friday, 6:00am–9:00pm (no weekends or holidays)
* Value metro\-accessible locations and a professional client setting
 Manages and directs all operational aspects of a midsized, single client on\-site fitness program ensuring the highest level of participation, results achievement, and customer satisfaction in the delivery of programs and services.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Also implements and instructs individual and group fitness programs, provides floor supervision, fitness testing, exercise prescriptions, and orientations.
 Key Accountabilities
* Carries out supervisory responsibilities in accordance with HealthFitness policies, procedures and applicable laws including recruiting, orienting, training, evaluating, developing, and planning the succession of associates. Plans, assigns, and directs work assignments to ensure staff remain challenged and productivity is maximized; provides training and development opportunities to promote and encourage career growth.
* Ensures all staff is properly trained and hold appropriate certifications necessary for safe and effective program delivery; provides continuous feedback and coaching to all program staff to ensure quality of all programs and services being delivered. Conducts formal performance appraisals on an annual basis and initiates formal corrective action process when warranted.
* Leads regular individual and group staff meetings to ensure associates are informed about HealthFitness, client and program events, initiatives, and status.
* Submits employment forms, payroll records and billing worksheets accurately and according to contract provisions and HealthFitness policies.
* Ensures contract compliance. Manages client relationship to ensure that high customer satisfaction is maintained and HealthFitness value is reinforced.
* Develops and implements the yearly strategic business plan to identify contract deliverables, program/ service offerings and initiatives, targeted outcomes, and marketing strategy to meet client objectives.
* Prepares and manages operating budget. Ensures expenditures are made in accordance with applicable policies and procedures.
* Manages the development of outcomes focused programs to meet client objectives; interfaces with client company management and peripheral departments as appropriate to assess client needs and identify HealthFitness programming solutions.
* Tracks participant and program data for measurement of individual and program goal achievement, outcomes, and results; creates outcomes focused management reports based on the identified business plan goals and objectives.
* Directs the implementation of fitness center based individual and group fitness programs, health education activities, motivational programs and special events; coordinates marketing and communications to maximize program engagement, bringing in HealthFitness Corporate support as appropriate. General oversight and management of Fitness Center(s) operations.
* Manages all fitness center program activities in accordance with HealthFitness operational, quality, safety, and service standards.
* Designs and develops outcomes focused programs and interventions including data collection and evaluation process; delivers personalized services and other programs to participants as applicable.
* Coordinates marketing and communications to maximize program engagement, bringing in HealthFitness Corporate support as appropriate.
* Maintains accurate records and ensures confidentiality of data collected during health assessment and health promotion/membership activities in accordance with HealthFitness requirements, including if applicable file transfer, processes, collaborating with related suppliers and/or storage.
* Other duties as needed/assigned.
**Minimum Requirements**
* Bachelor’s Degree in Exercise Science, Health Promotion, Kinesiology, or related discipline required; 3\+ years fitness center operations experience.
* Minimum of 2 years of prior supervisory experience.
* Current Adult CPR/AED/First Aid certifications from American Heart Association, American Red Cross, National Safety Institute, or American Safety \&amp; Health Institute required by start date. (Note: certification must have an in\-person component and not 100% online/OSHA compliant).
* Industry recognized Group Exercise certification from ACE, AFAA/NASM, ACSM, NCCPT or NETA, if not current must obtain within 90 days of hire.
* Strong leadership, team management, interpersonal and customer service skills including the ability to motivate others.
* Ability to effectively organize and prioritize work demands
* Computer proficiency in MS Office including at minimum Word, Excel and Outlook.
* Proficiency in fitness assessment and exercise prescription.
 Compensation: $55,000/Year \- $60,000/Year.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PPO and FSA options, retirement/401(k) with employer matching program, fitness and wellness programs incentivized with medical plan discounts, certification reimbursement program, tuition reimbursement,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96">
      <c r="A96" t="inlineStr">
        <is>
          <t>li-4368878853</t>
        </is>
      </c>
      <c r="B96" t="inlineStr">
        <is>
          <t>Assisted Living Program Manager (LPN)</t>
        </is>
      </c>
      <c r="C96" t="inlineStr">
        <is>
          <t>National Lutheran Communities &amp; Services</t>
        </is>
      </c>
      <c r="D96" t="inlineStr">
        <is>
          <t>linkedin</t>
        </is>
      </c>
      <c r="E96" t="inlineStr"/>
      <c r="F96" t="inlineStr"/>
      <c r="G96" t="inlineStr">
        <is>
          <t>Winchester, VA</t>
        </is>
      </c>
      <c r="H96" t="inlineStr"/>
      <c r="I96" t="inlineStr">
        <is>
          <t>**The Village at Orchard Ridge – Assisted Living Manager Opportunity, Winchester, VA**
**Position:** 
 Assisted Living Program Manager
**Compensation:** 
 $70K – $80K annually, commensurate with experience, qualifications, and demonstrated leadership capabilities.
**New Year, New Opportunity!**
 Step into 2026 with a leadership role that truly makes a difference. At The Village at Orchard Ridge, every day is a chance to inspire, uplift, and lead a team that’s passionate about enriching the lives of older adults. As our Assisted Living Manager, you’ll guide a dedicated team in delivering exceptional, person\-focused care — all within a community built on respect, compassion, and innovation.
**Why You’ll LOVE Working with Us**
* Purpose with Impact: Lead a vibrant assisted living program where your vision and care inspire residents, families, and staff alike
* Dynamic Leadership: Manage and motivate a compassionate, skilled team committed to creating a warm, engaging environment
* Strategic Influence: Oversee daily operations, staffing, and resident satisfaction to ensure our community continues to set the standard for excellence
* Growth \&amp; Recognition: Take advantage of leadership development, continuing education, and meaningful career advancement opportunities
* Supportive Culture: Work alongside an engaged leadership team that values transparency, collaboration, and shared success
**What You’ll Do**
* Takes the lead in coaching, supervising, directing and coordinating the assisted living nursing service program to ensure excellence in the delivery of care for residents
* Ensure the delivery of high\-quality, person\-centered care that reflects our mission and upholds all regulatory standards
* Recruit, coach, and inspire a high\-performing team built on trust and accountability
* Manage budgets effectively while balancing quality service and operational efficiency
* Maintain readiness for all licensing and compliance standards
* Build positive relationships with residents, families, and community partners
* Monitor performance indicators and lead ongoing quality improvement initiatives
* Champion a culture of safety, respect, and resident well\-being
**What We’re Looking For**
* Associate Degree in Nursing required
* LPN licensed in the State of Employment with active license in good standing
* Current certification in cardiopulmonary resuscitation (CPR) and, Adult First Aid from the American Red Cross and/or American Heart Association
* Must be considerate and respectful of the rights, dignity and sensitivities of aged and disabled persons
* Minimum 3\-5 years clinical experience in hospital, assisted living facility, long term care facility or other related healthcare facility
* Must be proficient in Microsoft Office
* Must possess strong written and oral communication skills; able to maintain confidential information
**Why Our Team Thrives**
 At The Village at Orchard Ridge, part of National Lutheran Communities \&amp; Services, we believe culture drives care. We value authenticity, compassion, and teamwork — empowering everyone to bring their best selves to work each day.
**Our Benefits And Perks Include**
* Up to 5 weeks of PTO in your first year
* 403(b) retirement plan with matching
* Comprehensive medical, dental, and vision coverage
* Employer\-paid life and disability insurance
* Tuition reimbursement and ongoing professional development
* Team recognition programs, discounted meals, and pet insurance
**Make 2026 the year you lead with purpose and heart.** 
 Join The Village at Orchard Ridge as our next Assisted Living Manager — and help shape a thriving community where residents and team members flourish together. Apply today and bring your leadership legacy to life!</t>
        </is>
      </c>
    </row>
    <row r="97">
      <c r="A97" t="inlineStr">
        <is>
          <t>li-4341284058</t>
        </is>
      </c>
      <c r="B97" t="inlineStr">
        <is>
          <t>Associate, AI Product Manager | Consumer Team</t>
        </is>
      </c>
      <c r="C97" t="inlineStr">
        <is>
          <t>Red Ventures</t>
        </is>
      </c>
      <c r="D97" t="inlineStr">
        <is>
          <t>linkedin</t>
        </is>
      </c>
      <c r="E97" t="inlineStr"/>
      <c r="F97" t="inlineStr"/>
      <c r="G97" t="inlineStr">
        <is>
          <t>Charlotte, NC</t>
        </is>
      </c>
      <c r="H97" t="inlineStr"/>
      <c r="I97" t="inlineStr">
        <is>
          <t>***This role is not open to visa sponsorship or transfer of visa sponsorship including those on H1\-B, F\-1, OPT, STEM\-OPT, or TN visa, nor is it available to work corp\-to\-corp.***
***This role requires a hybrid schedule and will be based in our Fort Mill, SC Headquarters (Tuesday through Thursday) and work fully remotely on Mondays and Fridays each week.***
 Red Ventures Home empowers partners through a unique blend of high\-scale proprietary distribution, data models, AI\-enabled applications, and strategic client partnerships. We help our clients unlock significant and sustainable growth across the home services ecosystem, ranging from telecom and security to energy and home automation.
 We are looking to hire an Associate AI Product Manager to join our Home Client Services division. This product team is responsible for transforming organizations’ customer acquisition, retention and business operations through applications in AI \&amp; ML. In this role, you’ll help tailor, optimize, and scale data science solutions to solve specific partner and customer challenges, ensuring our technology delivers measurable value in the marketplace. An example project includes building and deploying real\-time technology, powered by generative AI, to assist our sales professionals.
 You will play a pivotal role in bridging the gap between complex data science initiatives and impactful product solutions to create value for both our business and our customers. As an Associate, you will be\-hands on technical, both in leveraging the AI/ML solutions to drive value and in assisting in point solutions that augment the product you’re working on. We are looking for 1\+ years of hands\-on data science / advanced analytics experience or product management on an AI/ML consumer\-facing application.
 Curious how Home fits into Red Ventures? Click here.
**What You'll Do**
* Identify opportunities: Responsible for identifying opportunities to increase the impact of your product through deep understanding of the problem space, thorough comprehension of the product strategy and technology, and advanced statistical analysis. Effectively communicating recommendations to your product leads to create buy\-in and action
* Translate insights into execution: Translate your recommendations into clear work streams and features that contribute to the product roadmap. Collaborate with Data Science, Design, and Engineering teams to turn objectives into detailed requirements with assistance from your product lead
* Execute technical workstreams: Leverage algorithms and programming tools to execute relevant technical workstreams. This includes building items such as:
+ Data pipelines to gather, manipulate, prepare, and visualize large datasets
+ Machine learning models for offline and proof\-of\-concept use cases
+ LLM workflows to automate tasks or for reasoning capabilities for specific features in your product
* End to end ownership of experiments: Assist in deploying features aimed at improving core KPIs. Conduct analyses to assess the impact of the experiments, synthesizing and owning the narrative
* Stay ahead of the curve: Research advancements in machine learning and generative AI to identify innovative ways to solve business challenges
**Who You Are**
* Analytical thinker: Strong analytical and critical thinking skills. Can connect the dots between the business problem, the approach, the data, and the relevant recommendation
* Resilient learner: Strong grit and learning mentality when faced with challenging projects, unfamiliar technology, and ambiguous business problems. You take a proactive approach to overcoming obstacles
* Creative problem solver: An entrepreneurial mindset and a strong business acumen with an interest in solving business and customer problems to create impact
* Technically fluent: You have a strong technical and data foundation that enables you to communicate effectively with data scientists, understand relevant algorithms, and explain technical concepts to non\-technical stakeholders
**Experiences You’ve Had**
* Real\-world product experience: Experience working on a product—whether as a product manager, product analyst, or data scientist.
* Data\-driven problem solving: Demonstrated ability to root cause problems through a data\-driven approach, synthesizing takeaways and effectively communicating recommendations to relevant audiences
* Applied ML/AI: Hands\-on application of machine learning and/or generative AI to a relevant problem through statistical programming languages or large language models (e.g., Python, R, GPT5, Claude). Thorough knowledge in statistics and machine learning techniques
**Analytical self\-sufficiency:** 
 Demonstrated ability to collect, mine, and manipulate large data from disparate data sources, with an ability to dig deep and understand the process (e.g., SQL, Pandas, Tableau)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Total Cash Compensation Range: $95,000 \- $125,000 per year
 Additionally, the following benefits are provided by Red Ventures, subject to eligibility requirements.
* Health Insurance Coverage (medical, dental, and vision)
* Life Insurance
* Short and Long\-Term Disability Insurance
* Flexible Spending Accounts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 a joint venture in the health services industry, 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98">
      <c r="A98" t="inlineStr">
        <is>
          <t>li-4328874854</t>
        </is>
      </c>
      <c r="B98" t="inlineStr">
        <is>
          <t>Senior Product Manager</t>
        </is>
      </c>
      <c r="C98" t="inlineStr">
        <is>
          <t>Abnormal AI</t>
        </is>
      </c>
      <c r="D98" t="inlineStr">
        <is>
          <t>linkedin</t>
        </is>
      </c>
      <c r="E98" t="inlineStr"/>
      <c r="F98" t="inlineStr"/>
      <c r="G98" t="inlineStr"/>
      <c r="H98" t="inlineStr"/>
      <c r="I98" t="inlineStr">
        <is>
          <t>**About The Role**
 Abnormal AI is looking for an ambitious and growth\-minded
 **Senior Product Manager** 
 to drive innovation across our flagship product lines. At Abnormal, we help customers—from Global 2000 enterprises to small and medium\-sized businesses—stay safe from complex, cutting\-edge cyberattacks that can cause financial loss and disrupt business operations. Our AI\-native approach to email security, account takeover detection, and adjacent security use cases has made us one of the fastest\-growing cybersecurity companies worldwide.
 As a Senior Product Manager, you are responsible for
 **owning product definition, setting the initial product strategy, and building** 
**a 12‑month roadmap** 
 for one complex or multiple moderately complex product areas. You will lead cross\-functional teams across Engineering, Design, Data, and GTM, and be the most knowledgeable person in the company for your product domains—trusted to represent them to leadership, GTM, and customers.
 This is a high\-ownership, high\-autonomy role for a PM who can move seamlessly between
 **customer problems, technical and AI\-focused tradeoffs, and business outcomes** 
 , while raising the bar for product quality and execution across the organization.
**What You Will Do**
* Own strategy, roadmap, and outcomes for complex product areas \- Define and evolve a 9–12 month roadmap for one or more complex, high\-impact product surfaces, ensuring clear prioritization against customer value, security outcomes, and business impact.
* Frame and solve high\-ambiguity customer problems \- Run discovery, design partnerships, and structured feedback programs to deeply understand customer pain, synthesize insights, and translate them into crisp problem statements, product briefs, and measurable outcomes.
* Lead cross\-functional execution from concept to adoption \- Drive the end\-to\-end product lifecycle—from problem framing and PRDs to launch, instrumentation, and iteration—partnering closely with Engineering, Design, Data, Sales, and Customer Success to ship high\-quality features at velocity.
* Shape product strategy and GTM tactics \- Contribute to divisional strategy and GTM plans, influencing how we position the product, sequence major initiatives, and tell the value story to customers, prospects, and internal stakeholders.
* Own metrics, experimentation, and continuous improvement \- Define and track KPIs for your product lines (e.g., adoption, engagement, incident reduction, revenue impact), run experiments, and use data to refine direction and inform investment decisions.
* Represent your product externally and with leadership. Serve as the domain expert for your product areas on customer calls, escalations, executive reviews, and roadmap discussions—communicating clearly, managing trade\-offs, and building trust across the organization.
* Lead in an AI\-native way of working \- Use AI tools (e.g., ChatGPT/Claude, v0, analytics platforms) and rapid prototyping to accelerate discovery, research, documentation, and UX exploration—raising the standard for how product work gets done at Abnormal.
**Must\-Have Qualifications**
* 5–7\+ years of product management experience in software, with a strong track record of owning complex product areas end\-to\-end in B2B SaaS or similarly technical domains.
* Proven experience working on deeply technical products, collaborating closely with engineering on architecture, scalability, or AI/ML–driven features, and reasoning through technical tradeoffs and constraints.
* Demonstrated ability to own product strategy, definition, and roadmap for a product line or multiple complex surfaces—including problem framing, opportunity sizing, prioritization, and success metrics.
* Strong analytical and problem\-solving skills, with comfort using data (dashboards, experiments, or SQL/analysis in partnership with Data) to inform decisions and refine product direction in ambiguous spaces.
* Excellent communication and cross\-functional leadership, with the ability to drive alignment across Engineering, Design, GTM, and executives, and to represent the product in high\-stakes or customer\-facing scenarios.
* High ownership, operational excellence, and attention to detail across documentation, planning, stakeholder management, and launch execution.
* A growth mindset and willingness to learn quickly in a fast\-paced, AI\-native environment, including integrating new tools and workflows into your day\-to\-day product practice.
**Nice\-to\-Have Qualifications**
* Experience in enterprise SaaS / B2B environments, ideally in cybersecurity, security operations, identity, posture management, or adjacent technical domains.
* Prior experience working as a software engineer, data scientist, or similarly technical role, or equivalent hands\-on experience with complex distributed systems or AI\-driven products.
* Experience with data analysis and experimentation (e.g., comfort working with analytics tools, experimentation platforms, or SQL in partnership with Analytics).
* Familiarity with AI\-native workflows and rapid prototyping tools (e.g., Claude/ChatGPT, v0, Figma) to speed up discovery, ideation, and validation.
* Background working closely with GTM teams (Sales, Marketing, Customer Success, Support) on launches, enablement, and customer\-facing messaging and demos.
**Why You’ll Thrive at Abnormal**
 You’ll thrive in this role if you:
* Want to own a portfolio of product lines and their KPIs, and be accountable for meaningful customer and business outcomes—not just feature delivery.
* Enjoy working at the intersection of AI, security, and user experience, helping customers stay ahead of sophisticated threats while keeping products intuitive and impactful.
* Value high trust and high autonomy, and are excited to help shape both product strategy and the broader product management craft as Abnormal scales.
 If you’re ready to own something critical, move with velocity, and grow alongside a company building a generational future in cybersecurity, Abnormal is the place for you.
 At Abnormal AI, certain roles are eligible for a bonus, restricted stock units (RSUs), and benefits. Individual compensation packages are based on factors unique to each candidate, including their skills, experience, qualifications and other job\-related reasons.
 Base salary range:
 $168,300—$198,000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99">
      <c r="A99" t="inlineStr">
        <is>
          <t>li-4374507418</t>
        </is>
      </c>
      <c r="B99" t="inlineStr">
        <is>
          <t>Product Owner</t>
        </is>
      </c>
      <c r="C99" t="inlineStr">
        <is>
          <t>Seagull</t>
        </is>
      </c>
      <c r="D99" t="inlineStr">
        <is>
          <t>linkedin</t>
        </is>
      </c>
      <c r="E99" t="inlineStr"/>
      <c r="F99" t="inlineStr"/>
      <c r="G99" t="inlineStr">
        <is>
          <t>Redmond, WA</t>
        </is>
      </c>
      <c r="H99" t="inlineStr"/>
      <c r="I99" t="inlineStr">
        <is>
          <t>**WHO WE ARE**
 Seagull Software, LLC, is a global leader in real\-time, item\-level visibility and label management solutions, dedicated to powering the world’s most complex supply chains with innovative tools for traceability, authentication, and automated inventory management. Our BarTender™️ platform enables businesses across all industries to design, manage, print, and automate the production of labels, barcodes, and RFID tags, ensuring seamless tracking and compliance for over 100 billion unique identifiers each year. Leveraging the Mojix™️ high\-security, scalable SaaS traceability platform, Seagull delivers end\-to\-end intelligence, harmonizing data to drive operational efficiency, enhance customer experiences, and reduce risk. Learn more at www.seagullsoftware.com.
 We’re a growing, profitable, mid\-size business with a 40\-year history of leading in our field. Headquartered in Redmond, Washington, with offices across the United States, Europe, and Asia, Seagull empowers businesses worldwide to keep their products moving, traceable, and safe. You’ll work with global, talented, and diverse teams, passionate about what they do and its impact on everyone, everywhere. Join us and help shape the way the world works.
**LOCATION**
 This position is hybrid 2\-3 days per week at our headquarters in Redmond, Washington. Local candidates only.
**WHO YOU ARE**
 We are seeking a dynamic Product Owner to take ownership of our product backlog and drive the development of innovative solutions. You will be responsible for defining user stories, prioritizing features, and working closely with engineering to deliver exceptional products that meet market demands. This role requires a strong understanding of agile methodologies and a passion for creating user\-centric experiences.
**WHAT YOU WILL DO**
 You will be the key liaison between the market needs and business’ delivery of solutions. You will execute on roadmaps and key metrics and partner with key business stakeholders to identify issues, impacts, and articulate options and solutions.
* Prioritize and refine the product backlog, making sure items are well\-defined and actionable
* Work with the product and engineering team to ensure the prioritized backlog is efficiently delivered through building a shared understanding with user experience and engineering, and motivating, managing and communicating across the business and within the team
* Collect and document release requirements from stakeholders, ensuring alignment with company's overall strategy, business objectives and technical feasibility
* Confirm that executed stories comply with BarTender’s Definition of Done
* Participates in discussions with management on development of long\-term strategy, and road mapping
* Lead the planning of product release plans and set expectations for delivery of new functionalities
* Runs beta and pilot programs with early\-stage products
* Collaborate with cross\-functional teams, including engineering, marketing, sales, and customer success, customer support, and others to ensure successful product releases
* Engage with stakeholders to gather and validate requirements and feedback
* Ensure product aligns with user needs, business goals, and technical capabilities
* Facilitate agile ceremonies, including sprint planning, reviews, and retrospectives
* Monitor and report on product performance, quality, and usage metrics
* Perform other duties as assigned
**WHAT WE REQUIRE**
* 2\-5 years of experience as a Product Owner, building and managing SaaS offerings in a B2B setting
* 4\+ years of experience in product development (product management, software engineer, program manager, product design, etc.)
* A solid understanding of product owner fundamentals, including prioritization, requirements gathering and documentation, analytics, and effective collaboration with a cross\-functional team to ship and iterate on products.
* Strong analytical and problem\-solving abilities, combined with a strategic mindset.
* Excellent oral and written communication skills, with a proven ability to manage stakeholders at various levels.
* Willing to work with people from various nationalities, countries, time zones and locations.
* Ability to work a hybrid schedule 2\-3 times a week in the Redmond, Washington, office.
**EDUCATION**
* Bachelor’s degree (or equivalent) in business administration, software, or related field.
**COMPENSATION \&amp; BENEFITS**
* The assigned annual salary band for this full\-time job is $67,000 \- $104,100 with an annual starting salary range between $80,000 \- $90,000, and eligibility for an annual discretionary bonus. The specific starting salary offered to a candidate may be influenced by various factors, including but not limited to the candidate’s relevant experience, education, or location. This role is also eligible for an annual discretionary bonus.
* Excellent medical, dental, and vision plan.
* 401K with 100% employer matching up to 3% with immediate vesting.
* Accrual of 21 days of PTO (combined vacation and sick days) per year with additional accrual increases for years of service starting at year 4\.
* 10 paid company holidays per calendar year.
* Company\-paid life insurance, short\-term and long\-term disability benefits.
* Tuition\-reimbursement benefits.
* Free parking (Redmond WA HQ)
**TERMS OF EMPLOYMENT**
 Upon hire, you must be able to provide documentation that proves authorization to work in the US without visa sponsorship.
**OUR CULTURE**
 We offer a dynamic, culturally diverse, and fun environment where people with energy, creativity, and passion work together to deliver amazing product experiences for our customers. Join a team where your background is valued and respected, and your unique insights and ideas contribute to building a culture of diversity, equity, and inclusion.
**EQUAL EMPLOYMENT OPPORTUNITY**
 Seagull Software, LLC, is proud to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recruiting and employment.</t>
        </is>
      </c>
    </row>
    <row r="100">
      <c r="A100" t="inlineStr">
        <is>
          <t>li-4376700772</t>
        </is>
      </c>
      <c r="B100" t="inlineStr">
        <is>
          <t>Principal Product Manager</t>
        </is>
      </c>
      <c r="C100" t="inlineStr">
        <is>
          <t>Cortex</t>
        </is>
      </c>
      <c r="D100" t="inlineStr">
        <is>
          <t>linkedin</t>
        </is>
      </c>
      <c r="E100">
        <f>HYPERLINK("https://www.linkedin.com/jobs/view/4376700772", "https://www.linkedin.com/jobs/view/4376700772")</f>
        <v/>
      </c>
      <c r="F100" t="inlineStr"/>
      <c r="G100" t="inlineStr"/>
      <c r="H100" t="inlineStr"/>
      <c r="I100" t="inlineStr">
        <is>
          <t>**🧠 About Cortex**
 Cortex helps engineering teams ship better software faster. We're an AI\-powered Internal Developer Portal that enforces reliability standards across every team automatically, so organizations can move fast without breaking things. Our customers reduce incidents by 30%, cut MTTR by an average of 50%, and ensure that AI code doesn't compromise service quality. Companies like Canva, Grammarly, and Skyscanner rely on Cortex to drive measurable impact on their most critical engineering outcomes.
**📍Location**
 We’re fully remote and welcome candidates from across the US. We get together a few times a year for company offsites where we build stronger relationships, kick off important work, and genuinely enjoy spending time together.
**🤝 The Team**
 Our team is \~80 people building something developers actually want to use. We recently raised a $60M Series C led by Scale Ventures (alongside Sequoia and IVP). We're focused on making engineering teams more effective. You can read more about our latest funding round here.
**💼 Job Summary**
 We are seeking a Principal Product Manager to join our team.You will define requirements for engineering development, and own and execute on product rollouts and communications. You will work closely with our engineering and design organization to support the prioritization of our product roadmap and help us scale our Internal Developer Portal.
**💻 Responsibilities**
* Develop a deep understanding of our product (from features to functionality), team structure, and processes.
* Own key product initiatives and align with leadership on strategic priorities
* Conduct market research, competitive analysis, and gather customer feedback to influence future product decisions
* Build relationships with and collaborate with cross\-functional teams to prioritize and scope product features and enhancements
* Consistently educate and update teams on product progress and revisions to take them along with you
* Define and track key product metrics and use data\-driven insights to drive product decisions and optimizations
**✔️Qualifications**
* 7\+ years as a Product Manager, ideally in a startup environment or developer\-focused company
* Strong understanding of B2B Saas workflows and processes
* Entrepreneurial mindset, self\-start and comfortable with ambiguity
* Ability to work independently with high levels of ownership and autonomy
* Superb written and verbal communication, with the ability to effectively articulate and convey complex concepts to technical and non\-technical stakeholders
* Excellent analytical and problem\-solving skills, with a data\-driven approach to decision\-making
 💰
 **Compensation**
* Starting Salary Range: $230,000 and $250,000
* Competitive Equity Package
* Our job titles may span more than one career level. The actual base pay is dependent upon many factors, such as: training, transferable skills, work experience, business needs and market demands. The base pay range is subject to change and may be modified in the future. This role is eligible for equity and benefits.
 🌴
 **Perks \&amp; Benefits**
* National medical, dental \&amp; vision insurance (we cover 100% for employees!)
* Unlimited PTO \&amp; flexible working hours
* 401k plan
* Gender\-neutral parental leave
* $1000 yearly Learning \&amp; Development stipend
* $400 monthly perks stipend (use it on anything)
* Pet Insurance
*Cortex is committed to a diverse and inclusive workplace. Cortex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*people@cortex.io*</t>
        </is>
      </c>
    </row>
    <row r="101">
      <c r="A101" t="inlineStr">
        <is>
          <t>li-4375223413</t>
        </is>
      </c>
      <c r="B101" t="inlineStr">
        <is>
          <t>Product Manager, Central Product</t>
        </is>
      </c>
      <c r="C101" t="inlineStr">
        <is>
          <t>Meta</t>
        </is>
      </c>
      <c r="D101" t="inlineStr">
        <is>
          <t>linkedin</t>
        </is>
      </c>
      <c r="E101">
        <f>HYPERLINK("https://www.linkedin.com/jobs/view/4375223413", "https://www.linkedin.com/jobs/view/4375223413")</f>
        <v/>
      </c>
      <c r="F101">
        <f>HYPERLINK("https://jsv3.recruitics.com/redirect?rx_cid=3239&amp;rx_jobId=a1KDp00000CZMFUMA5&amp;rx_url=https%3A%2F%2Fwww.metacareers.com%2Fjobs%2F903804022277159%2F%3Frx_campaign%3DLinkedin1%26rx_ch%3Dconnector%26rx_group%3D126320%26rx_id%3Dfa15e1bd-11a5-11f1-97d2-71a8158eb717%26rx_job%3Da1KDp00000CZMFUMA5%26rx_medium%3Dpost%26rx_r%3Dnone%26rx_source%3DLinkedin%26rx_ts%3D20260225T121202Z%26rx_vp%3Dslots%26utm_campaign%3DJob%252Bboard%26utm_medium%3Djobs%26utm_source%3DLIpaid&amp;urlHash=yb_L", "https://jsv3.recruitics.com/redirect?rx_cid=3239&amp;rx_jobId=a1KDp00000CZMFUMA5&amp;rx_url=https%3A%2F%2Fwww.metacareers.com%2Fjobs%2F903804022277159%2F%3Frx_campaign%3DLinkedin1%26rx_ch%3Dconnector%26rx_group%3D126320%26rx_id%3Dfa15e1bd-11a5-11f1-97d2-71a8158eb717%26rx_job%3Da1KDp00000CZMFUMA5%26rx_medium%3Dpost%26rx_r%3Dnone%26rx_source%3DLinkedin%26rx_ts%3D20260225T121202Z%26rx_vp%3Dslots%26utm_campaign%3DJob%252Bboard%26utm_medium%3Djobs%26utm_source%3DLIpaid&amp;urlHash=yb_L")</f>
        <v/>
      </c>
      <c r="G101" t="inlineStr">
        <is>
          <t>Los Angeles, CA</t>
        </is>
      </c>
      <c r="H101" t="inlineStr"/>
      <c r="I101" t="inlineStr">
        <is>
          <t>Meta Product Managers work with cross\-functional teams of engineers, designers, data scientists and researchers to build products. We are looking for Product Managers who value moving quickly and lead AI\-native product development at scale.
 Product Manager, Central Product Responsibilities:
* Be responsible for leading and driving a complex product area
* defining success, prioritizing problems and identifying the best strategies, considering wider organizational and company context.
* Adapt and adjust your strategies to reflect learnings and changes in context.
* Identify and drive consensus for how to prioritize and realize the most significant opportunities in your product area.
* Identify when to stop as well as when to start investment.
* Critically evaluate when AI is (and isn't) the optimal solution, with sophisticated articulation of tradeoffs, risks, and second\-order effects.
* Translate AI capabilities into compelling product visions that create differentiated value.
* Develop and champion AI\-native strategies including comprehensive evals and data strategies that enable continuous improvement.
* Work with a cross\-functional team to define a product vision, develop a roadmap and drive progress against goals and milestones and resolve challenges and blockers, whilst improving team health and up\-leveling the effectiveness of the team.
* Actively identify opportunities and resolve dependencies by creating shared strategies across teams in adjacent product areas.
* Reimagine workflows, responsibly using AI tools to dramatically increase team velocity and capability.
* Foster a culture of rapid experimentation and learning across the organization.
* Scale AI best practices (including responsible AI use), workflows, and artifacts across product teams so the org's capability compounds over time.
* Support the growth of other PMs and cross\-functional team members by providing mentorship and coaching on AI\-native practices.
* Influence strategy and progress across partner functions, enhancing collaboration and resolving divergent goals.
* Orchestrate complex execution across multiple workstreams by combining AI automation with strategic human oversight—using AI to reduce toil while maintaining high quality and accountability.
* Communicate product strategy and progress with radical clarity to all stakeholders.
* Use AI\-enabled tools to build products—independently creating tangible artifacts to prototype, validate, or ship.
* Interpret research and state\-of\-the\-art learnings to design product strategy and apply rigorous logical reasoning.
* Demonstrate deep understanding of system/architecture trade\-offs and how they impact user experience and business outcomes
* lead credible technical discussions with engineering partners.
* Gather and analyze user research and market analysis to inform product decisions and influence the wider product organization.
* Design sophisticated experiments and interpret results (leveraging AI to accelerate analysis) and drive concrete product decisions.
* Define and run evaluations to interpret model outputs and adjust execution based on learnings—establishing evaluation as a first\-class product practice across teams.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Demonstrated proficiency using AI\-enabled tools to build product artifacts
* Experience developing and scaling AI\-native strategies including evals and data strategies across teams
* Experience integrating a diverse set of requirements from a broad set of users as well as context into a single coherent product strategy
* Experience leading and motivating teams and influencing across an organization
* Demonstrated experience in communication, bringing extreme clarity to complex and technical messages across all audience levels
* Experience identifying and hiring the right talent to build an AI\-capable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2">
      <c r="A102" t="inlineStr">
        <is>
          <t>li-4357780730</t>
        </is>
      </c>
      <c r="B102" t="inlineStr">
        <is>
          <t>Product Manager</t>
        </is>
      </c>
      <c r="C102" t="inlineStr">
        <is>
          <t>FanDuel</t>
        </is>
      </c>
      <c r="D102" t="inlineStr">
        <is>
          <t>linkedin</t>
        </is>
      </c>
      <c r="E102">
        <f>HYPERLINK("https://www.linkedin.com/jobs/view/4357780730", "https://www.linkedin.com/jobs/view/4357780730")</f>
        <v/>
      </c>
      <c r="F102" t="inlineStr"/>
      <c r="G102" t="inlineStr">
        <is>
          <t>Atlanta, GA</t>
        </is>
      </c>
      <c r="H102" t="inlineStr"/>
      <c r="I102" t="inlineStr">
        <is>
          <t>**THE POSITION**
 Our roster has an opening with your name on it.
 The Product Manager is responsible for the planning and execution of successful product initiatives. This includes understanding and prioritizing product and customer needs, defining product goals, and working closely with engineering, product owners, and business stakeholders to bring solutions to market. The Product Manager monitors product performance through market analysis, a deep understanding of customer needs, and objective data analysis and reporting.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Inform, shape, and drive execution of specific Core product initiatives
* Establish and maintain domain expertise on the product, market, and competitors
* Assess product opportunities and contribute meaningfully to ideation and prioritization for new initiatives and products
* Ensure transparency and alignment with organizational stakeholders
* Collaborate with engineering, product owners, marketing and operational functions to ensure successful product deliveries and launches
* Identify, prioritize, and execute post\-launch optimizations and improvements
* Track and report objectively on product performance, including an understanding of related incidents
* Be the “Canadian Champion” – always ensuring our Canadian customer preferences are considered and their requirements met
**THE STATS**
 What we're looking for in our next teammate
* Bachelor’s degree preferred
* Minimum 3\+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$101,000 \- $138,600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03">
      <c r="A103" t="inlineStr">
        <is>
          <t>li-4377830864</t>
        </is>
      </c>
      <c r="B103" t="inlineStr">
        <is>
          <t>Product Manager</t>
        </is>
      </c>
      <c r="C103" t="inlineStr">
        <is>
          <t>Microsoft</t>
        </is>
      </c>
      <c r="D103" t="inlineStr">
        <is>
          <t>linkedin</t>
        </is>
      </c>
      <c r="E103">
        <f>HYPERLINK("https://www.linkedin.com/jobs/view/4377830864", "https://www.linkedin.com/jobs/view/4377830864")</f>
        <v/>
      </c>
      <c r="F103" t="inlineStr"/>
      <c r="G103" t="inlineStr">
        <is>
          <t>Redmond, WA</t>
        </is>
      </c>
      <c r="H103" t="inlineStr"/>
      <c r="I103" t="inlineStr">
        <is>
          <t>**Overview**
 The
 **Product Manager II (PM II)** 
 for Growth Analytics in IDEAS owns the definition and delivery of
 **broader, end‑to‑end product scenarios** 
 that enable teams across Microsoft to experiment, measure impact, and make data‑driven decisions about Copilot growth. This role operates with significant autonomy in an environment with
 **ambiguity, multiple dependencies, and evolving customer needs** 
 .
 You will be responsible for connecting multiple investments across experimentation, analysis, and insights tooling to ensure they work together cohesively to deliver meaningful customer and business outcomes. You will partner closely with engineering, design, data science, and research to shape product strategy, drive execution, and continuously learn through hypothesis‑driven experimentation.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**Product Ownership \&amp; Strategy**
* Own broader experimentation and analysis scenarios, defining clear problem statements, success metrics, and outcomes rather than narrowly scoped features.
* Develop and maintain a product roadmap that connects multiple investments into a coherent end‑to‑end experience for experimenters and analysts.
* Anticipate risks, dependencies, and downstream impacts, and make informed tradeoffs across scope, quality, time, and partner needs.
**Experimentation \&amp; Analysis Enablement**
* Drive the development of robust experimentation and analysis tooling, enabling customers to run A/B tests, multivariant experiments, and post‑experiment analyses at scale.
* Partner with data science and engineering teams to ensure experimentation frameworks are reliable, measurable, and extensible.
* Promote hypothesis‑driven experimentation to validate product decisions and iterate based on learnings.
**Data‑Driven Decision Making**
* Use quantitative telemetry and qualitative customer insights to inform product decisions.
* Define and monitor success metrics for product features and experimentation workflows.
* Apply analytical rigor to evaluate outcomes and adjust strategy based on evidence.
**Cross‑Functional Collaboration**
* Work closely with engineering, design, and data science to define requirements, scenarios, and acceptance criteria.
* Communicate product direction, progress, and results clearly to stakeholders across disciplines and levels.
* Proactively identify when additional alignment or help is needed and engage the right partners.
**Customer \&amp; Stakeholder Engagement**
* Engage with internal customers to understand workflows, pain points, and unmet needs related to experimentation and analysis.
* Translate customer feedback into actionable product improvements.
* Ensure alignment between product direction and broader business goals.
**Qualifications**
**Required Qualifications:**
* Bachelor's Degree AND 2\+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AND 5\+ years experience in product/service/program management or software development OR equivalent experience.
* 2\+ years experience improving product metrics for a product, feature, or experience in a market (e.g., growing customer base, expanding customer usage, avoiding customer churn).
 2\+ years experience disrupting a market for a product, feature, or experience (e.g., competitive disruption, taking the place of an established competing product).
 \#DPG \#DGPHiring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4">
      <c r="A104" t="inlineStr">
        <is>
          <t>li-4375236178</t>
        </is>
      </c>
      <c r="B104" t="inlineStr">
        <is>
          <t>Product Manager</t>
        </is>
      </c>
      <c r="C104" t="inlineStr">
        <is>
          <t>Meta</t>
        </is>
      </c>
      <c r="D104" t="inlineStr">
        <is>
          <t>linkedin</t>
        </is>
      </c>
      <c r="E104">
        <f>HYPERLINK("https://www.linkedin.com/jobs/view/4375236178", "https://www.linkedin.com/jobs/view/4375236178")</f>
        <v/>
      </c>
      <c r="F104" t="inlineStr"/>
      <c r="G104" t="inlineStr"/>
      <c r="H104" t="inlineStr"/>
      <c r="I104"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5">
      <c r="A105" t="inlineStr">
        <is>
          <t>li-4330752647</t>
        </is>
      </c>
      <c r="B105" t="inlineStr">
        <is>
          <t>Product Manager</t>
        </is>
      </c>
      <c r="C105" t="inlineStr">
        <is>
          <t>AUI™ (Augmented Intelligence)</t>
        </is>
      </c>
      <c r="D105" t="inlineStr">
        <is>
          <t>linkedin</t>
        </is>
      </c>
      <c r="E105">
        <f>HYPERLINK("https://www.linkedin.com/jobs/view/4330752647", "https://www.linkedin.com/jobs/view/4330752647")</f>
        <v/>
      </c>
      <c r="F105" t="inlineStr"/>
      <c r="G105" t="inlineStr">
        <is>
          <t>New York, United States</t>
        </is>
      </c>
      <c r="H105" t="inlineStr"/>
      <c r="I105" t="inlineStr">
        <is>
          <t>**About Us** 
 At AUI, we’re thrilled to introduce you to
 **Apollo‑1** 
 . Apollo\-1 is our breakthrough neuro\-symbolic foundation model for conversational agents, enabling native tool\-use, fine\-tuning, and continuous evolution from human feedback.
 Based in New York and Tel Aviv, AUI is a
 **$750 million** 
 startup and over the past eight years has worked hand\-in\-hand with 60,000 human agents to build our breakthrough architecture.
**The Role: Product Manager** 
 We’re looking for a passionate and ambitious Product Manager to help shape the future of AI. You’ll play a crucial role in translating Apollo\-1’s advanced capabilities into market\-ready products and features.
**What You’ll Do:** 
* Lead product strategy and innovation, bridging the gap between Apollo\-1’s technical capabilities and market needs
* Define product road\-maps and prioritise features that leverage Apollo\-1’s unique neuro\-symbolic architecture
* Collaborate with research, engineering and business teams to bring AI\-powered products to market
* Gather and analyse user feedback to continuously improve our products
* Stay abreast of AI industry trends and competitive landscape
* Become an expert in Apollo\-1’s capabilities, including fine\-tuning for agents and native tool\-use
**Who We’re Looking For:** 
* Someone passionate about AI’s future and its practical applications
* A strategic thinker who can envision how cutting\-edge AI can solve real\-world problems
* A person skilled at translating complex technical capabilities into user\-friendly products
- 
**Requirements:** 
* 5\+ years of product management experience, preferably in AI or related technologies
* Strong technical background with the ability to understand and communicate complex AI concepts
* Experience in bringing innovative products from concept to market
* Excellent analytical skills for data\-driven decision making
* Strong communication skills to work effectively with both technical and non\-technical stakeholders
* Ability to thrive in a fast\-paced startup environment
- 
 If you’re excited about shaping the future of conversational AI and want to be at the forefront of bringing this technology to market, we want to hear from you.</t>
        </is>
      </c>
    </row>
    <row r="106">
      <c r="A106" t="inlineStr">
        <is>
          <t>li-4345934703</t>
        </is>
      </c>
      <c r="B106" t="inlineStr">
        <is>
          <t>Principal Product Manager</t>
        </is>
      </c>
      <c r="C106" t="inlineStr">
        <is>
          <t>Replicant</t>
        </is>
      </c>
      <c r="D106" t="inlineStr">
        <is>
          <t>linkedin</t>
        </is>
      </c>
      <c r="E106">
        <f>HYPERLINK("https://www.linkedin.com/jobs/view/4345934703", "https://www.linkedin.com/jobs/view/4345934703")</f>
        <v/>
      </c>
      <c r="F106">
        <f>HYPERLINK("https://jobs.ashbyhq.com/Replicant/0447b052-04f6-4bf1-8639-5569929875fd?source=linkedin&amp;urlHash=ag-G", "https://jobs.ashbyhq.com/Replicant/0447b052-04f6-4bf1-8639-5569929875fd?source=linkedin&amp;urlHash=ag-G")</f>
        <v/>
      </c>
      <c r="G106" t="inlineStr"/>
      <c r="H106" t="inlineStr"/>
      <c r="I106" t="inlineStr">
        <is>
          <t>At Replicant, we believe AI should work for people, starting with customer service. That’s why we built a platform that helps contact centers resolve more requests, proactively identify issues, and improve agent performance with AI\-powered conversation intelligence and AI agents that act like your best reps.
 Our AI agents handle millions of calls every month for Fortune 500 companies and high\-growth innovators. From processing payments to booking appointments and authenticating users, they help customers get what they need instantly, 24/7\. Meanwhile, our real\-time conversation insights help contact center leaders coach better and improve every interaction.
 We’re leading the shift from legacy systems to AI\-first service, powered by large language models (LLMs) and designed for enterprise scale, security, and empathy. If you’re excited by the potential of LLMs, voice AI, and building category\-defining technology with a kind, ambitious team, you’ll love it here.
 We're looking for a Principal Product Manager to shape the future of autonomous customer service at the intersection of AI research and enterprise product development. You'll take ownership of large, ambiguous, and unexplored problems—defining Replicant's long\-term product and AI strategy while driving execution across multiple teams. This is a role for someone who can think at the frontier of what's possible with LLMs, translate that into products that deliver measurable enterprise value, and inspire teams to build what hasn't been built before.
**What You'll Do**
* Define and drive multi\-team product and AI strategy that shapes Replicant's vision for the next generation of AI customer service. Own problems at the product and company strategy level, balancing long\-term technical bets with iterative delivery.
* Stay at the frontier of AI capabilities—deeply understand the evolving landscape of large language models, voice AI, evaluation frameworks, and agentic architectures. Determine where Replicant should build, partner, or integrate to maintain a technical and strategic edge.
* Lead cross\-functional initiatives with measurable business and customer impact. Own roadmaps from conception through execution and iteration, working across AI/ML, engineering, design, and go\-to\-market teams.
* Drive customer and market research in uncharted areas. Regularly engage with customers, prospects, and industry leaders (2\-3\+ interactions per week) to gather signal on complex, multi\-team problems. Share insights that shape product strategy across the organization.
* Establish and own company\-wide product metrics—including accuracy, containment, task success rates, latency, CSAT, and cost efficiency—and use them to guide decisions at the strategic level.
* Communicate and inspire across all audiences—from engineering teams to executives, board, and customers. Tell stories that align the company and close enterprise deals. Regularly represent EPD and Replicant externally.
* Coach and elevate the product team. Lead through example, provide regular feedback, and make everyone around you a better PM. Drive hiring for senior and executive positions, closing top candidates.
**What You'll Bring**
* 8\+ years of product management experience, with significant time spent on AI/ML products, voice AI, conversational AI, or technically complex enterprise platforms.
* Deep technical fluency in AI/ML—you understand how LLMs work, can reason about model capabilities and limitations, and have an informed opinion on architecture decisions and their long\-term roadmap implications. Experience with prompt engineering, RAG, fine\-tuning, or AI agent development is a strong plus.
* Track record of owning large, ambiguous, complex problems and driving them to successful outcomes across multiple teams. You bring clarity to chaos and create alignment where none exists.
* Demonstrable success building AI\-powered products that shipped to production and delivered measurable customer value. You've seen what works and what doesn't when translating AI capabilities into enterprise\-grade products.
* Exceptional communication and storytelling skills—you can explain complex AI concepts to any audience, facilitate large groups, and craft narratives that inspire customers, teams, and executives.
* Strong quantitative skills—comfortable using complex data analysis to make decisions, publishing results and dashboards, and leading creation of metrics that measure company\-wide strategy.
* Experience working directly with customers to understand requirements, present product vision, and serve as a strategic advisor. You've influenced enterprise deals and shaped products based on deep customer insight.
* Comfort operating at the frontier—you thrive in fast\-paced, evolving environments where the technology itself is changing rapidly. You adapt as customer needs, AI capabilities, and priorities shift.
**Nice to Have**
* Experience with voice AI, speech recognition, or real\-time conversational systems
* Background in contact center technology, customer service platforms, or B2B SaaS
* Coding proficiency sufficient to build prototypes, review technical designs, or engage deeply with engineering trade\-offs
* MBA or equivalent business experience
**For All Full\-time Employees, We Offer**
 🌴
 **In\-person connection that counts** 
 : company\-wide offsites and smaller team gatherings designed to make remote work feel personal
 🖥️
 **Tech \&amp; learning stipend** 
 : Conferences, books, courses — interested? We’ll fund them
**📍 Remote by design** 
 : We’re distributed — no guilt about life events, we trust you to manage your calendar
 🏋️
 **Health \&amp; wellness** 
 : Flexible vacations, paid sabbatical after 5 years, comprehensive benefits, plus a stipend to support your physical and mental well\-being
 💸
 **Compensation that matches your impact** 
 : competitive salaries in the company you’re helping to build
**📈 Equity with upside** 
 : We believe in shared ownership—You’ll own a real piece of a fast\-growing AI company
**Our Values**
 Replicant has three core values. It is critical that everyone who joins the team feels excited and moved by these values as every new team member makes an impact on our culture.
**Blade Runners:** 
 We take ownership and pride to influence the outcomes of our goals. We are successful, and like a Blade Runner, use the tools at our disposal to reach our objectives. We value open and honest communication and proactively seek feedback along the way. We are a company driven to grow and achieve both individually and as a team.
**Bread Makers:** 
 We are humble and strive toward an egalitarian culture. No task is too big or too small. We work together to achieve our goals and develop our company mission. We believe that the whole is greater than the sum of its parts in everything that we do.
**Självdistans (Self\-Distance):** 
 Självdistans is Swedish for self\-distance. It's the ability to critically reflect on oneself and one's relations from an external perspective. With this in mind, we act with objectivity and always remember that we are not our work. There's no perfect science to growing a team or business, but we trust everyone at Replicant to point out our blind spots and humbly admit their own.
*Replicant is proud to be an equal opportunity employer. We are committed to fostering an inclusive, diverse and equitable workplace that is built on trust, support and respect. We welcome all individuals and do not discriminate on the basis of gender identity and expression, race, ethnicity, disability, sexual orientation, colour, religion, creed, gender, national origin, age, marital status, pregnancy, sex, citizenship, education, languages spoken or veteran status. Accommodation is available upon request at any point during our recruitment process. If you require an accommodation, please speak to your talent acquisition partner or email us at* 
*talent@replicant.ai* 
*and we’ll work to meet your needs.*</t>
        </is>
      </c>
    </row>
    <row r="107">
      <c r="A107" t="inlineStr">
        <is>
          <t>li-4375228353</t>
        </is>
      </c>
      <c r="B107" t="inlineStr">
        <is>
          <t>Product Manager</t>
        </is>
      </c>
      <c r="C107" t="inlineStr">
        <is>
          <t>Meta</t>
        </is>
      </c>
      <c r="D107" t="inlineStr">
        <is>
          <t>linkedin</t>
        </is>
      </c>
      <c r="E107">
        <f>HYPERLINK("https://www.linkedin.com/jobs/view/4375228353", "https://www.linkedin.com/jobs/view/4375228353")</f>
        <v/>
      </c>
      <c r="F107">
        <f>HYPERLINK("https://jsv3.recruitics.com/redirect?rx_cid=3239&amp;rx_jobId=a1KDp00000E2ZdWMAV_1008&amp;rx_url=https%3A%2F%2Fwww.metacareers.com%2Fjobs%2F720234290553790%2F%3Frx_campaign%3DLinkedin1%26rx_ch%3Dconnector%26rx_group%3D126320%26rx_id%3Df691f1f6-11d2-11f1-9067-e56cee1e36da%26rx_job%3Da1KDp00000E2ZdWMAV_1008%26rx_medium%3Dpost%26rx_r%3Dnone%26rx_source%3DLinkedin%26rx_ts%3D20260225T121202Z%26rx_vp%3Dslots%26utm_campaign%3DJob%252Bboard%26utm_medium%3Djobs%26utm_source%3DLIpaid&amp;urlHash=GEGa", "https://jsv3.recruitics.com/redirect?rx_cid=3239&amp;rx_jobId=a1KDp00000E2ZdWMAV_1008&amp;rx_url=https%3A%2F%2Fwww.metacareers.com%2Fjobs%2F720234290553790%2F%3Frx_campaign%3DLinkedin1%26rx_ch%3Dconnector%26rx_group%3D126320%26rx_id%3Df691f1f6-11d2-11f1-9067-e56cee1e36da%26rx_job%3Da1KDp00000E2ZdWMAV_1008%26rx_medium%3Dpost%26rx_r%3Dnone%26rx_source%3DLinkedin%26rx_ts%3D20260225T121202Z%26rx_vp%3Dslots%26utm_campaign%3DJob%252Bboard%26utm_medium%3Djobs%26utm_source%3DLIpaid&amp;urlHash=GEGa")</f>
        <v/>
      </c>
      <c r="G107" t="inlineStr">
        <is>
          <t>San Francisco, CA</t>
        </is>
      </c>
      <c r="H107" t="inlineStr"/>
      <c r="I107"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8">
      <c r="A108" t="inlineStr">
        <is>
          <t>li-4375226393</t>
        </is>
      </c>
      <c r="B108" t="inlineStr">
        <is>
          <t>Product Manager, Central Product</t>
        </is>
      </c>
      <c r="C108" t="inlineStr">
        <is>
          <t>Meta</t>
        </is>
      </c>
      <c r="D108" t="inlineStr">
        <is>
          <t>linkedin</t>
        </is>
      </c>
      <c r="E108">
        <f>HYPERLINK("https://www.linkedin.com/jobs/view/4375226393", "https://www.linkedin.com/jobs/view/4375226393")</f>
        <v/>
      </c>
      <c r="F108">
        <f>HYPERLINK("https://jsv3.recruitics.com/redirect?rx_cid=3239&amp;rx_jobId=a1KDp00000CZMFUMA5_1003&amp;rx_url=https%3A%2F%2Fwww.metacareers.com%2Fjobs%2F903804022277159%2F%3Frx_campaign%3DLinkedin1%26rx_ch%3Dconnector%26rx_group%3D126320%26rx_id%3D00d1d18b-11a6-11f1-97d2-4b5eb1c48a7e%26rx_job%3Da1KDp00000CZMFUMA5_1003%26rx_medium%3Dpost%26rx_r%3Dnone%26rx_source%3DLinkedin%26rx_ts%3D20260225T121202Z%26rx_vp%3Dslots%26utm_campaign%3DJob%252Bboard%26utm_medium%3Djobs%26utm_source%3DLIpaid&amp;urlHash=mL6L", "https://jsv3.recruitics.com/redirect?rx_cid=3239&amp;rx_jobId=a1KDp00000CZMFUMA5_1003&amp;rx_url=https%3A%2F%2Fwww.metacareers.com%2Fjobs%2F903804022277159%2F%3Frx_campaign%3DLinkedin1%26rx_ch%3Dconnector%26rx_group%3D126320%26rx_id%3D00d1d18b-11a6-11f1-97d2-4b5eb1c48a7e%26rx_job%3Da1KDp00000CZMFUMA5_1003%26rx_medium%3Dpost%26rx_r%3Dnone%26rx_source%3DLinkedin%26rx_ts%3D20260225T121202Z%26rx_vp%3Dslots%26utm_campaign%3DJob%252Bboard%26utm_medium%3Djobs%26utm_source%3DLIpaid&amp;urlHash=mL6L")</f>
        <v/>
      </c>
      <c r="G108" t="inlineStr">
        <is>
          <t>Seattle, WA</t>
        </is>
      </c>
      <c r="H108" t="inlineStr"/>
      <c r="I108" t="inlineStr">
        <is>
          <t>Meta Product Managers work with cross\-functional teams of engineers, designers, data scientists and researchers to build products. We are looking for Product Managers who value moving quickly and lead AI\-native product development at scale.
 Product Manager, Central Product Responsibilities:
* Be responsible for leading and driving a complex product area
* defining success, prioritizing problems and identifying the best strategies, considering wider organizational and company context.
* Adapt and adjust your strategies to reflect learnings and changes in context.
* Identify and drive consensus for how to prioritize and realize the most significant opportunities in your product area.
* Identify when to stop as well as when to start investment.
* Critically evaluate when AI is (and isn't) the optimal solution, with sophisticated articulation of tradeoffs, risks, and second\-order effects.
* Translate AI capabilities into compelling product visions that create differentiated value.
* Develop and champion AI\-native strategies including comprehensive evals and data strategies that enable continuous improvement.
* Work with a cross\-functional team to define a product vision, develop a roadmap and drive progress against goals and milestones and resolve challenges and blockers, whilst improving team health and up\-leveling the effectiveness of the team.
* Actively identify opportunities and resolve dependencies by creating shared strategies across teams in adjacent product areas.
* Reimagine workflows, responsibly using AI tools to dramatically increase team velocity and capability.
* Foster a culture of rapid experimentation and learning across the organization.
* Scale AI best practices (including responsible AI use), workflows, and artifacts across product teams so the org's capability compounds over time.
* Support the growth of other PMs and cross\-functional team members by providing mentorship and coaching on AI\-native practices.
* Influence strategy and progress across partner functions, enhancing collaboration and resolving divergent goals.
* Orchestrate complex execution across multiple workstreams by combining AI automation with strategic human oversight—using AI to reduce toil while maintaining high quality and accountability.
* Communicate product strategy and progress with radical clarity to all stakeholders.
* Use AI\-enabled tools to build products—independently creating tangible artifacts to prototype, validate, or ship.
* Interpret research and state\-of\-the\-art learnings to design product strategy and apply rigorous logical reasoning.
* Demonstrate deep understanding of system/architecture trade\-offs and how they impact user experience and business outcomes
* lead credible technical discussions with engineering partners.
* Gather and analyze user research and market analysis to inform product decisions and influence the wider product organization.
* Design sophisticated experiments and interpret results (leveraging AI to accelerate analysis) and drive concrete product decisions.
* Define and run evaluations to interpret model outputs and adjust execution based on learnings—establishing evaluation as a first\-class product practice across teams.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Demonstrated proficiency using AI\-enabled tools to build product artifacts
* Experience developing and scaling AI\-native strategies including evals and data strategies across teams
* Experience integrating a diverse set of requirements from a broad set of users as well as context into a single coherent product strategy
* Experience leading and motivating teams and influencing across an organization
* Demonstrated experience in communication, bringing extreme clarity to complex and technical messages across all audience levels
* Experience identifying and hiring the right talent to build an AI\-capable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9">
      <c r="A109" t="inlineStr">
        <is>
          <t>li-4375220422</t>
        </is>
      </c>
      <c r="B109" t="inlineStr">
        <is>
          <t>Product Manager, Central Product</t>
        </is>
      </c>
      <c r="C109" t="inlineStr">
        <is>
          <t>Meta</t>
        </is>
      </c>
      <c r="D109" t="inlineStr">
        <is>
          <t>linkedin</t>
        </is>
      </c>
      <c r="E109">
        <f>HYPERLINK("https://www.linkedin.com/jobs/view/4375220422", "https://www.linkedin.com/jobs/view/4375220422")</f>
        <v/>
      </c>
      <c r="F109">
        <f>HYPERLINK("https://jsv3.recruitics.com/redirect?rx_cid=3239&amp;rx_jobId=a1KDp00000CZMFUMA5_1001&amp;rx_url=https%3A%2F%2Fwww.metacareers.com%2Fjobs%2F903804022277159%2F%3Frx_campaign%3DLinkedin1%26rx_ch%3Dconnector%26rx_group%3D126320%26rx_id%3Dfb3052a1-11a5-11f1-97d2-7531f447ba6b%26rx_job%3Da1KDp00000CZMFUMA5_1001%26rx_medium%3Dpost%26rx_r%3Dnone%26rx_source%3DLinkedin%26rx_ts%3D20260225T121202Z%26rx_vp%3Dslots%26utm_campaign%3DJob%252Bboard%26utm_medium%3Djobs%26utm_source%3DLIpaid&amp;urlHash=Wrns", "https://jsv3.recruitics.com/redirect?rx_cid=3239&amp;rx_jobId=a1KDp00000CZMFUMA5_1001&amp;rx_url=https%3A%2F%2Fwww.metacareers.com%2Fjobs%2F903804022277159%2F%3Frx_campaign%3DLinkedin1%26rx_ch%3Dconnector%26rx_group%3D126320%26rx_id%3Dfb3052a1-11a5-11f1-97d2-7531f447ba6b%26rx_job%3Da1KDp00000CZMFUMA5_1001%26rx_medium%3Dpost%26rx_r%3Dnone%26rx_source%3DLinkedin%26rx_ts%3D20260225T121202Z%26rx_vp%3Dslots%26utm_campaign%3DJob%252Bboard%26utm_medium%3Djobs%26utm_source%3DLIpaid&amp;urlHash=Wrns")</f>
        <v/>
      </c>
      <c r="G109" t="inlineStr">
        <is>
          <t>Bellevue, WA</t>
        </is>
      </c>
      <c r="H109" t="inlineStr"/>
      <c r="I109" t="inlineStr">
        <is>
          <t>Meta Product Managers work with cross\-functional teams of engineers, designers, data scientists and researchers to build products. We are looking for Product Managers who value moving quickly and lead AI\-native product development at scale.
 Product Manager, Central Product Responsibilities:
* Be responsible for leading and driving a complex product area
* defining success, prioritizing problems and identifying the best strategies, considering wider organizational and company context.
* Adapt and adjust your strategies to reflect learnings and changes in context.
* Identify and drive consensus for how to prioritize and realize the most significant opportunities in your product area.
* Identify when to stop as well as when to start investment.
* Critically evaluate when AI is (and isn't) the optimal solution, with sophisticated articulation of tradeoffs, risks, and second\-order effects.
* Translate AI capabilities into compelling product visions that create differentiated value.
* Develop and champion AI\-native strategies including comprehensive evals and data strategies that enable continuous improvement.
* Work with a cross\-functional team to define a product vision, develop a roadmap and drive progress against goals and milestones and resolve challenges and blockers, whilst improving team health and up\-leveling the effectiveness of the team.
* Actively identify opportunities and resolve dependencies by creating shared strategies across teams in adjacent product areas.
* Reimagine workflows, responsibly using AI tools to dramatically increase team velocity and capability.
* Foster a culture of rapid experimentation and learning across the organization.
* Scale AI best practices (including responsible AI use), workflows, and artifacts across product teams so the org's capability compounds over time.
* Support the growth of other PMs and cross\-functional team members by providing mentorship and coaching on AI\-native practices.
* Influence strategy and progress across partner functions, enhancing collaboration and resolving divergent goals.
* Orchestrate complex execution across multiple workstreams by combining AI automation with strategic human oversight—using AI to reduce toil while maintaining high quality and accountability.
* Communicate product strategy and progress with radical clarity to all stakeholders.
* Use AI\-enabled tools to build products—independently creating tangible artifacts to prototype, validate, or ship.
* Interpret research and state\-of\-the\-art learnings to design product strategy and apply rigorous logical reasoning.
* Demonstrate deep understanding of system/architecture trade\-offs and how they impact user experience and business outcomes
* lead credible technical discussions with engineering partners.
* Gather and analyze user research and market analysis to inform product decisions and influence the wider product organization.
* Design sophisticated experiments and interpret results (leveraging AI to accelerate analysis) and drive concrete product decisions.
* Define and run evaluations to interpret model outputs and adjust execution based on learnings—establishing evaluation as a first\-class product practice across teams.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Demonstrated proficiency using AI\-enabled tools to build product artifacts
* Experience developing and scaling AI\-native strategies including evals and data strategies across teams
* Experience integrating a diverse set of requirements from a broad set of users as well as context into a single coherent product strategy
* Experience leading and motivating teams and influencing across an organization
* Demonstrated experience in communication, bringing extreme clarity to complex and technical messages across all audience levels
* Experience identifying and hiring the right talent to build an AI\-capable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0">
      <c r="A110" t="inlineStr">
        <is>
          <t>li-4368269145</t>
        </is>
      </c>
      <c r="B110" t="inlineStr">
        <is>
          <t>Product Manager</t>
        </is>
      </c>
      <c r="C110" t="inlineStr">
        <is>
          <t>Tempus AI</t>
        </is>
      </c>
      <c r="D110" t="inlineStr">
        <is>
          <t>linkedin</t>
        </is>
      </c>
      <c r="E110">
        <f>HYPERLINK("https://www.linkedin.com/jobs/view/4368269145", "https://www.linkedin.com/jobs/view/4368269145")</f>
        <v/>
      </c>
      <c r="F110">
        <f>HYPERLINK("https://tempus.wd5.myworkdayjobs.com/Tempus_Careers/job/Chicago/Product-Manager_JR202600099?source=LinkedIn&amp;urlHash=A2m3", "https://tempus.wd5.myworkdayjobs.com/Tempus_Careers/job/Chicago/Product-Manager_JR202600099?source=LinkedIn&amp;urlHash=A2m3")</f>
        <v/>
      </c>
      <c r="G110" t="inlineStr">
        <is>
          <t>New York, NY</t>
        </is>
      </c>
      <c r="H110" t="inlineStr"/>
      <c r="I110"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is on a mission to improve patient outcomes through data and technology. The Assay E2E team is critical to this mission — we drive the launch of new assays across a growing portfolio of tests by enabling operational excellence, seamless cross\-functional collaboration, and scalable systems.
 We are seeking a Product Manager to join our team, helping us meet the increasing volume and complexity of assay launches. You’ll partner closely with our internal operations teams — spanning order and sample intake, laboratory, bioinformatics, pathology, variant science and reporting — to build and refine workflows that ensure timely, high\-quality launches.
 This role is ideal for someone who thrives in cross\-functional settings, enjoys translating ambiguous requirements into clear roadmaps, and is excited by the opportunity to own mission\-critical launches from conception through delivery.
****Core Responsibilities****
 Launch Readiness \&amp; Execution
* Drive the planning and execution that supports assay launches, ensuring readiness across systems, workflows, and documentation.
* Collaborate with operations, R\&amp;D, and regulatory to define requirements, identify bottlenecks, and implement scalable solutions.
* Support risk mitigation strategies and contingency planning for live or upcoming launches.
 Cross\-functional Leadership
* Translate technical and scientific requirements into structured, implementable product plans.
* Serve as the connective tissue across pathologists, regulatory, engineering, customer systems, and reporting teams.
* Engage with Marketing, Design, and Commercial teams to gather insights that drive customer\-centric experiences aligned with the forefront of scientific advancements.
* Represent product needs in cross\-team forums and ensure alignment on dependencies and timelines.
 Product Development \&amp; Optimization
* Collaborate with engineering on backlog prioritization, iteration planning, and UAT.
* Support and evangelize system enhancements that improve turnaround time for launching assays, reduce manual work, and enable broader assay capabilities.
* Leverage learnings from post\-launch monitoring to propose and lead improvements to core assay infrastructure and tooling.
 Documentation \&amp; Communication
* Maintain clear launch plans, decision logs, and requirements documentation.
* Communicate progress, blockers, and risks to stakeholders proactively and clearly.
* Champion the end\-to\-end launch process by further developing our launch playbook that defines cross\-functional roles, critical milestones, and regulatory checkpoints for genomic products.
**Required Skills \&amp; Experience**
* 3\+ years of product management or technical program management experience (preferably in healthcare, diagnostics, or life sciences).
* Experience working with agile software development teams and translating requirements into product specifications.
* Strong execution mindset with proven ability to manage multiple complex cross\-functional projects.
* Ability to thrive in fast\-paced, ambiguous environments and manage complex dependencies across multiple disciplines.
* Comfort working with technical stakeholders and systems\-level challenges.
* Excellent written and verbal communication skills, especially in high\-stakes or regulated contexts.
* Highly organized with strong attention to detail and a bias toward clarity and structure.
* Experience in launch planning or operational tooling.
* Understanding of the genomics and oncology landscape, specifically in Next\-Generation Sequencing (NGS) and laboratory\-developed tests is a plus.
 CHI: $85,000\-$130,000 NYC/SF: $100,000\-$145,000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111">
      <c r="A111" t="inlineStr">
        <is>
          <t>li-4373333765</t>
        </is>
      </c>
      <c r="B111" t="inlineStr">
        <is>
          <t>Product Owner</t>
        </is>
      </c>
      <c r="C111" t="inlineStr">
        <is>
          <t>LTM</t>
        </is>
      </c>
      <c r="D111" t="inlineStr">
        <is>
          <t>linkedin</t>
        </is>
      </c>
      <c r="E111">
        <f>HYPERLINK("https://www.linkedin.com/jobs/view/4373333765", "https://www.linkedin.com/jobs/view/4373333765")</f>
        <v/>
      </c>
      <c r="F111" t="inlineStr"/>
      <c r="G111" t="inlineStr">
        <is>
          <t>Tampa, FL</t>
        </is>
      </c>
      <c r="H111" t="inlineStr"/>
      <c r="I111"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Product Owner
**Work Location :\-** 
 Mississauga, Ontario, Canada
**Job Description:** 
 Lead team scrums to define product vision roadmap and growth opportunities and communicate with stakeholders throughout the project
 Collaborate with internal and external contacts to analyze needs and align product roadmap to strategic goals
 Work closely with product managers and business teams to create and maintain product backlog according to business value or ROI
 Remain up to date on trends and best practices for agile project management
 Responsibilities
 Plan and prioritize product development and product feature backlog
 Develop detailed product feature specifications and ensure they are clearly understood by relevant teams
 Assess value develop cases and prioritize stories epics and themes to ensure work aligns with product strategy
 Mitigate roadblocks to achieve sprint release goals
 Lead the product release plans and set expectations for delivery of new functionalities
 Serve as product ambassador internally and externally sharing knowledge and answering questions
 Required skills and qualifications
 6 years working as Business Analyst or Product Owner or a combination of both in Banking and Financial services industry
 As a product Owner you will be expected to take a leading role in guiding the development of new features or redesigning of existing ones
 Have strong SQL skills to create SQL queries and analyze and validate data ideally someone who has worked of large sets of data that are used by an organization or its individual members
 Experience performing Data analysis tasks to make informed decisions about the success of products
 Experience in AB testing to make data driven decisions and improve the performance of their products
 Ability to communicate complex ideas clearly and concisely
 Knowledge of DevOps
 Should be well versed in Agile mode for SW Development
 Ability to liaise with a very broad range of senior stakeholders
 Good verbal and written Communication Skills
 Ability to independently research analyze and recommend solutions to close open items and discrepancies.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t>
        </is>
      </c>
    </row>
    <row r="112">
      <c r="A112" t="inlineStr">
        <is>
          <t>li-4368293507</t>
        </is>
      </c>
      <c r="B112" t="inlineStr">
        <is>
          <t>Senior Lead Product Manager - Data Products</t>
        </is>
      </c>
      <c r="C112" t="inlineStr">
        <is>
          <t>Siepe</t>
        </is>
      </c>
      <c r="D112" t="inlineStr">
        <is>
          <t>linkedin</t>
        </is>
      </c>
      <c r="E112">
        <f>HYPERLINK("https://www.linkedin.com/jobs/view/4368293507", "https://www.linkedin.com/jobs/view/4368293507")</f>
        <v/>
      </c>
      <c r="F112" t="inlineStr"/>
      <c r="G112" t="inlineStr">
        <is>
          <t>Dallas, TX</t>
        </is>
      </c>
      <c r="H112" t="inlineStr"/>
      <c r="I112" t="inlineStr">
        <is>
          <t>Siepe is a fast\-growing technology company headquartered in Dallas, TX – focused on helping investment managers turn complexity into clarity. We build software and data solutions that give hedge funds and financial services firms the visibility, speed, and confidence they need to make better decisions – faster.
 Our platform delivers a unified source of truth that empowers our clients with real\-time, actionable insights. We don’t just serve the industry – we help modernize it!
 Siepe is profitable, privately held, and growing fast. We offer more than just competitive pay and great benefits—we offer the chance to do impactful work alongside sharp, driven teammates in a culture that rewards curiosity, initiative, and follow\-through. Whether you come from finance, tech, or are charting a new path, you’ll find meaningful problems to solve, real ownership, and the momentum to grow your career with purpose.
 Siepe is seeking a Senior Lead Product Manager \- Data Products to lead the product vision, strategy, and execution for our data foundation. This includes stewardship of our security master, pricing/market data integrations, data quality pipelines, and data management tools used across our platform.
 This is a player\-coach role. You will directly own critical data domains while influencing and mentoring a multidisciplinary team of product managers and data analysts. You’ll partner closely with Engineering and Operations to define what “great data” looks like and ensure that Siepe delivers the most trusted, accurate, and timely data in the credit industry.
**What You’ll Do**
* Own the end\-to\-end data product strategy for Siepe — including security master, issuer master, loan identifiers, market data integrations, pricing sources, and reference data normalization.
* Establish the long\-term data vision, defining how Siepe delivers trusted, timely, lineage\-aware data across the entire platform.
* Mentor a high\-performing data product team, including PMs and data analysts.
* Define clear ownership models and KPIs for data domains (accuracy, completeness, lineage, timeliness, SLA adherence).
* Lead the roadmap for Siepe’s security master \&amp; instrument reference — covering bank debt, private credit, public fixed income, equity, structured products, and hybrid instruments.
* Own market data and pricing integrations, including evaluated pricing, terms/conditions data, rating agency feeds, and agent bank sources.
* Partner with Engineering to design scalable data pipelines, validation frameworks, and reconciliation tools that support complex credit workflows.
* Oversee client\-facing and internal data management tools that streamline ingestion, exception handling, and corrections.
* Work closely with Operations to understand client data pain points, exceptions, break rates, and data workflow inefficiencies.
* Partner with Engineering to define data models, schemas, and transformation logic consistent across the platform.
* Collaborate with the OMS, Compliance, Analytics, and AI teams to ensure reliable, well\-governed data powers all downstream experiences.
* Engage directly with clients and industry partners to validate direction and ensure Siepe sets the standard for credit data excellence.
* Partner with our AI/Agent team to automate data quality checks, anomaly detection, reconciliation, and enrichment workflows.
* Champion the use of metadata, lineage, and observability tools to increase trust and transparency in Siepe’s data.
**What You’ll Bring**
* 7\-10\+ years working with financial datasets, focused on bank debt, private credit, public fixed income, and structured products.
* Deep expertise with securities reference data, pricing sources, issuer hierarchies, ratings, amortization schedules, contract details, accruals and credit market data vendors (e.g., ICE, Markit, Bloomberg, Refinitiv).
* Experience building security masters, data quality frameworks, or data ingestion pipelines in a fintech or financial services environment.
* Strong understanding of data modeling, normalization, and lineage concepts.
* Proven ability to mentor and inspire multidisciplinary teams (PMs, data analysts, data engineers).
* A passion for data — and a clear sense of what “great data” looks like in terms of accuracy, completeness, and usability.
* Ability to operate in a fast\-paced, growth\-stage environment with evolving priorities.
* Exceptional communication skills, particularly in bridging technical, operational, and business perspectives.
**What We Offer**
 At Siepe, we don’t just hire talent, we build performance\-driven teams empowered by transparency, curiosity, and continuous growth. Our Total Rewards go beyond the basics: they’re designed to reward bold thinking, support personal development, and create space for meaningful connection whether you're growing your career, your skill set, or your impact.
**Compensation \&amp; Financial Well\-being:**
* Competitive Compensation Packages, including Annual Performance\-Based Bonuses
* 401(k) Retirement Plan with company match to support your long\-term financial goals
* Employee Referral Program – earn rewards for helping us grow our talented team
**Health \&amp; Insurance Benefits**
* Comprehensive Health, Dental, Vision, and Life Insurance
* Flexible plans tailored to support individuals and families
**Learning \&amp; Career Growth**
* Annual investment in your Learning \&amp; Development goals
* On\-the\-job exposure to innovative technologies and financial strategies
* Growth opportunities in a collaborative, fast\-paced environment that values continuous improvement
**Time Off \&amp; Flexibility**
* Flexible Time Off (FTO)
* Flexibility to recharge and maintain work\-life balance
**In\-Office Perks \&amp; Culture**
* Daily meal delivery allowance when working from the office
* Monthly Celebrations and Quarterly Offsite Events
* Annual Holiday Party to celebrate milestones and build team connection
* A vibrant, inclusive office culture that blends fun with purpose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3">
      <c r="A113" t="inlineStr">
        <is>
          <t>li-4367872665</t>
        </is>
      </c>
      <c r="B113" t="inlineStr">
        <is>
          <t>Product Manager II, Google Cloud</t>
        </is>
      </c>
      <c r="C113" t="inlineStr">
        <is>
          <t>Google</t>
        </is>
      </c>
      <c r="D113" t="inlineStr">
        <is>
          <t>linkedin</t>
        </is>
      </c>
      <c r="E113">
        <f>HYPERLINK("https://www.linkedin.com/jobs/view/4367872665", "https://www.linkedin.com/jobs/view/4367872665")</f>
        <v/>
      </c>
      <c r="F113" t="inlineStr"/>
      <c r="G113" t="inlineStr">
        <is>
          <t>Sunnyvale, CA</t>
        </is>
      </c>
      <c r="H113" t="inlineStr"/>
      <c r="I11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5 years of experience in product management or related technical role.
* 2 years of experience developing or launching products or technologies within one or more of the following: Cloud, SaaS, enterprise, internal tools, or supply chain networks.
**Preferred qualifications:**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4">
      <c r="A114" t="inlineStr">
        <is>
          <t>li-4377866828</t>
        </is>
      </c>
      <c r="B114" t="inlineStr">
        <is>
          <t>Product Manager, AI</t>
        </is>
      </c>
      <c r="C114" t="inlineStr">
        <is>
          <t>Arcade</t>
        </is>
      </c>
      <c r="D114" t="inlineStr">
        <is>
          <t>linkedin</t>
        </is>
      </c>
      <c r="E114">
        <f>HYPERLINK("https://www.linkedin.com/jobs/view/4377866828", "https://www.linkedin.com/jobs/view/4377866828")</f>
        <v/>
      </c>
      <c r="F114" t="inlineStr"/>
      <c r="G114" t="inlineStr">
        <is>
          <t>San Francisco, CA</t>
        </is>
      </c>
      <c r="H114" t="inlineStr"/>
      <c r="I114" t="inlineStr">
        <is>
          <t>**About Arcade**
 Arcade is building the world’s first AI physical product creation platform, where imagination becomes reality. Our platform lets anyone design, purchase, and sell custom, manufacturable products using natural language and generative AI. We believe everyone should have the power to create physical goods as easily as they post online, and we’re building the infrastructure to make that real for both consumers and businesses.
 We’ve raised $42M from a world\-class group of investors, including Reid Hoffman, Forerunner Ventures (Kirsten Green), Canaan Partners (Laura Chau), Adverb Ventures (April Underwood), Factorial Funds (Sol Bier), Offline Ventures (Brit Morin), Sound Ventures (Ashton Kutcher), Inspired Capital (Alexa von Tobel), and Torch Capital (Jonathan Keidan). Our angel investors include Elad Gil, Ev Williams, Marissa Mayer, Sara Beykpour, Kayvon Beykpour, Anna Veronika Dorogush, Eugenia Kuyda, David Luan, Sharon Zhou, Kelly Wearstler, Karlie Kloss, Colin Kaepernick, Christy Turlington Burns, and Jeff Wilke.
 Arcade is headquartered in San Francisco’s Presidio and led by serial entrepreneur Mariam Naficy (Minted, Eve), and a mission\-driven team from Google, Apple, Stability AI, Glean, NVIDIA, Databricks, LinkedIn, Stanford, MIT, Berkeley, and more. Arcade’s Chief AI Officer is Varun Jampani, a leading researcher who co\-authored Dreambooth and created Stable Diffusion 3\.5, among other things. Raghudeep Gadde, Head of Research at Arcade, was formerly a Principal Scientist at Amazon. Together, we’re pioneering a new category at the intersection of AI, personal expression, and on\-demand manufacturing, and we’re building fast.
**Role Summary**
 Arcade’s Product Manager, AI role is our first full\-time Product hire specifically focused on AI. This role is intended for an individual with extraordinary talent and ambition who wants to build the future of design and commerce AI and who demonstrates founder\-mode ownership. You will report directly to our Co\-Founder \&amp; CEO, Mariam Naficy, and work alongside our engineers, designers, and AI researchers to launch category\-defining experiences.
 The Product Manager, AI will own critical products from day one, prototyping novel workflows, co\-crafting system prompts, defining product strategy, and managing cross\-functional execution at a high\-velocity early\-stage startup.
**What You’ll Do**
* Design and launch work that has real\-world impact, cultural visibility, and end\-to\-end ownership, shaping an entirely new category and product paradigm
* Own end\-to\-end product workflows from ideation to launch, including user research, technical scoping, and post\-launch iteration
* Collaborate closely with engineers, AI researchers, and designers to integrate cutting\-edge models and tools into intuitive, production\-ready features
* Design and test agentic workflows, LLM chains, and multimodal model calls to power core user actions
* Run prompt tuning, tool usage evaluations, and comparative model benchmarks
* Prototype, test, and refine generative AI interfaces that make product creation feel magical, personal, and effortless
* Work closely with engineers in model fine\-turning, including data strategy, experiment design and evals
* Drive both synthetic and real data acquisition and generation: source/licensing, data hygiene, taxonomy, labeling/QA, and evaluation datasets
* Implement taste/quality controls, define acceptance thresholds, and instrument on\-surface quality metrics to protect user trust at scale
**What We’re Looking For**
 We’re looking for an individual who has accomplished remarkable things, wants ownership, and possesses an unrivaled work ethic. We're looking for:
* Extraordinary talent proven in AI, engineering, design, startups, research, or creative fields
* Clear thinker and communicator who brings structure to ambiguity and speak the language of engineers, researchers, and designers alike
* High\-agency operator who moves fast, takes ownership, and has bias toward impact
* Tasteful, low\-ego teammate who brings humility, energy, and judgment to every interaction
* Strong opinions loosely held – unafraid to speak your mind, but receptive to new ideas and changing priors
* You think beyond execution, and prioritize the most urgent, product\-defining problems
* Growth mindset – working in AI means constantly learning and re\-evaluating your views
* A strong product sense and attention to user experience: you care deeply about making products that feel magical, manufacturable, and intuitive
**What You Bring**
* Availability to start in the near term
* A Computer Science, Engineering, Math, Physics or other STEM degree
* Experience building agentic workflows in personal, research, or production settings
* Technically fluent builder comfortable reading source code, working in notebooks, and debugging eval pipelines
* A demonstrated passion and curiosity for AI: you keep up with trends, emerging innovations, and new applications, and think critically about how to leverage them
* Experience building or shipping products: personal projects, internships, startups, or open\-source contributions all count
* Familiarity with modern AI infrastructure — LLMs (and their limitations), prompt engineering, multimodal/image models, vector databases, and agent frameworks.
* Bonus: early\-stage startup experience (Seed–Series B), prior founding experience, or significant shipped side projects
**Additional**
* Competitive compensation
* Lunch provided daily
* Company events
 Arcade is an equal opportunity employer. We’re committed to building a diverse, inclusive, and supportive team, and to creating a platform where anyone, anywhere, can make something meaningful.</t>
        </is>
      </c>
    </row>
    <row r="115">
      <c r="A115" t="inlineStr">
        <is>
          <t>li-4285777454</t>
        </is>
      </c>
      <c r="B115" t="inlineStr">
        <is>
          <t>Product Manager, Connectors</t>
        </is>
      </c>
      <c r="C115" t="inlineStr">
        <is>
          <t>Glean</t>
        </is>
      </c>
      <c r="D115" t="inlineStr">
        <is>
          <t>linkedin</t>
        </is>
      </c>
      <c r="E115">
        <f>HYPERLINK("https://www.linkedin.com/jobs/view/4285777454", "https://www.linkedin.com/jobs/view/4285777454")</f>
        <v/>
      </c>
      <c r="F115" t="inlineStr"/>
      <c r="G115" t="inlineStr"/>
      <c r="H115" t="inlineStr"/>
      <c r="I115"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As Glean’s Connectors PM, you’ll expand Glean’s connectors library, improve and deepen our existing product integrations, and improve our Indexing API and custom connector capabilities.
**You Will**
* Spending a lot of time with our customers to deeply understand their knowledge needs
* Developing key parts of our product roadmap, marrying customers’ needs with our product vision
* Empowering your team by giving context, setting direction, and building alignment
* Driving customer\-focused decisions, clear prioritization, and efficient execution
* Coordinating cross\-functionally with with leadership, go\-to\-market teams, and other key stakeholders across the company
* Building processes that will scale as our team and company go through rapid growth
**About You**
* You have 5\+ years of experience in product management at SaaS companies, primarily serving large enterprises with responsibilities spanning customer\-facing surfaces and features as well as internal capabilities and services.
* You have a strong technical background and experience with API\-first products, integration paths, and 3rd party product partnerships.
* You are an excellent written and verbal communicator.
* You have a proven track record of taking ownership, taking initiative, and delivering results.
* You collaborate effectively with cross\-functional partners.
* You have a learning and growth mindset.
* You are mission\-first and understand that your success is measured by your product and team’s success.
* You are an early adopter in building with or adopting AI for your own product craft and you are excited about helping customers accelerate their own AI adoption journey.
**Location:**
* This role is hybrid (3\-4 days a week in one of our SF Bay Area offices)
**Compensation \&amp; Benefits**
 The standard base salary range for this position is $130,000 \- $240,000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16">
      <c r="A116" t="inlineStr">
        <is>
          <t>li-4373238387</t>
        </is>
      </c>
      <c r="B116" t="inlineStr">
        <is>
          <t>Product Manager</t>
        </is>
      </c>
      <c r="C116" t="inlineStr">
        <is>
          <t>Atlantic Partners Corporation</t>
        </is>
      </c>
      <c r="D116" t="inlineStr">
        <is>
          <t>linkedin</t>
        </is>
      </c>
      <c r="E116">
        <f>HYPERLINK("https://www.linkedin.com/jobs/view/4373238387", "https://www.linkedin.com/jobs/view/4373238387")</f>
        <v/>
      </c>
      <c r="F116" t="inlineStr"/>
      <c r="G116" t="inlineStr"/>
      <c r="H116" t="inlineStr"/>
      <c r="I116" t="inlineStr">
        <is>
          <t>We’re seeking a highly driven Senior Product Operations professional to strengthen platform operations and client delivery as we scale. This role owns onboarding execution, data accuracy, and operational workflows while driving accountability, efficiency, and continuous improvement across teams.
**Key Responsibilities** 
**Client Delivery \&amp; Experience** 
* Own end\-to\-end client onboarding and implementation milestones
* Track SLAs, KPIs, and performance metrics
* Partner with Product \&amp; Engineering to resolve operational / technical issues
**Team Leadership \&amp; Enablement** 
* Provide day\-to\-day direction to Implementation Specialists
* Support offshore data teams to improve quality and consistency
* Partner with Data Quality to strengthen data integrity
**Operational Excellence** 
* Identify bottlenecks and process inefficiencies
* Design scalable workflows and playbooks
* Drive continuous improvement with a strong bias for action
**Qualifications** 
* 7\+ years in operations, client delivery, or product operations
* Proven ability to drive outcomes and solve complex problems
* Strong analytical, organizational, and communication skills
* Experience with KPIs, dashboards, and operational metrics
**Nice to Have** 
* Alternative investments industry exposure
* Salesforce / CRM workflow tools
* SQL and/or advanced Excel
* BI / analytics tools
**Culture \&amp; Values** 
* Extreme Client Service
* Relentless Problem Solving</t>
        </is>
      </c>
    </row>
    <row r="117">
      <c r="A117" t="inlineStr">
        <is>
          <t>li-4377849036</t>
        </is>
      </c>
      <c r="B117" t="inlineStr">
        <is>
          <t>Sr Technical Product Manager - QPU Platform</t>
        </is>
      </c>
      <c r="C117" t="inlineStr">
        <is>
          <t>QuEra Computing Inc.</t>
        </is>
      </c>
      <c r="D117" t="inlineStr">
        <is>
          <t>linkedin</t>
        </is>
      </c>
      <c r="E117">
        <f>HYPERLINK("https://www.linkedin.com/jobs/view/4377849036", "https://www.linkedin.com/jobs/view/4377849036")</f>
        <v/>
      </c>
      <c r="F117" t="inlineStr"/>
      <c r="G117" t="inlineStr">
        <is>
          <t>Boston, MA</t>
        </is>
      </c>
      <c r="H117" t="inlineStr"/>
      <c r="I117" t="inlineStr">
        <is>
          <t>**About Us**
 We are building quantum computing systems that push the boundary of what is physically possible. Doing so requires a rare combination of scientific depth, engineering rigor, and operational maturity.
 Our Quantum Control Platform sits at the heart of this effort, translating physics breakthroughs into executable engineering across hardware, software, optics, embedded systems, and automation. As we scale, we are looking for a Senior Technical Product Manager to serve as the operational backbone between our quantum physics research team and our multi\-disciplinary engineering organization.
 This is not a traditional software product role. You will operate at the intersection of complex hardware development and modern agile delivery, making them work together in a physics\-constrained environment.
 The Role
 Requirements Translation \&amp; Traceability
 You will work directly with quantum physicists to extract scientific intent — goals such as enabling a logical non\-Clifford gate, achieving specific QPU\-level performance milestones, or meeting target fidelity thresholds — and translate them into structured, executable engineering requirements.
 You will:
* Build full traceable requirement hierarchies from top\-level physics goals down to subsystem specifications
* Cover domains including control electronics, embedded systems, optics, calibration workflows, and automation
* Define clear acceptance criteria and validation plans at every level
* Ensure no critical requirement lives informally in someone’s head
* Your work will create clarity where complexity currently dominates.
 Documentation Discipline \&amp; Governance
 You will own and elevate the requirements process, not just participate in it.
 This includes:
* Defining standardized requirement templates
* Establishing definition\-of\-ready and definition\-of\-done criteria
* Implementing milestone readiness frameworks
* Institutionalizing documentation governance within Jira and Confluence
* Ensuring proper decomposition, traceability, ownership, and auditability
 You will introduce structure without bureaucracy — building systems that accelerate execution rather than slow it down.
 Agile Delivery Partnership
 Engineering owns delivery. You will be their strongest product partner.
 You will:
* Structure requirements so they are consumable by agile hardware and software teams
* Decompose physics goals into Jira epics and stories while preserving validation rigor
* Participate fluently in sprint planning, backlog grooming, and retrospectives
* Operate effectively in hybrid delivery environments where hardware constraints meet agile cadence
 You understand where agile breaks in hardware environments — and how to adapt it without becoming dogmatic or reverting to rigid sequential processes.
 Stakeholder Alignment \&amp; Process Maturity
 You will align scientists, hardware engineers, and software engineers around shared execution frameworks.
 This role requires:
* Translating between research language and engineering execution models in real time
* Surfacing unstated assumptions in scientific requirements
* Challenging habits constructively
* Raising the overall maturity of technical product management across the organization
 You lead through credibility and demonstrated value — not mandate.
 What We’re Looking For
* 8–15\+ years of experience in technical product management within deep\-tech, hardware\-centric, multi\-disciplinary environments
* Background in industries where precision and traceability are non\-negotiable, such as:
* Photonics and optical systems (e.g., Coherent, Lumentum, II\-VI)
* Lidar and sensing (e.g., Luminar, Ouster)
* Defense and aerospace with photonics or directed energy programs
* Scientific instrumentation (e.g., Thorlabs, Newport)
* Semiconductor capital equipment (e.g., ASML, Applied Materials)
* Fusion energy, advanced aerospace, or modern defense companies (e.g., SpaceX, Anduril, Joby)
 You have:
* Personally built requirements governance frameworks, not just operated within them
* Demonstrated end\-to\-end requirement traceability from high\-level goals to subsystem specifications
* Defined acceptance criteria and validation plans across complex systems
* Deep fluency in Jira and Confluence
* Experience with dedicated requirements management tools such as Jama or Aha
* Strong technical grounding in physics, electrical engineering, optics, or related fields
* The ability to engage meaningfully with PhD\-level scientists and systems engineers
 You are:
* A mature, credible operator who earns trust quickly
* Comfortable introducing process discipline in high\-intellect environments
* Comfortable working in ambiguity while building structure
* On\-site in Boston and thrive in fast, whiteboard\-heavy collaboration
 Nice to Have
* Direct experience with quantum computing hardware or quantum software stacks
* Familiarity with neutral atom systems
* Experience with optical system integration, laser control, or free\-space beam control
* Familiarity with calibration workflows, qubit characterization, or QPU benchmarking
* Experience building or scaling a technical product management function
**What Success Looks Like in Year One**
* A fully traceable requirement hierarchy from physics goals to subsystem specifications
* Engineering teams executing against documented requirements with clear acceptance criteria
* Governance frameworks embedded in Jira and Confluence and operating sustainably
* Measurable improvement in organizational requirements maturity
* Scientists and engineers describing the requirements process as a source of clarity, not overhead
 If you thrive at the intersection of frontier science and disciplined engineering execution — and want to help build quantum systems that redefine what computation can do — we would love to talk.
 As QuEra scales from individual machine development to a cohesive platform, this role will ensure that requirements are clearly specified, validation protocols are established, and system builds proceed predictably. By bringing structure, visibility, and technical coherence to our process, this person will enable teams to deliver high\-performance machines efficiently, collaboratively, and with minimal rework.
 Salary: $170,000\-250,000QuEra is committed to cultivating a diverse work environment and is proud to be an equal opportunity employer. We highly value diversity in our current and future employees and do not discriminate (including in our hiring and promotion practices) based on race, religion, color, national origin, gender, gender expression, sexual orientation, age, marital status, veteran status, disability status, or any other characteristic protected by law.</t>
        </is>
      </c>
    </row>
    <row r="118">
      <c r="A118" t="inlineStr">
        <is>
          <t>li-4318542464</t>
        </is>
      </c>
      <c r="B118" t="inlineStr">
        <is>
          <t>Senior Product Manager</t>
        </is>
      </c>
      <c r="C118" t="inlineStr">
        <is>
          <t>Candid Health</t>
        </is>
      </c>
      <c r="D118" t="inlineStr">
        <is>
          <t>linkedin</t>
        </is>
      </c>
      <c r="E118">
        <f>HYPERLINK("https://www.linkedin.com/jobs/view/4318542464", "https://www.linkedin.com/jobs/view/4318542464")</f>
        <v/>
      </c>
      <c r="F118">
        <f>HYPERLINK("https://www.joincandidhealth.com/careers?ashby_jid=df224a5e-a4bf-4a6d-b1f8-6d19b3d05d17&amp;utm_source=mvzxgrd3O0&amp;urlHash=bMyg", "https://www.joincandidhealth.com/careers?ashby_jid=df224a5e-a4bf-4a6d-b1f8-6d19b3d05d17&amp;utm_source=mvzxgrd3O0&amp;urlHash=bMyg")</f>
        <v/>
      </c>
      <c r="G118" t="inlineStr">
        <is>
          <t>San Francisco, CA</t>
        </is>
      </c>
      <c r="H118" t="inlineStr"/>
      <c r="I118" t="inlineStr">
        <is>
          <t>Candid Health is seeking a Senior Product Manager to join our team and build the products and features that will power the next generation of healthcare companies. As we grow our customers are becoming increasingly complex; our mission is to abstract that complexity into elegant solutions that make their work more efficient and our automations more robust. As a PM on Candid Health’s team you’ll have direct influence over how we plan, prioritize, and execute our roadmap; in close conjunction with stakeholders across the business.
**What You’ll Be Doing**
* You’ll be improving our existing product management practices building out new systems that will enable Candid to deliver great products and services
* You’ll be building and executing the product vision in close collaboration with Engineering and Design
* You’ll be thinking about the macro\-structure of the business and the product to identify gaps and generate new ideas
* You’ll be held accountable for business goals, and ensuring your partner teams are as well
* You’ll be creating rigorous reporting dashboards for visibility and accountability
* You’ll be capturing signal from the field and our customers to understand and prioritize user needs
* You’ll be responsible for communication about new feature customer rollouts to customers and internal stakeholders including company leadership and operations teams
**Who You Are**
* You have 7\+ years of experience as a product manager
* You have experience building data\-intensive products and applications
* You ground your thinking in unit economics of the business
* You are data driven and can leverage it to provide insights and influence critical decisions
* You are outcome oriented, are an effective collaborator, and you bias towards action
* You can get into technical details and know how to code or can read code, if you weren’t an engineer you can talk the talk
* You have led and scaled a successful product function and had broad scope in a fast moving startup or late stage SaaS or Fintech company
* You may have experience working with healthcare or medical billing, or on the technical side of other highly regulated industries
* You may have experience building ML or AI products that solve real world problems
**Pay Transparency**
 The estimated starting annual salary range for this position is $170,000 to $225,000 USD; commensurate with experience.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
**Please note:** 
 we are looking for employees to join our in\-person culture at one of our offices (Denver, New York, or San Francisco). Our weekly schedule is 4 days in\-office and 1 day working remotely.</t>
        </is>
      </c>
    </row>
    <row r="119">
      <c r="A119" t="inlineStr">
        <is>
          <t>li-4302618528</t>
        </is>
      </c>
      <c r="B119" t="inlineStr">
        <is>
          <t>Lead Product Manager</t>
        </is>
      </c>
      <c r="C119" t="inlineStr">
        <is>
          <t>Benepass</t>
        </is>
      </c>
      <c r="D119" t="inlineStr">
        <is>
          <t>linkedin</t>
        </is>
      </c>
      <c r="E119">
        <f>HYPERLINK("https://www.linkedin.com/jobs/view/4302618528", "https://www.linkedin.com/jobs/view/4302618528")</f>
        <v/>
      </c>
      <c r="F119" t="inlineStr"/>
      <c r="G119" t="inlineStr"/>
      <c r="H119" t="inlineStr"/>
      <c r="I119" t="inlineStr">
        <is>
          <t>**About Us**
 At Benepass we're making benefits easy. We believe people are the most important asset to any company. Traditional one\-size\-fits\-all benefits packages no longer cut it in today's hybrid and remote\-first environment. With Benepass, companies can tailor their benefits to the unique needs of their workforce.
 Through our easy\-to\-use and highly customizable fintech platform, People teams can implement, administer, and track the benefits that meet employees where they are. Employers design their benefits and perks plan by setting a contribution amount and eligible spend categories. Every employee has their own individual definition of wellness and needs different things to help them be their most productive, fulfilled self.
**Our Mission**
 Helping companies reimagine how companies take care of their people.
**Our Investors**
 We are backed by leading investors, including Portage Ventures, Threshold Ventures, Gradient Ventures, Workday Ventures, and Clocktower Technology Ventures. To date, the company has raised $35 million of equity capital.
**Articles**
* Founder Story \- Jaclyn Chen
* Benepass Raises $40M Series B
**Candidate Resources**
* Benepass \| Candidate Resource Page
* Benepass Listed on Inc. Magazine's Best Workplaces of 2023
**The Role**
 Benepass is reimagining how employees discover, understand, and engage with their benefits – and we’re looking for a Lead Product Manager to own a major part of that experience end to end.
 This role is for a senior product manager who wants real ownership in a small, high\-trust team. You’ll take responsibility for a strategic product area, shape its direction, and drive it from early discovery through delivery and iteration. The scope is meaningful, the problems are ambiguous, and the impact is highly visible.
 You’ll work closely with product leadership and cross\-functional partners, with autonomy to run your domain and accountability for outcomes. This is a hands\-on role for someone who enjoys both strategic thinking and building.
**What You’ll Do**
 As the owner of this product area, you’ll be accountable for setting direction, making tradeoffs, and driving outcomes. You will:
* Own a strategic product area focused on employee discovery and engagement, from problem definition through execution
* Reimagine core employee\-facing experiences that help users better understand their benefits and discover relevant options
* Define the strategy and roadmap for your area, making and owning tradeoffs based on user needs, business goals, and constraints
* Lead product discovery to deeply understand employee and employer problems, and translate insights into clear product direction
* Partner closely with Design, Engineering, Product Marketing, and other teams to deliver cohesive, high\-quality experiences
* Drive execution end to end, keeping work moving forward and adjusting course as new information emerges
* Use data, feedback, and judgment to evaluate impact and continuously improve what you build
 You’ll be trusted to operate independently within your domain, while collaborating closely with product leadership on prioritization and broader context.
**What We’re Looking For**
 This role is a strong fit if you:
* Have 6\+ years of experience as a Product Manager, with increasing ownership over time
* Have experience working at a startup or similarly fast\-moving environment, where scope is broad and ambiguity is high
* Are comfortable owning a problem space end to end, from framing through delivery
* Can balance strategic thinking with hands\-on execution
* Communicate clearly and proactively, especially when navigating tradeoffs or uncertainty
* Are curious, thoughtful, and motivated by learning in complex domains
* Take accountability seriously and follow through on what you own
 We’re less focused on specific industries or tools and more interested in how you think, how you work, and how you approach ownership.
**Compensation**
* Base salary of $180,000 to $200,000 \+ equity.
*Range(s) is subject to change. Benepass takes a number of factors into account when determining individual starting pay, including market comparables, interview performance, peer compensation, and years of experience.*
**What We Offer**
* 95% coverage of medical, dental, and vision
* Fantastic benefits (of course 😃), including:
+ $250 WFH setup
+ $150/month cell phone \+ internet
+ $100/month Wellness
* We offer several team onsites a year
* Flexible PTO
 At Benepass, we are working towards reimaging how companies take care of their people. We are committed to creating an inclusive environment for all our employees and are seeking to build a team that reflects the diversity of the people we hope to serve with our revolutionary products. Benepass is proud to be an equal\-opportunity employer.</t>
        </is>
      </c>
    </row>
    <row r="120">
      <c r="A120" t="inlineStr">
        <is>
          <t>li-4376752631</t>
        </is>
      </c>
      <c r="B120" t="inlineStr">
        <is>
          <t>Product Manager</t>
        </is>
      </c>
      <c r="C120" t="inlineStr">
        <is>
          <t>Outcomes®</t>
        </is>
      </c>
      <c r="D120" t="inlineStr">
        <is>
          <t>linkedin</t>
        </is>
      </c>
      <c r="E120">
        <f>HYPERLINK("https://www.linkedin.com/jobs/view/4376752631", "https://www.linkedin.com/jobs/view/4376752631")</f>
        <v/>
      </c>
      <c r="F120" t="inlineStr"/>
      <c r="G120" t="inlineStr">
        <is>
          <t>Dublin, OH</t>
        </is>
      </c>
      <c r="H120" t="inlineStr"/>
      <c r="I120" t="inlineStr">
        <is>
          <t>**Position Overview** 
 We are seeking a Product Manager to support and evolve operational healthcare technology products with complex, workflow\-driven functionality. This role requires a high degree of autonomy, intellectual curiosity, and comfort operating within an evolving pharmacy technology landscape.
 The product area has developed over many years and includes deep institutional knowledge across systems, workflows, and edge cases. Success in this role will depend on the ability to proactively acquire domain knowledge, synthesize information across stakeholders, and independently drive clarity where it does not yet exist.
 This role is well\-suited for a Product Manager who thrives in environments that require investigation, structured thinking, and ownership.
**Key Responsibilities** 
 · Own defined product areas across discovery, requirements definition, and delivery
 · Translate business and operational challenges into clear, actionable product requirements
 · Proactively build domain expertise by engaging engineering, stakeholders, and system behavior
 · Identify gaps in workflows, documentation, and requirements — and close them
 · Partner closely with engineering to scope and execute pragmatic, high\-quality solutions
 · Manage competing priorities while maintaining clarity and forward momentum
 · Contribute to the improvement and maturation of product documentation over time
**What Success Looks Like** 
 · Demonstrates rapid acquisition of domain knowledge
 · Operates independently with minimal need for day\-to\-day direction
 · Brings structure to ambiguity rather than waiting for it
 · Anticipates edge cases and downstream operational impacts
 · Builds trust with engineering through clear, precise requirements
**Required Qualifications** 
 · 5\+ years of Product Management experience in B2B SaaS or operational platforms
 · Experience working with workflow\-heavy or operations\-focused systems
 · Demonstrated ability to operate effectively in environments with evolving processes
 · Strong written and verbal communication skills
 · Proven ability to manage multiple workstreams with accountability
**Preferred Qualifications** 
 · Experience in pharmacy systems, healthcare operations, or regulated environments
 · Familiarity with complex system integrations
 · Experience partnering with distributed or cross\-functional engineering teams</t>
        </is>
      </c>
    </row>
    <row r="121">
      <c r="A121" t="inlineStr">
        <is>
          <t>li-4368218569</t>
        </is>
      </c>
      <c r="B121" t="inlineStr">
        <is>
          <t>Senior Product Manager, AI/ML</t>
        </is>
      </c>
      <c r="C121" t="inlineStr">
        <is>
          <t>Google</t>
        </is>
      </c>
      <c r="D121" t="inlineStr">
        <is>
          <t>linkedin</t>
        </is>
      </c>
      <c r="E121">
        <f>HYPERLINK("https://www.linkedin.com/jobs/view/4368218569", "https://www.linkedin.com/jobs/view/4368218569")</f>
        <v/>
      </c>
      <c r="F121">
        <f>HYPERLINK("https://careers.google.com/jobs/results/116580174706680518-senior-product-manager/?src=Online/LinkedIn/linkedin_us&amp;utm_source=linkedin&amp;utm_medium=jobposting&amp;utm_campaign=contract&amp;urlHash=i1ey", "https://careers.google.com/jobs/results/116580174706680518-senior-product-manager/?src=Online/LinkedIn/linkedin_us&amp;utm_source=linkedin&amp;utm_medium=jobposting&amp;utm_campaign=contract&amp;urlHash=i1ey")</f>
        <v/>
      </c>
      <c r="G121" t="inlineStr">
        <is>
          <t>New York, NY</t>
        </is>
      </c>
      <c r="H121" t="inlineStr"/>
      <c r="I12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product management or related technical role.
* 3 years of experience developing or launching products or technologies within artificial intelligence or machine learning (AI or ML).
**Preferred qualifications:**
* 7 years of experience in product management, consulting, co\-founder, or a related technical role.
* Experience creating product roadmaps from conception to launch, driving the product goal, defining the Go\-to\-Market (GTM) strategy, and leading design discussions.
* Experience with User Experience (UX).
* Experience with the latest and greatest AI tools.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developing GenAI platform strategy for custom agents across Workspace and building out the tools and products to enable this transformation for billions of users. You will be developing amazing end user experiences using GenAI technologies such as Gemini and Vertex AI, driving the evolution of our APIs, and partnerships with key Independent Software Vendors (ISVs). You will engage regularly as a trusted advisor with business leaders to understand their strategies to empower their workflows. You will cultivate the productivity app ecosystem which becomes more and more critical in the time of hybrid work.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product goal and strategy for the custom agents.
* Design and lead a multi­\-year roadmap, balancing short­ and long­\-term goals and investments to scale globally.
* Own cross\-functional product development process from ideation through development and commercial launch, collaborating with multiple internal, executive, and external teams to ensure coordination throughout product development, fostering and facilitating timely decision\-making, driving product and delivering success.
* Engage regularly as a trusted advisor with customers to understand their communication strategies, pain points and priorities to inform product strategy, while providing transparency into roadmaps and managing expectations.
* Partner closely with Engineering, UX, and other internal Google teams to drive product and delivery success.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2">
      <c r="A122" t="inlineStr">
        <is>
          <t>li-4367884521</t>
        </is>
      </c>
      <c r="B122" t="inlineStr">
        <is>
          <t>Product Manager II, Google Cloud</t>
        </is>
      </c>
      <c r="C122" t="inlineStr">
        <is>
          <t>Google</t>
        </is>
      </c>
      <c r="D122" t="inlineStr">
        <is>
          <t>linkedin</t>
        </is>
      </c>
      <c r="E122">
        <f>HYPERLINK("https://www.linkedin.com/jobs/view/4367884521", "https://www.linkedin.com/jobs/view/4367884521")</f>
        <v/>
      </c>
      <c r="F122" t="inlineStr"/>
      <c r="G122" t="inlineStr">
        <is>
          <t>Kirkland, WA</t>
        </is>
      </c>
      <c r="H122" t="inlineStr"/>
      <c r="I12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5 years of experience in product management or related technical role.
* 2 years of experience developing or launching products or technologies within one or more of the following: Cloud, SaaS, enterprise, internal tools, or supply chain networks.
**Preferred qualifications:**
* Experience managing day\-to\-day technical and design direction.
* Experience in one or more of the following: cloud infrastructure, SaaS, big data, security and privacy, development and operations, or artificial intelligence/machine learning.
* Knowledge of multiple functional areas such as Product Management, Engineering, UX/UI, Sales, Customer Support, Finance or Marketing.
* Ability to influence multiple stakeholders without direct authority.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3">
      <c r="A123" t="inlineStr">
        <is>
          <t>li-4376721959</t>
        </is>
      </c>
      <c r="B123" t="inlineStr">
        <is>
          <t>Senior Product Manager, YouTube Comments</t>
        </is>
      </c>
      <c r="C123" t="inlineStr">
        <is>
          <t>Google</t>
        </is>
      </c>
      <c r="D123" t="inlineStr">
        <is>
          <t>linkedin</t>
        </is>
      </c>
      <c r="E123">
        <f>HYPERLINK("https://www.linkedin.com/jobs/view/4376721959", "https://www.linkedin.com/jobs/view/4376721959")</f>
        <v/>
      </c>
      <c r="F123">
        <f>HYPERLINK("https://careers.google.com/jobs/results/86659183033623238-senior-product-manager/?src=Online/LinkedIn/linkedin_us&amp;utm_source=linkedin&amp;utm_medium=jobposting&amp;utm_campaign=contract&amp;urlHash=mzT5", "https://careers.google.com/jobs/results/86659183033623238-senior-product-manager/?src=Online/LinkedIn/linkedin_us&amp;utm_source=linkedin&amp;utm_medium=jobposting&amp;utm_campaign=contract&amp;urlHash=mzT5")</f>
        <v/>
      </c>
      <c r="G123" t="inlineStr">
        <is>
          <t>San Bruno, CA</t>
        </is>
      </c>
      <c r="H123" t="inlineStr"/>
      <c r="I123" t="inlineStr">
        <is>
          <t>**Minimum qualifications:**
* Bachelor's degree or equivalent practical experience.
* 8 years of experience in consumer product management.
* 3 years of experience taking technical products from conception to launch.
* Experience with front end product development working with User Experience (UX) design.
* Experience with A/B testing and user research methodologies.
**Preferred qualifications:**
* Master's degree in a technology or business related field.
* Experience using data to inform product decisions.
* Experience with community\-focused products or creator tools.
* Knowledge of YouTube's platform ecosystem, creators, and viewers.
* Ability to translate user needs and business objectives into detailed product specifications and roadmaps.
* Excellent problem\-solving, communication, and collaboration skills, with the ability to work with cross\-functional teams including engineering, design, and data science.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defining and executing the product strategy for creator experiences for YouTube Comments. Comments are at the heart of users sense of community at YouTube: through comments, creators can connect with their audience and learn about what they love. Working with design, User Experience Researcher (UXR), engineering and data science, you will drive the ideation and execution for high\-impact features with a special focus on leveraging AI to help creators, from chat experiences to recommended actions.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strategy, goals, roadmap, and success metrics for comments features.
* Understand user needs, translating insights into compelling product experiences.
* Build intuitive experiences to power conversations and drive engagement.
* Collaborate with engineering, design, and research teams to bring product goals to life.
* Utilize data\-driven decision\-making to measure performance, identify improvement areas, and iterate on the product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4">
      <c r="A124" t="inlineStr">
        <is>
          <t>li-4368255932</t>
        </is>
      </c>
      <c r="B124" t="inlineStr">
        <is>
          <t>Product Manager</t>
        </is>
      </c>
      <c r="C124" t="inlineStr">
        <is>
          <t>Tempus AI</t>
        </is>
      </c>
      <c r="D124" t="inlineStr">
        <is>
          <t>linkedin</t>
        </is>
      </c>
      <c r="E124">
        <f>HYPERLINK("https://www.linkedin.com/jobs/view/4368255932", "https://www.linkedin.com/jobs/view/4368255932")</f>
        <v/>
      </c>
      <c r="F124" t="inlineStr"/>
      <c r="G124" t="inlineStr">
        <is>
          <t>Chicago, IL</t>
        </is>
      </c>
      <c r="H124" t="inlineStr"/>
      <c r="I124"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is on a mission to improve patient outcomes through data and technology. The Assay E2E team is critical to this mission — we drive the launch of new assays across a growing portfolio of tests by enabling operational excellence, seamless cross\-functional collaboration, and scalable systems.
 We are seeking a Product Manager to join our team, helping us meet the increasing volume and complexity of assay launches. You’ll partner closely with our internal operations teams — spanning order and sample intake, laboratory, bioinformatics, pathology, variant science and reporting — to build and refine workflows that ensure timely, high\-quality launches.
 This role is ideal for someone who thrives in cross\-functional settings, enjoys translating ambiguous requirements into clear roadmaps, and is excited by the opportunity to own mission\-critical launches from conception through delivery.
****Core Responsibilities****
 Launch Readiness \&amp; Execution
* Drive the planning and execution that supports assay launches, ensuring readiness across systems, workflows, and documentation.
* Collaborate with operations, R\&amp;D, and regulatory to define requirements, identify bottlenecks, and implement scalable solutions.
* Support risk mitigation strategies and contingency planning for live or upcoming launches.
 Cross\-functional Leadership
* Translate technical and scientific requirements into structured, implementable product plans.
* Serve as the connective tissue across pathologists, regulatory, engineering, customer systems, and reporting teams.
* Engage with Marketing, Design, and Commercial teams to gather insights that drive customer\-centric experiences aligned with the forefront of scientific advancements.
* Represent product needs in cross\-team forums and ensure alignment on dependencies and timelines.
 Product Development \&amp; Optimization
* Collaborate with engineering on backlog prioritization, iteration planning, and UAT.
* Support and evangelize system enhancements that improve turnaround time for launching assays, reduce manual work, and enable broader assay capabilities.
* Leverage learnings from post\-launch monitoring to propose and lead improvements to core assay infrastructure and tooling.
 Documentation \&amp; Communication
* Maintain clear launch plans, decision logs, and requirements documentation.
* Communicate progress, blockers, and risks to stakeholders proactively and clearly.
* Champion the end\-to\-end launch process by further developing our launch playbook that defines cross\-functional roles, critical milestones, and regulatory checkpoints for genomic products.
**Required Skills \&amp; Experience**
* 3\+ years of product management or technical program management experience (preferably in healthcare, diagnostics, or life sciences).
* Experience working with agile software development teams and translating requirements into product specifications.
* Strong execution mindset with proven ability to manage multiple complex cross\-functional projects.
* Ability to thrive in fast\-paced, ambiguous environments and manage complex dependencies across multiple disciplines.
* Comfort working with technical stakeholders and systems\-level challenges.
* Excellent written and verbal communication skills, especially in high\-stakes or regulated contexts.
* Highly organized with strong attention to detail and a bias toward clarity and structure.
* Experience in launch planning or operational tooling.
* Understanding of the genomics and oncology landscape, specifically in Next\-Generation Sequencing (NGS) and laboratory\-developed tests is a plus.
 CHI: $85,000\-$130,000 NYC/SF: $100,000\-$145,000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125">
      <c r="A125" t="inlineStr">
        <is>
          <t>li-4366892732</t>
        </is>
      </c>
      <c r="B125" t="inlineStr">
        <is>
          <t>Sr. Product Manager, Value Servicing</t>
        </is>
      </c>
      <c r="C125" t="inlineStr">
        <is>
          <t>Delta Air Lines</t>
        </is>
      </c>
      <c r="D125" t="inlineStr">
        <is>
          <t>linkedin</t>
        </is>
      </c>
      <c r="E125">
        <f>HYPERLINK("https://www.linkedin.com/jobs/view/4366892732", "https://www.linkedin.com/jobs/view/4366892732")</f>
        <v/>
      </c>
      <c r="F125" t="inlineStr"/>
      <c r="G125" t="inlineStr">
        <is>
          <t>Atlanta, GA</t>
        </is>
      </c>
      <c r="H125" t="inlineStr"/>
      <c r="I125" t="inlineStr">
        <is>
          <t>**How You'll Help Us Keep Climbing (Overview \&amp; Key Responsibilities)**
 At Delta Air Lines, connection is at the heart of everything we do and guides our every action. We strive to welcome and care for all of our customers during their travels with us and aim to deliver an elevated experience.
 We are seeking a Senior Product Manager to lead the strategy, roadmap, and execution of Servicing capabilities across digital and agent‑assisted channels. This role combines deep servicing expertise, retail/offer‑order thinking, and enterprise product leadership, operating at the intersection of commercial strategy, operations, and core technical platforms.
 This Product Manager will own the next generation of how customers view, receive, and redeem value across our ecosystem. They will lead the vision, strategy, and execution of end‑to‑end value delivery experiences — redefining what “value” means for customers and how seamlessly it shows up in their journey. Ultimately, this PM will transform value from a static benefit into a dynamic, differentiated experience that reinforces why customers choose and stay with us.
**Key Responsibilities**
* Own the end‑to‑end product strategy for servicing and value\-delivery capabilities, defining long‑term vision, outcomes, and measurable success criteria.
* Lead the next generation of customer value experiences, ensuring customers clearly understand, receive, and redeem value seamlessly across their journey.
* Develop and manage a multi‑year roadmap that balances modernization of core servicing platforms with customer‑facing experience improvements.
* Partner with Engineering, CX, Operations, Marketing, and Commercial teams to deliver scalable, flexible, and reliable servicing solutions.
* Define and evolve value distribution and redemption mechanisms, optimizing for transparency, speed, and personalization.
* Drive requirements, prioritization, and tradeoff decisions, ensuring delivery remains aligned to business goals and platform constraints.
* Champion customer insights and data‑driven decisions to identify friction points, unlock new servicing opportunities, and continuously refine the experience.
* Ensure alignment across the enterprise by communicating strategy, progress, and impacts to senior leadership and key stakeholders.
* Promote operational excellence, ensuring solutions scale efficiently, reduce agent pain points, and support effective servicing workflows.
**What You Need To Succeed (Minimum Qualifications)**
* Proven success in understanding and managing complex processes.
* Able to demonstrate intellectual curiosity and critical thinking
* Experience translating a business vision into written technical requirements.
* Ability to communicate clearly to business leaders and technical developers.
* Must have the ability to work well with diverse groups in a time sensitive and team environment with minimal supervision.
* Results oriented and capable of meeting or exceeding deadlines with attention to detail and follow through.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Bachelor's Degree with at least 5\+ years of relevant work experience.
* Preferred Major in quantitative discipline such as Management Information Systems, Business Administration, Economics, Finance, or Engineering.
* Combination of at least 5\+ years of relevant working experience in Revenue Management, Internal or External channels, Business Intelligence, and Data Analytics.
* Experience in at least one commercial or operations function such as Reservations, ACS, eCommerce, Revenue Management, Sales, or IT preferred.
* Experience working in an Agile environment as a Product Manager/Owner.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126">
      <c r="A126" t="inlineStr">
        <is>
          <t>li-4356561844</t>
        </is>
      </c>
      <c r="B126" t="inlineStr">
        <is>
          <t>Senior Product Manager</t>
        </is>
      </c>
      <c r="C126" t="inlineStr">
        <is>
          <t>Medical Home Network</t>
        </is>
      </c>
      <c r="D126" t="inlineStr">
        <is>
          <t>linkedin</t>
        </is>
      </c>
      <c r="E126">
        <f>HYPERLINK("https://www.linkedin.com/jobs/view/4356561844", "https://www.linkedin.com/jobs/view/4356561844")</f>
        <v/>
      </c>
      <c r="F126" t="inlineStr"/>
      <c r="G126" t="inlineStr"/>
      <c r="H126" t="inlineStr"/>
      <c r="I126" t="inlineStr">
        <is>
          <t>Are you ready to join a passionate community of people who are changing how health care is delivered?  A place where you will find a career you love while truly making a difference building healthier communities.  If this sounds like you, we would love to have you apply as
 **Senior Product Manager,** 
 with Medical Home Network!
 Since 2009, Medical Home Network (MHN) has partnered with Federally Qualified Health Centers (FQHCs) nationwide to transform care in the safety net, reduce health disparities, and build healthier communities. A mission\-driven public benefit corporation, MHN helps FQHCs succeed in value\-based care through technology, care model innovation, and strong partnerships. Our proven approach delivers leading health outcomes, lower costs, and elevated quality performance. We’re expanding our reach and impact to help more FQHCs enhance care for their patients. Modern Healthcare has named MHN one of the Best Places to Work in Healthcare for four years running (2021–2024\). MHN was recently recognized as a Great Place to Work in 2025\.
**THE OPPORTUNITY:** 
 MHN is seeking a Senior Product Manager to lead the strategy and execution of back\-office healthcare technology that supports billing, coding, and revenue cycle management. This role is focused on technical product management and is ideal for a seasoned product leader operating as a high\-impact individual contributor.
 This role will own complex, full\-stack product initiatives and integrations with payer and provider systems. The ideal candidate brings deep experience in healthcare financial operations and is comfortable partnering closely with engineering teams to deliver scalable, data\-driven solutions.
**THE PERKS:** 
* Fun, challenging, and collaborative work environment with passionate colleagues that care deeply about healthcare delivery.
* Recognized as One of the Best Places to Work in Healthcare by Modern Healthcare.
* Competitive benefits programs including Medical, Vision, Dental, HSA, FSA, and 401k.
* Fitness reimbursement, commuter benefits, and tuition assistance.
* Great work life benefits\- Paid time off, sick time, and 12 paid holidays.
* Remote/Hybrid Schedule: This role follows a remote or hybrid work model. Candidates within 50 miles of Chicago are expected to work onsite two days per week (Monday and Tuesday) and remotely three days per week. Candidates outside of the 50\-mile radius are eligible for fully remote work.
**WHAT YOU CAN LOOK FORWARD TO:** 
* Own the product roadmap for MHN’s back\-office and revenue cycle technology
* Lead full\-stack product initiatives spanning billing, coding, claims, and revenue cycle workflows
* Translate complex healthcare financial and operational requirements into clear, actionable product requirements
* Develop detailed user stories, acceptance criteria, and technical requirements
* Partner closely with engineering on architecture\-aware decisions, tradeoffs, and sequencing of work
* Work extensively with claims data and EDI transactions to support payer and provider integrations
* Ensure product solutions support accurate, compliant, and efficient financial aspects of billing and reimbursement
* Collaborate with stakeholders across finance, operations, data, compliance, and clinical teams
* Balance scalability, performance, data integrity, and regulatory requirements in all product decisions
* Use data, metrics, and customer feedback to continuously improve product performance and outcomes
* Act as a senior product thought partner, influencing cross\-functional teams without direct authority
**WHAT YOU’LL NEED TO SUCCEED:** 
* Bachelor’s degree, or equivalent experience.
* 6\+ years of product management experience, with multiple years operating in a senior\-level role
* Strong healthcare technology background with hands\-on experience in billing, coding, and revenue cycle management
* Proven experience delivering products that support claims processing and payer interactions
* Technical product management experience working on full\-stack systems
* Proficiency with claims and EDI data and how they flow through healthcare financial systems
* Excellent communication skills across technical and non\-technical audiences
* Experience in value\-based care, Medicaid, or safety\-net healthcare environments a plus
* Familiarity with clearinghouses, payer systems, and reimbursement models
 Medical Home Network is an equal opportunity employer. We evaluate qualified applicants without regard to race, color, religion, age, sex, sexual orientation, gender identity, national origin, disability, veteran status, or any other protected characteristic. This policy applies to all terms and conditions of employment, including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7">
      <c r="A127" t="inlineStr">
        <is>
          <t>li-4369082946</t>
        </is>
      </c>
      <c r="B127" t="inlineStr">
        <is>
          <t>Technical Product Manager - FP&amp;A</t>
        </is>
      </c>
      <c r="C127" t="inlineStr">
        <is>
          <t>Lennar</t>
        </is>
      </c>
      <c r="D127" t="inlineStr">
        <is>
          <t>linkedin</t>
        </is>
      </c>
      <c r="E127">
        <f>HYPERLINK("https://www.linkedin.com/jobs/view/4369082946", "https://www.linkedin.com/jobs/view/4369082946")</f>
        <v/>
      </c>
      <c r="F127" t="inlineStr"/>
      <c r="G127" t="inlineStr">
        <is>
          <t>Miami, FL</t>
        </is>
      </c>
      <c r="H127" t="inlineStr"/>
      <c r="I127"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evolution and transformation of FP\&amp;A platforms within a large\-scale homebuilding organization. This role sits at the intersection of finance, technology, and product, owning the roadmap and delivery of FP\&amp;A capabilities across Oracle JD Edwards (E1\) and Oracle EPM solutions.
 The ideal candidate brings deep understanding of homebuilding financial models, strong FP\&amp;A domain expertise, and hands\-on experience driving enterprise financial system transformations in complex, multi\-entity environments.
* A career with purpose.
* A career built on making dreams come true.
* A career built on building zero defect homes, cost management, and adherence to schedules.
**Your Responsibilities On The Team**
**Product Strategy \&amp; Ownership**
* Own the end\-to\-end product vision and roadmap for FP\&amp;A systems supporting budgeting, forecasting, long\-range planning, and management reporting.
* Translate FP\&amp;A business needs into clear product requirements, epics, and user stories to drive tangible improvements.
* Collaborate with Finance team to prioritize needs based on business value, financial impact, technical complexity, and regulatory needs.
* Demonstrated experience with automation, AI/ML practices to transform manual workloads.
**Oracle EPM Transformation**
* Lead tech modernization and transformation initiatives involving Oracle EPM.
* As part of the Lennar Technology Group (LTG), partner across with LTG \&amp; Finance teams to design scalable, future\-state FP\&amp;A architectures and models.
* Drive integrations between Oracle E1, Oracle EPM, data warehouses, and downstream reporting tools.
**FP\&amp;A \&amp; Homebuilding Domain Leadership**
* Serve as a trusted partner to FP\&amp;A leaders, supporting:
* Community\- and division\-level forecasting
* Land acquisition and development financial modeling
* Cost\-to\-complete, backlog, and margin analysis
* Ensure systems support homebuilding\-specific complexities such as:
* Multi\-entity structures
* Job cost accounting
* Revenue recognition and WIP considerations
**Technical \&amp; Delivery Leadership**
* Collaborate closely with architects, developers, data engineers, and QA teams.
* Ensure high\-quality delivery through agile execution, release planning, and backlog management.
* Balance configuration vs. customization decisions with long\-term maintainability in mind.
**Stakeholder \&amp; Change Management**
* Drive adoption through training, documentation, and change management strategies.
* Communicate roadmap progress, risks, and outcomes to senior leadership.
**Requirements**
* Experience with large, decentralized, multi\-division organizations
* Exposure to cloud data platforms (Snowflake, Azure, OCI, etc.)
* Familiarity with agile / SAFe delivery models
* MBA, Finance, Accounting, or related advanced degree
* Oracle EPM or JD Edwards certifications
**What Success Looks Like**
* FP\&amp;A leaders rely on modern, reliable, and scalable systems for decision\-making.
* Oracle E1 and EPM platforms are tightly integrated, well\-governed, and future\-ready.
* Financial planning cycles are faster, more accurate, and more automated.
* Stakeholders view the TPM as a strategic partner—not just a delivery lead.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128">
      <c r="A128" t="inlineStr">
        <is>
          <t>li-4376444472</t>
        </is>
      </c>
      <c r="B128" t="inlineStr">
        <is>
          <t>Senior Product Manager</t>
        </is>
      </c>
      <c r="C128" t="inlineStr">
        <is>
          <t>Insight Global</t>
        </is>
      </c>
      <c r="D128" t="inlineStr">
        <is>
          <t>linkedin</t>
        </is>
      </c>
      <c r="E128">
        <f>HYPERLINK("https://www.linkedin.com/jobs/view/4376444472", "https://www.linkedin.com/jobs/view/4376444472")</f>
        <v/>
      </c>
      <c r="F128" t="inlineStr"/>
      <c r="G128" t="inlineStr">
        <is>
          <t>Dallas, TX</t>
        </is>
      </c>
      <c r="H128" t="inlineStr"/>
      <c r="I128" t="inlineStr">
        <is>
          <t>Required Skills \&amp; Experience
 \-5\+ years of Product Management experience with ownership of product roadmaps and delivery
 \-Strong experience delivering BI, reporting, and data visualization products
 \-Hands‑on experience with BI and analytics tools, with Tableau or similar visualization platforms strongly preferred
 \-Proven ability to translate business requirements into intuitive, high‑quality dashboards and reporting experiences
 \-Experience working with APIs, data platforms, and analytics ecosystems at a conceptual/product level
 \-Strong stakeholder management skills across executive, business, and technical audiences
 Nice to Have Skills \&amp; Experience
 \-Experience working in global or international environments
 \-Second language proficiency
 \-Exposure to enterprise or franchise‑based business models
 Job Description
 Insight Global is seeking a Senior Product Manager to lead the strategy, development, and rollout of enterprise business intelligence, reporting, and data visualization solutions across international markets. This role owns the product roadmap for how data is visualized, distributed, and consumed by stakeholders ranging from executives to regional and franchise leaders.
 This position is not focused on sourcing, integrating, or transforming raw data. Instead, the role is centered on defining and delivering high‑impact reporting and visualization solutions, including decisions around buy vs. build, tooling strategy, and how insights are best presented to drive decision‑making.
 The Senior Product Manager will partner closely with engineering, analytics, and global business leaders to ensure reporting solutions are scalable, standardized, and aligned to real business needs.
 Key Responsibilities:
 \-Define and execute the product vision and roadmap for BI, reporting, and visualization solutions across international markets
 \-Connect business needs and regional asks to effective data visualization, reporting distribution, and insight delivery
 \-Own product strategy for BI and analytics tooling from a business value and user‑experience perspective
 \-Determine buy vs. build decisions for reporting and visualization platforms to best support executive, operational, and franchise audiences
 \-Partner with engineering, analytics, and platform teams to deliver reliable, well‑rendered reporting solutions (without owning raw data ingestion or transformation)
 \-Drive global standardization of dashboards, reporting frameworks, and visualization best practices while accommodating regional requirements
 \-Collaborate with stakeholders to define success metrics, adoption measures, and business impact of reporting solutions
 \-Manage third‑party vendors and BI technology partners, ensuring alignment to product goals and reporting standards
 \-Support regional initiatives, new market launches, and leadership reporting needs through scalable BI enablement</t>
        </is>
      </c>
    </row>
    <row r="129">
      <c r="A129" t="inlineStr">
        <is>
          <t>li-4317590340</t>
        </is>
      </c>
      <c r="B129" t="inlineStr">
        <is>
          <t>Sr. Product Manager (Remote)</t>
        </is>
      </c>
      <c r="C129" t="inlineStr">
        <is>
          <t>Artivion, Inc.</t>
        </is>
      </c>
      <c r="D129" t="inlineStr">
        <is>
          <t>linkedin</t>
        </is>
      </c>
      <c r="E129">
        <f>HYPERLINK("https://www.linkedin.com/jobs/view/4317590340", "https://www.linkedin.com/jobs/view/4317590340")</f>
        <v/>
      </c>
      <c r="F129" t="inlineStr"/>
      <c r="G129" t="inlineStr">
        <is>
          <t>Kennesaw, GA</t>
        </is>
      </c>
      <c r="H129" t="inlineStr"/>
      <c r="I129" t="inlineStr">
        <is>
          <t>**Company Overview**
 Headquartered in suburban Atlanta, Georgia, Artivion, Inc. is a medical device company focused on developing simple, elegant solutions that address cardiac and vascular surgeons’ most difficult challenges in treating patients with aortic diseases. Artivion’s four major groups of products include: aortic stent grafts, surgical sealants, On\-X mechanical heart valves, and implantable cardiac and vascular human tissues. Artivion has over 1,400 employees worldwide with sales representation in over 100 countries. The Company has manufacturing facilities located in Atlanta, Georgia, Austin, Texas and Hechingen, Germany. Additionally, it has sales and distribution offices in various countries throughout Europe, Asia, and South America. For additional information about Artivion, visit our website, www.artivion.com.
**Position Overview**
 In this role, you will lead the development and execution of the commercialization strategy for the next generation Endovascular Aortic Arch Repair (EAAR) stent graft portfolio at Artivion. You will be responsible for leading upstream voice of customer (VOC) activities and engaging with external vascular surgeon customers to translate market needs into product opportunities. You will represent the customer's perspective, ensuring new product concepts are market\-driven and commercially viable, and manage the introduction of new products through launch. The right candidate will be naturally collaborative, customer\- centric, and able to manage the shifting priorities of multiple projects in a highly visible role within the organization.
**Position Responsibilities**
* Collaborate heavily and assume a leadership role within the Endo Aortic Arch, and Bridging Stent cross functional core teams, providing product marketing support in meeting key project milestones and deliverables.
* Develop and execute voice of customer and market research initiatives to inform product pipeline and drive commercial requirements (customer, product, business needs).
* Interface regularly with customers and regional partners through travel, congresses, and symposia to better understand and deliver on customer needs.
* Partner closely with key opinion leaders to anticipate the future market environment, changes in trends, competitive landscape, and to predict/drive future needs.
* Support trial site selection, training, and engagement throughout clinical trials.
* Develop and manage KOL cardiac and vascular surgeon relationships for the product portfolio.
* Collaborate with Sales Leadership in developing a commercialization plan and integrated marketing plan for the Endovascular Aortic Arch portfolio.
* Develop training and marketing materials to prepare for commercial launch.
* Manage a marketing budget quarterly and execute as defined in the marketing plan.
* Illustrate project management expertise.
**Qualifications**
* Bachelor’s Degree in area such as business, engineering, or life\-sciences.
* 8\+ years experience in medical industry. Previous product management experience in the vascular or cardiac surgery space preferred.
* Strong clinical acumen, and ability to come up to speed quickly on new products and disease states.
* Proven ability to conduct opportunity assessments, market sizing, and roadmap development, along with strong experience in VOC research and competitive analysis.
* Strong analytical skills, including a proven ability to plan and execute market research initiatives as well as synthesize market and customer insights.
* Strong understanding of the product development lifecycle and experience working closely with a range of cross\-functional business partners.
* Good organizational and project management skills, with ability to manage multiple tasks to meet tight deadlines in an environment of competing priorities.
* Highly collaborative and consistently pushes self and others to achieve challenging goals and objectives with a track record of executional success.</t>
        </is>
      </c>
    </row>
    <row r="130">
      <c r="A130" t="inlineStr">
        <is>
          <t>li-4368236118</t>
        </is>
      </c>
      <c r="B130" t="inlineStr">
        <is>
          <t>Senior Product Manager, AI/ML</t>
        </is>
      </c>
      <c r="C130" t="inlineStr">
        <is>
          <t>Google</t>
        </is>
      </c>
      <c r="D130" t="inlineStr">
        <is>
          <t>linkedin</t>
        </is>
      </c>
      <c r="E130">
        <f>HYPERLINK("https://www.linkedin.com/jobs/view/4368236118", "https://www.linkedin.com/jobs/view/4368236118")</f>
        <v/>
      </c>
      <c r="F130" t="inlineStr"/>
      <c r="G130" t="inlineStr">
        <is>
          <t>Kirkland, WA</t>
        </is>
      </c>
      <c r="H130" t="inlineStr"/>
      <c r="I13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product management or related technical role.
* 3 years of experience developing or launching products or technologies within artificial intelligence or machine learning (AI or ML).
**Preferred qualifications:**
* 7 years of experience in product management, consulting, co\-founder, or a related technical role.
* Experience creating product roadmaps from conception to launch, driving the product goal, defining the Go\-to\-Market (GTM) strategy, and leading design discussions.
* Experience with User Experience (UX).
* Experience with the latest and greatest AI tools.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developing GenAI platform strategy for custom agents across Workspace and building out the tools and products to enable this transformation for billions of users. You will be developing amazing end user experiences using GenAI technologies such as Gemini and Vertex AI, driving the evolution of our APIs, and partnerships with key Independent Software Vendors (ISVs). You will engage regularly as a trusted advisor with business leaders to understand their strategies to empower their workflows. You will cultivate the productivity app ecosystem which becomes more and more critical in the time of hybrid work.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product goal and strategy for the custom agents.
* Design and lead a multi­\-year roadmap, balancing short­ and long­\-term goals and investments to scale globally.
* Own cross\-functional product development process from ideation through development and commercial launch, collaborating with multiple internal, executive, and external teams to ensure coordination throughout product development, fostering and facilitating timely decision\-making, driving product and delivering success.
* Engage regularly as a trusted advisor with customers to understand their communication strategies, pain points and priorities to inform product strategy, while providing transparency into roadmaps and managing expectations.
* Partner closely with Engineering, UX, and other internal Google teams to drive product and delivery success.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1">
      <c r="A131" t="inlineStr">
        <is>
          <t>li-4369090876</t>
        </is>
      </c>
      <c r="B131" t="inlineStr">
        <is>
          <t>Technical Product Manager - FP&amp;A</t>
        </is>
      </c>
      <c r="C131" t="inlineStr">
        <is>
          <t>Lennar</t>
        </is>
      </c>
      <c r="D131" t="inlineStr">
        <is>
          <t>linkedin</t>
        </is>
      </c>
      <c r="E131">
        <f>HYPERLINK("https://www.linkedin.com/jobs/view/4369090876", "https://www.linkedin.com/jobs/view/4369090876")</f>
        <v/>
      </c>
      <c r="F131">
        <f>HYPERLINK("https://careers.lennar.com/en-US/job/technical-product-manager-fpa/J3R3DK6BNH9SNTNQSJ8?source=LinkedIn&amp;urlHash=CfPU", "https://careers.lennar.com/en-US/job/technical-product-manager-fpa/J3R3DK6BNH9SNTNQSJ8?source=LinkedIn&amp;urlHash=CfPU")</f>
        <v/>
      </c>
      <c r="G131" t="inlineStr">
        <is>
          <t>Bentonville, AR</t>
        </is>
      </c>
      <c r="H131" t="inlineStr"/>
      <c r="I131"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evolution and transformation of FP\&amp;A platforms within a large\-scale homebuilding organization. This role sits at the intersection of finance, technology, and product, owning the roadmap and delivery of FP\&amp;A capabilities across Oracle JD Edwards (E1\) and Oracle EPM solutions.
 The ideal candidate brings deep understanding of homebuilding financial models, strong FP\&amp;A domain expertise, and hands\-on experience driving enterprise financial system transformations in complex, multi\-entity environments.
* A career with purpose.
* A career built on making dreams come true.
* A career built on building zero defect homes, cost management, and adherence to schedules.
**Your Responsibilities On The Team**
**Product Strategy \&amp; Ownership**
* Own the end\-to\-end product vision and roadmap for FP\&amp;A systems supporting budgeting, forecasting, long\-range planning, and management reporting.
* Translate FP\&amp;A business needs into clear product requirements, epics, and user stories to drive tangible improvements.
* Collaborate with Finance team to prioritize needs based on business value, financial impact, technical complexity, and regulatory needs.
* Demonstrated experience with automation, AI/ML practices to transform manual workloads.
**Oracle EPM Transformation**
* Lead tech modernization and transformation initiatives involving Oracle EPM.
* As part of the Lennar Technology Group (LTG), partner across with LTG \&amp; Finance teams to design scalable, future\-state FP\&amp;A architectures and models.
* Drive integrations between Oracle E1, Oracle EPM, data warehouses, and downstream reporting tools.
**FP\&amp;A \&amp; Homebuilding Domain Leadership**
* Serve as a trusted partner to FP\&amp;A leaders, supporting:
* Community\- and division\-level forecasting
* Land acquisition and development financial modeling
* Cost\-to\-complete, backlog, and margin analysis
* Ensure systems support homebuilding\-specific complexities such as:
* Multi\-entity structures
* Job cost accounting
* Revenue recognition and WIP considerations
**Technical \&amp; Delivery Leadership**
* Collaborate closely with architects, developers, data engineers, and QA teams.
* Ensure high\-quality delivery through agile execution, release planning, and backlog management.
* Balance configuration vs. customization decisions with long\-term maintainability in mind.
**Stakeholder \&amp; Change Management**
* Drive adoption through training, documentation, and change management strategies.
* Communicate roadmap progress, risks, and outcomes to senior leadership.
**Requirements**
* Experience with large, decentralized, multi\-division organizations
* Exposure to cloud data platforms (Snowflake, Azure, OCI, etc.)
* Familiarity with agile / SAFe delivery models
* MBA, Finance, Accounting, or related advanced degree
* Oracle EPM or JD Edwards certifications
**What Success Looks Like**
* FP\&amp;A leaders rely on modern, reliable, and scalable systems for decision\-making.
* Oracle E1 and EPM platforms are tightly integrated, well\-governed, and future\-ready.
* Financial planning cycles are faster, more accurate, and more automated.
* Stakeholders view the TPM as a strategic partner—not just a delivery lead.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132">
      <c r="A132" t="inlineStr">
        <is>
          <t>li-4376768137</t>
        </is>
      </c>
      <c r="B132" t="inlineStr">
        <is>
          <t>Technical Product Manager</t>
        </is>
      </c>
      <c r="C132" t="inlineStr">
        <is>
          <t>Haystack</t>
        </is>
      </c>
      <c r="D132" t="inlineStr">
        <is>
          <t>linkedin</t>
        </is>
      </c>
      <c r="E132">
        <f>HYPERLINK("https://www.linkedin.com/jobs/view/4376768137", "https://www.linkedin.com/jobs/view/4376768137")</f>
        <v/>
      </c>
      <c r="F132">
        <f>HYPERLINK("https://us.haystackapp.io/roles/69959e10602dc952059c6894?src=linkedin&amp;urlHash=N-7u", "https://us.haystackapp.io/roles/69959e10602dc952059c6894?src=linkedin&amp;urlHash=N-7u")</f>
        <v/>
      </c>
      <c r="G132" t="inlineStr"/>
      <c r="H132" t="inlineStr"/>
      <c r="I132" t="inlineStr">
        <is>
          <t>**Sr. Technical Product Manager, Trust CX Innovations \| Seattle, Washington \| Hybrid \| $151,200 \- $204,600** 
 We're working with a global leader in ambient computing and consumer electronics on this exciting opportunity. We are looking for a visionary technical leader to redefine how millions of users interact with AI\-driven devices by building world\-class privacy, accessibility, and responsible AI frameworks.
 This is a high\-impact role where you will sit at the intersection of AI Research, Engineering, and UX Design. You will leverage cutting\-edge tech like Federated Learning and Differential Privacy to ensure that the next generation of smart home devices is as secure and inclusive as it is intelligent.
**The Role** 
 • Lead the product roadmap for Trust and Responsible AI (RAI) initiatives across a massive ecosystem of voice\-activated and AI\-enabled devices.
 • Drive the architectural vision for privacy\-preserving features and accessibility standards, ensuring compliance with global technology regulations like GDPR and CCPA.
 • Partner with Applied Scientists and Engineers to prototype breakthrough AI features using Federated Learning and on\-device processing.
 • Design and launch A/B tests for transparent AI decision\-making interfaces and novel accessibility interactions using computer vision and voice services.
 • Own critical CX metrics, developing data\-driven strategies for product governance and ethical AI guardrails.
**What You'll Need** 
 • Extensive experience in Technical Product Management, specifically within AI/ML, Privacy Engineering, or Consumer Hardware ecosystems.
 • Deep technical fluency in Privacy\-Enhancing Technologies (PETs), AI Governance frameworks, and global accessibility standards (WCAG).
 • Proven track record of working with cross\-functional teams including Legal, Policy, and Engineering to deliver complex, regulated features.
 • Strong analytical skills with the ability to use data and metrics to back up assumptions, recommendations, and drive product actions.
 • Exceptional communication skills to present complex technical solutions to senior leadership and influence global product strategy.
**What's On Offer** 
 • Competitive salary range of $151,200 \- $204,600 plus comprehensive benefits and equity packages.
 • The opportunity to shape the ethical AI landscape for a product used by millions of households worldwide.
 • A hybrid work environment in the heart of Seattle, offering the perfect balance of collaboration and focus.
 • Access to world\-class resources and mentorship within a strategic innovation team focused on the future of AI.
**Apply via Haystack today!**</t>
        </is>
      </c>
    </row>
    <row r="133">
      <c r="A133" t="inlineStr">
        <is>
          <t>li-4377879316</t>
        </is>
      </c>
      <c r="B133" t="inlineStr">
        <is>
          <t>Senior Technical Product Manager - SDK and User Engagement</t>
        </is>
      </c>
      <c r="C133" t="inlineStr">
        <is>
          <t>QuEra Computing Inc.</t>
        </is>
      </c>
      <c r="D133" t="inlineStr">
        <is>
          <t>linkedin</t>
        </is>
      </c>
      <c r="E133">
        <f>HYPERLINK("https://www.linkedin.com/jobs/view/4377879316", "https://www.linkedin.com/jobs/view/4377879316")</f>
        <v/>
      </c>
      <c r="F133" t="inlineStr"/>
      <c r="G133" t="inlineStr">
        <is>
          <t>Boston, MA</t>
        </is>
      </c>
      <c r="H133" t="inlineStr"/>
      <c r="I133" t="inlineStr">
        <is>
          <t>**Summary**
 QuEra Computing is seeking a
 **Senior Technical Product Manager – SDK and User Engagement** 
 to own the product strategy, delivery, and adoption of the developer tooling that researchers and developers use to run high‑impact
 **experiments and applications** 
 on QuEra’s
 **neutral‑atom quantum computers** 
 . You’ll operate at the intersection of
 **quantum R\&amp;D, scientific software engineering, and an external developer community** 
 , translating capabilities across
 **quantum‑classical hybrid workflows, circuit‑level programming, qubit/atom shuttling, and pulse‑level control** 
 into an SDK that is coherent, usable, and trusted.
 This is a foundational product role in a fast\-growing area. You’ll drive the end\-to\-end developer journey: from “time‑to‑first‑experiment” and documentation quality, to stable APIs and predictable release processes, to community engagement and open\-source governance. Working closely with R\&amp;D and engineering teams, you’ll turn emerging research results (including advances in
 **neutral‑atom platforms and quantum error correction** 
 ) into concrete product requirements, representative examples, and developer\-ready interfaces—balancing rapid innovation with robustness, reliability, and long\-term maintainability.
**Responsibilities**
* Own the SDK product vision and roadmap
+ Define and communicate the product vision, positioning, and roadmap for QuEra’s SDK and developer\-facing software stack.
+ Align priorities across company strategy, hardware/service constraints, internal stakeholders, and external developer needs.
* Translate science and R\&amp;D into software requirements
+ Convert quantum concepts, system capabilities, and new R\&amp;D outcomes into actionable product specifications (PRDs), Request for Comments (RFCs), and well\-scoped deliverables.
+ Identify representative use cases, minimal reproducible examples, and benchmarking targets to validate requirements and guide implementation.
* Collect structured user feedback and drive prioritization
+ Collect structured feedback from customers and users on usability, UI, workflows, recurring pain points, and operational friction.
+ Synthesize insights into roadmap updates and requirements. Partner with software teams to ensure feedback is actionable, prioritized, and reflected in backlogs and release plans.
* Drive developer experience and steward an open\-source community
+ Partner with software engineers and scientists to improve usability across the SDK: APIs, workflows, error messages, onboarding, tutorials, and reference examples.
+ Establish open\-source triage and governance practices: issue taxonomy, labeling, prioritization, contribution guidelines, and community processes.
* Ensure quality, reliability, and operational readiness
+ Support QA, integration readiness, and operational considerations so SDK releases work reliably with hardware services (cloud and/or managed environments).
+ Drive versioning, deprecation policy, change logs, migration guides, and release communications to maintain trust with the community.
+ Help balance early\-stage innovation with stability—setting expectations clearly when features are experimental vs. production\-ready.
**Qualifications**
* M.S. in Computer Science, Physics, or a related field, with 5\+ years of experience in technical product management, developer tools, scientific software, HPC, or adjacent domains.
* Proven ability to work deeply with engineering and research teams—comfortable operating in ambiguity and making sound trade\-offs across scope, schedule, and technical risk.
* Strong understanding or hands\-on experience in modern software engineering practices (API design, backwards compatibility, testing, CI/CD fundamentals, documentation, and lifecycle discipline).
* Ability to learn new quantum algorithms and translate them into clear requirements and minimal examples.
* Working knowledge of compiler concepts (e.g., intermediate representations, compiler transforms, optimization strategies) and a clear understanding of compile\-time vs. runtime trade\-offs.
* Excellent communication and technical writing skills; strong at reframing “XY problems” into clear, actionable requirements.
* Proficiency with product management tools and agile execution (e.g. GitHub and Jira); demonstrated cross\-functional delivery and project/program leadership.
**Preferred Qualifications**
* Ph.D. in quantum computing, quantum information, computer science or engineering (or related area) with demonstrated exposure to software development cycles (especially SDKs, compilers, or scientific tooling).
* 3–5\+ years of hands\-on technical development or research experience in scientific software, compilers, infrastructure, or tooling.
* Experience engaging and growing an open\-source community (triage, contributor workflows, governance, and public roadmap practices).
* Demonstrated systems/low\-level programming experience (e.g., Rust, C\+\+) and/or compiler engineering experience (including contributions to widely used open\-source compilers or developer toolchains).
* Strong track record of translating emerging research into pragmatic product requirements and developer\-ready deliverables.
* Proven technical communication through public artifacts (e.g., blog posts, tutorials, documentation sets, workshops, talks, or example repositories).
 QuEra is committed to cultivating a diverse work environment and is proud to be an equal opportunity employer. We highly value diversity in our current and future employees and do not discriminate (including in our hiring and promotion practices) based on race, religion, color, national origin, gender, gender expression, sexual orientation, age, marital status, veteran status, disability status, or any other characteristic protected by law.</t>
        </is>
      </c>
    </row>
    <row r="134">
      <c r="A134" t="inlineStr">
        <is>
          <t>li-4368278979</t>
        </is>
      </c>
      <c r="B134" t="inlineStr">
        <is>
          <t>Product Manager (Martech)</t>
        </is>
      </c>
      <c r="C134" t="inlineStr">
        <is>
          <t>Software Guidance &amp; Assistance, Inc. (SGA, Inc.)</t>
        </is>
      </c>
      <c r="D134" t="inlineStr">
        <is>
          <t>linkedin</t>
        </is>
      </c>
      <c r="E134">
        <f>HYPERLINK("https://www.linkedin.com/jobs/view/4368278979", "https://www.linkedin.com/jobs/view/4368278979")</f>
        <v/>
      </c>
      <c r="F134" t="inlineStr"/>
      <c r="G134" t="inlineStr">
        <is>
          <t>San Jose, CA</t>
        </is>
      </c>
      <c r="H134" t="inlineStr"/>
      <c r="I134" t="inlineStr">
        <is>
          <t>Software Guidance \&amp; Assistance, Inc., (SGA), is searching for a
 **Product Manager (Martech)** 
 for a
 **contract** 
 assignment with one of our premier SaaS clients in San Jose, CA. This is a hybrid role with 2\-3 days per week in\-office.
**Responsibilities:**
* Work as a part of a dedicated team following agile scrum model.
* Define key business problems to be solved, formulate mathematical approaches and gather data to solve those problems, develop, analyze/draw conclusions and present
* Create statistical and predictive models, use clustering and classification techniques and algorithms
* Participate in product and feature design with developers.
* Collaborate with product management and engineering teams to understand the requirements and communicate to the team so that they could be used for better test planning and execution.
* Well versed in emerging industry technologies and trends.
**Required** 
**Skills:**
* 2\-5 years of experience in Business Analyst/Product management role.
* A keen desire to solve business problems, and to find patterns and propose solutions that challenge and expand the thinking of everyone around them.
* Knowledge of software development processes and best practices.
* Understanding of Agile/Scrum methodology and working experience in Agile environment is strongly desired.
* This person must be comfortable driving projects, presenting to IT leaders, defining business value and metrics, prioritizing competing priorities, and working in a matrix.
* Must be a self starter that is passionate and curious.
* Excellent communication skills required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135">
      <c r="A135" t="inlineStr">
        <is>
          <t>li-4325511401</t>
        </is>
      </c>
      <c r="B135" t="inlineStr">
        <is>
          <t>Senior Product Manager</t>
        </is>
      </c>
      <c r="C135" t="inlineStr">
        <is>
          <t>Ceribell │ AI-Powered Point-of-Care EEG</t>
        </is>
      </c>
      <c r="D135" t="inlineStr">
        <is>
          <t>linkedin</t>
        </is>
      </c>
      <c r="E135">
        <f>HYPERLINK("https://www.linkedin.com/jobs/view/4325511401", "https://www.linkedin.com/jobs/view/4325511401")</f>
        <v/>
      </c>
      <c r="F135">
        <f>HYPERLINK("https://job-boards.greenhouse.io/ceribell/jobs/5704708004?gh_src=8f29a94b4us&amp;urlHash=n59Q", "https://job-boards.greenhouse.io/ceribell/jobs/5704708004?gh_src=8f29a94b4us&amp;urlHash=n59Q")</f>
        <v/>
      </c>
      <c r="G135" t="inlineStr">
        <is>
          <t>Sunnyvale, CA</t>
        </is>
      </c>
      <c r="H135" t="inlineStr"/>
      <c r="I135" t="inlineStr">
        <is>
          <t>**About Ceribell**
 Ceribell is a medical technology company focused on transforming the diagnosis and management of patients with serious neurological conditions. The Ceribell System is a novel, point\-of\-care electroencephalography (“EEG”) platform specifically designed to address the unmet needs of patients in the acute care setting, and is being used in hundreds of community hospitals, large academic facilities and major IDN's across the country. Our entire team is driven by a shared commitment to transforming the landscape of critical care through our rapid seizure detection technology, come join the movement!
**Position Overview** 
 :
 Ceribell is a medical technology company focused on transforming the diagnosis and management of patients with serious neurological conditions. The Ceribell System is a novel, point\-of\-care electroencephalography (“EEG”) platform specifically designed to address the unmet needs of patients in the acute care setting, and is being used in hundreds of community hospitals, large academic facilities and major IDN’s across the country. Our entire team is driven by a shared commitment to transforming the landscape of critical care through our rapid seizure detection technology, come join the movement!
 Ceribell is seeking a highly motivated
 **Senior Product Manager** 
 to lead the evolution of our
 **Clarity seizure algorithm portfolio** 
 . This individual will play a critical role in defining next\-generation algorithmic solutions.
 The ideal candidate will bring a strong technical background, preferably in
 **EEG, biomedical signal processing, or ML algorithm development** 
 , and be passionate about translating clinical needs into impactful solutions. This role will also serve as a key point of contact with Neurology Key Opinion Leaders (KOLs) to collect voice\-of\-customer insights and shape the roadmap for future product and algorithm innovation.
**What you'll do:**
* Conduct market research and competitive analysis to identify unmet clinical needs and define product strategies that align with Ceribell’s vision and business objectives
* Translate clinical needs into product and algorithm requirements.
* Serve as the Voice of Customer (VOC) by building and maintaining strong relationships with neurology KOLs and other stakeholders.
* Collaborate closely with cross\-functional teams including Design, Engineering, Clinical, and Regulatory to design and develop the algorithm products.
* Partner with commercial teams to define go\-to\-market strategies that align with Ceribell’s vision and business objectives, support product positioning and launch plans.
**What We're Looking For:**
* Bachelor’s degree in Biomedical Engineering, Neuroscience, Electrical Engineering, Computer Science, or related technical discipline; Advanced degree (PhD or MD) preferred.
* Proven technical or clinical background in EEG signal processing, biomedical signal processing, or algorithm development.
* Proven experience managing algorithm or software product development lifecycles.
* 2\+ years of product management or business analytics experience preferred.
* Ability to independently conduct product research, including literature review, physician interviews, and competitive landscape assessments.
* Strong analytical skills with the ability to derive market and product insights from complex data.
* Excellent executive communication, presentation, and stakeholder management skills.
* Ability to travel up to 25%.
 Compensation Range
 $178,000—$196,000 USD
 A candidate’s final salary offer will be based on their skills, education, work location and experience, and thus it may differ from the posted range. Compensation may also include bonuses consistent with Ceribell’s corporate compensation plan. Note, the above description is not all\-encompassing and Ceribell reserves the right to change or modify job duties and assignments at any time.
**In addition to your base compensation, Ceribell offers eligible employees the following:**
* Performance\-based incentive compensation (varies by role)
* Equity opportunities
* 100% Employer paid Health Benefits for Employees
* 50% \- 70% Employer paid Health, Dental \&amp; Vision for dependents (depending on plan selection)
* 100% paid Life and Long\-Term Disability Insurance
* 401(k) with a generous company match
* Employee Stock Purchase Plan (ESPP) with a discount
* Monthly cell phone stipend
* Flexible paid time off
* 13 Paid Holidays \+ 3 Company Wellness Days
* Excellent parental leave policy
* Fantastic culture with tremendous career advancement opportunities
* Joining a mission\-minded organization!
**Application Deadline:** 
 Ongoing
**Equal Opportunity Employer**
 Ceribell is an Equal Opportunity Employer. All qualified applicants will receive consideration for employment without regard to race, color, religion, sex (including pregnancy, childbirth and related medical conditions), sexual orientation, gender identity or expression, national origin, age, marital status, disability, veteran status or any other characteristic protected by law. Any applicant with a disability who requires an accommodation during the application process should contact talent@ceribell.com to request reasonable accommodation.
**Privacy Statement**
 For information on how Ceribell processes personal data of job applicants, please review our Privacy Policy.
**Compliance Disclaimer**
 If you believe this job posting is non\-compliant, please submit a report to legal@ceribell.com. Please note that we will not respond to inquiries unrelated to job posting compliance.</t>
        </is>
      </c>
    </row>
    <row r="136">
      <c r="A136" t="inlineStr">
        <is>
          <t>li-4377861926</t>
        </is>
      </c>
      <c r="B136" t="inlineStr">
        <is>
          <t>Technical Product Manager for Cloud Services</t>
        </is>
      </c>
      <c r="C136" t="inlineStr">
        <is>
          <t>Kommerce Hub</t>
        </is>
      </c>
      <c r="D136" t="inlineStr">
        <is>
          <t>linkedin</t>
        </is>
      </c>
      <c r="E136">
        <f>HYPERLINK("https://www.linkedin.com/jobs/view/4377861926", "https://www.linkedin.com/jobs/view/4377861926")</f>
        <v/>
      </c>
      <c r="F136" t="inlineStr"/>
      <c r="G136" t="inlineStr">
        <is>
          <t>Tampa, FL</t>
        </is>
      </c>
      <c r="H136" t="inlineStr"/>
      <c r="I136" t="inlineStr">
        <is>
          <t>Project requires background in
 **AWS, cloud services, Retail POS solutions** 
 ,
 **B2B, E\-Commerce, Payments, Integrated Banking and other related domains** 
 . Experience in working in a Start\-up environment is a huge plus.
 As Technical Product Owner, you will design and build our cloud services, Integrate Cloud Security and Enhance web portal. Working with our product Leaders and Stake holders, you’ll develop reusable Cloud services components and portals that manages the B2B Lifecycle.
**In This Role You Can Expect To**
* Responsible for designing, deliver and implement the key modules of KHub in AWS which is POS solutions, B2B, E\-Commerce team, Payments, Integrated Banking and other Deposits.com API.
* Own all phases of the product development life cycle, from conception to delivery to customers.
* Craft code that meets our internal standards for style and scalability
* Collaborate with other developers to flesh out technical requirements.
* Learn from other engineers and help drive continuous improvement of our platform.
* Work in an Agile\-ish environment – we move fast and work in two\-week sprints.
* Report directly to the CTO. You’ll learn the ins and outs of our business and technology and your ideas will always be heard. There’s no red tape here.
* Work with agile methodologies and tools – including Confluence, Jira, working in a Lean/Agile/Scrum environment.
* Initiate and implement ITIL services to speed up the product development process.
* Work very closely with business stakeholder, AWS engineers, UI Developers, UX designer and architect to define product requirements and collaborate within agile teams to drive product management activities.
* You are responsible to integrate Flex Payments, Deposits.com payment API and CYCLR Cloud API integration and design the User specific module with easy UI/UX System.
* Provide SME (Subject Matter Expertise) in B2B (Business to Business) Payments and integrations with AP (Account Payable) automation and ERP (Enterprise Resource Planning) software.
* Work with SQL DBA team to enhance and architect the multi\-tenancy Database.
* Propose improvements to existing payment features, communicate and priorities these changes along with other development priorities and projects.
* Performing incremental and iterative product development, which can react very quickly to the market environment preferably using Agile methodology.
* Participate in preparation/prioritization of portfolio/solution backlogs to continuously synthesize into program backlog and team backlogs.
* Identify gaps between current system and client/market needs.
* Coordinate with UAT teams on testing resources and timelines, content being tested, ensuring requirements trace back to test scenarios and cases, and ensuring who is responsible for the requirements being tested.
* Write Complex SQL Queries, Stored procedures, data load scripts, and fine tuning the queries to optimize the performance in Oracle database.
* Develop an Inventory of Reports, Interfaces, Conversions, Extensions, Forms and workflows to support the new processes and solution across work streams.
**You’re a Good Fit For The Role If**
* Work very closely with business stakeholder, UX designer and architect to define product requirements and collaborate within agile teams to drive product management activities
* Consistently assess and analyze the impact of existing and new features
* Propose improvements to existing features, communicate and priorities these changes along with other development priorities and projects.
* Performs activities to support opportunities for existing products \&amp; gathers data on customer needs to identify product opportunities
* Experience in breaking down high\-level features into tactical user\-stories and assigning and supervising them across multiple organizations.
* Strong ability to identify and resolve cross\-project interdependencies.
* Performing incremental and iterative product development, which can react very quickly to the market environment preferably using Agile methodology.
* Participate in preparation/prioritization of portfolio/solution backlogs to continuously synthesize into program backlog and team backlogs.
* Identify gaps between current system and client/market needs.
**Required Technical And Professional Expertise**
* Bachelor’s degree in business or engineering related discipline;
* Overall \+ years of which 4\+ years in Product management in IT E\-commerce or AWS implemented projects.
* Hands on experience in installation, configuration and support of enterprise software.
* Experience with POS retail Integrations, ITIL and Banking/Payments Integrations is MUST.
* 
* Experience with SCRUM methodology</t>
        </is>
      </c>
    </row>
    <row r="137">
      <c r="A137" t="inlineStr">
        <is>
          <t>li-4368512579</t>
        </is>
      </c>
      <c r="B137" t="inlineStr">
        <is>
          <t>Enterprise Product Manager</t>
        </is>
      </c>
      <c r="C137" t="inlineStr">
        <is>
          <t>Accurate Background</t>
        </is>
      </c>
      <c r="D137" t="inlineStr">
        <is>
          <t>linkedin</t>
        </is>
      </c>
      <c r="E137">
        <f>HYPERLINK("https://www.linkedin.com/jobs/view/4368512579", "https://www.linkedin.com/jobs/view/4368512579")</f>
        <v/>
      </c>
      <c r="F137" t="inlineStr"/>
      <c r="G137" t="inlineStr"/>
      <c r="H137" t="inlineStr"/>
      <c r="I137" t="inlineStr">
        <is>
          <t>When you join Accurate Background, you’re an integral part of making every hire the start of a success story. Your contributions will help us fulfill our mission of advancing the background screening experience through visibility and insights, empowering our clients to make smarter, unbiased decisions.
 We are seeking an Enterprise Product Manager (Group level) to lead a multi\-product portfolio spanning the Candidate and Client experiences across our background check platform. This product leader will own and drive measurable improvements to existing experiences and create new 0 to 1 workflows that raise trust, reduce friction, and improve operational efficiency.
 This is a high visibility role with high strategic influence across Engineering, Sales, Operations, and Account Management. You will own the strategy and execution of the roadmap for the Candidate and Client Portals.
**Responsibilities**
* Define and communicate a clear multi\-year vision for the Candidate and Client experiences aligned with company strategy and business outcomes
* Drive improvements to Candidate and Client experience gaps focusing on quality, workflow adoption, and self\-serve experiences.
* Define and build AI driven experiences across Candidate and Client portals.
* Partner with Sales and Account Management to ensure enterprise customer needs and expansion drivers are reflected in strategy and execution.
* Partner deeply with Customer Support and Operations to improve resolution paths and eliminate preventable customer contact drivers.
* Establish a culture of hypothesis\-driven discovery and experimentation, using quantitative and qualitative insights to prioritize.
* Define success metrics, instrumentation, and reporting for key journeys and initiatives; continuously learn and iterate from results.
* Ensure product delivery is predictable, measurable, and aligned to clear outcomes; raise execution standards across pods through strong product operating rhythms.
* Lead and develop Product Owners strengthening discovery, roadmap planning, customer empathy, and execution rigor.
**Qualifications**
* 8\-10 years of Product Management experience with increasing scope and complexity.
* Demonstrated experience leading multi\-product and/or multi\-pod portfolios.
* Proven people leadership experience managing PMs and/or POs, including coaching and performance development.
* Strong track record of owning end\-to\-end customer experiences, including portal/dashboard\-heavy products.
* Deep product craft in customer discover, journey mapping, prioritization, roadmap development, and delivery management.
* Strong data fluency. Ability to define metrics, interpret funnel performance, and drive outcomes through experimentation and iteration.
* Exceptional cross\-functional leadership skills, including stakeholder alignment, executive communication, and decision facilitation.
* High customer empathy and a systems thinking approach to complex workflows and dependencies.
**Preferred Qualifications**
* Experience working in a compliance\-heavy, regulated industry (e.g.: background)
* Experience building or modernizing enterprise self\-serve portals that drive adoption and reduce operational load.
* Experience partnering closely with Compliance/Legal on product requirements, risk mitigation and policy driven constraints.
**Why Join Us**
* Impact at scale: Your work will touch both enterprise customers and millions of candidates going through the hiring process.
* High Visibility: You will have the opportunity to define and execute strategy for two of our most important customer types: Clients and Candidates.
 $122,200 \- $160,000 a year
 The annual base salary for this position ranges from $122,000 \- $160,000\. Pay will vary depending on job\-related knowledge, skills, experience, and relevant education and training. This position may also be eligible for an annual performance\-based bonus, commission, or other variable pay plan. The Company also offers a full range of benefits, including medical, dental, and 401k. Your recruiter can share more details about the specific compensation package during the hiring process.
**The Accurate Way:**
 We offer a fun, fast\-paced environment, with lots of room for growth. We have an unwavering commitment to diversity, ensuring everyone has a complete sense of belonging here. To do this, we follow four guiding principles –
 **Take Ownership, Be Open, Stay Curious, Work as One** 
 – core values that dictate what we stand for, and how we behave.
**Take ownership.**
 Be accountable for your actions, your team, and the company. Accept responsibility willingly, especially when it’s what’s best for our customers. Give others every reason to trust you, believe in you, and count on you. Rise to every occasion with your personal best.
**Be open.**
 Be open to new ideas. Be inclusive of people and ways of doing things. Make yourself accessible and approachable, and communicate with genuineness, transparency, honesty, and respect. Embrace differences.
**Stay curious.**
 Stay curious even as you move forward. Tirelessly ask questions and challenge the status quo in your pursuit of new ideas, ways to solve problems, and to continually grow and improve.
**Work as one.**
 Work together to create the best customer and workplace experience. Put our customers and employees first—before individual or departmental agendas. Make sure they get the help they need to succeed.
**About Accurate Background:**
 Accurate Background’s vision is to make every hire the start of a success story. As a trusted provider of employment background screening and workforce monitoring services, Accurate Background gives companies of all sizes the confidence to make smarter, unbiased hiring decisions at the speed of demand. Experience a new standard of support with a dedicated team, comprehensive technology and insight, and the most extensive coverage and search options to advance your business while keeping your brand and people safe.
 Accurate is an equal\-opportunity employer and is committed to hiring talented and qualified individuals with diverse backgrounds. All qualified applicants will receive consideration for employment without regard to sex, gender identity, sexual orientation, race, color, religion, national origin, disability, protected veteran status, age, or any other characteristic protected by law.
 Accurate will consider for employment all qualified applicants, including those with criminal histories, in a manner consistent with the requirements of applicable state and local laws.
**Special Notice:**
 Accurate is aware of schemes involving fraudulent job postings/offers and/or individuals or entities claiming to be employees of Accurate. Those involved are offering fabricated employment opportunities to applicants, often asking for sensitive personal and financial information. If you believe you have been contacted by anyone misrepresenting themselves as an employee of Accurate, please contact \[email protected] .
* Please be advised that all legitimate correspondence from an Accurate employee will come from "@accurate.com" email accounts.
* Accurate will not interview candidates via text or email. Our interviews are conducted by recruiters and leaders via the phone, Zoom/Teams or in an in\-person format.
* Accurate will never ask candidates to make any type of personal financial investment related to gaining employment with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8">
      <c r="A138" t="inlineStr">
        <is>
          <t>li-4368884514</t>
        </is>
      </c>
      <c r="B138" t="inlineStr">
        <is>
          <t>Principal Product Manager</t>
        </is>
      </c>
      <c r="C138" t="inlineStr">
        <is>
          <t>Granicus</t>
        </is>
      </c>
      <c r="D138" t="inlineStr">
        <is>
          <t>linkedin</t>
        </is>
      </c>
      <c r="E138">
        <f>HYPERLINK("https://www.linkedin.com/jobs/view/4368884514", "https://www.linkedin.com/jobs/view/4368884514")</f>
        <v/>
      </c>
      <c r="F138" t="inlineStr"/>
      <c r="G138" t="inlineStr"/>
      <c r="H138" t="inlineStr"/>
      <c r="I138" t="inlineStr">
        <is>
          <t>**The Company**
**Serving the People Who Serve the People**
 Granicus is driven by the excitement of building, implementing, and maintaining technology that is transforming the Govtech industry by bringing governments and its constituents together. We are on a mission to support our customers with meeting the needs of their communities and implementing our technology in ways that are equitable and inclusive. Granicus has consistently appeared on the GovTech 100 list over the past 5 years and has been recognized as the best companies to work on BuiltIn.
 Over the last 25 years, we have served 5,500 federal, state, and local government agencies and more than 300 million citizen subscribers power an unmatched Subscriber Network that use our digital solutions to make the world a better place. With comprehensive cloud\-based solutions for communications, government website design, meeting and agenda management software, records management, and digital services, Granicus empowers stronger relationships between government and residents across the U.S., U.K., Australia, New Zealand, and Canada. By simplifying interactions with residents, while disseminating critical information, Granicus brings governments closer to the people they serve—driving meaningful change for communities around the globe.
 Want to know more? See more of what we do here .
**Job Summary**
 Granicus is seeking an experienced Principal Product Manager to lead the strategy and execution of our CRM product portfolio for destination marketing organizations (DMOs). This senior\-level role will drive the modernization of our flagship legacy CRM product through the successful rollout of a next\-generation platform, while ensuring continued value delivery from existing solutions. The Principal Product Manager will own the product roadmap, align business objectives with customer needs, and lead a team of two Product Managers to deliver high\-impact outcomes across multiple value streams.
**What Your Impact Will Look Like**
* Define and communicate the vision and strategy for the CRM portfolio, balancing innovation with legacy product support.
* Act as the primary owner of the product roadmap, ensuring alignment with business goals and market trends.
* Drive the successful implementation and adoption of the new CRM platform, including migration planning and customer onboarding.
* Oversee maintenance and incremental improvements for CRM products to sustain customer satisfaction and revenue.
* Lead and mentor two Product Managers, providing coaching and career development.
* Collaborate with engineering, design, marketing, and customer success teams to deliver roadmap priorities on time and within scope.
* Apply data\-driven decision\-making to prioritize trade\-offs and clarify requirements throughout the agile development lifecycle.
* Participate in PI planning, sprint ceremonies, and retrospectives to ensure alignment and execution.
* Define success metrics, monitor product performance, and communicate progress to stakeholders and executive leadership.
**You Will Love This Job If You Have**
* 5\+ years of product management experience, including leadership of complex product portfolios.
* Proven success in SaaS product strategy and execution, ideally within CRM or marketing technology domains.
* Experience managing platform transitions or large\-scale product migrations.
* Strong understanding of agile methodologies and scaled frameworks (e.g., SAFe).
* Technical fluency to engage with engineering teams on APIs, data models, and system architecture.
* Exceptional communication and stakeholder management skills.
* Ability to build business cases and make data\-driven decisions.
* Experience in tourism, destination marketing, or related industries is a plus.
* Ability to influence without authority and champion change when needed.
* Strong analytical and problem\-solving skills.
* Ability to balance strategic vision with tactical execution in a fast\-paced environment.
* Passion for customers and delivering exceptional user experiences.
* Ability to build strong working relationships across all levels of the organization and with distributed teams.
**Pay Range**
 USD $129,000\.00 \- USD $145,000\.00 /Yr.
**About Us**
 Don’t have all the skills/experience mentioned above? At Granicus, we are trying to build diverse, inclusive teams. We do not have degree requirements for most of our roles. If you don’t meet every requirement above but are excited to learn more, we encourage you to apply. We might just be able to find another role that could be a perfect fit!
**Security And Privacy Requirements**
* Responsible for Granicus information security by appropriately preserving the Confidentiality, Integrity, and Availability (CIA) of Granicus information assets in accordance with the company's information security program.
* Responsible for ensuring the data privacy of our employees and customers, their data, as well as taking all required privacy training in a timely manner, in accordance with company policies.
**The Team**
* We are a remote\-first company with a globally distributed workforce across the United States, Canada, United Kingdom, India, Armenia, Australia, and New Zealand.
**The Culture**
* At Granicus, we are building a transparent, inclusive, and safe space for everyone who wants to be a part of our journey.
* A few culture highlights include – Employee Resource Groups to encourage diverse voices
* Coffee with Mark sessions – Our employees get to interact with our CEO on very important and sometimes difficult issues ranging from mental health to work\-life balance and current affairs.
* Microsoft Teams communities focused on wellness, art, furbabies, family, parenting, and more.
* We bring in special guests from time to time to discuss issues that impact our employee population
**The Impact**
* We are proud to serve dynamic organizations around the globe that use our digital solutions to make the world a better place — quite literally. We have so many powerful success stories that illustrate how our solutions are impacting the world. See more of our impact here .
**The Benefits**
 At Granicus, we offer a
 **comprehensive and flexible benefits package** 
 designed to support your well\-being, growth, and work\-life balance—starting from day one.
 Here’s what you can expect as a U.S.\-based team member:
**Flexibility \&amp; Balance**
* Flexible Time Off – Take the time you need to rest, recharge, and live your life.
* Company\-Wide Wellbeing Days – Paid days off to unplug and focus on your mental health.
* Work From Home Reimbursement – Support a productive home office environment.
**Health \&amp; Wellness**
* Multiple Health Plan Options – Including a 100% employer\-paid plan.
* Employer HSA Contributions – When enrolled in a High\-Deductible Health Plan.
* Fitness Reimbursement Program – Stay active, your way.
* On\-Demand Mental Health Support – Access to Headspace and other wellness tools.
**Family \&amp; Future**
* Paid Parental Leave – For both birthing and non\-birthing parents.
* Traditional \&amp; Roth 401(k) – With a generous company match.
* Life \&amp; AD\&amp;D Insurance – 100% employer\-paid coverage for peace of mind.
**Growth \&amp; Recognition**
* Online Learning Platforms – Fuel your professional development.
* Competitive Salary \&amp; Bonuses – Your contributions are valued and rewarded.
**Equal Opportunity Employer**
 Granicus is committed to providing equal employment opportunities. All qualified applicants and employees will be considered for employment and advancement without regard to race, color, religion, creed, national origin, ancestry, sex, gender, gender identity, gender expression, physical or mental disability, age, genetic information, sexual or affectional orientation, marital status, status with regard to public assistance, familial status, military or veteran status or any other status protected by applicable law.</t>
        </is>
      </c>
    </row>
    <row r="139">
      <c r="A139" t="inlineStr">
        <is>
          <t>li-4329081284</t>
        </is>
      </c>
      <c r="B139" t="inlineStr">
        <is>
          <t>Sr. Product Manager, Advertiser Experience</t>
        </is>
      </c>
      <c r="C139" t="inlineStr">
        <is>
          <t>Pinterest</t>
        </is>
      </c>
      <c r="D139" t="inlineStr">
        <is>
          <t>linkedin</t>
        </is>
      </c>
      <c r="E139">
        <f>HYPERLINK("https://www.linkedin.com/jobs/view/4329081284", "https://www.linkedin.com/jobs/view/4329081284")</f>
        <v/>
      </c>
      <c r="F139" t="inlineStr"/>
      <c r="G139" t="inlineStr"/>
      <c r="H139" t="inlineStr"/>
      <c r="I13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*This role sits at the intersection of advertiser experience and ad creative, owning the tools and workflows that help advertisers create, manage, and optimize the right ad for the right Pinner at scale. You’ll shape how creative assets are uploaded, organized, and activated across campaigns, including new AI‑powered and automated solutions. Your work will directly impact how efficiently advertisers of all sizes can create on‑brand, high‑performing campaigns, and will be a key driver of Pinterest Ads revenue growth.*
**What You’ll Do**
* Own and evolve core surfaces in Ads Manager, where advertisers of all sizes plan, buy, optimize, and measure their campaigns.
* Build end‑to‑end solutions that help advertisers upload, manage, and promote ad creatives, including creative libraries, templates, and creative automation tools.
* Partner closely with engineering, design, data science, marketing, sales, and operations to define, align on, and ship improvements for both self‑serve and managed advertisers, across global markets.
* Deeply understand advertiser and agency workflows through research, data, and customer conversations; translate those insights into clear product requirements and roadmaps.
* Explore and ship AI‑powered and automated creative solutions that help advertisers scale high‑quality Pinterest‑native creative.
**What We’re Looking For**
* Experience with digital advertising and performance marketing: You understand performance ads concepts (e.g., optimization goals, bidding, attribution, creative testing) and how creative impacts performance.
* Strong product discovery skills: You’re comfortable talking to customers, mapping workflows, validating problems, and translating insights into clear product strategies and roadmaps.
* Proven success leading cross‑functional teams: You’ve driven alignment and shipped products with engineering, design, marketing, sales, and operations partners in a fast‑paced environment.
* Comfort with ambiguity and a bias for action: You can bring clarity to ambiguous problem spaces and move quickly while keeping stakeholders informed.
* Excellent communication of complex topics: You can explain technical concepts and tradeoffs to non‑technical audiences and drive clear decisions.
* Bachelor’s degree in a relevant field such as Computer Science, or equivalent experience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$139,764—$287,749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40">
      <c r="A140" t="inlineStr">
        <is>
          <t>li-4368888834</t>
        </is>
      </c>
      <c r="B140" t="inlineStr">
        <is>
          <t>Principal Product Manager, Crypto</t>
        </is>
      </c>
      <c r="C140" t="inlineStr">
        <is>
          <t>SoFi</t>
        </is>
      </c>
      <c r="D140" t="inlineStr">
        <is>
          <t>linkedin</t>
        </is>
      </c>
      <c r="E140">
        <f>HYPERLINK("https://www.linkedin.com/jobs/view/4368888834", "https://www.linkedin.com/jobs/view/4368888834")</f>
        <v/>
      </c>
      <c r="F140" t="inlineStr"/>
      <c r="G140" t="inlineStr">
        <is>
          <t>San Francisco, CA</t>
        </is>
      </c>
      <c r="H140" t="inlineStr"/>
      <c r="I14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**About The Role**
 We’re hiring a Principal Product Manager to lead the strategy, execution, and evolution of our stablecoin and crypto platform products.
 In this role, you will own the systems that power issuance, custody, movement, and settlement of regulated, asset\-backed digital currencies. You’ll be responsible for defining and executing SoFi's stablecoin strategy across both blockchain and traditional financial rails, with a strong focus on accuracy, resilience, and regulatory alignment.
 This is a senior individual contributor role for a product leader who thrives at the intersection of financial infrastructure, distributed systems, and regulatory requirements. You will work deeply with engineering to shape architecture and long\-term technical investments, while partnering closely with compliance, legal, risk, and security to ensure our stablecoin capabilities meet the highest standards of safety, transparency, and control.
**Responsibilities**
**Stablecoin product experience is required.**
* Own the product vision, roadmap, and execution for stablecoin issuance and lifecycle management, including minting, burning, redemption, and supply governance.
* Define and deliver on\-chain and off\-chain settlement systems that enable reliable, high\-throughput movement of digital dollars across blockchain and traditional financial rails.
* Partner closely with engineering to drive core architectural decisions and guide long\-term infrastructure investments.
* Engage with risk, compliance, and security teams to align platform capabilities with regulatory requirements (e.g., KYC/AML, travel rule).
* Collaborate with internal crypto product teams to ensure platform solutions unlock new product opportunities.
* Design funds\-flow controls, transaction limits, and circuit breakers to support safe operation under normal and stressed conditions.
* Define success metrics and rigorously measure performance, efficiency, and system health.
* Lead complex build\-vs\-buy evaluations, including vendor assessments for custody and blockchain infrastructure.
* Stay current with emerging crypto technologies, protocols, custody models, and regulatory changes that may impact platform strategy.
**Minimum Qualifications**
* 10\+ years of product management experience, with significant ownership of complex financial or infrastructure products operating at scale.
* Proven track record launching, or operating stablecoins or asset\-backed digital currencies, including hands\-on involvement in issuance, redemption, or on\-chain value transfer.
* Strong technical fluency across distributed systems, APIs, and blockchain\-based transaction flows, with the ability to engage deeply in architecture and design discussions with engineering.
* Experience defining and managing mint/burn controls, funds\-flow rules, transaction limits, and operational safeguards for digital money products.
* Experience partnering with engineering to navigate architecture decisions and technical trade\-offs.
* Demonstrated ability to balance long\-term platform investments with near\-term delivery needs.
* Strong cross\-functional collaboration skills, particularly with engineering, security, compliance, legal, and analytics.
* Strong judgment balancing regulatory rigor, system reliability, and product velocity in ambiguous and high\-stakes environments.
* Excellent written and verbal communication skills, with the ability to simplify technical complexity for diverse stakeholders.
**Preferred Qualifications**
* Relevant experience around launching/operating a Stablecoin, 3rd party integrations with custodians, liquidity providers, trade aggregators, knowledge of both retail and institutional trading, knowledge of secured lending.
* Experience with crypto infrastructure products such as custody, wallets, or blockchain nodes.
* Familiarity with crypto\-specific regulatory frameworks (KYC/AML, custody rules, travel rule).
* Background working in fintech, payments infrastructure, or digital asset companies.
* Passionate about leveraging crypto and DeFi technologies to modernize and expand the capabilities of traditional finance.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41">
      <c r="A141" t="inlineStr">
        <is>
          <t>li-4361285895</t>
        </is>
      </c>
      <c r="B141" t="inlineStr">
        <is>
          <t>Product Manager</t>
        </is>
      </c>
      <c r="C141" t="inlineStr">
        <is>
          <t>OneSource Virtual</t>
        </is>
      </c>
      <c r="D141" t="inlineStr">
        <is>
          <t>linkedin</t>
        </is>
      </c>
      <c r="E141">
        <f>HYPERLINK("https://www.linkedin.com/jobs/view/4361285895", "https://www.linkedin.com/jobs/view/4361285895")</f>
        <v/>
      </c>
      <c r="F141" t="inlineStr"/>
      <c r="G141" t="inlineStr"/>
      <c r="H141" t="inlineStr"/>
      <c r="I141" t="inlineStr">
        <is>
          <t>OneSource Virtual (OSV) has helped more than 1,000 Workday customers take their teams from transactional to transformational with innovative technology and services for HR, payroll, and finance. Founded in 2008, OSV is the leading exclusive provider of Business\-Process\-as\-a\-Service (BPaaS) solutions for Workday, delivering services with unparalleled choice, unwavering commitment, and uncompromising support. OneSource Virtual’s global headquarters is located in Dallas, Texas, with additional locations across North America and Europe. Find your company’s solution at www.onesourcevirtual.com.
**Job Description Summary**
 The Product Manager is responsible for assessing, evaluating, coordinating, and integrating the various stages of the product lifecycle, from conceptualization through execution. This role serves as a central hub, aligning the product’s development with strategic inputs from across the organization and ensuring that all functional contributions cohere into a comprehensive product strategy. The Product Manager will collaborate closely with cross\-functional teams, including technical, marketing, sales, and external partners, to deliver outstanding customer\-centric products and services.
**Essential Functions/Duties/Responsibilities**
* Facilitate the development and definition of the product strategy and roadmap.
* Collect, analyze, make recommendations, prioritize, and address product and customer needs that align with organizational goals.
* Collaborate with engineering, sales, and marketing teams to ensure successful product launches and market adoption.
* Coordinate competitive analysis and market research to inform product decisions.
* Drive product innovation and manage the lifecycle from inception to phase\-out.
* Oversee product\-related deliverables, which may include PRDs, metrics, budgets, forecasts, pricing, and performance measures.
* Facilitate, understand, influence, manage expectations, and build relationships with cross\-functional teams and partner collaborations to achieve product objectives.
* Other duties as assigned.
 Competencies
* Communicates Effectively: Demonstrates the ability to convey information clearly and make compelling points to ensure understanding across diverse audiences.
* Collaborates: Works cooperatively with others across the organization to achieve shared objectives.
* Manages Complexity: Makes sense of complex, high quantity, and sometimes contradictory information to effectively solve problems.
* Situational Adaptability: Adapts approach and demeanor in real\-time to match the shifting demands of different situations.
* Action Oriented: Takes on new opportunities and tough challenges with a sense of urgency, high energy, and enthusiasm.
* Plans and Aligns: Plans and prioritizes work to meet commitments aligned with organizational goals.
* Resourceful: Secures and deploys resources effectively and efficiently.
* Business Insight: Applies knowledge of business and the marketplace to advance the organization's goals.
* Balances Stakeholders: Anticipates and balances the needs of multiple stakeholders.
* Customer Focus: Builds strong customer relationships and delivers customer\-centric solutions.
 Supervisory Responsibility
* This role does not have any supervisory responsibilities.
**Qualifications And Experience**
* Bachelor’s degree or equivalent required.
* Minimum of 3\-5 years of experience in product management, preferably in a related industry.
* Proven track record of managing all aspects of a successful product throughout its lifecycle.
* Strong problem\-solving skills and willingness to roll up one’s sleeves to get the job.
* Excellent written and verbal communication skills.
* Proven ability to develop product strategies and effectively communicate recommendations to executive management.
**Preferred Skills**
* Experience with Human Resource Information Systems (HRIS) and Finance \&amp; Accounting Systems, preferably Workday.
* Working knowledge of both relational and non\-relational databases.
* Familiarity with Agile and Scrum methodologies.
* Strong analytical and quantitative skills, including the ability to use data and metrics to support decisions and develop business cases.
* Understanding of cloud computing, SaaS models, and software development lifecycle (SDLC).
* Ability to manage multiple priorities in a fast\-paced environment.
* Excellent organizational skills with attention to detail.
* Ability to thrive in a collaborative and team\-oriented setting.
 You are encouraged to learn and share ideas when you join the OneSource Virtual team. We reward innovative thinking, fresh perspectives, creative collaboration, and hard work. As an organization experiencing routine strategic growth, we are always on the lookout for intelligent, talented, and forward\-thinking professionals to join our team. OSV employees enjoy a values\-based culture, upward mobility, and professional development with opportunities of all kinds.</t>
        </is>
      </c>
    </row>
    <row r="142">
      <c r="A142" t="inlineStr">
        <is>
          <t>li-4357734704</t>
        </is>
      </c>
      <c r="B142" t="inlineStr">
        <is>
          <t>Product Manager - Android</t>
        </is>
      </c>
      <c r="C142" t="inlineStr">
        <is>
          <t>Bose Corporation</t>
        </is>
      </c>
      <c r="D142" t="inlineStr">
        <is>
          <t>linkedin</t>
        </is>
      </c>
      <c r="E142">
        <f>HYPERLINK("https://www.linkedin.com/jobs/view/4357734704", "https://www.linkedin.com/jobs/view/4357734704")</f>
        <v/>
      </c>
      <c r="F142">
        <f>HYPERLINK("https://boseallaboutme.wd503.myworkdayjobs.com/Bose_Careers/job/US-MA\u002d\u002d-Framingham/Product-Manager\u002d\u002d-Android_R28635?source=LinkedIn&amp;urlHash=swxf", "https://boseallaboutme.wd503.myworkdayjobs.com/Bose_Careers/job/US-MA\u002d\u002d-Framingham/Product-Manager\u002d\u002d-Android_R28635?source=LinkedIn&amp;urlHash=swxf")</f>
        <v/>
      </c>
      <c r="G142" t="inlineStr">
        <is>
          <t>Framingham, MA</t>
        </is>
      </c>
      <c r="H142" t="inlineStr"/>
      <c r="I142"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**Software Product Manager – Android**
**About Bose \&amp; The Audio Technology Team**
 For over 60 years, Bose has been a leader in delivering premium audio experiences, setting the benchmark for performance, elegance, and simplicity. Bose’s Technology Licensing team plays a pivotal role in expanding that legacy, transforming proprietary innovations into market\-ready software and technology solutions that power products across the consumer electronics, automotive, and wearables industries.
 We focus on shipping real software platforms that integrate cleanly into modern Android 16, 17 and beyond, scale across partners, and represent Bose’s technical credibility in system audio, spatial processing, and acoustic tuning.
**About The Role**
 We are seeking a Software Product Manager to lead the Android platform software team and own Bose’s Android audio platform. This role delivers spatial audio processing, acoustic tuning algorithms, elegant system\-level UX, and orchestrated multi\-device audio experiences across Android phones, wearables, and connected devices.
 The role operates at the intersection of current Android platform capabilities, advanced audio systems, and long\-term business strategy, serving multiple stakeholders including Android OEMs, internal and external tuning engineers, and licensing leadership.
 This is a hands\-on, platform leadership role, not a feature PM position.
**Key Responsibilities**
**Product Leadership \&amp; Execution**
* Lead the Android platform software team as Product Owner for a persistent Agile team.
* Own roadmap, backlog prioritization, and delivery sequencing across Android platform milestones.
* Define core platform capabilities versus OEM\-specific extensions, ensuring scalability across partners.
* Ensure foundational audio pipeline bring\-up precedes optimization, spatial feature layering, and UX refinement.
**Android Platform Ownership**
* Own integration into Android system audio, including AudioFlinger, audio effects frameworks, and Audio HAL using AIDL\-based interfaces.
* Manage Android version dependencies across AOSP, OEM forks, and Android CDD requirements.
* Guide architectural decisions across ARM processing, Qualcomm Hexagon DSP, and MediaTek audio DSP targets.
* Understand trade\-offs between framework changes, vendor hooks, and application\-layer solutions in modern Android.
**Spatial Processing \&amp; Acoustic Tuning**
* Own product definition for spatial audio, binaural rendering, HRTFs, and device\-specific acoustic tuning algorithms.
* Support internal and external tuning engineers with clear configuration surfaces, constraints, and validation expectations.
* Reason end\-to\-end about latency budgets, buffering, synchronization, clock drift, and power consumption.
* Ensure system\-level audio UX remains coherent across use cases including media, voice, and immersive playback.
**Connectivity, Sensors \&amp; Experience Orchestration**
* Understand Bluetooth audio pipelines, including LE Audio, LC3, Auracast, and Fast Pair.
* Coordinate with embedded and wearable teams on head tracking, IMU ingestion, and sensor fusion paths.
* Ensure platform decisions enable orchestrated, cross\-device audio experiences rather than isolated features.
**Stakeholder \&amp; Strategy Alignment**
* Balance requirements from Android OEM partners, tuning teams, and long\-term platform and licensing strategy.
* Define clear ownership boundaries between Bose software, OEM platform changes, and third\-party components.
* Ensure platform investments support future ecosystem expansion and repeatable software licensing.
**Required Experience**
**Must\-Have**
* 8\+ years in software product management or technical product leadership.
* Experience leading system\-level or platform software teams.
* Strong working knowledge of Android platform internals, especially modern Android audio.
* Proven ability to ship software tied to hardware, firmware, and OS integration.
* Technical credibility with Android framework, DSP, embedded, and Bluetooth engineers.
**Preferred**
* Experience with spatial audio, real\-time signal processing, or acoustic tuning systems.
* Familiarity with Qualcomm and MediaTek Android audio stacks.
* Experience with Android OEM integration, AOSP\-based development, or platform licensing models.
**Why Join Us?**
* Work on cutting\-edge technologies that power next\-generation experiences in consumer electronics.
* Collaborate with leading engineers, business leaders, and SoC vendors to bring Bose innovations to market.
* Be part of a startup\-like environment within a globally recognized brand.
* Gain exposure to spatial audio, AI\-driven voice enhancement, immersive sound, and IoT in a fast\-evolving industry.
 If you are passionate about shaping the future of audio and thrive in a technical, business\-driven product management role, we’d love to hear from you!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$150,600\-$207,150\.The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143">
      <c r="A143" t="inlineStr">
        <is>
          <t>li-4368284016</t>
        </is>
      </c>
      <c r="B143" t="inlineStr">
        <is>
          <t>Senior Product Manager, Virtual Private Cloud</t>
        </is>
      </c>
      <c r="C143" t="inlineStr">
        <is>
          <t>Google</t>
        </is>
      </c>
      <c r="D143" t="inlineStr">
        <is>
          <t>linkedin</t>
        </is>
      </c>
      <c r="E143">
        <f>HYPERLINK("https://www.linkedin.com/jobs/view/4368284016", "https://www.linkedin.com/jobs/view/4368284016")</f>
        <v/>
      </c>
      <c r="F143">
        <f>HYPERLINK("https://careers.google.com/jobs/results/97355488772924102-senior-product-manager/?src=Online/LinkedIn/linkedin_us&amp;utm_source=linkedin&amp;utm_medium=jobposting&amp;utm_campaign=contract&amp;urlHash=g8dr", "https://careers.google.com/jobs/results/97355488772924102-senior-product-manager/?src=Online/LinkedIn/linkedin_us&amp;utm_source=linkedin&amp;utm_medium=jobposting&amp;utm_campaign=contract&amp;urlHash=g8dr")</f>
        <v/>
      </c>
      <c r="G143" t="inlineStr">
        <is>
          <t>Sunnyvale, CA</t>
        </is>
      </c>
      <c r="H143" t="inlineStr"/>
      <c r="I143" t="inlineStr">
        <is>
          <t>**Minimum qualifications:**
* Bachelor's degree or equivalent practical experience.
* 8 years of experience in product management or a related technical role.
* 3 years of experience taking technical products from conception to launch (e.g., ideation to execution, end\-to\-end, 0 to 1, etc.).
* Experience with networking, network architecture, networking protocols, and software architecture.
**Preferred qualifications:**
* 10 years of experience with product management, with a focus on cloud networking.
* 3 years of experience in software development or engineering.
* Understanding of AI/ML technologies, including: CPU/GPU roadmap, TPU roadmap and offering, CUJs, Smart NICs market landscape and Neo Clouds.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millions of employees and organizations empower their employees, serve their customers, and build what’s next for their business — all with technology built in the cloud.
 As large enterprises and AI/ML training customers look to Google Cloud Platform (GCP) for deploying their business critical workloads, Virtual Private Cloud (VPC) becomes the fundamental construct that they interact with and build on. With this, our mission is to provide the world's most reliable, performant, and feature\-rich network connectivity, empowering innovation on Google Cloud Platform. In this role, you will work cross\-functionally to influence strategy and road map and deliver products from conception to launch.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Advocate Private Service Connect (PSC) as the default private connectivity on Google Cloud. Own the road map to resolve critical limitations for adoption (e.g., RDMA, security, automation). Simplify Agentic AI connectivity.
* Drive product strategy for AI/ML on Virtual Private Cloud (VPC). Evolve core VPC with new hardware (e.g., Andromeda, Bare Metal), partnering to deliver performance, and cost.
* Lead cross\-functional planning and deliver priorities across teams. Engage with customers to resolve blockers, manage escalations, and translate feedback to unblock business agreements.
* Lead Go\-to\-Market and new business generation strategies to accelerate adoption. Develop external messaging and content (e.g., blog posts) communicating the value of high\-performance and private connectivity.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4">
      <c r="A144" t="inlineStr">
        <is>
          <t>li-4372034133</t>
        </is>
      </c>
      <c r="B144" t="inlineStr">
        <is>
          <t>Product Manager, Data Products &amp; Analytics</t>
        </is>
      </c>
      <c r="C144" t="inlineStr">
        <is>
          <t>Acuity</t>
        </is>
      </c>
      <c r="D144" t="inlineStr">
        <is>
          <t>linkedin</t>
        </is>
      </c>
      <c r="E144">
        <f>HYPERLINK("https://www.linkedin.com/jobs/view/4372034133", "https://www.linkedin.com/jobs/view/4372034133")</f>
        <v/>
      </c>
      <c r="F144">
        <f>HYPERLINK("https://careers.acuityinc.com/job/Atlanta-Product-Manager%2C-Data-Products-&amp;-Analytics-GA-30309/1364726800/?utm_source=LINKEDIN&amp;utm_medium=referrer&amp;urlHash=PK19", "https://careers.acuityinc.com/job/Atlanta-Product-Manager%2C-Data-Products-&amp;-Analytics-GA-30309/1364726800/?utm_source=LINKEDIN&amp;utm_medium=referrer&amp;urlHash=PK19")</f>
        <v/>
      </c>
      <c r="G144" t="inlineStr">
        <is>
          <t>Atlanta, GA</t>
        </is>
      </c>
      <c r="H144" t="inlineStr"/>
      <c r="I144" t="inlineStr">
        <is>
          <t>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
 Work location:
* This position may be based anywhere in the United States and includes travel as part of the responsibilities.
**Job Summary**
 We’re seeking a strategic, hands\-on Product Manager for Data Products in AYI Tech, with a primary focus on Planning and Supply Chain Analytics. You’ll develop and execute the Data Products roadmap, delivering new analytics and ML/AI capabilities that enable proactive, forward‑looking decisions and improve business outcomes. You’ll balance immediate needs with long‑term vision, partnering with a diverse set of stakeholders to shape how data drives action across a leading industrial technology company.
****Key Responsibilities****
* Drive Product Roadmap Development: Define the evolution of new Data Products, analytics, and ML/AI capabilities that leverage historical and forward\-looking planning data to derive insights and support decision\-making. Articulate what’s feasible, impactful, and logical, sequencing features that align with stakeholder needs and enterprise priorities.
* Take Ownership of Planning Data Products: Maintain and continuously enhance a suite of existing, widely used Planning reports, ensuring responsiveness and continuity.
* Influence Stakeholders and Shape Demand: Engage with Planners, Sourcing Managers, Sales and Product Leads, and Finance Executives. Translate the high\-level needs of this diverse set of stakeholders into concrete, scalable data solutions, and align competing asks to the roadmap and enterprise priorities.
* Define and Validate Metrics: Ensure accuracy, trust, and usefulness in every measure. Define and implement KPIs that align with and enhance our organization’s Planning maturity and guide users to take timely actions when performance deviates from plan.
* Represent Analytics in Business Forums: Participate in Quarterly Business Reviews and Steering Committees to share roadmaps, align on priorities, and establish Planning Analytics as a critical enterprise capability.
**Minimum Requirements**
* B.Sc. in Business, Engineering, Information Systems, Computer Science, or related discipline (or equivalent practical experience).
* 3\+ years of experience in Product Management, Industrial Engineering, Systems Engineering, Operations Consulting, or structured problem solving in the context of technology and IT systems.
* Familiar with end\-2\-end Planning and/or ERP solutions (e.g., Blue Yonder, Kinaxis, o9 Solutions, SAP, Palantir, Oracle).
* Demonstrated track record of leveraging business intelligence data and/or usage data to prioritize the implementation of new functionality and guide day\-to\-day product execution.
* Proven ability to identify, document, and articulate user needs and define the associated user experience.
* Excellent interpersonal skills with an ability to work well with highly cross\-functional teams
* Intellectually curious with a data\-driven mindset; experience shipping and iterating new product functionality based on data.
* Strong communication skills in both written and verbal forms.
* Available to travel based on business needs (1 – 20%).
**Preferred Requirements**
* M.Sc. in Computer Science, Information Systems, or related discipline.
* Experience with IBP processes and/or Planning platforms (e.g., o9 Solutions, Anaplan, SAP IBP).
* Exposure to sourcing or supply management analytics.
* Familiarity with Azure Data Lake and/or Databricks environments.
* Familiarity AI/ML capabilities.
* Background in B2B, supply chain, or manufacturing\-heavy organizations.
* Product management training or certification (e.g., Pragmatic, CSPO, Reforge).
**The range for this position is $93,000\.00 to $167,400\.00\. Placement within this range may vary, depending on the applicant’s experience and geographic location. Acuity offers generous benefits including health care, dental coverage, vision plans, 401K benefits, and commissions/incentive compensation depending on the role. For a list of our benefits, click here .**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Please click here and here for more information.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an accommodation, you may contact us at (770\) 922\-9000, select option 4\.  Please clearly indicate what type of accommodation you are requesting and for what requisition .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t>
        </is>
      </c>
    </row>
    <row r="145">
      <c r="A145" t="inlineStr">
        <is>
          <t>li-4368690729</t>
        </is>
      </c>
      <c r="B145" t="inlineStr">
        <is>
          <t>Senior Product Manager (Creative Intelligence)</t>
        </is>
      </c>
      <c r="C145" t="inlineStr">
        <is>
          <t>Smartly</t>
        </is>
      </c>
      <c r="D145" t="inlineStr">
        <is>
          <t>linkedin</t>
        </is>
      </c>
      <c r="E145">
        <f>HYPERLINK("https://www.linkedin.com/jobs/view/4368690729", "https://www.linkedin.com/jobs/view/4368690729")</f>
        <v/>
      </c>
      <c r="F145" t="inlineStr"/>
      <c r="G145" t="inlineStr">
        <is>
          <t>New York, United States</t>
        </is>
      </c>
      <c r="H145" t="inlineStr"/>
      <c r="I145" t="inlineStr">
        <is>
          <t>Are you passionate about leading innovative product development in the dynamic world of digital advertising and creative?
 **Join our esteemed Product Management team as a Senior Product Manager** 
 and drive the evolution of our
 **Creative Intelligence** 
 for digital advertisement!
****About the Team:****
 At Smartly, we empower our clients with cutting\-edge solutions for digital advertising across various social media channels. As part of our Creative Product team, you will play a pivotal role in revolutionizing how businesses strategize, execute, scale, and optimize their advertising efforts around Creative through our Smartly Advertising Platform. Your contributions will directly impact our client's ability to save time and maximize returns on their advertising investments by providing a seamless cross\-channel experience with excellent Creative at scale.
 As a Senior Product Manager, you will spearhead the development of our creative\-centric tooling within our platform. Your role involves shaping the vision and execution of Smartly Creative’s Creative Reporting encompassing Creative Element Level Reporting across our platforms, Creative Predictive Potential and Creative Insights ensuring we have solid and winning roadmap for these topics for 2026 and beyond; In this role, you will collaborate with the Creative PM team aligning with the owners of the tools such as Producer, Editor and External templates and the fully integrated DSPs we have. In addition, liaising with the broader PM team owning the social platforms supported by Smartly Media.
****As a Senior Product Manager, you will:****
* Gain deep customer insights to define product priorities and problems to solve
* Lead product discovery activities, including user research and prototype testing
* Collaborate with cross\-functional teams to craft product vision and roadmap
* Own the product roadmap\+backlog and prioritize feature development
* Develop go\-to\-market strategies to drive product adoption and demand
* Conduct client workshops and presentations to showcase product capabilities
* Manage stakeholder relationships and ensure alignment of strategy and execution
****What we're looking for:****
* 5\+ years of product management experience, preferably in B2B SaaS
* Working experience in the DSP ad ecosystem and ad\-serving technologies including signal and targeting strategies.
* Proven track record of leading high\-impact projects and driving user or revenue growth
* Strong leadership skills with experience in cross\-functional collaboration
* Expertise in launching successful software products and features
* Background in technologically complex domains, such as digital advertising
* Proficiency in data analysis and handling large datasets
* Bachelor's or Master's degree in Marketing or related fields
* Ability to work and willingness to work from the New York office at least 3 days per week
* Excellent English and willingness plus ability to travel internationally to meet internal teams and partners
**What We Offer You...**
* Five weeks paid time off (PTO), 11 company paid holidays, unlimited sick days
* Generous healthcare packages \&amp; mental health benefits
* 401K plus matching \&amp; equity grants for all new Smartlies
* Wellness benefit \&amp; learning reimbursement opportunities
* Volunteer time off days \&amp; company donation matching opportunities
* And so much more…
 Smartly is committed to being the best place to work for growth\-minded individuals to thrive \- explore more in our Culture Handbook!
 The base pay range for this position is as mentioned below per year, plus an annual performance bonus. We take into consideration an individual’s background, expertise, and experience in determining final salary. In addition to annual salary, Smartly’s total rewards provide employees with stock options, medical/dental/vision insurances, retirement savings benefits, parental leave, 5 weeks vacation, unlimited sick days, life insurance, and disability benefits. This information is provided in accordance with applicable law. Base pay information is based on market location.
 Salary (base) in USD: $150,000 to $189,000 USD.
****About Smartly****
 Smartly is the AI\-powered advertising technology company transforming ad experiences for brands and their consumers. Our comprehensive advertising platform seamlessly integrates the capabilities of media, creative, and intelligence to power more than 800 billion impressions and generate more than 300 billion creatives annually, delivering tangible business outcomes for brands and advertisers.
 Smartly is the only company in the industry recognized as a Leader in The Forrester Wave: Creative Advertising Technologies with PwC validating the results it delivers for brands. We manage creative and media for 700\+ brands worldwide and $6B in ad spend across the largest media platforms, including Facebook, Google, Instagram, Pinterest, Snap, and TikTok. Our end\-to\-end technology, unmatched access to media platforms and exceptional customer service help Fortune 500 brands to reach and engage consumers and learn what performs best.Smartly is a multinational and diverse team of 750\+ Smartlies from 60\+ nationalities, working in 13 countries. Together, we want to create and maintain an inclusive environment where everyone feels respected and heard. Our Diversity, Equity \&amp; Inclusion approach is at the heart of it.
 Visit Smartly to learn more.
 The processing of your information is described in our Candidate Privacy Notice.</t>
        </is>
      </c>
    </row>
    <row r="146">
      <c r="A146" t="inlineStr">
        <is>
          <t>li-4328940671</t>
        </is>
      </c>
      <c r="B146" t="inlineStr">
        <is>
          <t>Senior Product Manager, Partner Experience</t>
        </is>
      </c>
      <c r="C146" t="inlineStr">
        <is>
          <t>Xometry</t>
        </is>
      </c>
      <c r="D146" t="inlineStr">
        <is>
          <t>linkedin</t>
        </is>
      </c>
      <c r="E146">
        <f>HYPERLINK("https://www.linkedin.com/jobs/view/4328940671", "https://www.linkedin.com/jobs/view/4328940671")</f>
        <v/>
      </c>
      <c r="F146" t="inlineStr"/>
      <c r="G146" t="inlineStr">
        <is>
          <t>North Bethesda, MD</t>
        </is>
      </c>
      <c r="H146" t="inlineStr"/>
      <c r="I146"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Product Manager** 
 to lead the development of our
 **Partner Experience products.** 
 In this role, you’ll focus on creating seamless and rewarding experiences for manufacturers in the Xometry network — from onboarding and quoting to fulfillment, ratings, and re\-engagement. Your work will be essential to making partnerships with Xometry frictionless, driving long\-term success and satisfaction across our supplier ecosystem.
**Responsibilities:**
* Own and execute the roadmap for specific areas of the partner journey such as quoting tools, onboarding workflows, fulfillment guidance, or partner performance insights.
* Collaborate closely with engineers, designers, and the partner operations team to launch impactful improvements.
* Analyze performance metrics like order acceptance rates, fulfillment speed, and partner satisfaction to identify opportunities.
* Gather feedback directly from partners to inform product decisions and prioritize enhancements.
* Ensure feature adoption through thoughtful rollout strategies, in\-app education, and partner communications.
* Partner with other PMs and business units to align roadmap and dependencies.
**Qualifications:**
* 5\+ years of product management experience, preferably in marketplaces, supply chain, or logistics tooling.
* Demonstrated success shipping features in complex operational or B2B environments.
* Analytical mindset and ability to interpret data to guide decisions.
* Strong communication skills and stakeholder alignment abilities.
 The estimated base salary range for new hires into this role is $135,000\- $175,000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147">
      <c r="A147" t="inlineStr">
        <is>
          <t>li-4354943076</t>
        </is>
      </c>
      <c r="B147" t="inlineStr">
        <is>
          <t>Senior Product Manager, Payments</t>
        </is>
      </c>
      <c r="C147" t="inlineStr">
        <is>
          <t>myGwork - LGBTQ+ Business Community</t>
        </is>
      </c>
      <c r="D147" t="inlineStr">
        <is>
          <t>linkedin</t>
        </is>
      </c>
      <c r="E147">
        <f>HYPERLINK("https://www.linkedin.com/jobs/view/4354943076", "https://www.linkedin.com/jobs/view/4354943076")</f>
        <v/>
      </c>
      <c r="F147" t="inlineStr"/>
      <c r="G147" t="inlineStr"/>
      <c r="H147" t="inlineStr"/>
      <c r="I147" t="inlineStr">
        <is>
          <t>**This job is with Automattic, an inclusive employer and a member of myGwork – the largest global platform for the LGBTQ\+ business community. Please do not contact the recruiter directly.** 
**The role**
 We’re hiring a senior, hands\-on Product Manager to join WooCommerce Payments and take ownership of a defined area within our payments products and partner integrations.
 You’ll collaborate closely with the Head of Product, and work day\-to\-day with engineering, design, support, and partnerships. This role is deeply executional. You’ll spend much of your time in the work: in Linear writing and refining issues, triaging bugs and incidents, reviewing and shaping flows in Figma, creating lightweight prototypes, and writing briefs or PRDs when they’re needed.
 Payments at WooCommerce run at a serious scale—billions in total payment volume—and the quality of this experience directly affects merchant revenue, shopper conversion, and the success of Woo’s commercial engine. This role sits right where reliability, trust, and execution matter most.
**What You’ll Work On**
* Own product direction and execution for a key part of the payments product area, with clear goals, priorities, and measurable outcomes.
* Improve merchant and shopper experiences across onboarding, checkout, refunds and disputes, payouts, reporting, and overall reliability.
* Raise the quality bar by reducing failures and friction, lowering support volume, and improving product ratings and merchant trust.
* Use data, support signals, and merchant feedback to decide what to work on next, define success measures, and make tradeoffs explicit.
* Work closely with priority payments partners (including Stripe and PayPal) to improve integrations, ship changes, manage dependencies, and resolve issues.
* Keep stakeholders aligned through clear, direct writing and communication about progress, risks, and decisions.
**What we’re looking for**
* 7\+ years in product roles, with senior IC experience owning complex problem spaces and influencing cross\-functional teams through clarity of communication and precision of execution.
* 4\+ years in payments or fintech, ideally on products operating at scale; experience with large or global launches is a plus.
* Strong product judgment. You can make good calls in messy situations and don’t need perfect information to move forward.
* Comfort working on critical, high\-trust systems where reliability matters and small changes can have outsized impact.
* Ability to work deeply with engineers and designers on complex problems, including technical constraints and tradeoffs.
* Strong analytical habits and a practical approach to metrics, dashboards, and instrumentation.
* Clear written and verbal communication in a distributed, async environment.
* Familiarity with WooCommerce, WordPress, or open\-source ecosystems is a plus.
**Salary range: $170,000\-$240,000 USD.** 
 Please note that salary ranges are global, regardless of location, and we pay in local currency.
 We are searching for high\-caliber candidates with the skills and qualities to have a net positive for Automattic. Pay will reflect the potential contribution and the impact you can bring, which may, in some cases, go beyond the range stated.
 We’re pleased to offer a straightforward, competitive base salary, providing financial clarity without complex variable components. This isn’t your typical work\-from\-home job: we are a fully\-remote company with an open vacation policy. To see a full list of benefits by country, consult our Benefits Page. And check out these links to learn more about How We Hire and What We Expect from Ourselves.
**About Automattic**
 Now in our 20th year, we’re the people behind WordPress.com, WooCommerce, Beeper, Tumblr, Simplenote, Jetpack, Longreads, Day One, PocketCasts, and more. We believe in making the web a better place.
 We’re a distributed company with more than 1500 Automatticians in nearly every corner of the globe, speaking over a hundred different languages. Enriched by this diversity, we’re united by a singular mission: to democratize publishing, commerce, and messaging so anyone with a story can tell it, anyone with a product can sell it, and everyone can manage their communications from a single source. In short, we help maintain a balance in society, creating and continually refining powerful tools people can use to compete fairly—regardless of income, gender, politics, language, or where they live in the world.
 We believe in Open Source, and the vast majority of our work is available under the GPL. Automattic is a Most Loved Company, an Equal Opportunity employer, and Disability Confident Committed. (Here’s what that might mean for you.) If you need disability\-related accommodations during the application or interview process, please fill out this form. We are committed to ensuring an accessible hiring process for all candidates. Learn more about our Employee Resource Groups.
 You can track your application status and more at MyGreenhouse.
 To learn about how we handle your data, please review our Privacy Policy.
 All qualified applicants will receive consideration for employment without regard to race, color, religion, sex, sexual orientation, gender identity, national origin, disability, or status as a protected veteran. View the “Know Your Rights: Workplace Discrimination is Illegal” poster here. Automattic participates in the E\-Verify program in certain locations, as required by law.
 ]]\&gt;</t>
        </is>
      </c>
    </row>
    <row r="148">
      <c r="A148" t="inlineStr">
        <is>
          <t>li-4377830867</t>
        </is>
      </c>
      <c r="B148" t="inlineStr">
        <is>
          <t>Principal Product Manager - MAI Monetization</t>
        </is>
      </c>
      <c r="C148" t="inlineStr">
        <is>
          <t>Microsoft</t>
        </is>
      </c>
      <c r="D148" t="inlineStr">
        <is>
          <t>linkedin</t>
        </is>
      </c>
      <c r="E148">
        <f>HYPERLINK("https://www.linkedin.com/jobs/view/4377830867", "https://www.linkedin.com/jobs/view/4377830867")</f>
        <v/>
      </c>
      <c r="F148" t="inlineStr"/>
      <c r="G148" t="inlineStr">
        <is>
          <t>Mountain View, CA</t>
        </is>
      </c>
      <c r="H148" t="inlineStr"/>
      <c r="I148"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Principal Product Manager \- MAI Monetization, you will help businesses that want to grow and expand their business using our products, data, and services through advertising and new business models that unlock AI\-first products. This role requires consistent knowledge and deep awareness of the emerging AI industry to develop new products as we have the freedom and flexibility to use innovative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Drive building world\-class AI applications that will delight consumers and deliver business results.
* Own the development and optimization of personalization strategies for monetization, focusing on improving user targeting, engagement, and experience. Define principles for personalized experiences in monetization scenarios, work on building product features that enhance personalization, and manage the full lifecycle from development to launch and iterative improvements.
* Enjoy working in a fast\-paced, customer\-first, product development cycle.
* Translate business goals into strategy, user experience and technical requirements in close collaboration with Applied Science, Data Science, Engineering, UX and Product Marketing/Sales teams.
* Define goals and performance indicators, set up and oversee experiments, measure success with data and research.
* Embody our Culture and Values.
**Qualifications**
**Required Qualifications:**
* Bachelor's Degree AND 10\+ years experience in product/service/program management or software development
+ OR equivalent experience.
**Preferred Qualifications**
* 2\+ years experience leading cross functional product teams across advertising, privacy, search, conversational AI, or generative AI
* 5\+ years experience delivering products that include full Search and/or Advertising technology stack
* 5\+ years experience with data analytics and experimentation tools with working knowledge of SQL and coding skills (Python, Javascript).
* 7\+ years of experience building Ads products.
* 5\+ years of experience in monetization products and B2B.
* Ability to work in a fast\-paced environment, manage multiple priorities, and adapt to changing requirements and deadlines.
* Proven ability to collaborate and contribute to a positive, inclusive work environment, fostering knowledge sharing and growth within the team.
 \#MicrosoftAI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9">
      <c r="A149" t="inlineStr">
        <is>
          <t>li-4328874854</t>
        </is>
      </c>
      <c r="B149" t="inlineStr">
        <is>
          <t>Senior Product Manager</t>
        </is>
      </c>
      <c r="C149" t="inlineStr">
        <is>
          <t>Abnormal AI</t>
        </is>
      </c>
      <c r="D149" t="inlineStr">
        <is>
          <t>linkedin</t>
        </is>
      </c>
      <c r="E149">
        <f>HYPERLINK("https://www.linkedin.com/jobs/view/4328874854", "https://www.linkedin.com/jobs/view/4328874854")</f>
        <v/>
      </c>
      <c r="F149" t="inlineStr"/>
      <c r="G149" t="inlineStr"/>
      <c r="H149" t="inlineStr"/>
      <c r="I149" t="inlineStr">
        <is>
          <t>**About The Role**
 Abnormal AI is looking for an ambitious and growth\-minded
 **Senior Product Manager** 
 to drive innovation across our flagship product lines. At Abnormal, we help customers—from Global 2000 enterprises to small and medium\-sized businesses—stay safe from complex, cutting\-edge cyberattacks that can cause financial loss and disrupt business operations. Our AI\-native approach to email security, account takeover detection, and adjacent security use cases has made us one of the fastest\-growing cybersecurity companies worldwide.
 As a Senior Product Manager, you are responsible for
 **owning product definition, setting the initial product strategy, and building** 
**a 12‑month roadmap** 
 for one complex or multiple moderately complex product areas. You will lead cross\-functional teams across Engineering, Design, Data, and GTM, and be the most knowledgeable person in the company for your product domains—trusted to represent them to leadership, GTM, and customers.
 This is a high\-ownership, high\-autonomy role for a PM who can move seamlessly between
 **customer problems, technical and AI\-focused tradeoffs, and business outcomes** 
 , while raising the bar for product quality and execution across the organization.
**What You Will Do**
* Own strategy, roadmap, and outcomes for complex product areas \- Define and evolve a 9–12 month roadmap for one or more complex, high\-impact product surfaces, ensuring clear prioritization against customer value, security outcomes, and business impact.
* Frame and solve high\-ambiguity customer problems \- Run discovery, design partnerships, and structured feedback programs to deeply understand customer pain, synthesize insights, and translate them into crisp problem statements, product briefs, and measurable outcomes.
* Lead cross\-functional execution from concept to adoption \- Drive the end\-to\-end product lifecycle—from problem framing and PRDs to launch, instrumentation, and iteration—partnering closely with Engineering, Design, Data, Sales, and Customer Success to ship high\-quality features at velocity.
* Shape product strategy and GTM tactics \- Contribute to divisional strategy and GTM plans, influencing how we position the product, sequence major initiatives, and tell the value story to customers, prospects, and internal stakeholders.
* Own metrics, experimentation, and continuous improvement \- Define and track KPIs for your product lines (e.g., adoption, engagement, incident reduction, revenue impact), run experiments, and use data to refine direction and inform investment decisions.
* Represent your product externally and with leadership. Serve as the domain expert for your product areas on customer calls, escalations, executive reviews, and roadmap discussions—communicating clearly, managing trade\-offs, and building trust across the organization.
* Lead in an AI\-native way of working \- Use AI tools (e.g., ChatGPT/Claude, v0, analytics platforms) and rapid prototyping to accelerate discovery, research, documentation, and UX exploration—raising the standard for how product work gets done at Abnormal.
**Must\-Have Qualifications**
* 5–7\+ years of product management experience in software, with a strong track record of owning complex product areas end\-to\-end in B2B SaaS or similarly technical domains.
* Proven experience working on deeply technical products, collaborating closely with engineering on architecture, scalability, or AI/ML–driven features, and reasoning through technical tradeoffs and constraints.
* Demonstrated ability to own product strategy, definition, and roadmap for a product line or multiple complex surfaces—including problem framing, opportunity sizing, prioritization, and success metrics.
* Strong analytical and problem\-solving skills, with comfort using data (dashboards, experiments, or SQL/analysis in partnership with Data) to inform decisions and refine product direction in ambiguous spaces.
* Excellent communication and cross\-functional leadership, with the ability to drive alignment across Engineering, Design, GTM, and executives, and to represent the product in high\-stakes or customer\-facing scenarios.
* High ownership, operational excellence, and attention to detail across documentation, planning, stakeholder management, and launch execution.
* A growth mindset and willingness to learn quickly in a fast\-paced, AI\-native environment, including integrating new tools and workflows into your day\-to\-day product practice.
**Nice\-to\-Have Qualifications**
* Experience in enterprise SaaS / B2B environments, ideally in cybersecurity, security operations, identity, posture management, or adjacent technical domains.
* Prior experience working as a software engineer, data scientist, or similarly technical role, or equivalent hands\-on experience with complex distributed systems or AI\-driven products.
* Experience with data analysis and experimentation (e.g., comfort working with analytics tools, experimentation platforms, or SQL in partnership with Analytics).
* Familiarity with AI\-native workflows and rapid prototyping tools (e.g., Claude/ChatGPT, v0, Figma) to speed up discovery, ideation, and validation.
* Background working closely with GTM teams (Sales, Marketing, Customer Success, Support) on launches, enablement, and customer\-facing messaging and demos.
**Why You’ll Thrive at Abnormal**
 You’ll thrive in this role if you:
* Want to own a portfolio of product lines and their KPIs, and be accountable for meaningful customer and business outcomes—not just feature delivery.
* Enjoy working at the intersection of AI, security, and user experience, helping customers stay ahead of sophisticated threats while keeping products intuitive and impactful.
* Value high trust and high autonomy, and are excited to help shape both product strategy and the broader product management craft as Abnormal scales.
 If you’re ready to own something critical, move with velocity, and grow alongside a company building a generational future in cybersecurity, Abnormal is the place for you.
 At Abnormal AI, certain roles are eligible for a bonus, restricted stock units (RSUs), and benefits. Individual compensation packages are based on factors unique to each candidate, including their skills, experience, qualifications and other job\-related reasons.
 Base salary range:
 $168,300—$198,000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150">
      <c r="A150" t="inlineStr">
        <is>
          <t>li-4341228286</t>
        </is>
      </c>
      <c r="B150" t="inlineStr">
        <is>
          <t>Senior Product Manager - Advertising Data Platforms Compliance</t>
        </is>
      </c>
      <c r="C150" t="inlineStr">
        <is>
          <t>Warner Bros. Discovery</t>
        </is>
      </c>
      <c r="D150" t="inlineStr">
        <is>
          <t>linkedin</t>
        </is>
      </c>
      <c r="E150">
        <f>HYPERLINK("https://www.linkedin.com/jobs/view/4341228286", "https://www.linkedin.com/jobs/view/4341228286")</f>
        <v/>
      </c>
      <c r="F150" t="inlineStr"/>
      <c r="G150" t="inlineStr">
        <is>
          <t>Culver City, CA</t>
        </is>
      </c>
      <c r="H150" t="inlineStr"/>
      <c r="I150"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**Your New Role...** 
 We are looking for a passionate and driven Senior Product Manager to join the DTC Data Product Compliance team. In this role, you will report to the Sr. Director of Privacy, Data Product Compliance. You will be working cross\-functionally within the Product \&amp; Design organization across multiple product verticals: engineering, legal, data science, and analytics with a focus on privacy\-preserving advertising platforms and technical frameworks. You will be defining scalable solutions that integrate across WBD’s DTC platforms supporting a wide range of advertising partners, internal stakeholders, and data use cases. You will be motivated to dive deep into the rapidly evolving tech landscape, rapidly changing regulatory environment, and legal nuances across multiple global regions where we operate.
 We value product management that drives with discipline and attention to detail. You’re a good fit for this role if you are customer obsessed, collaborative, and data driven. You are a highly effective communicator and can build trust with all areas of the business. You must be comfortable regularly engaging with executive leadership to effectively communicate governance and compliance requirements and secure alignment on product roadmap priorities. You can work autonomously, have strong organizational and analytical skills, and are a proven collaborator and problem solver.
**Your Role Accountabilities...** 
* Own the product vision and execution for large\-scale, privacy\-preserving advertising workflows powered by data clean rooms, including advertiser first\-party data onboarding, identity matching against our 1P datasets, audience creation and activation, and attribution and measurement across the modern ad tech ecosystem.
* Partner with engineering and advertising teams to design and ship scalable, standardized, privacy\-preserving solutions that operate within clean room and signal\-restricted environments, delivering products that meet the needs of advertisers, agencies, third\-party measurement vendors, and other ad tech providers.
* Provide product expertise and thought leadership in the areas of backend data compliance and privacy, with an understanding of how regulations and partner requirements impact and influence use of data across various business processes and functions.
* Gather, define, and clearly document data use cases through partnership with stakeholders, including Data Platform Engineering, Data Science (ML/AI), Advertising, Marketing, Analytics, Experimentation, Research, Fraud \&amp; Abuse.
* Operate well in the face of ambiguity and imperfect knowledge, drill into business data and research results to identify clear direction and focus.
* Stay informed on the latest industry trends, emerging technologies, and advancements in data handling to assess their impact on maintaining compliance and their potential for novel privacy solutions.
* Cultivate and maintain strong relationships with key stakeholders across the business to enable customer focused features with a “privacy by design” approach.
* Promote a culture of privacy awareness and compliance throughout the organization.
* Build healthy, trusting relationships and contribute to a culture of respect by giving feedback respectfully, exchanging ideas openly, and receiving feedback humbly.
**Qualifications \&amp; Experience...** 
* 5\+ years of backend/platform Product Management experience within a technology or digital organization.
* 2\+ years of experience with technical frameworks in the digital ads ecosystem.
* Strong knowledge of privacy and compliance for consumer data used in the advertising space.
* Built and delivered a roadmap for data clean room and ads measurement product by evaluating build vs. buy options.
* Has experience collaborating with data clean room providers, ad measurement providers, advertisers, and agencies.
* Proficiency with analyzing technical architecture diagrams and creating data flows.
* Experience partnering with technical teams on highly complex projects.
* Commitment to fostering an inclusive team culture built on empathy.
* Excellent written and verbal communication skills, with a focus on documentation that communicates complex subject matter simply and clearly.
* Proven ability to partner effectively with stakeholders across legal, product, and engineering functions.
* Excellent problem solving, critical thinking, and analytical skills.
* Detail\-oriented; self\-starter, accountable, and empowered.
* Curiosity and a willingness to learn.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$98,070\.00 \- $182,130\.00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151">
      <c r="A151" t="inlineStr">
        <is>
          <t>li-4377868612</t>
        </is>
      </c>
      <c r="B151" t="inlineStr">
        <is>
          <t>Legacy Modernization Product Manager</t>
        </is>
      </c>
      <c r="C151" t="inlineStr">
        <is>
          <t>Nava</t>
        </is>
      </c>
      <c r="D151" t="inlineStr">
        <is>
          <t>linkedin</t>
        </is>
      </c>
      <c r="E151">
        <f>HYPERLINK("https://www.linkedin.com/jobs/view/4377868612", "https://www.linkedin.com/jobs/view/4377868612")</f>
        <v/>
      </c>
      <c r="F151">
        <f>HYPERLINK("https://job-boards.greenhouse.io/navapbc/jobs/4135991009?gh_src=LIapp&amp;urlHash=UtfP", "https://job-boards.greenhouse.io/navapbc/jobs/4135991009?gh_src=LIapp&amp;urlHash=UtfP")</f>
        <v/>
      </c>
      <c r="G151" t="inlineStr"/>
      <c r="H151" t="inlineStr"/>
      <c r="I151" t="inlineStr">
        <is>
          <t>**About Nava**
 Nava is a consultancy and public benefit corporation working to make government services simple and effective. Since 2015, federal, state, and local agencies have trusted Nava to help solve highly scrutinized technology modernization challenges.
 As a client services company, we guide agencies constrained by legacy systems to a future with sharp user experiences built on secure, reliable, fault\-tolerant cloud infrastructure. We bill for our time, offering our expertise and problem\-solving approach to help our government partners enhance their digital products and services. People are at the heart of our work, from members of the public who rely on benefit programs to government agency staff. Through human\-centered design and modern engineering best practices, we help our government partners understand user needs and deliver on their missions more effectively. This focus gives everyone at Nava the opportunity to do work that is meaningful, impactful, and deeply connected to public good.
**Position Summary**
 Nava is seeking a Product Manager to join our legacy modernization solutions team that is focused on developing tools that accelerate how Nava teams modernize legacy systems. As part of this team, you will support early stage product development, including but not limited to problem identification, rapid prototyping and experimentation, market research, and user research in support of achieving product market fit.
 What you'll do
* Create and execute product strategies for discovering and developing solutions that accelerate Nava's legacy modernization delivery teams: Solutions that break vendor lock\-in and accelerate the modernization of legacy systems, that help teams rapidly understand legacy systems, and that help teams migrate legacy systems quickly and safely
* Quickly iterate within problem spaces to identify promising solutions
* Work closely with business development to track pipeline to understand market needs and opportunities
* Fill gaps and adapt to changing team needs in order to drive team outcomes
* Measure team impact and report on progress towards company goals
 Desired experience
* Minimum of 5 years of experience in developing and implementing enterprise class solutions leveraging industry standard patterns and practices
* Experience in early stage product discovery and development
* Experience with market research and go\-to\-market experience
* Successful delivery of complex features or products
* History of building strong relationships internally with peers and working cross\-functionally with other internal disciplines
* Experience with business development within government digital services firms like Nava
* Experience with legacy modernization problems
 You should also be comfortable with
* Responding to, sharing internally, and absorbing feedback in a clear, quick, and concise manner
* Cross\-discipline collaboration and problem\-solving including internal improvement areas like team structure, norms, standards, and processes with other teammates
* Large amounts of ambiguity around goals, scope, and priorities
* Being able to recognize new organic growth opportunities, grounded in pain points or needs we hear from the client, and collaborate with the Program Manager
* Working with and being fluent in technical products such as SDKs, APIs, frameworks, and libraries
* Experimenting with AI and following the changing landscape within AI
* Having a growth mindset
**Compensation**
 $98,000 \- $153,000 a year
**Other Requirements**
***All roles at Nava require the following:***
 Legal authorization to work in the United States
 Ability to meet any other requirements for government contracts for which candidates are hired
 Work authorization that doesn’t require visa sponsorship, now or in the future
 May be subject to a government background check or security clearance, depending on the contract
**Perks working with Nava**
**Health coverage** 
 — comprehensive medical, dental, and vision plans to support your overall health needs
**Insurance coverage** 
 — Nava provides disability, life, and accidental death insurance at no cost
**Time off** 
 — vacation, holidays (including Juneteenth), and floating holidays to rest and recharge
**Company holidays** 
 — enjoy 12 paid federal holidays each year on top of your regular PTO
**Annual bonus** 
 — when Nava meets its goals, eligible employees receive a performance\-based annual bonus
**Parental leave** 
 — paid time off for new parents, plus weekly meals delivered to your home
**Wellness program** 
 — full platform offering physical, mental, \&amp; emotional health resources \&amp; support tools
**Virtual care** 
 — see doctors online with no copay through UnitedHealthcare’s virtual visit program
**Sabbatical leave** 
 — earn extended unpaid leave after continuous service for personal growth or rest
**401(k) match** 
 — Nava matches 4% of your salary to support your retirement savings plan
**Flexible work** 
 — remote\-first environment with flexibility built around your schedule and responsibilities
**Home office setup** 
 — company laptop \&amp; setup assistance provided via Staples for remote work needs
**Utility support** 
 — monthly reimbursement to help offset eligible home office utility expenses
**Learning opportunities** 
 — internal training programs and resources to help grow your professional skills
**Development opportunities** 
 — LinkedIn Learning access \&amp; an annual allowance for courses, tuition, \&amp; certs
**Referral bonus** 
 — get rewarded when you refer great people who join the Nava team
**Commuter benefits** 
 — pre\-tax commuter programs to support in\-office travel when applicable
**Supportive culture** 
 — A collaborative and remote\-friendly team environment where people genuinely care
**Location**
 We have fully remote options if you reside in one of the following states:
 Alabama, Arizona, California, Colorado, DC, Delaware, Florida, Georgia, Illinois, Louisiana, Maine, Maryland, Massachusetts, Michigan, Minnesota, Missouri, Nevada, North Carolina, New Jersey, New York, Ohio, Oklahoma, Oregon, Pennsylvania, Rhode Island, South Carolina, Texas, Tennessee, Utah, Virginia, Washington, Wisconsin
* If you are not living in one of the states listed above, unfortunately, you will not be considered for a position at this time.
**Stay in touch**
 Sign up for our newsletter to find out about career opportunities, new partnerships, and news from the broader civic tech community.
 Please contact the recruiting team at recruiting@navapbc.com if you would like to request reasonable accommodation during the application or interviewing process.
*We participate in E\-Verify. Upon hire, we will provide the federal government with your Form I\-9 information to confirm that you are authorized to work in the U.S. This role requires you to work from the contiguous United States.*
**Equal Employment Opportunity**
 Nava is committed to providing equal employment opportunities without discrimination or harassment on the basis of race, gender and/or gender identity or expression, color, creed, religion, religious creed, age, national origin, ethnicity, disability, veteran or military status, sex, sexual orientation, reproductive health autonomy, pregnancy, childbirth, and medical conditions related to pregnancy or childbirth, genetic information, domestic violence victim status, marital status, citizenship status, or any other characteristic protected by law. Nava prohibits any such discrimination or harassment. This policy applies to all employees, applicants, contractors, and temporary workers of Nava.</t>
        </is>
      </c>
    </row>
    <row r="152">
      <c r="A152" t="inlineStr">
        <is>
          <t>li-4371012983</t>
        </is>
      </c>
      <c r="B152" t="inlineStr">
        <is>
          <t>Product Manager (Global Automotive Products) IV</t>
        </is>
      </c>
      <c r="C152" t="inlineStr">
        <is>
          <t>TE Connectivity</t>
        </is>
      </c>
      <c r="D152" t="inlineStr">
        <is>
          <t>linkedin</t>
        </is>
      </c>
      <c r="E152">
        <f>HYPERLINK("https://www.linkedin.com/jobs/view/4371012983", "https://www.linkedin.com/jobs/view/4371012983")</f>
        <v/>
      </c>
      <c r="F152" t="inlineStr"/>
      <c r="G152" t="inlineStr"/>
      <c r="H152" t="inlineStr"/>
      <c r="I152" t="inlineStr">
        <is>
          <t>**At TE, you will unleash your potential working with people from diverse backgrounds and industries to create a safer, sustainable and more connected world.**
**Job Overview**
 TE Connectivity's Product Management Teams manage all aspects of a product, from driving new product development to manufacturing to marketing. They are responsible for overall product strategy, business leadership and capacity plans in order to meet sales and profit targets.
**Role Responsibilities**
* Driver of the internal product strategies for product lines in the EMA Portfolio
* Owner of the Product Business Plan
* Shape a powerful portfolio for connectivity solutions for Mechatronics \&amp; Relays
* Responsible for forecast and profitability of the product line
* Develop and execute strategic product roadmaps aligning with overall business objectives
* Initiator of improvement measures in order to continuously develop the margin of the product line
* Active management of the product life cycle and closing of portfolio gaps
* Business Partner in cross\-functional project teams for the new development of products
* Implementation of sales activities both on site at the customer as well as in online and print media
* Responsible for the pricing strategy and definition of the new product introduction in cooperation with adjacent departments (Marketing, Sales, Engineering, Operations, Manufacturing Engineering)
* Support of the sales department in commercialization of new technologies
* Analysis of competitors, their products and market strategies
* Participation in the continuous further development of the Product \&amp; Technology Roadmap
* Leading role in coordination the product portfolio strategy with other regions
**What Your Background Should Look Like**
* Bachelor's or Master's degree in (electrical) engineering or similar
* Minimum 3 years proven track record in Product Management
* Advanced technical and commercial understanding
* Open to innovative ideas and food for thought, excellent analytical and problem\-solving skills, with the ability to translate customer requirements into actionable product strategies
* Knowledge of TE systems such as SAP, C2S, iBP and Planisware as a plus
* Strategic mindset with the ability to think creatively and drive innovation in a competitive market
* Proactive, dynamic team player who can independently and seamlessly take on internal, external and cross\-departmental activities within the organization
* Automotive industry experience is highly preferred
* Exceptional communication and interpersonal skills
* Curiosity as well as high flexibility and agility in assessing, planning and executing
* Willingness to travel is required
 \#TANAUV
**Competencies**
 Values: Integrity, Accountability, Inclusion, Innovation, Teamwork
**About Te Connectivity**
 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 Learn more at www.te.com and on LinkedIn, Facebook, WeChat, Instagram and X (formerly Twitter).
**Compensation**
* Competitive base salary commensurate with experience: $139,000 \- $190,000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**IMPORTANT NOTICE REGARDING RECRUITMENT FRAUD**
 TE Connectivity has become aware of fraudulent recruitment activities being conducted by individuals or organizations falsely claiming to represent TE Connectivity. Please be advised that TE Connectivity
 **never requests payment or fees** 
 from job applicants at any stage of the recruitment process. All legitimate job openings are posted exclusively on our official careers website at te.com/careers, and all email communications from our recruitment team will come
 **only from actual email addresses ending in @te.com** 
 . If you receive any suspicious communications, we strongly advise you not to engage or provide any personal information, and to report the incident to your local authorities.</t>
        </is>
      </c>
    </row>
    <row r="153">
      <c r="A153" t="inlineStr">
        <is>
          <t>li-4328949431</t>
        </is>
      </c>
      <c r="B153" t="inlineStr">
        <is>
          <t>Lead Product Manager (Relocation to Bangkok)</t>
        </is>
      </c>
      <c r="C153" t="inlineStr">
        <is>
          <t>Coda</t>
        </is>
      </c>
      <c r="D153" t="inlineStr">
        <is>
          <t>linkedin</t>
        </is>
      </c>
      <c r="E153">
        <f>HYPERLINK("https://www.linkedin.com/jobs/view/4328949431", "https://www.linkedin.com/jobs/view/4328949431")</f>
        <v/>
      </c>
      <c r="F153" t="inlineStr"/>
      <c r="G153" t="inlineStr">
        <is>
          <t>California, United States</t>
        </is>
      </c>
      <c r="H153" t="inlineStr"/>
      <c r="I153" t="inlineStr">
        <is>
          <t>**Why Coda**
 Coda is a global growth engine for commerce. We bring together powerful capabilities that connect people, digital products, and payments through our suite of trusted digital monetization and distribution solutions.
 We recently acquired Recharge, Europe’s leading prepaid payments and digital gift card business, bringing both companies together into one organisation with broader reach, deeper capabilities across B2B and B2C commerce and a stronger global footprint.
 Today, we stand as a team of more than 600 people, representing 57 nationalities across 23 locations. We are headquartered in Singapore with offices in Amsterdam, Dubai, Shanghai and other hubs across Southeast Asia. 
 Our B2B business works with publishers and brands to support growth across markets. We run Codapay for local payment acceptance and Custom Commerce for direct\-to\-consumer webstores. We manage catalogue, prepaid and distribution services that extend reach globally, and we operate Giftcloud’s rewards and incentives capabilities. We take on the operational complexity around payments, tax and compliance so partners can scale with clarity and focus.
 On the consumer side, we operate a portfolio of trusted storefronts including Codashop, Recharge.com , Startselect.com , mobiletopup.co.uk and other local sites that give customers secure and easy access to digital credit, game vouchers, gift cards and prepaid products.
 Our people are at the heart of what we do. Coda’s culture is centered on respect, clarity, ownership, and collaboration. We work hard and play hard together.
 If you’re looking for growth and impact in a fast\-paced global team, Coda is the place for you.
**Product Management at Coda** 
 At Coda, Product Managers translate customer success into commercial impact. They maximize enterprise value by solving real customer problems and turning those wins into measurable outcomes. PMs at Coda think like founders: they take end\-to\-end ownership, shrink the time from insight to execution, and hold a high bar for craft and quality.
**About the role** 
 This is a highly cross\-functional, hands\-on role. You’ll work closely with Engineering, Design, Data, and GTM, and you’ll do whatever it takes to ship: talk to customers, dig into data, write tight specs, prototype flows, sweat UX details, and remove blockers. You’ll make good decisions in ambiguity, be right a lot, drive clear priorities, and deliver meaningful results.
**Responsibilities** 
* **Own the roadmap and outcomes:** 
 Set direction, make tradeoffs, and ensure the roadmap delivers measurable business impact (revenue, retention, margin, or market share)
* **Turn strategy into execution:** 
 Lead the team through agile sprint cycles, breaking initiatives into clear stories, requirements, and milestones that ship
* **Define success and measure it:** 
 Establish success metrics up front, instrument what matters, and use data \+ customer feedback to iterate quickly
* **Make the hard prioritization calls:** 
 Navigate the tension between today’s immediate needs and the product’s long\-term health to build sustainable competitive advantage
* **Unblock the team relentlessly:** 
 Remove roadblocks for Engineering, Design, Data, and GTM so the team can move fast without compromising quality
* **Be a full\-stack executor:** 
 If needed, jump in to talk to customers, write copy, prototype flows, build enablement materials, write docs, analyze data, or respond to CS tickets
* **Drive results, not consensus:** 
 You are not a peacemaker or a consensus driver. Your job is not to include every opinion. You will listen hard, decide, and move. You’re not here to make everyone happy. You’re here to ship and win
* **Lead through influence and ownership:** 
 Keep stakeholders aligned, ensure nothing falls through the cracks, take accountability when things go wrong, and give the team credit when things go right
**Requirements** 
* **A track record of delivering successful outcomes.** 
 You can point to products you’ve led where you didn’t just "ship features," but moved core business metrics (revenue, churn, margin, or market share)
* **Strong product judgment.** 
 You can make hard calls in ambiguity, explain the tradeoffs, and be right more often than not
* **Ruthless prioritization.** 
 You can clearly articulate why we should invest in problem A vs. B based on customer value and long\-term business impact
* **A high bar for craft.** 
 You care about the “why” and the “how” behind great products. You sweat details, have great taste, and know what it takes to ship something special
* **A strong bias to action.** 
 Speed matters. You ship MVPs, learn fast and iterate. You reduce the time from insight to execution without lowering standards
* **High ownership.** 
 You operate without boundaries and never hide behind “not my job.” When you see a gap, you don’t wait for permission. You do whatever it takes to deliver the outcome
* **Analytical rigor.** 
 You’re deeply comfortable with data. You can run your own analysis, understand complex schemas, and use data to pressure\-test decisions
* **Clear, strategic communication.** 
 You can distill complex problems into a crisp narrative that aligns execs and gives teams clarity and momentum
 We are proud to be an equal opportunity employer, embracing the unique qualities of every individual, regardless of gender, race, age, religion, disability, or other local protected classes. Our goal is to foster an inclusive environment where everyone feels welcome and valued.
 Due to the large number of exceptional applications we receive, we can only reach out to shortlisted candidates. If you don't hear from us, rest assured there may be another opportunity at Coda that aligns better with your unique abilities. Remember to check our Careers Page for more exciting job openings!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4">
      <c r="A154" t="inlineStr">
        <is>
          <t>li-4377843558</t>
        </is>
      </c>
      <c r="B154" t="inlineStr">
        <is>
          <t>Vice President, Product Manager – Proprietary Wallets &amp; Lending Innovation</t>
        </is>
      </c>
      <c r="C154" t="inlineStr">
        <is>
          <t>JPMorganChase</t>
        </is>
      </c>
      <c r="D154" t="inlineStr">
        <is>
          <t>linkedin</t>
        </is>
      </c>
      <c r="E154">
        <f>HYPERLINK("https://www.linkedin.com/jobs/view/4377843558", "https://www.linkedin.com/jobs/view/4377843558")</f>
        <v/>
      </c>
      <c r="F154">
        <f>HYPERLINK("https://JPMorganChase.contacthr.com/151186115&amp;urlHash=DPCz", "https://JPMorganChase.contacthr.com/151186115&amp;urlHash=DPCz")</f>
        <v/>
      </c>
      <c r="G154" t="inlineStr">
        <is>
          <t>New York, NY</t>
        </is>
      </c>
      <c r="H154" t="inlineStr"/>
      <c r="I154" t="inlineStr">
        <is>
          <t>**Job Description**
 As a
 **Vice President, Product Manager** 
 in Connected Commerce on the Wallet and Lending Innovation organization, you will set the vision for the next generation of payment platforms, champion innovative thinking, and build seamless customer experiences that become the foundation of Chase digital payments and commerce. We’re seeking a strategic leader who is customer obsessed, deeply technical, and thrives in complex environments. You will be responsible for creating and executing the product roadmap, driving product development, monitoring platform performance, and scaling payments platforms to millions of customers.
**Job Responsibilities**
* Define and own the roadmap for the product line; establish and communicate the vision and strategy for the product/platform.
* Lead the conceptualization, design, and delivery of technical products, including APIs, data models, and data processing pipelines.
* Oversee the creation of detailed product requirements and user stories, ensuring business needs are translated into robust technical solutions.
* Partner with Technology, Design, and Analytics leadership to drive product development and ensure cross\-functional alignment.
* Drive the design and implementation of robust Settlement and Reconciliation platforms, services, and data pipelines to ensure accuracy and reliability in payment processing and reporting.
* Manage product backlog creation and grooming, support agile product delivery, launch and go to market for product, production support, issue \&amp; defect resolution, and prioritization.
* Navigate and lead within a large, complex organization—driving clarity through ambiguity, structuring problems, and aligning multiple teams toward common goals.
* Build and maintain strong executive stakeholder relationships across business, technology, risk, controls, legal, and compliance teams; facilitate effective communication and collaboration at all levels.
* Monitor product performance against goals, identify and scope implementation paths for enhancements, and create remediation plans when needed.
* Foster a culture of innovation, learning, and collaboration within the team and across the organization.
* Ensure a strong risk and controls environment in partnership with cross\-functional teams.
**Required Qualifications, Capabilities, And Skills**
* 7\+ years of experience in product management, with a focus on technical products (APIs, databases, data processing, or similar).
* Deep experience in the financial technology or payments industry, with a strong understanding of payment flows, digital wallets, and money movement.
* Proven track record of driving change and delivering results within large, highly matrixed organizations; adept at navigating ambiguity and structuring complex problems.
* Exceptional stakeholder management and collaboration skills; able to influence and align cross\-functional and executive teams.
* Demonstrated leadership in building scalable platforms and driving customer\-centric innovation.
* Outstanding verbal and written communication skills, with experience presenting to senior leadership.
* Strong knowledge of APIs, engineering practices, and the product development lifecycle using Agile methodologies.
* Experience managing risk and controls at scale.
* Bachelor’s or Master’s degree in Computer Science, Engineering, Business Administration, or comparable field of study.
**Preferred Qualifications, Capabilities, And Skills**
* Candidates with Fintech background or payment platform experience strongly preferred.
* Experience building and scaling Settlement and Reconciliation platforms, services, and data pipelines within payments or financial services environments.
* Demonstrated expertise in designing solutions that ensure accurate transaction settlement, reconciliation, and reporting across complex payment ecosystems.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155">
      <c r="A155" t="inlineStr">
        <is>
          <t>li-4369060741</t>
        </is>
      </c>
      <c r="B155" t="inlineStr">
        <is>
          <t>Sr. Principal Product Manager</t>
        </is>
      </c>
      <c r="C155" t="inlineStr">
        <is>
          <t>Microsoft</t>
        </is>
      </c>
      <c r="D155" t="inlineStr">
        <is>
          <t>linkedin</t>
        </is>
      </c>
      <c r="E155">
        <f>HYPERLINK("https://www.linkedin.com/jobs/view/4369060741", "https://www.linkedin.com/jobs/view/4369060741")</f>
        <v/>
      </c>
      <c r="F155">
        <f>HYPERLINK("https://apply.careers.microsoft.com/careers/job/1970393556748735?utm_source=linkedin&amp;domain=microsoft.com&amp;src=LinkedIn&amp;urlHash=u6GY", "https://apply.careers.microsoft.com/careers/job/1970393556748735?utm_source=linkedin&amp;domain=microsoft.com&amp;src=LinkedIn&amp;urlHash=u6GY")</f>
        <v/>
      </c>
      <c r="G155" t="inlineStr">
        <is>
          <t>Mountain View, CA</t>
        </is>
      </c>
      <c r="H155" t="inlineStr"/>
      <c r="I155" t="inlineStr">
        <is>
          <t>**Overview**
 Join the Copilot for Education team as a Senior Principal Product Manager and lead the
 development of AI‑first learning experiences that help students excel in their schoolwork and educational journeys. This role sits at the intersection of learning science, adaptive technologies, and cutting‑edge AI, driving products that meaningfully improve student outcomes at scale.
 You will shape product vision, strategy, and execution across multiple feature areas to create tools that motivate, personalize, and enhance student learning outcomes. Your work will directly impact millions of learners by making education more accessible, effective, and inspiring. Your work will advance Microsoft’s mission to empower every student to achieve more.
**Responsibilities**
**Product Strategy \&amp; Vision**
* Define and own the long‑term product strategy for student‑focused learning tools, integrating learning science, adaptive learning, and AI‑driven workflows.
* Translate complex educational, technical, and market insights into a clear product vision and roadmap across multiple feature areas.
* Drive product‑market fit by synthesizing customer signals, competitive analysis, and research evidence to identify unmet or emerging student needs.
* Establish success metrics (OKRs, KPIs, learning efficacy measures) and ensure alignment with Microsoft’s broader AI strategy.
* Partner with researchers, educators, and data science teams to validate hypotheses, run experiments, and incorporate evidence‑based instructional methods.
* Champion learning efficacy and motivational frameworks into product experiences.
* Identify opportunities to disrupt the education market with innovative, student‑centered solutions that differentiate Copilot for Education.
**Cross‑Functional Leadership \&amp; Execution**
* Lead end‑to‑end product execution —from ideation to launch to iteration—ensuring high standards of quality, security, accessibility, and responsible AI.
* Collaborate with engineering, design, research, marketing, and data teams to deliver cohesive, scalable student experiences.
* Drive alignment resolving complex dependencies and influencing senior stakeholders to support product strategy and investments.
* Use data and AI‑driven insights to continuously improve engagement, retention, and student outcomes.
* Leverage AI‑powered tools and prototyping workflows to accelerate design exploration, experimentation, and iteration.
**Qualifications**
**Required/minimum qualifications:**
 Bachelor's Degree in Computer Science or related technical field AND 8\+ years technical engineering experience with coding in languages including, but not limited to, C, C\+\+, C\#, Java, JavaScript, or Python OR equivalent experience.
**Additional Or Preferred Qualifications**
* Master's Degree in Computer Science or related technical field AND 12\+ years technical engineering experience with coding in languages including, but not limited to, C, C\+\+, C\#, Java, JavaScript, or Python OR Bachelor's Degree in Computer Science or related technical field AND 15\+ years technical engineering experience with coding in languages including, but not limited to, C, C\+\+, C\#, Java, JavaScript, or Python OR equivalent experience.
* 8\+ years of product management experience, with a strong track record of shipping impactful consumer education technology products.
* Deep understanding of learning science, adaptive learning, and engagement\-driven design
* Experience working with cross\-functional teams including research, engineering, design, data, and education stakeholders.
* Passion for improving educational outcomes and creating engaging, student\-centered learning experiences.
* Strong analytical skills with the ability to leverage data to inform product decisions.
* Excellent communication and leadership skills, capable of inspiring teams and influencing senior leaders.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6">
      <c r="A156" t="inlineStr">
        <is>
          <t>li-4341036979</t>
        </is>
      </c>
      <c r="B156" t="inlineStr">
        <is>
          <t>Platform Product Owner II</t>
        </is>
      </c>
      <c r="C156" t="inlineStr">
        <is>
          <t>Forvis Mazars US</t>
        </is>
      </c>
      <c r="D156" t="inlineStr">
        <is>
          <t>linkedin</t>
        </is>
      </c>
      <c r="E156">
        <f>HYPERLINK("https://www.linkedin.com/jobs/view/4341036979", "https://www.linkedin.com/jobs/view/4341036979")</f>
        <v/>
      </c>
      <c r="F156">
        <f>HYPERLINK("https://jobs.forvismazars.us/jobs/10558/platform-product-owner-ii&amp;urlHash=gzvo", "https://jobs.forvismazars.us/jobs/10558/platform-product-owner-ii&amp;urlHash=gzvo")</f>
        <v/>
      </c>
      <c r="G156" t="inlineStr"/>
      <c r="H156" t="inlineStr"/>
      <c r="I156" t="inlineStr">
        <is>
          <t>**Description \&amp; Requirements**
 The Platform Product Owner II (PPO II) is responsible for maximizing the strategic value of their assigned enterprise platforms across the organization. This role leads platform vision, strategy, and execution, partnering with executive leadership, Product Line Managers, technical teams, and vendors. The PPO II drives platform innovation, lifecycle management, and adoption, ensuring platforms deliver measurable business outcomes and align with firm\-wide objectives.
 Ideal candidates will bring experience in product management, enterprise SaaS platforms, and Agile delivery. The candidate will have a proven track record of leading complex initiatives and driving strategic outcomes along with excellent communication skills and a collaborative mindset. The PPO II helps mentor less experienced product owners, influences platform governance, and champions continuous improvement.
**What You Will Do**
* Lead platform strategy, vision, and OKR definition in partnership with executive stakeholders and Product Line Managers.
* Establish and oversee adoption and impact metrics for data\-drive insights and continuous improvement.
* Own platform lifecycle management (selection, implementation, enhancement, release/change, retirement), driving strategic milestones and outcomes.
* Manage day to day intake and triage; translate needs into epics, features, and user stories with clear acceptance criteria for review and prioritization.
* Create and maintain artifacts that clearly communicate functional specifications, user stories, acceptance criteria, and wireframes/prototypes for template development, low\-code/process automation, and custom development as needed.
* Prioritize work based on value, risk, and effort; manage dependencies and capacity in partnership with delivery teams.
* Coordinate creation and maintenance of platform templates and reusable components (e.g., SharePoint site/page templates, Workday configuration/business process templates, Amelio workflow templates)
* Promote reuse and standards; maintain a curated library with ownership, versioning, documentation, and adoption guidance.
* Partner with Software Development Product Owners when custom code or integrations are required to scope work and align timelines.
* Lead cross\-functional delivery activities across internal, vendor, and contract resources to drive quality, timely results; escalate risks/decisions as needed.
* Manage vendor relationships, including QBRs, renewals, SLAs/SOWs, and issue escalations.
* Coordinate vendor\-driven updates, including roadmap monitoring, release analysis, configuration reviews, impact assessments, and cutover planning.
* Manage end to end stakeholder testing (regression, UAT, performance, access controls); collect evidence required for change approvals and audit.
* Prepare materials and route for change approvals; draft and publish release notes and communications; coordinate production rollout and post release validation with System Administration and vendors.
* Collaborate with System Administration to capture configuration requirements and SLO/performance targets; monitor health dashboards and escalate capacity/stability risks.
* Partner with Security, Compliance, and Data Governance to ensure controls (access, privacy, retention, logging) are met; maintain documentation and coordinate audit requests.
**Minimum Qualifications**
* Bachelor's degree in Accounting, Finance, Information Systems, Computer Science, or a related field.
* Enterprise SaaS platforms and ecosystems (e.g., Workday, identity access management tools, Microsoft 365/SharePoint, workflow/orchestration tools such as Amelio or similar).
* Product management best practices, Agile/Lean methodologies, and strategic portfolio management.
* Change management, environment strategies, and advanced testing approaches.
* Security, privacy, and data governance basics (access control, records/retention, logging), and audit expectations.
**Preferred Qualifications**
* Backlog management, story writing, and acceptance criteria definition; wireframing/prototyping for templates and workflows.
* Workshop facilitation, decision documentation, stakeholder communication, and clear release note/training content creation.
* Data\-driven analysis of adoption and impact metrics; strong proficiency with common productivity/analysis tools (e.g., Excel/Power BI).
* Strong organization and time\-management across multiple workstreams and products; meticulous documentation and version control.
* Prior experience with solution design utilizing no\- and low\-code development platforms.
* Proven problem\-solving, decision\-making, and analytical skills.
* Excellent interpersonal and communication skills, and proven ability to collaborate and work effectively with all organizational levels.
**Colorado's Equal Pay for Equal Work Act (SB 19\-085\)**
 Pursuant to Colorado's Equal Pay for Equal Work Act, the salary range displayed is for the Colorado market. The salary for this role will be based on the experience, education, and skill set of the individual for the position. Total compensation and benefits consist of salary, group health plan benefits, 401(K), profit\-sharing contributions, flexible time off, and parental leave. Forvis Mazars reserves the right to make changes to the salary range based on business needs.
**Colorado Salary Range**
 CO Minimum Salary (USD)
 $ 93,500
 CO Maximum Salary (USD)
 $ 171,400
**New York City Pay Transparency**
 Pursuant to the pay transparency laws of New York State and other local ordinances within the state including (but not limited to) New York City, the salary range displayed is for the New York markets. The salary for this role will be based on the experience, education, and skill set of the individual for the position. Total compensation and benefits consist of salary, group health plan benefits, 401(K), profit\-sharing contributions, flexible time off, and parental leave. Forvis Mazars reserves the right to make changes to the salary range based on business needs.
**New York Salary Range**
 NY Minimum Salary (USD)
 $ 112,100
 NY Maximum Salary (USD)
 $ 186,900
**California Pay Transparency**
 Pursuant to the pay transparency laws of California, the salary range displayed is for the California market. The salary for this role will be based on the experience, education, and skill set of the individual for the position. Total compensation and benefits consist of salary, group health plan benefits, 401(K), profit\-sharing contributions, flexible time off, and parental leave. Forvis Mazars reserves the right to make changes to the salary range based on business needs.
**California Salary Range**
 CA Minimum Salary (USD)
 $ 102,800
 CA Maximum Salary (USD)
 $ 186,900
**Los Angeles County and City Fair Chance Ordinance**
 Los Angeles County and City Fair Chance Ordinance", Forvis Mazars will consider for employment all qualified applicants, including those with criminal histories and conviction records, in a manner consistent with the requirements of applicable state and local laws, including but not limited to the City of Los Angeles' Fair Chance Initiative for Hiring Ordinance, the LA County Fair Chance Ordinance, and the California Fair Chance Act." Please see the City of Los Angeles Fair Chance Ordinance and the Los Angeles County Fair Chance Ordinance notice for more information.
**Maryland Wage Transparency**
 Pursuant to Maryland's Wage Range Transparency Law, the salary range displayed is for the Maryland market. The salary for this role will be based on the experience, education, and skill set of the individual for the position. Positions that are non\-exempt will be eligible for overtime pay compensable at a rate of one and a half times the hourly rate for any hours worked over 40 in a work week. Benefits are eligibility\-based and could include group health plan benefits, 401(K), profit\-sharing contributions, flexible time off, and parental leave. Forvis Mazars reserves the right to make changes to the salary range based on business needs.
 MD Minimum Salary (USD)
 $ 93500
 MD Maximum Salary (USD)
 $ 171400
**Massachusetts Wage Transparency**
 Pursuant to the Massachusetts' Wage Transparency Act, the salary range displayed is for the Massachusetts market. The salary for this role will be based on the experience, education, and skill set of the individual for the position. Positions that are non\-exempt will be eligible for overtime pay compensable at a rate of one and a half times the hourly rate for any hours worked over 40 in a work week. Benefits are eligibility\-based and could include group health plan benefits, 401(K), profit\-sharing contributions, flexible time off, and parental leave. Forvis Mazars reserves the right to make changes to the salary range based on business needs.
 MA Minimum Salary (USD)
 $ 102800
 MA Maximum Salary (USD)
 $ 171400
**Illinois Wage Transparency**
 Pursuant to Illinois' Equal Pay Act, the salary range displayed is for the Illinois market. The salary for this role will be based on the experience, education, and skill set of the individual for the position. Non\-exempt/hourly positions will be eligible for time and half pay for employees that work over 40 hours in a workweek. Benefits are eligibility\-based and could include group health plan benefits, 401(K), bonuses, profit\-sharing contributions, flexible time off, and parental leave. For more information on benefits, please visit https://resourcecenter.forvismazars.us/. Forvis Mazars reserves the right to make changes to the salary range based on business needs.
 IL Minimum Salary (USD)
 $ 93500
 IL Maximum Salary (USD)
 $ 171400
**New Jersey Wage Transparency**
 Pursuant to New Jersey's Pay Transparency Law, the salary range displayed is for the New Jersey market. The salary for this role will be based on the experience, education, and skill set of the individual for the position. Positions that are non\-exempt will be eligible for overtime pay compensable at a rate of one and a half times the hourly rate for any hours worked over 40 in a work week. Benefits are eligibility\-based and could include group health plan benefits, 401(K), profit\-sharing contributions, flexible time off, and parental leave. Forvis Mazars reserves the right to make changes to the salary range based on business needs.
 NJ Minimum Salary (USD)
 $ 112100
 NJ Maximum Salary (USD)
 $ 186900
**Vermont Wage Transparency**
 Pursuant to Vermont Act 155, the salary range displayed is for the Vermont market. The salary for this role will be based on the experience, education, and skill set of the individual for the position. Positions that are non\-exempt will be eligible for overtime pay compensable at a rate of one and a half times the hourly rate for any hours worked over 40 in a work week. Benefits are eligibility\-based and could include group health plan benefits, 401(K), profit\-sharing contributions, flexible time off, and parental leave. Forvis Mazars reserves the right to make changes to the salary range based on business needs.
 VT Minimum Salary (USD)
 $ 84100
 VT Maximum Salary (USD)
 $ 155800
**Washington Wage Transparency**
 Pursuant to Washington's Equal Pay and Opportunities Act, the salary range displayed is for the Washington market. The salary for this role will be based on the experience, education, and skill set of the individual for the position. Positions that are non\-exempt will be eligible for overtime pay compensable at a rate of one and a half times the hourly rate for any hours worked over 40 in a work week. Benefits are eligibility\-based and could include group health plan benefits such as medical, dental, vision, tax\-savings plans, 401(K), profit\-sharing contributions, flexible time off, holidays, and parental leave. Forvis Mazars reserves the right to make changes to the salary range based on business needs.
 WA Minimum Salary (USD)
 $ 93500
 WA Maximum Salary (USD)
 $ 186900
**Close Date:** 
 02/16/2026</t>
        </is>
      </c>
    </row>
    <row r="157">
      <c r="A157" t="inlineStr">
        <is>
          <t>li-4341036977</t>
        </is>
      </c>
      <c r="B157" t="inlineStr">
        <is>
          <t>ERP Platform Product Owner I</t>
        </is>
      </c>
      <c r="C157" t="inlineStr">
        <is>
          <t>Forvis Mazars US</t>
        </is>
      </c>
      <c r="D157" t="inlineStr">
        <is>
          <t>linkedin</t>
        </is>
      </c>
      <c r="E157">
        <f>HYPERLINK("https://www.linkedin.com/jobs/view/4341036977", "https://www.linkedin.com/jobs/view/4341036977")</f>
        <v/>
      </c>
      <c r="F157" t="inlineStr"/>
      <c r="G157" t="inlineStr"/>
      <c r="H157" t="inlineStr"/>
      <c r="I157" t="inlineStr">
        <is>
          <t>**Description \&amp; Requirements**
 The ERP Platform Product Owner I (PPO) helps maximize the value of assigned enterprise platforms by championing their strategic vision and coordinating delivery across the full enterprise platform lifecycle. This role is distinguished by its deep involvement in both platform operations and stakeholder engagement, requiring strong collaboration with firms leaders, the Product Line Manager (PLM), technical teams, and vendors.
 The PPO translates business needs into actionable work, manages intake and backlog prioritization, and supports testing, release planning, and change management. The role also ensures platform governance and performance through coordination with compliance, security, and system administration teams.
 Ideal candidates will bring foundational experience in product management, enterprise SaaS platforms, and Agile delivery, along with excellent communication skills and a collaborative mindset.
**What You Will Do**
* Collaborate with platform leaders and the Product Line Manager (PLM) to shape platform vision and define OKRs.
* Track adoption and impact metrics to inform progress updates and continuous improvement.
* Support full lifecycle management of assigned platforms (selection/implementation ? enhancement ? release/change ? retirement) by coordinating milestones, owners, and documentation.
* Manage day to day intake and triage; translate needs into epics, features, and user stories with clear acceptance criteria for review and prioritization.
* Create and maintain artifacts that clearly communicate functional specifications, user stories, acceptance criteria, and lightweight wireframes/prototypes for template development, low\-code/process automation, and custom development as needed.
* Prioritize work based on value, risk, and effort; manage dependencies and capacity in partnership with delivery teams.
* Coordinate creation and maintenance of platform templates and reusable components (e.g., SharePoint site/page templates, Workday configuration/business process templates, Amelio workflow templates)
* Promote reuse and standards; maintain a curated library with ownership, versioning, documentation, and adoption guidance.
* Partner with Software Development Product Owners when custom code or integrations are required to scope work and align timelines.
* Coordinate cross\-functional delivery activities across internal, vendor, and contract resources to drive quality, timely results; escalate risks/decisions as needed.
* Manage vendor relationships, including QBRs, renewals, SLAs/SOWs, and issue escalations.
* Coordinate vendor\-driven updates, including roadmap monitoring, release analysis, configuration reviews, impact assessments, and cutover planning.
* Schedule and track end to end stakeholder testing (regression, UAT, performance, access controls); collect evidence required for change approvals and audit.
* Prepare materials and route for change approvals; draft and publish release notes and communications; coordinate production rollout and post release validation with System Administration and vendors.
* Collaborate with System Administration to capture configuration requirements and SLO/performance targets; monitor health dashboards and escalate capacity/stability risks.
* Partner with Security, Compliance, and Data Governance to ensure controls (access, privacy, retention, logging) are met; maintain documentation and coordinate audit requests.
**Minimum Qualifications**
* Enterprise SaaS platforms and ecosystems (e.g., Workday, Microsoft 365/SharePoint, workflow/orchestration tools such as Amelio or similar).
* Product management fundamentals (backlog, roadmap, value measurement) and Agile/Lean delivery practices.
* Release/change management concepts, environment strategies, and testing approaches (UAT, regression).
* Security, privacy, and data governance basics (access control, records/retention, logging), and audit expectations.
* Backlog management, story writing, and acceptance criteria definition; lightweight wireframing/prototyping for templates and workflows.
* Workshop facilitation, decision documentation, stakeholder communication, and clear release note/training content creation.
* Data\-driven analysis of adoption and impact metrics; proficiency with common productivity/analysis tools (e.g., Excel/Power BI).
* Strong organization and time\-management across multiple workstreams; meticulous documentation and version control.
* Strong background in technology (e.g., requirements, design, development, architecture, cloud technologies, implementations, and operations).
* Prior experience with solution design utilizing no\- and low\-code development platforms.
**Preferred Qualifications**
* Bachelor's degree in Accounting, Finance, Information Systems, Computer Science, or a related field.
**Colorado's Equal Pay for Equal Work Act (SB 19\-085\)**
 Pursuant to Colorado's Equal Pay for Equal Work Act, the salary range displayed is for the Colorado market. The salary for this role will be based on the experience, education, and skill set of the individual for the position. Total compensation and benefits consist of salary, group health plan benefits, 401(K), profit\-sharing contributions, flexible time off, and parental leave. Forvis Mazars reserves the right to make changes to the salary range based on business needs.
**Colorado Salary Range**
 CO Minimum Salary (USD)
 $ 76,500
 CO Maximum Salary (USD)
 $ 140,300
**New York City Pay Transparency**
 Pursuant to the pay transparency laws of New York State and other local ordinances within the state including (but not limited to) New York City, the salary range displayed is for the New York markets. The salary for this role will be based on the experience, education, and skill set of the individual for the position. Total compensation and benefits consist of salary, group health plan benefits, 401(K), profit\-sharing contributions, flexible time off, and parental leave. Forvis Mazars reserves the right to make changes to the salary range based on business needs.
**New York Salary Range**
 NY Minimum Salary (USD)
 $ 91,800
 NY Maximum Salary (USD)
 $ 153,000
**California Pay Transparency**
 Pursuant to the pay transparency laws of California, the salary range displayed is for the California market. The salary for this role will be based on the experience, education, and skill set of the individual for the position. Total compensation and benefits consist of salary, group health plan benefits, 401(K), profit\-sharing contributions, flexible time off, and parental leave. Forvis Mazars reserves the right to make changes to the salary range based on business needs.
**California Salary Range**
 CA Minimum Salary (USD)
 $ 84,200
 CA Maximum Salary (USD)
 $ 153,000
**Los Angeles County and City Fair Chance Ordinance**
 Los Angeles County and City Fair Chance Ordinance", Forvis Mazars will consider for employment all qualified applicants, including those with criminal histories and conviction records, in a manner consistent with the requirements of applicable state and local laws, including but not limited to the City of Los Angeles' Fair Chance Initiative for Hiring Ordinance, the LA County Fair Chance Ordinance, and the California Fair Chance Act." Please see the City of Los Angeles Fair Chance Ordinance and the Los Angeles County Fair Chance Ordinance notice for more information.
**Maryland Wage Transparency**
 Pursuant to Maryland's Wage Range Transparency Law, the salary range displayed is for the Maryland market. The salary for this role will be based on the experience, education, and skill set of the individual for the position. Positions that are non\-exempt will be eligible for overtime pay compensable at a rate of one and a half times the hourly rate for any hours worked over 40 in a work week. Benefits are eligibility\-based and could include group health plan benefits, 401(K), profit\-sharing contributions, flexible time off, and parental leave. Forvis Mazars reserves the right to make changes to the salary range based on business needs.
 MD Minimum Salary (USD)
 $ 76500
 MD Maximum Salary (USD)
 $ 140300
**Massachusetts Wage Transparency**
 Pursuant to the Massachusetts' Wage Transparency Act, the salary range displayed is for the Massachusetts market. The salary for this role will be based on the experience, education, and skill set of the individual for the position. Positions that are non\-exempt will be eligible for overtime pay compensable at a rate of one and a half times the hourly rate for any hours worked over 40 in a work week. Benefits are eligibility\-based and could include group health plan benefits, 401(K), profit\-sharing contributions, flexible time off, and parental leave. Forvis Mazars reserves the right to make changes to the salary range based on business needs.
 MA Minimum Salary (USD)
 $ 82400
 MA Maximum Salary (USD)
 $ 140300
**Illinois Wage Transparency**
 Pursuant to Illinois' Equal Pay Act, the salary range displayed is for the Illinois market. The salary for this role will be based on the experience, education, and skill set of the individual for the position. Non\-exempt/hourly positions will be eligible for time and half pay for employees that work over 40 hours in a workweek. Benefits are eligibility\-based and could include group health plan benefits, 401(K), bonuses, profit\-sharing contributions, flexible time off, and parental leave. For more information on benefits, please visit https://resourcecenter.forvismazars.us/. Forvis Mazars reserves the right to make changes to the salary range based on business needs.
 IL Minimum Salary (USD)
 $ 76500
 IL Maximum Salary (USD)
 $ 140300
**New Jersey Wage Transparency**
 Pursuant to New Jersey's Pay Transparency Law, the salary range displayed is for the New Jersey market. The salary for this role will be based on the experience, education, and skill set of the individual for the position. Positions that are non\-exempt will be eligible for overtime pay compensable at a rate of one and a half times the hourly rate for any hours worked over 40 in a work week. Benefits are eligibility\-based and could include group health plan benefits, 401(K), profit\-sharing contributions, flexible time off, and parental leave. Forvis Mazars reserves the right to make changes to the salary range based on business needs.
 NJ Minimum Salary (USD)
 $ 91800
 NJ Maximum Salary (USD)
 $ 153000
**Vermont Wage Transparency**
 Pursuant to Vermont Act 155, the salary range displayed is for the Vermont market. The salary for this role will be based on the experience, education, and skill set of the individual for the position. Positions that are non\-exempt will be eligible for overtime pay compensable at a rate of one and a half times the hourly rate for any hours worked over 40 in a work week. Benefits are eligibility\-based and could include group health plan benefits, 401(K), profit\-sharing contributions, flexible time off, and parental leave. Forvis Mazars reserves the right to make changes to the salary range based on business needs.
 VT Minimum Salary (USD)
 $ 68900
 VT Maximum Salary (USD)
 $ 127500
**Washington Wage Transparency**
 Pursuant to Washington's Equal Pay and Opportunities Act, the salary range displayed is for the Washington market. The salary for this role will be based on the experience, education, and skill set of the individual for the position. Positions that are non\-exempt will be eligible for overtime pay compensable at a rate of one and a half times the hourly rate for any hours worked over 40 in a work week. Benefits are eligibility\-based and could include group health plan benefits such as medical, dental, vision, tax\-savings plans, 401(K), profit\-sharing contributions, flexible time off, holidays, and parental leave. Forvis Mazars reserves the right to make changes to the salary range based on business needs.
 WA Minimum Salary (USD)
 $ 76500
 WA Maximum Salary (USD)
 $ 153000
**Close Date:** 
 02/16/2026</t>
        </is>
      </c>
    </row>
    <row r="158">
      <c r="A158" t="inlineStr">
        <is>
          <t>li-4267315601</t>
        </is>
      </c>
      <c r="B158" t="inlineStr">
        <is>
          <t>Senior Strategic Product Manager - Life Sciences</t>
        </is>
      </c>
      <c r="C158" t="inlineStr">
        <is>
          <t>MilliporeSigma</t>
        </is>
      </c>
      <c r="D158" t="inlineStr">
        <is>
          <t>linkedin</t>
        </is>
      </c>
      <c r="E158">
        <f>HYPERLINK("https://www.linkedin.com/jobs/view/4267315601", "https://www.linkedin.com/jobs/view/4267315601")</f>
        <v/>
      </c>
      <c r="F158">
        <f>HYPERLINK("https://careers.emdgroup.com/us/en/job/289903/Senior-Strategic-Product-Manager-Life-Sciences?utm_source=linkedin&amp;utm_medium=phenom-feeds&amp;urlHash=GIMD", "https://careers.emdgroup.com/us/en/job/289903/Senior-Strategic-Product-Manager-Life-Sciences?utm_source=linkedin&amp;utm_medium=phenom-feeds&amp;urlHash=GIMD")</f>
        <v/>
      </c>
      <c r="G158" t="inlineStr">
        <is>
          <t>Bedford, MA</t>
        </is>
      </c>
      <c r="H158" t="inlineStr"/>
      <c r="I158"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We have an exciting opportunity for you to join as a Senior Strategic Product Manager in a highly visible role within the Single Use and Integrated Systems Business Franchise. You will act as the business owner to set the direction and drive the growth of our product portfolio, focusing on Fill \&amp; Finish and Sterile Sampling applications in the GLP\-1 market. Your deep knowledge of global market dynamics, customer applications, and business opportunities will be essential in developing and implementing strategies for market leadership in this evolving sector.
**What You Will Do**
* Develop a clear vision and strategic plan, including long\-range planning, product portfolio positioning, and evolution of the portfolio for modalities/applications that create value for customers, with a focus on the GLP\-1 market.
* Act as the owner to drive the product development roadmap, including business cases, market sizing, financial analysis, and forecasting, and lead successful product launches from concept through commercialization, particularly for the GLP\-1 market.
* Work collaboratively and cross\-functionally with R\&amp;D, commercial, operations, and other key business partners to drive business results in a global high matrix setup.
* Actively monitor competitive activity, market trends, and customer feedback related to GLP\-1, translating these insights into winning strategies for new and existing products.
* Develop and execute Annual Operating Plans (AOP), including go\-to\-market execution focused on revenue growth, operating margin, innovation, and lifecycle management.
* Formulate pricing strategies to maximize top and bottom\-line goals, taking into account the competitive landscape.
* Frequently present updates and insights to stakeholders, sponsors, and senior management, focusing on the impact of your strategies in the GLP\-1 market.
 We invite you to bring your expertise and passion for innovation to our team as we strive to lead in the GLP\-1 market and beyond. Join us in making a meaningful impact!
**Who You Are**
**Minimum Qualifications:**
* Bachelor’s Degree in a scientific or engineering discipline.
* 5\+ years of experience in a product management and/or strategic marketing role, preferably within the bioprocessing industry.
**Preferred Qualifications**
* Experience in the bioprocessing industry and single\-use manufacturing, ideally in sampling and Fill \&amp; Finish applications.
* Comprehensive Understanding of Single\-Use Assemblies: Strong understanding of single\-use assemblies and their critical role in sampling and Fill \&amp; Finish applications within the bioprocessing industry, focusing on their impact on process efficiency, regulatory compliance, and overall enhancement of operational workflows.
* Familiarity with the GLP\-1 market and its dynamics is highly desirable.
* Advanced degree in a quantitative or scientific field (MBA, Master’s, or PhD) is preferred.
* Strong problem\-solving skills with attention to detail, along with the ability to analyze business impact and make effective decisions.
* Excellent analytical and communication skills, including proficiency in written, verbal, and presentation formats.
* Proven experience in digital solutions, particularly integrated systems with software and customer\-facing design configurator tools.
* Self\-motivated and energetic, with a strong ability to drive business results and initiatives.
* Excellent organizational and interpersonal skills, demonstrating the ability to thrive in a fast\-paced, cross\-functional environment.
* Ability to manage multiple projects simultaneously with a high degree of independence and agility.
* Highly collaborative, with a demonstrated ability to influence and navigate within a global matrix organization.
 Pay Range for this position: $120,600\-181,300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159">
      <c r="A159" t="inlineStr">
        <is>
          <t>li-4342931664</t>
        </is>
      </c>
      <c r="B159" t="inlineStr">
        <is>
          <t>Senior Product Manager- Credit, Cash Advance &amp; Lending</t>
        </is>
      </c>
      <c r="C159" t="inlineStr">
        <is>
          <t>Alt</t>
        </is>
      </c>
      <c r="D159" t="inlineStr">
        <is>
          <t>linkedin</t>
        </is>
      </c>
      <c r="E159">
        <f>HYPERLINK("https://www.linkedin.com/jobs/view/4342931664", "https://www.linkedin.com/jobs/view/4342931664")</f>
        <v/>
      </c>
      <c r="F159" t="inlineStr"/>
      <c r="G159" t="inlineStr"/>
      <c r="H159" t="inlineStr"/>
      <c r="I159"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Alt’s cash advance and lending products are rapidly becoming core revenue drivers. We’re hiring a Senior PM to own the full credit system end\-to\-end — underwriting logic, risk thresholds, expected\-loss modeling, decisioning speed, borrowing experience, and all operational workflows linked to sending and receiving funds.
 This role sits at the intersection of credit risk, financial modeling, product design, and operational execution. You’ll partner closely with Pricing (Alt Value), Data Science, Finance, and CX to build a world\-class credit engine that delivers fast liquidity while maintaining strong portfolio performance.
 You do not need to be a quant, but you must be comfortable with underwriting fundamentals, expected\-vs\-actual loss modeling, LTV logic, and risk controls — and equally comfortable designing clean, intuitive borrower flows. You will own both the backend credit engine and the customer\-facing UI/UX for cash advances and loans.
*This is a high\-impact role directly tied to revenue, capital efficiency, and customer trust.*
**Why This Role Exists**
 Alt’s lending and cash advance products require fast, accurate underwriting and seamless customer experiences. As we scale to larger loan sizes, more asset categories, and additional financing products, we need a dedicated PM to own the credit decisioning engine and improve both portfolio outcomes and customer liquidity.
 Your mandate is to increase usable liquidity for customers (more accepted offers, more completed loans), while reducing losses and improving model accuracy.
**What You’ll Own**
* Credit Decisioning Engine
* Own underwriting logic for both cash advances and loans.
* Partner with Data Science to refine model thresholds, LTV caps, expected\-loss calculations, and override rules.
* Improve calibration between expected loss (EL) and actual portfolio performance.
* Ensure decisioning is fast, consistent, and scalable across asset categories.
* Cash Advance \&amp; Lending Product Experience
* Own the borrower UI/UX end\-to\-end: application → offer → funding → repayment.
* Improve clarity, trust, and ease\-of\-use in the borrowing experience.
* Reduce friction and increase completion rates for both cash advances and loans.
* Develop features that encourage responsible, repeat borrowing.
* Portfolio Performance \&amp; Risk
* Monitor loss rates, delinquency, utilization, and customer repayment behavior.
* Work with Finance to maintain healthy margins and capital efficiency.
* Implement guardrails that reduce adverse selection and improve overall risk quality.
* Build dashboards and reporting that clearly communicate model health.
* Operational Workflows
* Own CX/Ops flows related to funding, repayment, manual review, and exceptions.
* Reduce operational overhead through automation and clear logic pathways.
* Ensure operational processes scale with volume while maintaining strong controls.
* Roadmap \+ Execution
* Build and own the quarterly roadmap for cash advances and lending.
* Align Engineering, Data Science, CX, Finance, Compliance, and Marketplace Ops.
* Communicate priorities clearly and drive disciplined, cross\-functional execution.
**Metrics You’ll Own**
**Northstar Metric:** 
 Risk\-Adjusted Portfolio Performance
 (Balancing high advance/lending volume with model accuracy, low losses, and healthy customer repayment.)
**KPIs**
**Offer Acceptance Rate** 
 (cash advances)
 → % of customers who receive and accept an advance offer
**Lending Conversion Rate** 
 (loans)
 → % of customers who complete the lending flow and take out a loan
**Loss Rate vs Expected Loss** 
 (EL)
 → Calibration of the underwriting model
**Delinquency Rate** 
 (Loans)
 → Portfolio health and repayment behavior
**What Great Looks Like (6 Months)**
* Higher offer acceptance and lending conversion without increasing losses.
* Faster underwriting decisions (hours → minutes).
* Improved model calibration: expected loss vs actual loss variance reduced.
* A simpler, more intuitive borrowing experience that increases customer trust and usage.
* Clean, scalable operational workflows with fewer manual interventions.
* Predictable, stable portfolio performance tied directly to Alt Value.
**Who You Are**
* 5–8\+ years of PM experience in credit, lending, underwriting, risk, or fintech.
* Strong understanding of underwriting logic, expected\-loss modeling, delinquency, and LTV frameworks.
* Comfortable interpreting model outputs and turning them into credit rules and customer\-facing flows.
* Experienced partnering with Finance, Data Science, CX, and Engineering.
* A product thinker who can simplify complex financial decisions into clear, user\-friendly interfaces.
* Able to operate at multiple altitudes — from credit model details to high\-level product strategy.
* You move fast, take ownership, and communicate clearly.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$170,000 \- $180,000, plus equity. Offers may vary based on experience, location, and other factors.</t>
        </is>
      </c>
    </row>
    <row r="160">
      <c r="A160" t="inlineStr">
        <is>
          <t>li-4368675552</t>
        </is>
      </c>
      <c r="B160" t="inlineStr">
        <is>
          <t>Principal, Product Manager – Data Foundations &amp; Measurement [Ads]</t>
        </is>
      </c>
      <c r="C160" t="inlineStr">
        <is>
          <t>Fetch</t>
        </is>
      </c>
      <c r="D160" t="inlineStr">
        <is>
          <t>linkedin</t>
        </is>
      </c>
      <c r="E160">
        <f>HYPERLINK("https://www.linkedin.com/jobs/view/4368675552", "https://www.linkedin.com/jobs/view/4368675552")</f>
        <v/>
      </c>
      <c r="F160" t="inlineStr"/>
      <c r="G160" t="inlineStr">
        <is>
          <t>Madison, WI</t>
        </is>
      </c>
      <c r="H160" t="inlineStr"/>
      <c r="I160" t="inlineStr">
        <is>
          <t>**What we’re building and why we’re building it.**
 Every month, millions of people use Fetch,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**About The Role**
 We’re looking for a Principal Product Manager, Data Foundations \&amp; Measurement to define and drive Fetch’s end\-to\-end data and measurement strategy. In this highly technical role, you’ll work deep within our data workflows and systems to build scalable ad products, unify our data sources, and establish standardized frameworks across ad objects and surfaces.
 You’ll partner closely with Engineering, Design, Analytics, and Sales to build the foundational capabilities that power our data and measurement ecosystem. As the organization’s measurement expert, you will set the standards for how measurement is defined and applied across Fetch, shape our on\- and off\-platform measurement strategies, and determine what data we share with partners and how we deliver it.
 As part of the broader data strategy, you will also help define how we approach audience construction and scaling, and identify tooling that accelerates system and product development including solutions like text\-to\-SQL or agentic technologies. Additionally, you will own the development of our sellable data strategy, ensuring Fetch’s unique data assets are packaged and monetized effectively.
 You’ll be joining Fetch at a pivotal moment, as new technologies and tooling transform how we build, integrate, and scale our products.
 This is a full\-time role that can be held from one of our US offices or remotely in the United States.
**What You’ll Do**
* Own the vision, strategy, and execution for Fetch’s data, audience, and measurement foundation—building robust, scalable systems that support all ad products.
* Develop standardized frameworks used across ad objects, surfaces, and measurement workflows.
* Shape Fetch’s measurement strategy, including on\- and off\-platform products, key measurement partnerships, and the frameworks for partner\-facing data delivery.
* Lead the development of our sellable data strategy, determining how Fetch’s unique data assets should be packaged, governed, and monetized.
* Help shape how off\-platform audiences are constructed, scaled, and operationalized.
* Identify and implement tooling that accelerates data and product workflows including solutions like text\-to\-SQL or agentic technologies.
* Work closely with Engineering, Data Science, Analytics, Sales, and Operations to align on priorities, make trade\-offs, and drive execution.
* Collaborate with GTM and Business Development to identify, evaluate, and build partnerships across the data and measurement ecosystem.
**Minimum Qualifications**
* 7\+ years of product management experience, including 3\+ years in ad tech with a strong track record of building data\-intensive or measurement\-focused products.
* Technical proficiency in data and measurement systems, including data pipelines, APIs, event taxonomies, reporting and eligibility frameworks, conversion modeling, and partner\-facing data delivery. Comfortable partnering with engineering on architecture, data models, and system design.
* Proven ability to set strategy, make trade\-offs, and drive alignment across engineering, analytics, product, operations, sales, and executive stakeholders.
* Strong technical aptitude and fluency working with data systems, measurement pipelines, APIs, and emerging tools such as text\-to\-SQL or agentic technologies.
* Comfort operating in ambiguity—able to define problem spaces, create structure, and drive execution with limited guidance.
* A self\-starter mindset with the ability to work independently and thrive in fast\-changing environments.
* Excellent communication skills for working with internal teams as well as external partners and vendors.
* Strong problem\-solving skills and the ability to reason through complex systems and data\-rich challenges.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t>
        </is>
      </c>
    </row>
    <row r="161">
      <c r="A161" t="inlineStr">
        <is>
          <t>li-4353011331</t>
        </is>
      </c>
      <c r="B161" t="inlineStr">
        <is>
          <t>Senior Product Manager - Financial Crimes</t>
        </is>
      </c>
      <c r="C161" t="inlineStr">
        <is>
          <t>Mercury</t>
        </is>
      </c>
      <c r="D161" t="inlineStr">
        <is>
          <t>linkedin</t>
        </is>
      </c>
      <c r="E161">
        <f>HYPERLINK("https://www.linkedin.com/jobs/view/4353011331", "https://www.linkedin.com/jobs/view/4353011331")</f>
        <v/>
      </c>
      <c r="F161">
        <f>HYPERLINK("https://job-boards.greenhouse.io/mercury/jobs/5763600004&amp;urlHash=REMy", "https://job-boards.greenhouse.io/mercury/jobs/5763600004&amp;urlHash=REMy")</f>
        <v/>
      </c>
      <c r="G161" t="inlineStr"/>
      <c r="H161" t="inlineStr"/>
      <c r="I161" t="inlineStr">
        <is>
          <t>Risk is the nervous system behind every magical banking\* experience. It senses, responds, protects, without fanfare. It doesn’t power motion, but without it, motion goes awry.
 At Mercury, we build systems that identify good customers and protect them. We create fluid, intelligent experiences that let customers move confidently and securely through their day. We believe our obligation to the customer does not stop with the transaction but our aim is to ensure a strong financial ecosystem across the entire banking infrastructure.
 We’re looking for a Senior Product Manager to lead the evolution of our Financial Crimes systems. You’ll define and build the infrastructure that underpins our Anti\-Money Laundering and Sanctions monitoring and reporting.
 This role is ideal for someone who sees platforms not as abstract systems, but as multipliers of impact. Someone who understands that well\-structured data and decisions are the foundation for everything from delightful automation to resilient control.
*\*Mercury is a fintech company, not an FDIC\-insured bank. Banking services provided through Choice Financial Group and Column N.A., Members FDIC.*
**What you'll do:**
* Define the vision and technical roadmap for Mercury’s FinCrimes team.
* Build flexible, high precision monitoring platforms
* Ensure reporting requirements are seamless and efficient
* Partner with engineering, risk strategy, data science, and risk operations to design APIs, data platforms, rule engines, and model orchestration workflows
* Enable continuous improvement by designing feedback loops that connect decisions to outcomes
* Collaborate with domain PMs (fraud, onboarding) to build reusable capabilities that reduce redundancy and amplify speed
* Establish a platform strategy that balances extensibility, resilience, observability, and performance. Balancing internal systems with external partners.
* Define and track platform health, adoption, and impact metrics
**What you bring:**
* 7\+ years of product management experience, including time spent building platform or infrastructure products
* Good understanding of AML and Sanctions domain
* Technical fluency; ability to dive deep in partnership with engineering while maintaining clarity for non\-technical stakeholders
* A product mindset that blends customer empathy with systems thinking
* Track record of creating internal tools or platforms that unlock speed, consistency, or quality across product teams
* Experience partnering with ML/DS teams to deploy and manage risk or scoring models
* Comfort operating in ambiguity and building new foundations from scratch
* Experience in risk, compliance, or financial services is a plus, but not required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162">
      <c r="A162" t="inlineStr">
        <is>
          <t>li-4325466921</t>
        </is>
      </c>
      <c r="B162" t="inlineStr">
        <is>
          <t>Principal Product Manager, Inventory &amp; Real Time Bidding</t>
        </is>
      </c>
      <c r="C162" t="inlineStr">
        <is>
          <t>The Trade Desk</t>
        </is>
      </c>
      <c r="D162" t="inlineStr">
        <is>
          <t>linkedin</t>
        </is>
      </c>
      <c r="E162">
        <f>HYPERLINK("https://www.linkedin.com/jobs/view/4325466921", "https://www.linkedin.com/jobs/view/4325466921")</f>
        <v/>
      </c>
      <c r="F162">
        <f>HYPERLINK("https://job-boards.greenhouse.io/thetradedesk/jobs/4996328007?gh_src=1c01b2067us&amp;urlHash=LCBO", "https://job-boards.greenhouse.io/thetradedesk/jobs/4996328007?gh_src=1c01b2067us&amp;urlHash=LCBO")</f>
        <v/>
      </c>
      <c r="G162" t="inlineStr">
        <is>
          <t>San Jose, CA</t>
        </is>
      </c>
      <c r="H162" t="inlineStr"/>
      <c r="I162"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a driven Principal Product Manager to run our real time bidding (RTB) connections and capabilities who learns fast, who is humble and values teamwork; who is hungry and believes they can contribute to a better Open Internet. We’re looking for someone fluent in RTB and the nuts and bolts of how digital advertising works. The ideal candidate will be technical, data\-driven, creative, business savvy and have previously created products that had genuine impact.
 We are looking for someone who is growth\-oriented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our lead in the industry.
 WHAT YOU WILL BE DOING:
 The Trade Desk is dedicated to the mission of supporting and growing the Open Internet. In this role you will drive products within our inventory supply team at The Trade Desk.
 You will own the vision, roadmap and execution for these products. You will work across a breadth of products within our inventory and bidding stack that have API experiences, data science models, data engineering pipelines, and high throughput decisioning capabilities. You understand how data flows through a Demand Side Platform from the time a device has an impression opportunity on a publisher, the supply systems send a bid request, a DSP responds, an advertisement is purchased, and subsequently measured. You are an expert in RTB protocols and have strong opinions on how to make them better. Your work will have a direct impact on the way internet advertising operates globally both within and outside of The Trade Desk. You will start small, test, learn and go big. You will collaborate with cross\-functional partners in other organizations, while also displaying the ability to “show up senior” in frequent executive forums. You will work with agencies, advertisers, publishers, supply side platforms and be able to navigate between them fluently. We value relationships and trust building in our team. We look for win\-wins when working with publishers and partners. Your technical and business skills should complement refined soft skills and a passion to build and be a part of a highly effective team.
 WHAT YOU BRING TO THE TABLE:
 A track record of product leadership achieving audacious business goals involving advertising technology.
* 8\+ years of advertising technology Product Management experience where you demonstrated a sustained track record of driving contributions to impactful projects.
* A deep understanding of RTB advertising protocols and standards, such as OpenRTB and Prebid.js. You have a drive to make these technologies better.
* An understanding of the internet and how advertising operates on top of it at the most atomic elements.
* You have hands\-on experience at a technical level within one or more key channels like Display, Video, Connected TV. Experience in Audio and Digital Out of Home is a plus.
* A nuanced technical and business understanding of open internet inventory quality measurement techniques and technologies
* A strong understanding of how ad servers are configured and how various supply\-side yield optimization strategies work.
* Understand how decisions on inventory impact the customer experience within a DSP, campaign delivery and performance
* Analytical mindset and skills to dive into the data using SQL\-based tools to find insights. On your own for quick insights, but also leveraging partnership with data science and analytics teams for deep analysis.
* A passion for protecting and growing the Open Internet.
* A proven track record of partnering with engineering teams to solve complex technical problems and delivering large and impactful software projects.
* Excellent communication skills, including the confidence to participate in very technical conversations, the ability to drive consensus and commitment, and the ability to crisply communicate delivery timelines, trade\-offs, and risks to senior management.
* Durability and grit \-\- sometimes solutions take creative thinking, multiple iterations, and staging while dependencies solidify.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63">
      <c r="A163" t="inlineStr">
        <is>
          <t>li-4325510516</t>
        </is>
      </c>
      <c r="B163" t="inlineStr">
        <is>
          <t>Principal Product Manager, Inventory &amp; Real Time Bidding</t>
        </is>
      </c>
      <c r="C163" t="inlineStr">
        <is>
          <t>The Trade Desk</t>
        </is>
      </c>
      <c r="D163" t="inlineStr">
        <is>
          <t>linkedin</t>
        </is>
      </c>
      <c r="E163">
        <f>HYPERLINK("https://www.linkedin.com/jobs/view/4325510516", "https://www.linkedin.com/jobs/view/4325510516")</f>
        <v/>
      </c>
      <c r="F163">
        <f>HYPERLINK("https://job-boards.greenhouse.io/thetradedesk/jobs/4996328007?gh_src=1c01b2067us&amp;urlHash=LCBO", "https://job-boards.greenhouse.io/thetradedesk/jobs/4996328007?gh_src=1c01b2067us&amp;urlHash=LCBO")</f>
        <v/>
      </c>
      <c r="G163" t="inlineStr">
        <is>
          <t>Bellevue, WA</t>
        </is>
      </c>
      <c r="H163" t="inlineStr"/>
      <c r="I163"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a driven Principal Product Manager to run our real time bidding (RTB) connections and capabilities who learns fast, who is humble and values teamwork; who is hungry and believes they can contribute to a better Open Internet. We’re looking for someone fluent in RTB and the nuts and bolts of how digital advertising works. The ideal candidate will be technical, data\-driven, creative, business savvy and have previously created products that had genuine impact.
 We are looking for someone who is growth\-oriented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our lead in the industry.
 WHAT YOU WILL BE DOING:
 The Trade Desk is dedicated to the mission of supporting and growing the Open Internet. In this role you will drive products within our inventory supply team at The Trade Desk.
 You will own the vision, roadmap and execution for these products. You will work across a breadth of products within our inventory and bidding stack that have API experiences, data science models, data engineering pipelines, and high throughput decisioning capabilities. You understand how data flows through a Demand Side Platform from the time a device has an impression opportunity on a publisher, the supply systems send a bid request, a DSP responds, an advertisement is purchased, and subsequently measured. You are an expert in RTB protocols and have strong opinions on how to make them better. Your work will have a direct impact on the way internet advertising operates globally both within and outside of The Trade Desk. You will start small, test, learn and go big. You will collaborate with cross\-functional partners in other organizations, while also displaying the ability to “show up senior” in frequent executive forums. You will work with agencies, advertisers, publishers, supply side platforms and be able to navigate between them fluently. We value relationships and trust building in our team. We look for win\-wins when working with publishers and partners. Your technical and business skills should complement refined soft skills and a passion to build and be a part of a highly effective team.
 WHAT YOU BRING TO THE TABLE:
 A track record of product leadership achieving audacious business goals involving advertising technology.
* 8\+ years of advertising technology Product Management experience where you demonstrated a sustained track record of driving contributions to impactful projects.
* A deep understanding of RTB advertising protocols and standards, such as OpenRTB and Prebid.js. You have a drive to make these technologies better.
* An understanding of the internet and how advertising operates on top of it at the most atomic elements.
* You have hands\-on experience at a technical level within one or more key channels like Display, Video, Connected TV. Experience in Audio and Digital Out of Home is a plus.
* A nuanced technical and business understanding of open internet inventory quality measurement techniques and technologies
* A strong understanding of how ad servers are configured and how various supply\-side yield optimization strategies work.
* Understand how decisions on inventory impact the customer experience within a DSP, campaign delivery and performance
* Analytical mindset and skills to dive into the data using SQL\-based tools to find insights. On your own for quick insights, but also leveraging partnership with data science and analytics teams for deep analysis.
* A passion for protecting and growing the Open Internet.
* A proven track record of partnering with engineering teams to solve complex technical problems and delivering large and impactful software projects.
* Excellent communication skills, including the confidence to participate in very technical conversations, the ability to drive consensus and commitment, and the ability to crisply communicate delivery timelines, trade\-offs, and risks to senior management.
* Durability and grit \-\- sometimes solutions take creative thinking, multiple iterations, and staging while dependencies solidify.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64">
      <c r="A164" t="inlineStr">
        <is>
          <t>li-4346057647</t>
        </is>
      </c>
      <c r="B164" t="inlineStr">
        <is>
          <t>Senior Product Manager, Growth and Customer Acquisition</t>
        </is>
      </c>
      <c r="C164" t="inlineStr">
        <is>
          <t>Willow Wealth</t>
        </is>
      </c>
      <c r="D164" t="inlineStr">
        <is>
          <t>linkedin</t>
        </is>
      </c>
      <c r="E164">
        <f>HYPERLINK("https://www.linkedin.com/jobs/view/4346057647", "https://www.linkedin.com/jobs/view/4346057647")</f>
        <v/>
      </c>
      <c r="F164">
        <f>HYPERLINK("https://ats.rippling.com/yieldstreet/jobs/a71fda1a-6ef2-474b-9f0d-a40fa1f314ab?scr=Linkedin&amp;urlHash=Im-e", "https://ats.rippling.com/yieldstreet/jobs/a71fda1a-6ef2-474b-9f0d-a40fa1f314ab?scr=Linkedin&amp;urlHash=Im-e")</f>
        <v/>
      </c>
      <c r="G164" t="inlineStr">
        <is>
          <t>New York, NY</t>
        </is>
      </c>
      <c r="H164" t="inlineStr"/>
      <c r="I164" t="inlineStr">
        <is>
          <t>**About Willow Wealth**
 Willow Wealth is the leading private markets investment platform. We believe that private market investment products should be a fundamental part of your portfolio. That’s why we’re unlocking access to make it easier than ever to get started. We partner with top\-tier investment managers to provide investors with a wide range of opportunities across real estate, venture capital, private equity, art, short\-term notes, and more. All of our offerings are curated and vetted by our team to help investors diversify away from the stock market with confidence.
 All Willow Wealth offices follow a hybrid work model.
**About The Role**
 Willow Wealth is looking for a
 ****Senior Product Manager****
 focused on
 ****Growth and Customer Acquisition****
 to accelerate our top\-of\-funnel conversion and enhance our first\-time investor experience. In this role, you will be responsible for driving the product strategy and execution that enables new customers to confidently make their first investment. You’ll report to a Director of Product and will partner closely with Marketing, Design, Engineering, Data, Customer Support, and Operations.
 This is a highly cross\-functional, analytical role. The successful candidate will be capable of blending product intuition with qualitative insights and experimentation. You will shape the onboarding flow, optimize drop\-off points across the conversion funnel, support our paid marketing strategy, collaborate on enhancements to lifecycle communications, and lead user research when conversion trends require deeper investigation.
**Key Responsibilities**
* Own the end\-to\-end first\-time customer journey, from signup through first investment, and continuously optimize funnel performance and conversion rates
* Partner with Marketing to optimize paid acquisition strategy and to develop and test features and communications that drive engagement and conversion
* Identify, prioritize, and execute platform improvements that reduce friction and educate new customers
* Analyze quantitative and qualitative data to understand user behavior and prioritize opportunities
* Develop and run A/B tests and other experiments that unlock conversion lifts
* Conduct user interviews and other research when performance deteriorates or when deeper behavioral insights are needed
* Partner with Design and Engineering to define requirements, manage scope, and deliver high\-quality product updates
* Serve as an advocate for new customers, ensuring Willow Wealth builds trust and transparency during the most critical stages of the user journey
**Qualifications**
* At least 5 years of product management experience, with a strong focus on growth, onboarding funnel optimization, or customer acquisition
* Excellent communication and collaboration skills; ability to align cross\-functional stakeholders and influence without formal authority
* Strong analytical skills; ability to synthesize diverse sets of data into a well\-formed hypothesis or product strategy
* Comfortable with quantitative data analysis, experimentation frameworks and relevant statistical concepts; experience conducting user research interviews
* Experience with Google Analytics, Braze, Intercom, Salesforce or similar CRM/analytics platforms
* Demonstrated ability to operate with a high degree of autonomy and responsibility, thriving in ambiguous problem spaces with limited direction
* Experience working in the financial services sector or a highly regulated environment is a strong plus
**What's In It For You**
 Competitive compensation packages, including equity
 Health, dental \&amp; vision coverage with FSA/HSA options
 Unlimited PTO
 401k Match
 Commuter benefit
 Life insurance
 This is a New York\-based role. The base salary range for this position is USD 150,000 to 170,000 annually, depending on experience and qualifications. This role is eligible for equity as part of the total compensation package.</t>
        </is>
      </c>
    </row>
    <row r="165">
      <c r="A165" t="inlineStr">
        <is>
          <t>li-4286954500</t>
        </is>
      </c>
      <c r="B165" t="inlineStr">
        <is>
          <t>Staff Product Manager (Enterprise &amp; AI Governance)</t>
        </is>
      </c>
      <c r="C165" t="inlineStr">
        <is>
          <t>Workato</t>
        </is>
      </c>
      <c r="D165" t="inlineStr">
        <is>
          <t>linkedin</t>
        </is>
      </c>
      <c r="E165">
        <f>HYPERLINK("https://www.linkedin.com/jobs/view/4286954500", "https://www.linkedin.com/jobs/view/4286954500")</f>
        <v/>
      </c>
      <c r="F165">
        <f>HYPERLINK("https://job-boards.greenhouse.io/workato/jobs/8116160002?gh_src=162ubekx2us&amp;urlHash=IGTg", "https://job-boards.greenhouse.io/workato/jobs/8116160002?gh_src=162ubekx2us&amp;urlHash=IGTg")</f>
        <v/>
      </c>
      <c r="G165" t="inlineStr">
        <is>
          <t>Palo Alto, CA</t>
        </is>
      </c>
      <c r="H165" t="inlineStr"/>
      <c r="I165" t="inlineStr">
        <is>
          <t>**About Workato**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Ultimately, Workato believes in fostering a
 **flexible, trust\-oriented culture that empowers everyone to take full ownership of their roles** 
 . We are driven by
 **innovation** 
 and looking for
 **team players** 
 who want to actively build our company.
 But, we also believe in
 **balancing productivity with self\-care** 
 .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Drive the future of enterprise automation governance at Workato, the leading Enterprise Orchestration platform. As
 **Staff Product Manager** 
 for Enterprise \&amp; AI Governance, you'll deliver next\-generation governance capabilities that enable Fortune 500 companies to scale AI\-powered integrations securely across global operations while meeting the strictest regulatory and enterprise architecture requirements.
* Enterprise Governance \&amp; AI Control
+ Own the roadmap for centralized governance across Workato's enterprise platform, including agentic AI governance, autonomous workflow controls, and intelligent policy enforcement. Design automated compliance frameworks that scale from hundreds to thousands of integrations while maintaining enterprise\-grade security.
* Access Control \&amp; Identity Management
+ Define and deliver advanced RBAC systems and least\-privilege access controls that work seamlessly across multi\-cloud, hybrid environments. Partner with engineering to build policy\-as\-code capabilities and real\-time access governance.
* Compliance Automation
+ Build compliance automation tools supporting SOC 2, GDPR, HIPAA, SOX, and emerging AI regulations like the EU AI Act. Create self\-service governance workflows that reduce manual compliance overhead by 70%.
**Success Metrics**
* Accelerate enterprise adoption: Enable 40% faster enterprise\-wide Workato deployment through centralized governance and automated compliance workflows.
* Reduce administrative burden: Decrease governance overhead by 70% through intelligent automation and policy\-driven access management.
* Drive customer success: Enable 80% of enterprise customers to deploy governance frameworks within the first 30 days.
* Lead AI governance: Pioneer agentic AI governance for integration platforms, supporting autonomous workflows with built\-in guardrails.
**Requirements**
**Qualifications / Experience / Technical Skills**
**Essential Experience**
* 7\+ years product management experience in enterprise B2B SaaS platforms, with 4\+ years in governance, security, or identity management.
* Deep understanding of enterprise access control models (RBAC, ABAC), identity protocols (SAML, OAuth 2\.0, OIDC), and policy management frameworks.
* Knowledge of enterprise IT governance frameworks (ITIL, COBIT, NIST) and regulatory requirements (SOC 2, GDPR, HIPAA, SOX).
* Experience with policy\-as\-code implementation and enterprise integration patterns.
* SQL proficiency for governance analytics and compliance reporting.
**AI \&amp; Modern Governance**
* Understanding of AI governance principles including model bias detection, algorithmic transparency, and automated policy enforcement.
* Knowledge of agentic AI systems and autonomous workflow governance challenges.
* Familiarity with emerging AI regulations and their impact on enterprise software platforms.
**Leadership \&amp; Execution**
* Track record of shipping governance features that scaled to thousands of enterprise users.
* Experience collaborating with security teams, compliance officers, and IT administrators across global organizations.
* Strong analytical skills with experience defining and tracking governance KPIs and compliance metrics.
 For California applicants, the pay for this role may range between $170,000 \- $230,000 plus benefits, perks, and equity. The final package will depend on the interview process, we're open to negotiation.
**(REQ ID: 2248\)**</t>
        </is>
      </c>
    </row>
    <row r="166">
      <c r="A166" t="inlineStr">
        <is>
          <t>li-4353171140</t>
        </is>
      </c>
      <c r="B166" t="inlineStr">
        <is>
          <t>Senior Commercial Product Manager – NGS Solutions</t>
        </is>
      </c>
      <c r="C166" t="inlineStr">
        <is>
          <t>Integrated DNA Technologies</t>
        </is>
      </c>
      <c r="D166" t="inlineStr">
        <is>
          <t>linkedin</t>
        </is>
      </c>
      <c r="E166">
        <f>HYPERLINK("https://www.linkedin.com/jobs/view/4353171140", "https://www.linkedin.com/jobs/view/4353171140")</f>
        <v/>
      </c>
      <c r="F166" t="inlineStr"/>
      <c r="G166" t="inlineStr">
        <is>
          <t>San Diego, CA</t>
        </is>
      </c>
      <c r="H166" t="inlineStr"/>
      <c r="I166" t="inlineStr">
        <is>
          <t>**Bring more to life.**
 Are you ready to accelerate your potential and make a real difference within life sciences, diagnostics and biotechnology?
 At Integrated DNA Technologies (IDT),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Our team at Integrated DNA Technologies (IDT) is united by a commitment to collaboration and scientific excellence, building on a strong foundation of innovation, expertise, and reliability. Guided by our vision to help researchers rapidly move from the lab to life\-changing advances, we work closely with global partners to accelerate progress and genomics breakthroughs across fields such as cancer, infectious diseases, rare genetic disorders, and more. At IDT, you’ll be part of a culture rooted in continuous learning and improvement—where your growth fuels our mission to accelerate the pace of genomics and helps shape a healthier, brighter future for all.
 Learn about the Danaher Business System, which makes everything possible.
 The Sr. Commercial Product Manager – NGS Solutions is responsible for collaborating cross\-functionally with Sales and Marketing to drive revenue and margin growth in alignment with long\-term business objectives.
 This position reports to the Vice President, Gene Reading Solutions, and is part of the Integrated DNA Technologies Business Unit, located in Boulder, CO. It will be an on\-site role.
**In This Role, You Will Have The Opportunity To**
* Develop an annual strategic plan to drive actions that lead to sustainable growth and the advancement of strategic objectives
* Serve as a commercial subject matter expert and product champion internally and externally
* Regularly analyze market trends, competitor performance, sales channels, and regulatory requirements
* Manage product life cycle from new product launch to obsolescence
* Partner with Sales and Marketing teams to develop effective positioning strategies, marketing campaigns, collateral, sales tools, and training programs to drive growth
**The Essential Requirements Of The Job Include**
* Bachelor’s degree in a relevant field (biology, chemistry, biochemistry, bioinformatics) with 5 years of experience in genomics industry roles
* 3\+ years of experience in NGS product management
* 2\+ years of experience in high\-touch customer\-facing roles
* Demonstrated assay commercialization success in genomics, next\-generation sequencing, or a related industry, inclusive of chemistry and analytics products
**Travel, Motor Vehicle Record \&amp; Physical/Environmental Requirements**
* Willingness and ability to travel up to 20% domestically and internationally
**It would be a plus if you also possess previous experience in:**
* PhD in biological sciences (biology, chemistry, biochemistry) or a related field
* Demonstrated understanding of the competitive landscape, technologies, trends, and key challenges in the NGS and oncology research market
 IDT,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$130,000\-$170,000
 *.*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167">
      <c r="A167" t="inlineStr">
        <is>
          <t>li-4368519700</t>
        </is>
      </c>
      <c r="B167" t="inlineStr">
        <is>
          <t>Technology and Innovation - Technical Program Manager (FinTech / LegalTech)</t>
        </is>
      </c>
      <c r="C167" t="inlineStr">
        <is>
          <t>Riveron</t>
        </is>
      </c>
      <c r="D167" t="inlineStr">
        <is>
          <t>linkedin</t>
        </is>
      </c>
      <c r="E167">
        <f>HYPERLINK("https://www.linkedin.com/jobs/view/4368519700", "https://www.linkedin.com/jobs/view/4368519700")</f>
        <v/>
      </c>
      <c r="F167">
        <f>HYPERLINK("https://jobs.ashbyhq.com/riveron/c0efc498-3548-4a9a-8e1d-df38e18238c2/application?utm_source=LinkedInPaid&amp;urlHash=nCne", "https://jobs.ashbyhq.com/riveron/c0efc498-3548-4a9a-8e1d-df38e18238c2/application?utm_source=LinkedInPaid&amp;urlHash=nCne")</f>
        <v/>
      </c>
      <c r="G167" t="inlineStr"/>
      <c r="H167" t="inlineStr"/>
      <c r="I167" t="inlineStr">
        <is>
          <t>**About The Role**
 We are seeking an experienced Technical Program Manager to lead the delivery of complex, business‑critical systems in regulated FinTech or LegalTech environments. This role goes beyond analytics or reporting platforms—you will own the execution of ERP or SaaS business systems that power financial, legal, and compliance\-driven transactional workflows.
 You will be responsible for driving cross\-system process transformations, managing risk in regulated environments, and ensuring successful delivery across tightly integrated platforms.
**What You’ll Do**
* Own end\-to\-end delivery of ERP or SaaS business systems supporting financial, legal, billing, or compliance workflows
* Lead cross\-system, enterprise\-grade transformations involving multiple integrated platforms
* Manage project planning, execution, dependencies, and risk for business\-critical initiatives
* Coordinate with engineering, finance, legal, compliance, and operations stakeholders to align technical delivery with business outcomes
* Drive requirements definition, system integration planning, and implementation oversight
* Ensure adherence to regulatory, compliance, and audit requirements throughout delivery
* Identify and mitigate risks in high\-impact, high\-complexity transactional systems
* Communicate clearly and proactively with executive stakeholders on progress, risks, and delivery timelines
* Support post\-implementation stabilization and operational handoff
**Who You Are**
* 7\+ years of experience as a Technical Program Manager or Program Manager
* Strong hands\-on ownership of ERP or SaaS business systems (not analytics\-only platforms)
* Direct experience with payments, billing, finance, legal operations, or compliance systems
* Proven track record delivering cross\-system, regulated, business\-critical transformations
* Experience managing integrated, transactional platforms in complex environments
* Excellent stakeholder communication skills, with the ability to engage technical and non\-technical audiences
* Comfortable operating in high\-risk, compliance\-driven environments
**Preferred Qualifications**
* Experience with ERP systems supporting Finance, Legal, or Compliance functions
* Ownership of SaaS platforms in regulated domains
* Background in FinTech or LegalTech organizations
* Experience delivering systems subject to audits, regulatory oversight, or strict controls
**About Riveron**
 At Riveron, we partner with clients—from global multinationals to high\-growth private entities—to solve complex finance challenges, guided by our DELTA values: Drive, Excellence, Leadership, Teamwork, and Accountability. Our entrepreneurial culture thrives on collaboration, diverse perspectives, and delivering exceptional outcomes. We are committed to fostering growth, both for our clients and our people, through mentorship, integrity, and a client\-centric approach. This inclusive environment offers flexibility, progressive benefits, and meaningful opportunities for impactful work that supports well\-being in and out of the office.
**Check Us Out On Social Media**
 LinkedIn Glassdoor Instagram Facebook
*Riveron Consulting is an Equal Opportunity Employer and believes that we are stronger together through our diversity. All qualified applicants will receive consideration for employment without regard to race, color, religion, sex, age, national origin, disability status, protected veteran status, sexual orientation, gender identity or any other characteristic protected by law.*
 This position is eligible for a full range of benefits including medical, dental, and vision insurance, 401(k) with company match, and PTO. A complete description of all available benefits can be found at Riveron's Benefits page at https://riveron.com/riveron\-life/.
**Fraud Alert**
 Please beware of fraudulent schemes or impersonations when going through the job application process. A Riveron employee will never recruit via text or extend unsolicited employment offers. Additionally, a Riveron employee will never ask you to exchange money or purchase anything as part of the recruiting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8">
      <c r="A168" t="inlineStr">
        <is>
          <t>li-4361354523</t>
        </is>
      </c>
      <c r="B168" t="inlineStr">
        <is>
          <t>Senior Product Manager - Teams Messaging Experiences (Core UX)</t>
        </is>
      </c>
      <c r="C168" t="inlineStr">
        <is>
          <t>Microsoft</t>
        </is>
      </c>
      <c r="D168" t="inlineStr">
        <is>
          <t>linkedin</t>
        </is>
      </c>
      <c r="E168">
        <f>HYPERLINK("https://www.linkedin.com/jobs/view/4361354523", "https://www.linkedin.com/jobs/view/4361354523")</f>
        <v/>
      </c>
      <c r="F168" t="inlineStr"/>
      <c r="G168" t="inlineStr">
        <is>
          <t>Redmond, WA</t>
        </is>
      </c>
      <c r="H168" t="inlineStr"/>
      <c r="I168" t="inlineStr">
        <is>
          <t>**Overview**
 Microsoft Teams is the fastest growing business application in Microsoft’s history, helping hundreds of millions of people around the world connect and collaborate. The Messaging Core Experiences team sits at the heart of the app, delivering foundational experiences for people and agents to communicate and collaborate in the modern workplace. We’re working to make Teams everyone’s preferred collaboration tool, winning customer love by building flows that are polished and thoughtfully designed, so people choose Microsoft Teams.
 Are you ready to transform how people and agents collaborate in the modern workplace? Messaging is the foundation of collaboration in Microsoft Teams, enabling people and agents to work together seamlessly. Our team has delivered recent innovations such as threaded conversations in channels, AI\-powered summary cards, custom emojis, and enhanced reactions \- and we're looking for someone passionate about creating intuitive, well\-crafted experiences that help millions connect, communicate, and collaborate daily. This role requires building durable systems that solve complex problems with elegant, user\-centered solutions that remain flexible to support diverse customer needs. Our team is at a pivotal moment in redefining collaborative productivity, and we're looking for a creative, self\-driven, and forward\-thinking product leader to own and advance messaging experiences in Microsoft Teams, the fastest growing business application Microsoft's history.
 We are looking for a
 **Senior Product Manager** 
 with a strong background in systems thinking and the ability to consider consequences of a central design on all the experiences built on top of it. We are adapting the foundational principles Teams is built on to support new ways of working. Ownership areas span chats, channels, and meeting contexts – everywhere people collaborate. The implications of this Senior Product Mnager decisions will ripple throughout the product, impacting each Teams user.
**Responsibilities**
* Building UX systems and consider consequences of a central design on all the experiences built on top of it.
* Responsible for adapting the foundational principles Teams is built on to support new ways of working, supporting collaboration between individuals, groups, and agents, in channels, chats, and meetings.
* Defining principles and incorporate feedback without losing sight of core goals.
* Advocating the proposed solution with stakeholders, finding creative solutions to account for their requirements while maintaining a simple experience for customers.
* Communicating detailed requirements to engineering partners, zoom out to story\-tell the end\-to\-end experience to executives.
**Qualifications**
**Required Qualifications:**
* Bachelor's Degree AND 5\+ years experience in product/service/program management or software development
+ OR equivalent experience.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9">
      <c r="A169" t="inlineStr">
        <is>
          <t>li-4346121478</t>
        </is>
      </c>
      <c r="B169" t="inlineStr">
        <is>
          <t>Product Manager (Connectors) - Leeds, AL</t>
        </is>
      </c>
      <c r="C169" t="inlineStr">
        <is>
          <t>Hubbell Incorporated</t>
        </is>
      </c>
      <c r="D169" t="inlineStr">
        <is>
          <t>linkedin</t>
        </is>
      </c>
      <c r="E169">
        <f>HYPERLINK("https://www.linkedin.com/jobs/view/4346121478", "https://www.linkedin.com/jobs/view/4346121478")</f>
        <v/>
      </c>
      <c r="F169">
        <f>HYPERLINK("https://careers.hubbell.com/job/Leeds-Product-Manager-%28Connectors%29-Leeds%2C-AL-AL-35094/1351937600/&amp;urlHash=DNBt", "https://careers.hubbell.com/job/Leeds-Product-Manager-%28Connectors%29-Leeds%2C-AL-AL-35094/1351937600/&amp;urlHash=DNBt")</f>
        <v/>
      </c>
      <c r="G169" t="inlineStr">
        <is>
          <t>Leeds, AL</t>
        </is>
      </c>
      <c r="H169" t="inlineStr"/>
      <c r="I169" t="inlineStr">
        <is>
          <t>**Job Overview**
 Our Connectors facility in Leeds, AL is looking for a Product Manager. This is a
 **Technical Marketing** 
 position with a strong emphasis on engineering and application proficiency. The Product Manager will be responsible for developing and growing sales within the Substation and Transmission Connectors market. The ideal candidate is a self\-motivated team player with strong technical aptitude, commercial skills, and the organizational ability to manage multiple tasks and urgent timelines across a wide range of responsibilities.
 A Day In The Life
* Strategic Leadership \&amp; Market Development
+ Develop and execute both short\- and long\-term plans to grow market share.
+ Conduct market analysis to identify trends, opportunities, and threats, and use these insights to define and maintain the product vision, strategy, and roadmap for new offerings in the substation and transmission connectors space.
+ Define marketing requirements based on sales and market intelligence to identify gaps and expand the product line.
+ Develop business cases, ROI analyses, and go\-to\-market strategies for new product offerings.
+ Collaborate with other Hubbell Business Units to develop integrated One\-Hubbell solutions, focusing on transmission assemblies and application\-based solutions for electric utility substation and transmission opportunities.
**Sales \&amp; Customer Support**
* Serve as the single point of contact for the Hubbell Sales Team, Customer Service, and customers—coordinating internally with engineering, manufacturing, quality, and planning to gather information and resolve issues. The Product Manager is responsible for managing the internal communication loop and developing the commercial response to Sales, Customer Service, and the customer.
* Support the Sales Team, Customer Service, and customers in day\-to\-day business by providing expert application knowledge, resolving technical issues, offering cross\-references, delivering training on product functionality and applications, sharing insights on product approvals, and assisting with bid packages.
* Provide sales forecasting and planning for assigned regions.
* Develop pricing strategies for standard SKUs and project bids to drive revenue and profitability, working closely with the Pricing Team to implement these strategies.
**Product Development \&amp; Engineering Collaboration**
* Lead Application Engineers in developing drawings, specifications, and exceptions for quoted transmission projects.
* Work with engineering teams to design compliant transmission assemblies based on customer specifications and applicable industry standards.
* Collaborate with Technical Marketing, Engineering, Manufacturing, and Sourcing to streamline and optimize product SKUs.
**Marketing \&amp; Documentation**
* Support the creation and maintenance of marketing materials such as catalogs, brochures, cross\-reference tools, and product launch documents.
* Provide essential details for quotations, including pricing, class codes, drawings, and test reports.
* Review and update customer product specifications and maintain organized customer files.
 What will help you thrive in this role?
* BS in Engineering
* Preference towards to at least 2\+ years of industry experience associated with high voltage Substation and Transmission products.
+ Other electric utility industry experience will be taken into consideration as a substitute. Ideally, would have Application or Product Engineering experience prior to entering this role.
+ If that experience is very limited or if not in the areas of these products, experience may need to be gained through an initial training period at Hubbell.
* Customer visits will be required occasionally for collaborating on major projects, promoting new products, training, and various other business activities.
* Strong organizational skills to manage multiple tasks and urgent timelines associated with wide range of job responsibilities.
* Good communication skills both verbally and through writing (presentations, sales/customer training, quote documents, business opportunity plans, emails, etc.).
* Proficiency in Microsoft® 365 products (most used: Excel, Word \&amp; TEAMS) and other critical software needs on a daily basis (PowerBI, AutoCAD Inventor, AutoCAD Vault, Salesforce, Workfront and SAP).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Utility Solutions**
 Hubbell Utility Solutions (HUS) enable the grid to conduct, communicate and control energy across utility applications. HUS provides the critical components that allow the grid to reliably transmit and distribute energy, as well as the communications and controls technologies to make the grid smarter and more flexible.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170">
      <c r="A170" t="inlineStr">
        <is>
          <t>li-4377853742</t>
        </is>
      </c>
      <c r="B170" t="inlineStr">
        <is>
          <t>Program Manager, Social Impact and Responsibility</t>
        </is>
      </c>
      <c r="C170" t="inlineStr">
        <is>
          <t>monday.com</t>
        </is>
      </c>
      <c r="D170" t="inlineStr">
        <is>
          <t>linkedin</t>
        </is>
      </c>
      <c r="E170">
        <f>HYPERLINK("https://www.linkedin.com/jobs/view/4377853742", "https://www.linkedin.com/jobs/view/4377853742")</f>
        <v/>
      </c>
      <c r="F170" t="inlineStr"/>
      <c r="G170" t="inlineStr">
        <is>
          <t>New York, NY</t>
        </is>
      </c>
      <c r="H170" t="inlineStr"/>
      <c r="I170" t="inlineStr">
        <is>
          <t>**Description**
 We are seeking a detail\-oriented and financially savvy Social Impact Program Manager to lead and coordinate high\-impact initiatives that drive meaningful change within our communities. The ideal candidate is passionate about uplifting underserved youth, community development, and ensuring measurable, lasting impact. This role requires exceptional project management skills, financial reporting expertise, and strict attention to detail to ensure all initiatives are executed efficiently, transparently, and in full compliance with financial policies.
**Please note that this is a hybrid position of 3 days/week in our NYC office.**
**About The Role**
* Lead the planning, execution, and evaluation of diverse social impact initiatives aimed at connecting underserved youth to the tech sector
* Oversee program budgets with precision—tracking expenses, maintaining financial records, and ensuring full compliance with accounting procedures, funding requirements, and financial policies
* Coordinate educational programming, inspirational workshops, and training sessions across NYC schools while maintaining fiscal responsibility and transparency
* Monitor project progress, assess financial risks, and implement mitigation strategies to ensure on\-time and within\-budget delivery
* Ensure all financial reporting obligations are met, preparing detailed reports and analysis to track funding utilization and program effectiveness
* Develop and implement strategic communication plans to raise awareness of programs, engage key audiences, and drive support for social impact efforts
* Collect data, evaluate project outcomes, and generate insights to drive continuous program improvements and inform future decision\-making
**Requirements**
* Minimum of 3 years of experience in project management, social impact, or community development, with a strong focus on financial reporting and budget management
* Proven ability to track program expenditures, and ensure compliance with accounting and foundation financial protocols
* Exceptional attention to detail, ensuring financial accuracy, compliance, and transparency in all program operations
* Excellent communication skills, with experience engaging stakeholders, facilitating discussions, and delivering presentations
* Strategic thinker with strong problem\-solving abilities, organizational skills, and a results\-driven approach
* Proficiency in project management tools; experience with monday.com is a plus
* Startup mentality with the ability to work independently, adapt to shifting priorities, and excel in a fast\-paced, dynamic environment
 Visa sponsorship for this role is currently not available.
 monday.com is proud to be an equal\-opportunity employer. We hire talented individuals, regardless of gender, race, ethnicity, ancestry, age, disability, sexual orientation, gender identity or expression, military or veteran status, cultural background, religious beliefs, or any other characteristic protected by federal, state, or local laws.
 For New York City\-based hires only: Compensation Range: $100,000 \- $120,000 base salary, subject to standard withholding and applicable taxes. In addition to base salary, the role includes the opportunity to receive and/or earn a discretionary bonus and/or equity\-based on Company’s plans and in accordance with Company’s policies. Compensation finally awarded to the candidate will be commensurate with the candidate’s skills and experience. Compensation ranges for candidates in locations outside of New York City may differ based on the cost of labor and such additional factors for such other locations.﻿</t>
        </is>
      </c>
    </row>
    <row r="171">
      <c r="A171" t="inlineStr">
        <is>
          <t>li-4368831944</t>
        </is>
      </c>
      <c r="B171" t="inlineStr">
        <is>
          <t>Technical Program Manager</t>
        </is>
      </c>
      <c r="C171" t="inlineStr">
        <is>
          <t>True Anomaly</t>
        </is>
      </c>
      <c r="D171" t="inlineStr">
        <is>
          <t>linkedin</t>
        </is>
      </c>
      <c r="E171">
        <f>HYPERLINK("https://www.linkedin.com/jobs/view/4368831944", "https://www.linkedin.com/jobs/view/4368831944")</f>
        <v/>
      </c>
      <c r="F171" t="inlineStr"/>
      <c r="G171" t="inlineStr">
        <is>
          <t>Long Beach, CA</t>
        </is>
      </c>
      <c r="H171" t="inlineStr"/>
      <c r="I171" t="inlineStr">
        <is>
          <t>A new space race has begun. True Anomaly seeks those with the talent and ambition to build innovative technology that solves the next generation of engineering, manufacturing, and operational challenges for space security and sustainability.
 OUR MISSION
 The peaceful use of space is essential for continued prosperity on Earth—from communications and finance to navigation and logistics. True Anomaly builds innovative technology at the intersection of spacecraft, software, and AI to enhance the capabilities of the U.S., its allies, and commercial partners. We safeguard global security by ensuring space access and sustainability for all.
 OUR VALUES
* Be the offset. We create asymmetric advantages with creativity and ingenuity
* What would it take? We challenge assumptions to deliver ambitious results
* It’s the people. Our team is our competitive advantage and we are better together
 YOUR MISSION
 We are seeking a Technical Program Manager (TPM) with a strong software development background and a passion for building mission\-critical systems to support SaaS development execution activities. You will serve as the owner of program execution—driving clarity, alignment, predictability, and accountability across engineering, product, operations, security, and government stakeholders.
 In this role, you will ensure the successful delivery of complex, secure, and regulated software products by building structure where needed, managing risk proactively, and leading programs through ambiguity. You will operate at the intersection of technical execution and program leadership, maintaining authority over delivery plans, escalation paths, and cross\-functional dependencies.
**Responsibilities**
* Develop dashboards and data visualizations to understand development timelines, efficiency and pace using PowerBI.
* Support the end\-to\-end planning and work tracking of Mosaic, our software product, for defense and government customers.
* Work directly with the product team, supporting their efforts.
* Support program execution: define delivery plans, manage scope and milestones, and drive accountability across engineering and cross\-functional teams.
* Serve as the primary delivery interface with internal teams and external stakeholders, including defense primes, government PMs, and contracting authorities.
* Track program performance using execution metrics (velocity, predictability, defect trends, release readiness) and drive continuous improvement.
* Thrive in a high\-ambiguity, fast\-paced environment, creating structure, clarity, and alignment where needed.
**Qualifications**
* Experience with PowerBI or other Business Intelligence tools
* Experience with Jira, Confluence, or other software tracking tools
* 0\-2 years of experience in software engineering, Business Intelligence or related technical leadership roles.
* Familiarity with Agile/Scrum/Kanban processes and software lifecycle management.
* Exceptional communication skills across technical and non\-technical partners, including government stakeholders.
* U.S. Citizen and eligible for DoD Secret or TS/SCI clearance
**Preferred Skills And Experience**
* Background in computer science, engineering, or a related technical field
* Proven track record leading execution of complex SaaS or mission\-critical systems; experience with defense, aerospace, or dual\-use technology strongly preferred.
* Technical understanding of distributed systems, cloud architectures, APIs, and secure software development practices
**Compensation**
* Base Salary: Denver: $65,000 \- $90,000 \| Long Beach: $70,000 \- $95,000
* Equity \+ Benefits including Health, Dental, Vision, HRA/HSA options, PTO and paid holidays, 401K, Parental Leave
*Your actual level and base salary will be determined on a case\-by\-case basis and may vary based on the following considerations: job\-related knowledge and skills, education, location, and experience.*
**Additional Requirements**
* Work Location—Successful candidates will be located near Long Beach or Denver. This role requires four days a week onsite with one day remote.
* Work environment—the work environment; temperature, noise level, inside or outside, or other factors that will affect the person's working conditions while performing the job.
* Physical demands—the physical demands of the job, including bending, sitting, lifting and driving.
 This position will be open until it is successfully filled. To submit your application, please follow the directions below.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True Anomaly is committed to equal employment opportunity on any basis protected by applicable state and federal laws. If you have a disability or additional need that requires accommodation, please do not hesitate to let us.</t>
        </is>
      </c>
    </row>
    <row r="172">
      <c r="A172" t="inlineStr">
        <is>
          <t>li-4377854608</t>
        </is>
      </c>
      <c r="B172" t="inlineStr">
        <is>
          <t>BMC2 Heart Failure Program Manager</t>
        </is>
      </c>
      <c r="C172" t="inlineStr">
        <is>
          <t>Michigan Medicine</t>
        </is>
      </c>
      <c r="D172" t="inlineStr">
        <is>
          <t>linkedin</t>
        </is>
      </c>
      <c r="E172">
        <f>HYPERLINK("https://www.linkedin.com/jobs/view/4377854608", "https://www.linkedin.com/jobs/view/4377854608")</f>
        <v/>
      </c>
      <c r="F172" t="inlineStr"/>
      <c r="G172" t="inlineStr">
        <is>
          <t>Ann Arbor, MI</t>
        </is>
      </c>
      <c r="H172" t="inlineStr"/>
      <c r="I172"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BMC2 is a collaborative consortium dedicated to improving the quality of care and outcomes in patients who undergo cardiovascular procedures across the State of Michigan. BMC2 is developing a new heart failure registry, which will take a population health\-based approach to measuring outcomes and improving quality of care for patients with heart failure. The new registry will bring together diverse stakeholders including patients, specialists, primary care physicians, and pharmacists.
 The BMC2 Heart Failure Program Manager will partner with the BMC2 Heart Failure Director to develop the Heart Failure registry, entitled BMC2\-HF. Support for BMC2 is provided by Blue Cross and Blue Shield of Michigan and Blue Care Network as part of the BCBSM Value Partnerships Program.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Lead colleagues and stakeholders to build, operationalize, and sustain the BMC2 Heart Failure registry.
* Contribute to strategic decision\-making in conjunction with the BMC2 Heart Failure Director and BMC2 Leadership.
* Build and nurture relationships with stakeholders, direct reports, payors, and diverse partners across the state by consistently demonstrating integrity in all interactions.
* Direct a portion of BMC2 Coordinating Center staff, including alignment of daily work with strategic priorities and monitoring program deliverables.
* Identify and build relationships with healthcare partners statewide to support registry expansion.
 Required Qualifications\*
* Masters degree in a recognized field of science or learning which is directly related to the duties of the position.
* Clinical experience, RN preferred.
* Previous experience managing 3\+ direct reports.
* Previous experience building \&amp; leading strategic initiatives or registries.
* Demonstrated growth mindset to actively seek opportunities to learn, adapt, and apply new skills and knowledge to enhance team and personal performance.
* Ability to thrive at an intersection of innovation, curiosity, and grit.
* Ability to analyze, compare and evaluate various courses of action to make independent decisions on matters of significance, free from immediate direction, within the scope of responsibilities.
* Ability to perform primary activities that affect business operations to a substantial degree with independent decision\-making authority.
* Demonstrated ability to communicate effectively across a large spectrum of stakeholders of varying levels and backgrounds.
* Demonstrated ability to manage daily operations while executing long\-term strategic planning goals.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**Why Work at BMC2**
* Mission\-driven Impact: Contribute to improving cardiovascular care and outcomes for thousands of patients across Michigan, making a real difference in patients lives.
* Collaborative Environment: BMC2 brings together multidisciplinary healthcare professionals physicians, nurses, coordinators, administrators, payers, and quality leaders from across the state to share ideas, best practices, and innovative solutions.
* Statewide Impact: Play a part in projects that drive change not just locally, but at a statewide level, working with patients, hospitals, and partners from many communities.
* Commitment to Integrity and Quality: The BMC2 Coordinating Center emphasizes transparency, trust, and quality improvement, making it a great environment for those who value integrity and high standards.
* Supportive Culture: Work within a supportive team that values lived experiences in all forms and the professional growth of its members.
* Reputation: Be affiliated with an established and respected organization, known nationally \&amp; internationally for advancing patient care.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173">
      <c r="A173" t="inlineStr">
        <is>
          <t>li-4376741428</t>
        </is>
      </c>
      <c r="B173" t="inlineStr">
        <is>
          <t>Senior Technical Program Manager</t>
        </is>
      </c>
      <c r="C173" t="inlineStr">
        <is>
          <t>RemoteHunter</t>
        </is>
      </c>
      <c r="D173" t="inlineStr">
        <is>
          <t>linkedin</t>
        </is>
      </c>
      <c r="E173">
        <f>HYPERLINK("https://www.linkedin.com/jobs/view/4376741428", "https://www.linkedin.com/jobs/view/4376741428")</f>
        <v/>
      </c>
      <c r="F173" t="inlineStr"/>
      <c r="G173" t="inlineStr"/>
      <c r="H173" t="inlineStr"/>
      <c r="I173" t="inlineStr">
        <is>
          <t>**1\. About Our Client** 
 : The organization operates in the data streaming industry, addressing the challenge of moving data in real time to enable faster decision\-making and smarter operations. Their platform streams information in near real\-time, allowing companies to react quickly and deliver dynamic user experiences. The company’s technology aims to serve as a foundational system for modern enterprises requiring reliable, scalable data flow.
**2\. About the Opportunit** 
 y: The Senior Technical Program Manager plays a critical role in leading and executing high\-priority technical programs that are essential to the organization’s success. This position drives cross\-functional alignment across product, engineering, finance, and security teams to build key enterprise infrastructure. The role ensures the delivery of complex initiatives, setting standards for program management and facilitating decision\-making among distributed teams
**.** 
**3\. Responsibiliti** 
 e
* s:
* Lead end\-to\-end delivery of large\-scale technical projects, including business continuity, disaster recovery, cost efficiency, and architecture shi
* ftsTranslate business goals into detailed technical requirements and communicate architecture trade\-offs to non\-technical stakehold
* ersEstablish program management standards with clear milestones, KPIs, and risk\-mitigation pl
* ansCollaborate with leadership to prioritize roadmaps, resolve dependencies, and manage resources for critical progr
* amsManage relationships and facilitate decision\-making across global, distributed teams and key partn
**ers** 
**4\. Requirem** 
 e
* nts:
* 5\-8\+ years of technical program management experience in cloud\-native or high\-scale software environ
* mentsStrong understanding of distributed systems, cloud platforms (AWS, GCP, or Azure), and data streaming technologies such as Apache
* KafkaAlignment with values emphasizing intelligence, humility, empathy, and a results\-driven app
* roachAbility to navigate ambiguity and proactively drive efficiency improve
* mentsProven collaboration skills across engineering, product, finance, and data
* teamsBachelor’s degree in Computer Science, Engineering, or related technical
**field** 
**5\. Pay Range and Compensation P** 
 a
* ckage:
* The pay range and compensation package for this role will be determined based on the candidate’s experience, skills, and other relevant f
**actors.** 
**6\. Equal Opportunity S** 
 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4">
      <c r="A174" t="inlineStr">
        <is>
          <t>li-4375220424</t>
        </is>
      </c>
      <c r="B174" t="inlineStr">
        <is>
          <t>Systems Program Manager, GO Systems</t>
        </is>
      </c>
      <c r="C174" t="inlineStr">
        <is>
          <t>Meta</t>
        </is>
      </c>
      <c r="D174" t="inlineStr">
        <is>
          <t>linkedin</t>
        </is>
      </c>
      <c r="E174">
        <f>HYPERLINK("https://www.linkedin.com/jobs/view/4375220424", "https://www.linkedin.com/jobs/view/4375220424")</f>
        <v/>
      </c>
      <c r="F174">
        <f>HYPERLINK("https://jsv3.recruitics.com/redirect?rx_cid=3239&amp;rx_jobId=a1KDp00000CZK1FMAX_1004&amp;rx_url=https%3A%2F%2Fwww.metacareers.com%2Fjobs%2F871444799159164%2F%3Frx_campaign%3DLinkedin1%26rx_ch%3Dconnector%26rx_group%3D126320%26rx_id%3Dfe198437-ec27-11f0-8447-ef3651aced8c%26rx_job%3Da1KDp00000CZK1FMAX_1004%26rx_medium%3Dpost%26rx_r%3Dnone%26rx_source%3DLinkedin%26rx_ts%3D20260225T121202Z%26rx_vp%3Dslots%26utm_campaign%3DJob%252Bboard%26utm_medium%3Djobs%26utm_source%3DLIpaid&amp;urlHash=HTgn", "https://jsv3.recruitics.com/redirect?rx_cid=3239&amp;rx_jobId=a1KDp00000CZK1FMAX_1004&amp;rx_url=https%3A%2F%2Fwww.metacareers.com%2Fjobs%2F871444799159164%2F%3Frx_campaign%3DLinkedin1%26rx_ch%3Dconnector%26rx_group%3D126320%26rx_id%3Dfe198437-ec27-11f0-8447-ef3651aced8c%26rx_job%3Da1KDp00000CZK1FMAX_1004%26rx_medium%3Dpost%26rx_r%3Dnone%26rx_source%3DLinkedin%26rx_ts%3D20260225T121202Z%26rx_vp%3Dslots%26utm_campaign%3DJob%252Bboard%26utm_medium%3Djobs%26utm_source%3DLIpaid&amp;urlHash=HTgn")</f>
        <v/>
      </c>
      <c r="G174" t="inlineStr">
        <is>
          <t>San Francisco, CA</t>
        </is>
      </c>
      <c r="H174" t="inlineStr"/>
      <c r="I174" t="inlineStr">
        <is>
          <t>GO Systems is a horizontal team serving Global Operations accountable for delivery of systems and tooling strategies. GO Systems combines expertise in our products with operational, analytical, and technical skills to design and manage scalable processes. This work is enabled by a team of Systems Program Managers accountable for delivery across one of the following categories of jobs to be done: workflow design and management, workflow execution (production), and implementing tooling changes into Operations. GO Systems sits at the nexus between Engineering and Operations and is a technology\-first organization. This individual can work through the hands\-on technical side of tooling (e.g., completing configurations, investigating tooling bugs, and conducting testing) while also building interpersonal relationships and managing XFN communications.
 Systems Program Manager, GO Systems Responsibilities:
* Systems Program Managers within GO Systems contribute to advancing GO’s tooling strategies across three categories of jobs to be done:
* Workflow Design and Management: GO Systems is responsible for defining, building, and maintaining repeatable, sustainable processes that support GO’s tooling ecosystem (e.g., roadmapping, bug management, vendor insights)
* Workflow Execution / Production: GO Systems executes its internal workflows utilizing a combination of FTE and Vendor resources
* Implementing Tooling Changes into Operations: GO Systems facilitates significant tooling changes within GO’s ecosystem, with support including scope and design of technical solutions, project / program management, acceptance and experimental testing, training users on new tooling solutions, and providing expert opinion as GO’s tooling subject matter experts
* Systems Program Managers meet these responsibilities by exercising the following foundational skillsets:
* Program Management: A primary job to be done for GO Systems is implementing tooling changes into operations. Awareness of program and project management best practices is essential to delivering technically sound solutions at scale for Operations
* Cross\-Functional Partner Engagement: GO Systems serves an important role in balancing the business needs of Operations with the priorities of Meta’s various product teams. Systems Program Managers are regularly called upon to problem solve, prioritize, and inform business decisions happening in both Product and Operations
 Minimum Qualifications:
* Bachelor's degree in a directly related field, or equivalent practical experience
* 12\+ years of experience with end\-to\-end project management in a product, technical, and/or operations environment
* Experience initiating and driving multiple projects simultaneously with minimal guidance
* Experience with systems and tools used by Operations teams
* Experience partnering with technical teams (e.g., Engineering, Product Management, Data Science)
* Demonstrated experience in creating reference documents and communicating them with stakeholders
* Strategic thinker with problem\-solving skills, and analytical mindset
* Communication \&amp; Documentation Skills: Effective communication and rudimentary documentation skills are a core expectation of all Systems Program Managers
* Experience with tools supporting Operations functions and technical proficiency about systems ecosystems is a must for this role
 Preferred Qualifications:
* 1\+ years of experience using at least one scripting or programming language (SQL, PHP, Python, Haskell)
* 3\+ years of experience working directly with technical teams to scope requirements, create Service Level Agreements (SLAs), reporting on critical metrics and drive technical decisions
* Experience working at the nexus of product (engineering) and operations (integrity, support, or annotations functions)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$152,000/year to $214,000/year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5">
      <c r="A175" t="inlineStr">
        <is>
          <t>li-4375233262</t>
        </is>
      </c>
      <c r="B175" t="inlineStr">
        <is>
          <t>Systems Program Manager, GO Systems</t>
        </is>
      </c>
      <c r="C175" t="inlineStr">
        <is>
          <t>Meta</t>
        </is>
      </c>
      <c r="D175" t="inlineStr">
        <is>
          <t>linkedin</t>
        </is>
      </c>
      <c r="E175">
        <f>HYPERLINK("https://www.linkedin.com/jobs/view/4375233262", "https://www.linkedin.com/jobs/view/4375233262")</f>
        <v/>
      </c>
      <c r="F175">
        <f>HYPERLINK("https://jsv3.recruitics.com/redirect?rx_cid=3239&amp;rx_jobId=a1KDp00000CZK1FMAX&amp;rx_url=https%3A%2F%2Fwww.metacareers.com%2Fjobs%2F871444799159164%2F%3Frx_campaign%3DLinkedin1%26rx_ch%3Dconnector%26rx_group%3D126320%26rx_id%3D019c4206-ec28-11f0-8447-ef92a244adde%26rx_job%3Da1KDp00000CZK1FMAX%26rx_medium%3Dpost%26rx_r%3Dnone%26rx_source%3DLinkedin%26rx_ts%3D20260225T121202Z%26rx_vp%3Dslots%26utm_campaign%3DJob%252Bboard%26utm_medium%3Djobs%26utm_source%3DLIpaid&amp;urlHash=6WOM", "https://jsv3.recruitics.com/redirect?rx_cid=3239&amp;rx_jobId=a1KDp00000CZK1FMAX&amp;rx_url=https%3A%2F%2Fwww.metacareers.com%2Fjobs%2F871444799159164%2F%3Frx_campaign%3DLinkedin1%26rx_ch%3Dconnector%26rx_group%3D126320%26rx_id%3D019c4206-ec28-11f0-8447-ef92a244adde%26rx_job%3Da1KDp00000CZK1FMAX%26rx_medium%3Dpost%26rx_r%3Dnone%26rx_source%3DLinkedin%26rx_ts%3D20260225T121202Z%26rx_vp%3Dslots%26utm_campaign%3DJob%252Bboard%26utm_medium%3Djobs%26utm_source%3DLIpaid&amp;urlHash=6WOM")</f>
        <v/>
      </c>
      <c r="G175" t="inlineStr">
        <is>
          <t>Sunnyvale, CA</t>
        </is>
      </c>
      <c r="H175" t="inlineStr"/>
      <c r="I175" t="inlineStr">
        <is>
          <t>GO Systems is a horizontal team serving Global Operations accountable for delivery of systems and tooling strategies. GO Systems combines expertise in our products with operational, analytical, and technical skills to design and manage scalable processes. This work is enabled by a team of Systems Program Managers accountable for delivery across one of the following categories of jobs to be done: workflow design and management, workflow execution (production), and implementing tooling changes into Operations. GO Systems sits at the nexus between Engineering and Operations and is a technology\-first organization. This individual can work through the hands\-on technical side of tooling (e.g., completing configurations, investigating tooling bugs, and conducting testing) while also building interpersonal relationships and managing XFN communications.
 Systems Program Manager, GO Systems Responsibilities:
* Systems Program Managers within GO Systems contribute to advancing GO’s tooling strategies across three categories of jobs to be done:
* Workflow Design and Management: GO Systems is responsible for defining, building, and maintaining repeatable, sustainable processes that support GO’s tooling ecosystem (e.g., roadmapping, bug management, vendor insights)
* Workflow Execution / Production: GO Systems executes its internal workflows utilizing a combination of FTE and Vendor resources
* Implementing Tooling Changes into Operations: GO Systems facilitates significant tooling changes within GO’s ecosystem, with support including scope and design of technical solutions, project / program management, acceptance and experimental testing, training users on new tooling solutions, and providing expert opinion as GO’s tooling subject matter experts
* Systems Program Managers meet these responsibilities by exercising the following foundational skillsets:
* Program Management: A primary job to be done for GO Systems is implementing tooling changes into operations. Awareness of program and project management best practices is essential to delivering technically sound solutions at scale for Operations
* Cross\-Functional Partner Engagement: GO Systems serves an important role in balancing the business needs of Operations with the priorities of Meta’s various product teams. Systems Program Managers are regularly called upon to problem solve, prioritize, and inform business decisions happening in both Product and Operations
 Minimum Qualifications:
* Bachelor's degree in a directly related field, or equivalent practical experience
* 12\+ years of experience with end\-to\-end project management in a product, technical, and/or operations environment
* Experience initiating and driving multiple projects simultaneously with minimal guidance
* Experience with systems and tools used by Operations teams
* Experience partnering with technical teams (e.g., Engineering, Product Management, Data Science)
* Demonstrated experience in creating reference documents and communicating them with stakeholders
* Strategic thinker with problem\-solving skills, and analytical mindset
* Communication \&amp; Documentation Skills: Effective communication and rudimentary documentation skills are a core expectation of all Systems Program Managers
* Experience with tools supporting Operations functions and technical proficiency about systems ecosystems is a must for this role
 Preferred Qualifications:
* 1\+ years of experience using at least one scripting or programming language (SQL, PHP, Python, Haskell)
* 3\+ years of experience working directly with technical teams to scope requirements, create Service Level Agreements (SLAs), reporting on critical metrics and drive technical decisions
* Experience working at the nexus of product (engineering) and operations (integrity, support, or annotations functions)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$152,000/year to $214,000/year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6">
      <c r="A176" t="inlineStr">
        <is>
          <t>li-4376739407</t>
        </is>
      </c>
      <c r="B176" t="inlineStr">
        <is>
          <t>Senior Technical Program Manager II, Applied AI</t>
        </is>
      </c>
      <c r="C176" t="inlineStr">
        <is>
          <t>Google</t>
        </is>
      </c>
      <c r="D176" t="inlineStr">
        <is>
          <t>linkedin</t>
        </is>
      </c>
      <c r="E176">
        <f>HYPERLINK("https://www.linkedin.com/jobs/view/4376739407", "https://www.linkedin.com/jobs/view/4376739407")</f>
        <v/>
      </c>
      <c r="F176">
        <f>HYPERLINK("https://careers.google.com/jobs/results/74633175820575430-senior-technical-program-manager-ii/?src=Online/LinkedIn/linkedin_us&amp;utm_source=linkedin&amp;utm_medium=jobposting&amp;utm_campaign=contract&amp;urlHash=o9_Q", "https://careers.google.com/jobs/results/74633175820575430-senior-technical-program-manager-ii/?src=Online/LinkedIn/linkedin_us&amp;utm_source=linkedin&amp;utm_medium=jobposting&amp;utm_campaign=contract&amp;urlHash=o9_Q")</f>
        <v/>
      </c>
      <c r="G176" t="inlineStr">
        <is>
          <t>Sunnyvale, CA</t>
        </is>
      </c>
      <c r="H176" t="inlineStr"/>
      <c r="I176" t="inlineStr">
        <is>
          <t>For Canada Applicants:
 This posting is for a new vacancy.
 Note: By applying to this position you will have an opportunity to share your preferred working location from the following:
 **Waterloo, ON, Canada; Chicago, IL, USA; New York, NY, USA; Sunnyvale, CA, USA** 
 .
 **Minimum qualifications:**
* Bachelor's degree in a a technical field, or equivalent practical experience.
* 10 years of experience in program management.
* Experience working with AI Agents and GenAI\-native architectures.
* Experience leading customer interactions.
* Experience building out technical roadmaps.
**Preferred qualifications:**
* 10 years of experience managing complex cross\-functional or cross\-team projects.
**About The Job**
 In a Delivery Technical Program Manager role within Google’s Applied AI team, you serve as the operational glue of the deployment pod, driving the startup\-like velocity required to move enterprise customers from pilot phases to full\-scale production. Partnering closely with the technical Directly Responsible Individual (DRI), you provide the project management oversight needed to translate complex technical builds into high\-impact business solutions.
 Furthermore, you collaborate with the Leadership Team to establish a transparent program management state for every account. In this structure, you are the definitive center point for all customer reviews, ensuring a unified voice between the customer’s business goals and Google’s engineering output. You will architect a standardized Customer Health Hub where every account’s state—including Resolution Rate, Latency (TTFT), and Eval Scores—is surfaced in real\-time. You will lead these reviews with leadership to ensure global consistency across the portfolio. You will conduct weekly audits to evaluate the technical friction and stakeholder complexity of each account to ensure no critical deployment hits a bottleneck. Additionally, you will act as the hub connecting all the stakeholders (Solution Architecture, Agent Engineering, and Product) to ensure that technical DRIs remain focused on building while TPMs drive the roadmap, risk mitigation, and executive reporting.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For Canada Applicants:
 The Canada base salary range for this full\-time position is CAD 240,000\-246,000 \+ bonus \+ equity \+ benefits. Our salary ranges are determined by role, level, and location. Within the range, individual pay is determined by work location and additional factors, including job\-related skills, experience, and relevant education or training.
 Please note that the compensation details listed in Canada role postings reflect the base salary only, and do not include bonus, equity, or benefits. Learn more about benefits at Google .
 For US Applicants: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 highly credible thought leader within Google and industry on the subject matter domain of the respective organization.
* Establish a reliable and visible cadence for portfolio reviews, decision making, prioritization, and resource management, whereby improvements are measurable and the impact can be felt organization wide.
* Lead the implementation of eval pipelines and testing frameworks, ensuring every large language model (LLM) prompt or reasoning update is validated against golden datasets to prevent regressions in agent accuracy, persona alignment, and brand voice.
* Utilize specialized dashboards to monitor agent health, tracking mission\-critical KPIs such as accuracy, hallucination rates, and latency to ensure the agent is production ready and provides a fluid, human\-like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7">
      <c r="A177" t="inlineStr">
        <is>
          <t>li-4376720976</t>
        </is>
      </c>
      <c r="B177" t="inlineStr">
        <is>
          <t>Technical Program Manager II, Data Governance, Cloud Supply Chain</t>
        </is>
      </c>
      <c r="C177" t="inlineStr">
        <is>
          <t>Google</t>
        </is>
      </c>
      <c r="D177" t="inlineStr">
        <is>
          <t>linkedin</t>
        </is>
      </c>
      <c r="E177">
        <f>HYPERLINK("https://www.linkedin.com/jobs/view/4376720976", "https://www.linkedin.com/jobs/view/4376720976")</f>
        <v/>
      </c>
      <c r="F177">
        <f>HYPERLINK("https://careers.google.com/jobs/results/85998445264806598-technical-program-manager-ii/?src=Online/LinkedIn/linkedin_us&amp;utm_source=linkedin&amp;utm_medium=jobposting&amp;utm_campaign=contract&amp;urlHash=X2HQ", "https://careers.google.com/jobs/results/85998445264806598-technical-program-manager-ii/?src=Online/LinkedIn/linkedin_us&amp;utm_source=linkedin&amp;utm_medium=jobposting&amp;utm_campaign=contract&amp;urlHash=X2HQ")</f>
        <v/>
      </c>
      <c r="G177" t="inlineStr">
        <is>
          <t>Atlanta, GA</t>
        </is>
      </c>
      <c r="H177" t="inlineStr"/>
      <c r="I177" t="inlineStr">
        <is>
          <t>**Minimum qualifications:**
* Bachelor's degree in a technical field, or equivalent practical experience.
* 2 years of experience in program management.
* Experience with SQL and Python, dashboard creation, data architecture and data governance.
* Experience working with supply chain operations or data center equipment teams.
**Preferred qualifications:**
* MBA or Master's degree in Business Process Management, Industrial Engineering, Supply Chain Management or related disciplines.
* 2 years of experience managing cross\-functional or cross\-team projects.
* Experience working with master data, data governance and MDM solutions.
* Experience in SQL, Python, Tableau, Metrics Dashboards and Data Visualization (e.g., calendar, sheets, drive, docs, forms etc.).
* Proficiency in Project Management Professional (PMP) standards, Six Sigma (Green or Black Belt), DMAIC, Lean, Value Stream Mapping, SIPOC, SCIPAB, and other industry\-standard quality tools.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within the Enterprise Data, Analytics, and Process Transformation (EDAPT) team part of the Supply Chain Operations Excellence (SCOE) organization, you will lead initiatives to enhance delivery results. You will be responsible for ensuring our Supply Chain functions operate with "trusted" data while synthesizing data insights with physical supply chain constraints to drive actionable recommendations. Your expertise in supply chain program management and analytics will be critical in transforming and deploying massive volumes of data center equipment and technology across our global footprint. You will collaborate closely with Planning, Purchasing, Operations, Engineering, Logistics, New Product Introduction (NPI), Global Commodity Management (GCM), and Contract Manufacturing teams to implement best practices and ensure the on\-time delivery of Google’s rapidly expanding hardware infrastructure.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deliver supply chain optimization projects, fostering cross\-functional collaboration to achieve stakeholder alignment and drive operational excellence.
* Drive and uphold data quality and governance standards to optimize supply chain operations and decision\-making.
* Oversee process improvement programs and maintain data stewardship practices for the Equipment Supply Chain Planning and Operations team.
* Collaborate on the development of the supply chain data model and provide functional expertise in assessing change requests, conducting impact analyses, and shaping system architecture to ensure data integrity.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8">
      <c r="A178" t="inlineStr">
        <is>
          <t>li-4375220425</t>
        </is>
      </c>
      <c r="B178" t="inlineStr">
        <is>
          <t>Systems Program Manager, GO Systems</t>
        </is>
      </c>
      <c r="C178" t="inlineStr">
        <is>
          <t>Meta</t>
        </is>
      </c>
      <c r="D178" t="inlineStr">
        <is>
          <t>linkedin</t>
        </is>
      </c>
      <c r="E178">
        <f>HYPERLINK("https://www.linkedin.com/jobs/view/4375220425", "https://www.linkedin.com/jobs/view/4375220425")</f>
        <v/>
      </c>
      <c r="F178" t="inlineStr"/>
      <c r="G178" t="inlineStr">
        <is>
          <t>New York, NY</t>
        </is>
      </c>
      <c r="H178" t="inlineStr"/>
      <c r="I178" t="inlineStr">
        <is>
          <t>GO Systems is a horizontal team serving Global Operations accountable for delivery of systems and tooling strategies. GO Systems combines expertise in our products with operational, analytical, and technical skills to design and manage scalable processes. This work is enabled by a team of Systems Program Managers accountable for delivery across one of the following categories of jobs to be done: workflow design and management, workflow execution (production), and implementing tooling changes into Operations. GO Systems sits at the nexus between Engineering and Operations and is a technology\-first organization. This individual can work through the hands\-on technical side of tooling (e.g., completing configurations, investigating tooling bugs, and conducting testing) while also building interpersonal relationships and managing XFN communications.
 Systems Program Manager, GO Systems Responsibilities:
* Systems Program Managers within GO Systems contribute to advancing GO’s tooling strategies across three categories of jobs to be done:
* Workflow Design and Management: GO Systems is responsible for defining, building, and maintaining repeatable, sustainable processes that support GO’s tooling ecosystem (e.g., roadmapping, bug management, vendor insights)
* Workflow Execution / Production: GO Systems executes its internal workflows utilizing a combination of FTE and Vendor resources
* Implementing Tooling Changes into Operations: GO Systems facilitates significant tooling changes within GO’s ecosystem, with support including scope and design of technical solutions, project / program management, acceptance and experimental testing, training users on new tooling solutions, and providing expert opinion as GO’s tooling subject matter experts
* Systems Program Managers meet these responsibilities by exercising the following foundational skillsets:
* Program Management: A primary job to be done for GO Systems is implementing tooling changes into operations. Awareness of program and project management best practices is essential to delivering technically sound solutions at scale for Operations
* Cross\-Functional Partner Engagement: GO Systems serves an important role in balancing the business needs of Operations with the priorities of Meta’s various product teams. Systems Program Managers are regularly called upon to problem solve, prioritize, and inform business decisions happening in both Product and Operations
 Minimum Qualifications:
* Bachelor's degree in a directly related field, or equivalent practical experience
* 12\+ years of experience with end\-to\-end project management in a product, technical, and/or operations environment
* Experience initiating and driving multiple projects simultaneously with minimal guidance
* Experience with systems and tools used by Operations teams
* Experience partnering with technical teams (e.g., Engineering, Product Management, Data Science)
* Demonstrated experience in creating reference documents and communicating them with stakeholders
* Strategic thinker with problem\-solving skills, and analytical mindset
* Communication \&amp; Documentation Skills: Effective communication and rudimentary documentation skills are a core expectation of all Systems Program Managers
* Experience with tools supporting Operations functions and technical proficiency about systems ecosystems is a must for this role
 Preferred Qualifications:
* 1\+ years of experience using at least one scripting or programming language (SQL, PHP, Python, Haskell)
* 3\+ years of experience working directly with technical teams to scope requirements, create Service Level Agreements (SLAs), reporting on critical metrics and drive technical decisions
* Experience working at the nexus of product (engineering) and operations (integrity, support, or annotations functions)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$152,000/year to $214,000/year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9">
      <c r="A179" t="inlineStr">
        <is>
          <t>li-4341277836</t>
        </is>
      </c>
      <c r="B179" t="inlineStr">
        <is>
          <t>Sr Technical Program Manager, Vehicle Hardware</t>
        </is>
      </c>
      <c r="C179" t="inlineStr">
        <is>
          <t>Relativity Space</t>
        </is>
      </c>
      <c r="D179" t="inlineStr">
        <is>
          <t>linkedin</t>
        </is>
      </c>
      <c r="E179">
        <f>HYPERLINK("https://www.linkedin.com/jobs/view/4341277836", "https://www.linkedin.com/jobs/view/4341277836")</f>
        <v/>
      </c>
      <c r="F179">
        <f>HYPERLINK("https://boards.greenhouse.io/relativity/jobs/8318407002?gh_jid=8318407002&amp;urlHash=_2aP", "https://boards.greenhouse.io/relativity/jobs/8318407002?gh_jid=8318407002&amp;urlHash=_2aP")</f>
        <v/>
      </c>
      <c r="G179" t="inlineStr">
        <is>
          <t>Long Beach, CA</t>
        </is>
      </c>
      <c r="H179" t="inlineStr"/>
      <c r="I179" t="inlineStr">
        <is>
          <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The Vehicle Engineering organization at Relativity Space owns the hardware that makes up the Terran R launch vehicle through the full life cycle from design through build, qualification and flight. The team also owns the analysis, software, CONOPs development, risk management, and customer\-facing and regulatory activities needed to operate Terran R successfully.
**About The Role**
 We are seeking a Senior Technical Program Manager to support vehicle hardware design and development. Successful candidates in this role will analyze problems and drive recommendations for decisions that balance the needs of technical teams and the business overall, actively manage schedules, proactively identify programmatic risk and implement mitigation plans, collaborate with senior management to communicate change and manage resources, implement Program Management strategies for the launch service, the vehicle and the supporting enterprise toolsets, and drive alignment across all company functions by coordinating teams through clear and regular communication. When there are multiple paths to choose, this individual will help align the teams on the best path to a common goal. Where there are points of impasse, this individual will build a bridge. Keen judgment and strong leadership by influence are foundational elements for this role.
* Timeline/Schedule: Analyze requirements, resources, and dependencies to create a reliable timeline for vehicle hardware delivery and rally the team to meet it. Create and maintain master schedules that drive the program forward
* Risk Management: Identify, assess, and mitigate risks associated with program execution, ensuring proactive problem resolution to address risks coming down the pipeline
* Process Improvement: Spearhead the creation and continual refinement of effective, lightweight processes that help the team work more efficiently and improve collaboration between teams. Build buy\-in within the team and key partners to implement processes effectively
* Resource Management: Identify resource gaps and orchestrate cross\-functional planning for resource allocation, including headcount, budget allocation, and workspace needs. Ensure efficient utilization of resources to support program and departmental objectives
* Goal Tracking \&amp; Reporting: Monitor and report on the progress towards organizational goals, objectives, and milestones. Facilitate strong communication within departments and across the program to ensure transparency in program status for all relevant stakeholders
**About You**
* Bachelor’s degree in engineering, science, mathematics, or related fields; aerospace, electrical, or mechanical engineering degree preferred
* 5\+ years experience in a program management role on a complex technical hardware project; prefer experience with software and operations as well
* Experience managing programs across matrix organizations, building sustainable processes, and coordinating design releases and key engineering trades
* Proven ability to deliver complex hardware programs
* Proven ability to lead by influence and collaborate with technical owners (engineering, supply chain, manufacturing, test, and launch) to establish a plan without crowding out their ownership
**Nice To Haves But Not Required**
* Experience with launch vehicles and aerospace hardware
* Strong executive presence, including ability to drive clarity and action across all levels within the company
* Experience and measurable evidence of solving ambiguous problems, including the introduction of new tools and processes
* PMP, MBA, Master’s in engineering, science, mathematics or related fields, or equivalent experience preferred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$130,000—$166,000 USD
**We are an equal opportunity employer and value diversity at our company. We do not discriminate on the basis of race, religion, color, national origin, gender, sexual orientation, age, marital status, veteran status, or disability status.**
***If you need a reasonable accommodation, please contact us at accommodations@relativityspace.com.***</t>
        </is>
      </c>
    </row>
    <row r="180">
      <c r="A180" t="inlineStr">
        <is>
          <t>li-4357900982</t>
        </is>
      </c>
      <c r="B180" t="inlineStr">
        <is>
          <t>Principal IT Program Manager (NPI)</t>
        </is>
      </c>
      <c r="C180" t="inlineStr">
        <is>
          <t>Palo Alto Networks</t>
        </is>
      </c>
      <c r="D180" t="inlineStr">
        <is>
          <t>linkedin</t>
        </is>
      </c>
      <c r="E180">
        <f>HYPERLINK("https://www.linkedin.com/jobs/view/4357900982", "https://www.linkedin.com/jobs/view/4357900982")</f>
        <v/>
      </c>
      <c r="F180" t="inlineStr"/>
      <c r="G180" t="inlineStr">
        <is>
          <t>Santa Clara, CA</t>
        </is>
      </c>
      <c r="H180" t="inlineStr"/>
      <c r="I180"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We are seeking an experienced Program and Delivery Manager to join the Palo Alto Networks New Product Introduction (NPI) team within IT. The ideal candidate will have a strong background in portfolio management, roadmapping, and delivering complex business and technology transformation projects. You will act as a strategic partner to cross\-functional teams, driving program health, making data\-driven decisions, and managing executive communications to ensure the successful delivery of our company’s most strategic NPI initiatives.
****Key Responsibilities****
* Lead New Product Introduction (NPI) and large transformational initiatives, identifying cross\-functional dependencies, anticipating and mitigating risks, and managing stakeholder expectations.
* Manage the NPI portfolio by collaborating with business stakeholders, product managers, and scrum masters to align business strategy with program execution.
* Drive transformation roadmaps and collaborate with stakeholders to help scale business capabilities with the growth of the organization.
* Candidate should be “AI Ready’ and should be able to drive NPI velocity leveraging AI tools.
+ Algorithmic Velocity Driving: Proven ability to identify bottlenecks in the NPI lifecycle and deploy AI/ML or automation solutions (e.g., predictive scheduling, AI\-driven risk mitigation) to measurably reduce time\-to\-market.
+ Data\-Centric Program Orchestration: Expert proficiency in leveraging data pipelines and low\-code/no\-code tools to automate cross\-functional handoffs, documentation generation , and real\-time status reporting across PLM and ERP systems.
* Communicate program status and progress effectively across multiple levels, including the executive leadership team, managers, and peers.
* Partner with product teams to facilitate initiatives for new product launches, feedback management, and escalations.
* Develop and deliver presentations and reports on the progress of transformational initiatives to our operational leaders and executive team.
* Contribute to the development and rollout of project delivery and portfolio management standards across the organization.
* Demonstrate curiosity to learn and optimize existing business processes, and assist in the development of business cases and value analyses.
**Qualifications**
****Required Qualifications****
* Minimum of 12\+ years of program management experience in a fast\-moving, agile environment, or equivalent military experience.
* Bachelor's degree in Engineering or a related field, or an MBA.
* Functional experience in go\-to\-market programs, customer experience, finance operations, or another core business capability.
* Hands\-on expertise with Agile/Scrum methodologies and related tools (e.g., Jira, Confluence, Smartsheet).
* Demonstrated ability to lead cross\-functional teams and deliver technical solutions while mitigating or removing obstacles.
**Preferred Qualifications**
* Experience working for a large, enterprise technology company.
* Experience driving quarterly portfolio planning workshops using proven frameworks to optimize ROI and measurable business value.
* A self\-starter with excellent judgment, incredible attention to detail, and a drive that motivates others on the team.
* Highly collaborative team player comfortable providing and receiving open, real\-time feedback to continuously improve team performance.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$155,000\.00 \- $251,000\.00/yr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181">
      <c r="A181" t="inlineStr">
        <is>
          <t>li-4377868458</t>
        </is>
      </c>
      <c r="B181" t="inlineStr">
        <is>
          <t>Program Manager</t>
        </is>
      </c>
      <c r="C181" t="inlineStr">
        <is>
          <t>BioSpace</t>
        </is>
      </c>
      <c r="D181" t="inlineStr">
        <is>
          <t>linkedin</t>
        </is>
      </c>
      <c r="E181">
        <f>HYPERLINK("https://www.linkedin.com/jobs/view/4377868458", "https://www.linkedin.com/jobs/view/4377868458")</f>
        <v/>
      </c>
      <c r="F181">
        <f>HYPERLINK("https://jobs.biospace.com/job/3033006/?TrackID=433984&amp;utm_source=Partner_JS&amp;utm_medium=Aggregator_Paid&amp;utm_campaign=LinkedIn-Slots&amp;urlHash=z2NL", "https://jobs.biospace.com/job/3033006/?TrackID=433984&amp;utm_source=Partner_JS&amp;utm_medium=Aggregator_Paid&amp;utm_campaign=LinkedIn-Slots&amp;urlHash=z2NL")</f>
        <v/>
      </c>
      <c r="G181" t="inlineStr">
        <is>
          <t>Rockville, MD</t>
        </is>
      </c>
      <c r="H181" t="inlineStr"/>
      <c r="I181" t="inlineStr">
        <is>
          <t>**Description**
**Who is USP?**
 The U.S.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USP is seeking a Program Manager Digital Standards to oversee crossfunctional planning, execution, and delivery across the growing Digital Standards product and policy ecosystem. This role ensures coordinated progress across multiple workstreams, including digital reference standards, qNMR software, supply chain analytics, digital documentary standards, USP digital method conversion, policy development, industry pilots, marketing, and scientific development. The Program Manager will maintain the Digital Standards master plan, track timelines and dependencies, ensure budgets are managed responsibly, and flag risks and resource needs to leadership.
 As pharmaceutical development and manufacturing continues its digitalization journey, USP is seeking to take an active, collaborative role in helping advance digitalization of analytical development and quality control workflows through the delivery of chemical reference and analytical method standards directly into digital environments. This position will help ensure that resources are used efficiently and processes are established to help USP scale its Digital Standards portfolio.
**This role is hybrid, with an expected travel commitment of up to 10% for planning workshops, crossfunctional meetings, and program reviews.**
**How will YOU create impact here at USP?**
 As part of our mission to advance scientific rigor and public health standards, you will play a vital role in increasing global access to high\-quality medicines through public standards and related programs. USP prioritizes scientific integrity, regulatory excellence, and evidence\-based decision\-making to ensure health systems worldwide can rely on strong, tested, and globally relevant quality standards.
 Additionally, USPs People and Culture division, in partnership with the Equity Office, invests in leadership and workforce development to equip all employees with the skills to create high\-performing, inclusive teams. This includes training in equitable management practices and tools to promote engaged, collaborative, and results\-driven work environments.
**Responsibilities**
 The
 **Program Manager, Digital Standards** 
 has the following responsibilities:
* Develop and maintain the Digital Standards portfolio roadmap, ensuring alignment across product, scientific, policy, marketing, and communications workstreams.
* Lead crossfunctional program planning activities, coordinating objectives, milestones, dependencies, and resourcing needs.
* Track progress of all Digital Standards initiatives, including product development, policy work, pilots, marketing campaigns, and scientific deliverables.
* Establish and manage project governance structures, including meeting cadences, decision logs, and issue/risk escalation pathways.
* Develop integrated dashboards, portfolio reports, and KPIs for leadership visibility.
* Monitor budget allocations, track monthly actuals, and forecast future spending across program areas.
* Identify crossteam risks, bottlenecks, and resourcing gaps; surface mitigation recommendations to leadership.
* Maintain documentation including charters, schedules, risk registers, budget trackers, and communication plans.
* Support annual and quarterly planning activities, ensuring alignment with Digital Standards strategy and USP priorities.
* Facilitate crossteam communication to maintain transparency and ensure coordinated execution across all workstreams.
 Success will be measured by ontime delivery of program milestones, improved coordination and transparency across workstreams, effective budget oversight, and the ability to anticipate and resolve risks before they impact strategic execution.
**Who is USP Looking For?**
 The Successful Candidate Will Have a Demonstrated Understanding Of Our Mission, Commitment To Excellence Through Inclusive And Equitable Behaviors And Practices, Ability To Quickly Build Credibility With Stakeholders, Along With The Following Competencies And Experience
* Bachelors degree in project management, business, science, engineering, or a related field.
* Minimum of 7 years of experience in project or program management, preferably within scientific, digital, regulatory, or healthcare environments.
* Experience coordinating crossfunctional teams and managing complex, multistream programs.
* Demonstrated ability to track budgets, manage timelines, and report portfolio status at an executive level.
* Familiarity with digital product development, scientific workflows, or regulatory processes.
* Strong communication, organizational, and stakeholdermanagement skills.
* Experience with project management tools (e.g., MS Project, Smartsheet, Planner, Asana, Jira).
* Ability to manage ambiguity and drive alignment in complex, evolving environments.
* Experience in pharmaceutical, scientific, healthcare, nonprofit, or regulated industries.
**Additional Desired Preferences**
* PMP, PgMP, Agile, or other formal project/program management certifications.
* Experience supporting regulatory, standardsdevelopment, or structureddata programs.
* Experience with portfolio budgeting or multiprogram financial forecasting.
* Experience in digital transformation or scientific/analytical software programs.
* Demonstrated ability to design and optimize program governance models.
* Experience developing dashboards or reporting systems for senior leadership.
* Rigorous commitment to measurement and continuous improvement of work processes.
* Experience using AI tools to automate or accelerate work.
**Supervisory Responsibilities**
 None, this is an individual contributor role.
**Benefits**
 USP provides the benefits to protect yourself and your family today and tomorrow. From company\-paid time off and comprehensive healthcare options to retirement savings, you can have peace of mind that your personal and financial well\-being is protected.
**Compensation**
 Base Salary Range: USD $85,200\.00 $108,400\.00 annually.
 Target Annual Bonus: % Varies based on level of role.
 Individual compensation packages are based on various factors unique to each candidates skill set, experience, qualifications, equity, and other job\-related reasons.
 Note: USP does not accept unsolicited resumes from 3rd party recruitment agencies and is not responsible for fees from recruiters or other agencies except under specific written agreement with USP.
 Equal Opportunity Employer/Protected Veterans/Individuals with Disabilities
 This employer is required to notify all applicants of their rights pursuant to federal employment laws.
 For further information, please review the Know Your Rights (https://www.eeoc.gov/poster) notice from the Department of Labor.
**Job Category** 
 Project Management
**Job Type** 
 Full\-Time</t>
        </is>
      </c>
    </row>
    <row r="182">
      <c r="A182" t="inlineStr">
        <is>
          <t>li-4368505871</t>
        </is>
      </c>
      <c r="B182" t="inlineStr">
        <is>
          <t>Technical Program Manager II, Capacity Planning, Cloud Supply Chain</t>
        </is>
      </c>
      <c r="C182" t="inlineStr">
        <is>
          <t>Google</t>
        </is>
      </c>
      <c r="D182" t="inlineStr">
        <is>
          <t>linkedin</t>
        </is>
      </c>
      <c r="E182">
        <f>HYPERLINK("https://www.linkedin.com/jobs/view/4368505871", "https://www.linkedin.com/jobs/view/4368505871")</f>
        <v/>
      </c>
      <c r="F182" t="inlineStr"/>
      <c r="G182" t="inlineStr">
        <is>
          <t>Reston, VA</t>
        </is>
      </c>
      <c r="H182" t="inlineStr"/>
      <c r="I182" t="inlineStr">
        <is>
          <t>**Minimum qualifications:**
* Bachelor's degree in a technical field, or equivalent practical experience.
* 2 years of experience in program management.
* Experience managing hardware deployments, capacity planning, or infrastructure operations within a data center or colocation environment.
* Experience using SQL or Python for data analysis and database hygiene.
* Ability to travel up to 15% of the time.
**Preferred qualifications:**
* 2 years of experience managing cross\-functional or cross\-team projects.
* Experience implementing non\-standard solutions to engineering challenges.
* Ability to manage simultaneous project work\-streams with attention to detail.
* Ability to evaluate competing project dependencies and prioritize high\-impact deliverables in a fast\-paced environment.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part of the Cloud supply chain and operations (CSCO) organization, the team serves as the vital link between ambitious product innovation and hardware execution. The team manages a global footprint of data centers, providing the essential infrastructure and hardware capacity required to test Google products and features before they reach the public.
 As a Technical Program Manager, you will navigate ambiguity to lead hardware deployments, manage space and power requirements, and drive the launch of new data centers in key global hubs. You’ll act as a bridge between customer\-facing teams and on\-site technicians, ensuring data hygiene and operational excellence while iterating on processes to improve efficiency.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Facilitate hardware capacity delivery by securing essential space, power, and networking across global data centers to support internal product testing.
* Cultivate and maintain relationships across the team, cross\-functional partners, and external vendors to ensure seamless operational alignment and project success.
* Own the on\-time delivery (OTD) for projects at specified global locations, managing the life\-cycle from initial procurement to final hardware maintenance.
* Orchestrate stakeholder coordination by setting clear deliverable expectations, monitoring parallel work\-streams, and proactively resolving technical roadblocks to maintain project momentum.
* Partner with internal customers to define metric requirements, ensuring the accurate collection and analysis of data to drive informed decision\-making and project iterations.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3">
      <c r="A183" t="inlineStr">
        <is>
          <t>li-4376740401</t>
        </is>
      </c>
      <c r="B183" t="inlineStr">
        <is>
          <t>Technical Program Manager III, Operations, Google Data Centers</t>
        </is>
      </c>
      <c r="C183" t="inlineStr">
        <is>
          <t>Google</t>
        </is>
      </c>
      <c r="D183" t="inlineStr">
        <is>
          <t>linkedin</t>
        </is>
      </c>
      <c r="E183">
        <f>HYPERLINK("https://www.linkedin.com/jobs/view/4376740401", "https://www.linkedin.com/jobs/view/4376740401")</f>
        <v/>
      </c>
      <c r="F183" t="inlineStr"/>
      <c r="G183" t="inlineStr">
        <is>
          <t>Atlanta, GA</t>
        </is>
      </c>
      <c r="H183" t="inlineStr"/>
      <c r="I183" t="inlineStr">
        <is>
          <t>Note: By applying to this position you will have an opportunity to share your preferred working location from the following:
 **Wilmer, TX, USA; Atlanta, GA, USA** 
 .
 **Minimum qualifications:**
* Bachelor's degree in a technical field, or equivalent practical experience.
* 5 years of experience in program management.
* Experience working with critical equipment/environments (e.g., switchgear, generators, chillers, cooling towers, air handling units, controls, security monitoring systems, fire safety systems).
* Experience in facilities management.
**Preferred qualifications:**
* Bachelor's or Master's degree in Construction Engineering or a related technical field.
* 5 years of experience managing cross\-functional or cross\-team projects.
* Experience in facility operations for large\-scale facilities comprising complex electrical and mechanical systems.
* Understanding of startup/commissioning processes and standard practices in the design and construction industry.
* Excellent requirement gathering, resource organization, task prioritization, scheduling, and goal attainment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Define the scope of projects and develop, execute, or manage project plans for supported program(s).
* Identify, communicate, and collaborate with relevant stakeholders within one or more teams to drive impact and work toward mutual goals. Build, maintain and enhance business, operational, and management dashboards.
* Lead technical projects, which includes developing project scope, schedule, budget, and resource allocation, as well as managing project execution to ensure timely delivery and quality.
* Collect and analyze operational data, including incident reports and system performance metrics, to identify trends and drive process improvements. Develop dashboards and visualizations to monitor system health, identify optimization opportunities, and make data\-backed recommendations to enhance operational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4">
      <c r="A184" t="inlineStr">
        <is>
          <t>li-4353151445</t>
        </is>
      </c>
      <c r="B184" t="inlineStr">
        <is>
          <t>Stormwater Program Manager</t>
        </is>
      </c>
      <c r="C184" t="inlineStr">
        <is>
          <t>Meta</t>
        </is>
      </c>
      <c r="D184" t="inlineStr">
        <is>
          <t>linkedin</t>
        </is>
      </c>
      <c r="E184">
        <f>HYPERLINK("https://www.linkedin.com/jobs/view/4353151445", "https://www.linkedin.com/jobs/view/4353151445")</f>
        <v/>
      </c>
      <c r="F184">
        <f>HYPERLINK("https://jsv3.recruitics.com/redirect?rx_cid=3239&amp;rx_jobId=a1KDp00000CZKvnMAH_1001&amp;rx_url=https%3A%2F%2Fwww.metacareers.com%2Fjobs%2F2383834752073794%2F%3Frx_campaign%3DLinkedin1%26rx_ch%3Dconnector%26rx_group%3D126320%26rx_id%3Dcd533dbe-f7ae-11f0-9490-7b4b3e62c803%26rx_job%3Da1KDp00000CZKvnMAH_1001%26rx_medium%3Dpost%26rx_r%3Dnone%26rx_source%3DLinkedin%26rx_ts%3D20260225T121202Z%26rx_vp%3Dslots%26utm_campaign%3DJob%252Bboard%26utm_medium%3Djobs%26utm_source%3DLIpaid&amp;urlHash=eLnh", "https://jsv3.recruitics.com/redirect?rx_cid=3239&amp;rx_jobId=a1KDp00000CZKvnMAH_1001&amp;rx_url=https%3A%2F%2Fwww.metacareers.com%2Fjobs%2F2383834752073794%2F%3Frx_campaign%3DLinkedin1%26rx_ch%3Dconnector%26rx_group%3D126320%26rx_id%3Dcd533dbe-f7ae-11f0-9490-7b4b3e62c803%26rx_job%3Da1KDp00000CZKvnMAH_1001%26rx_medium%3Dpost%26rx_r%3Dnone%26rx_source%3DLinkedin%26rx_ts%3D20260225T121202Z%26rx_vp%3Dslots%26utm_campaign%3DJob%252Bboard%26utm_medium%3Djobs%26utm_source%3DLIpaid&amp;urlHash=eLnh")</f>
        <v/>
      </c>
      <c r="G184" t="inlineStr">
        <is>
          <t>Washington, DC</t>
        </is>
      </c>
      <c r="H184" t="inlineStr"/>
      <c r="I184" t="inlineStr">
        <is>
          <t>Meta designs, builds, leases, and operates the most innovative and efficient data centers in the world. Developing, operating, and managing the data center infrastructure and facilities the “right” way is synonymous with ensuring high uptime, capacity availability, flexibility and capital and operational cost efficiency in a safe working environment.Meta is seeking a Stormwater Program Manager to support cross\-functional program efforts for the large and growing global infrastructure portfolio during pre\-development, design, construction, and operations phases. This position will report directly to the Water Team Manager within the broader Site Development team and will work closely with other Infrastructure teams. Travel may be needed to visit sites to better understand design and operations, meet site teams, and attend agency and stakeholder meetings.
 Stormwater Program Manager Responsibilities:
* Develop and lead the growth of the stormwater program within Meta infrastructure projects as the company continues to grow
* Lead stormwater due diligence, including evaluation of potential stormwater impacts from offsite water sources, direct discharges, and construction, as well as completing stormwater risk assessments
* Lead discussions and maintain long\-term relationships with public utilities and regulatory agencies regarding technical aspects of stormwater projects, including planning, design, construction, permitting and operations/maintenance, as well as other offsite infrastructure improvements
* Coordinate with internal teams to identify, implement, and monitor stormwater Best Management Practices during construction and operations, including alternative and construction stormwater uses
* Review and interpret environmental reports, topographic surveys, and geotechnical data
* Advance development and ownership of site\-specific stormwater maintenance plans and agreements, in accordance with federal/state/local and internal requirements as applicable, in collaboration with design, environmental, and operations teams
* Confirm that stormwater monitoring and reporting requirements are integrated within operations teams maintenance plans/procedures, including onboarding documentation for vendors in support of site operations
* Work with internal and external stakeholders to coordinate stormwater\-related utility billing activities and external stakeholder communication
* Periodically review and identify regulatory changes, in collaboration with the Meta Policy team and Environmental Compliance team, by monitoring relevant policies that could affect stormwater for specific sites (in construction and/or operationally)
* Facilitate and drive communication and cross\-team coordination between internal stormwater stakeholders, including Environmental, Sustainability, Engineering, Design, Construction, and other teams
* Provide expertise to broad internal and external teams, coordinating on relevant stormwater issues and requirements across the project lifecycle
* Develop training and educational tools regarding compliance and awareness
* Scope, review findings, and provide direction to consultants and internal teams, when needed
* Travel domestically (up to 30%)
 Minimum Qualifications:
* Bachelor’s degree in related field
* 10\+ years professional experience in the planning, design, construction, and operation of utility or private infrastructure projects related to stormwater design, construction, operations and/or compliance
* Technical expertise related to stormwater discharge, reuse, as well as policy, permitting, and regulations
* Professional experience in working with public utilities and regulatory agencies
* Demonstrated experience with communication, organizational and program management skills
* Experience managing multiple projects concurrently and coordinating with internal staff, external consultants, and other stakeholders
* Experience working in teams, establishing and maintaining cross\-functional and working relationships
* Experience communicating and working with highly confidential information
 Preferred Qualifications:
* Master’s degree in related field
* Experience with stormwater infrastructure planning for data centers
* Professional Engineer License
* CSM or CESCP certification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$160,000/year to $232,000/year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5">
      <c r="A185" t="inlineStr">
        <is>
          <t>li-4376732621</t>
        </is>
      </c>
      <c r="B185" t="inlineStr">
        <is>
          <t>Technical Program Manager III, Operations, Google Data Centers</t>
        </is>
      </c>
      <c r="C185" t="inlineStr">
        <is>
          <t>Google</t>
        </is>
      </c>
      <c r="D185" t="inlineStr">
        <is>
          <t>linkedin</t>
        </is>
      </c>
      <c r="E185">
        <f>HYPERLINK("https://www.linkedin.com/jobs/view/4376732621", "https://www.linkedin.com/jobs/view/4376732621")</f>
        <v/>
      </c>
      <c r="F185">
        <f>HYPERLINK("https://careers.google.com/jobs/results/73012525746004678-technical-program-manager-iii/?src=Online/LinkedIn/linkedin_us&amp;utm_source=linkedin&amp;utm_medium=jobposting&amp;utm_campaign=contract&amp;urlHash=yDIA", "https://careers.google.com/jobs/results/73012525746004678-technical-program-manager-iii/?src=Online/LinkedIn/linkedin_us&amp;utm_source=linkedin&amp;utm_medium=jobposting&amp;utm_campaign=contract&amp;urlHash=yDIA")</f>
        <v/>
      </c>
      <c r="G185" t="inlineStr">
        <is>
          <t>Wilmer, TX</t>
        </is>
      </c>
      <c r="H185" t="inlineStr"/>
      <c r="I185" t="inlineStr">
        <is>
          <t>Note: By applying to this position you will have an opportunity to share your preferred working location from the following:
 **Wilmer, TX, USA; Atlanta, GA, USA** 
 .
 **Minimum qualifications:**
* Bachelor's degree in a technical field, or equivalent practical experience.
* 5 years of experience in program management.
* Experience working with critical equipment/environments (e.g., switchgear, generators, chillers, cooling towers, air handling units, controls, security monitoring systems, fire safety systems).
* Experience in facilities management.
**Preferred qualifications:**
* Bachelor's or Master's degree in Construction Engineering or a related technical field.
* 5 years of experience managing cross\-functional or cross\-team projects.
* Experience in facility operations for large\-scale facilities comprising complex electrical and mechanical systems.
* Understanding of startup/commissioning processes and standard practices in the design and construction industry.
* Excellent requirement gathering, resource organization, task prioritization, scheduling, and goal attainment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Define the scope of projects and develop, execute, or manage project plans for supported program(s).
* Identify, communicate, and collaborate with relevant stakeholders within one or more teams to drive impact and work toward mutual goals. Build, maintain and enhance business, operational, and management dashboards.
* Lead technical projects, which includes developing project scope, schedule, budget, and resource allocation, as well as managing project execution to ensure timely delivery and quality.
* Collect and analyze operational data, including incident reports and system performance metrics, to identify trends and drive process improvements. Develop dashboards and visualizations to monitor system health, identify optimization opportunities, and make data\-backed recommendations to enhance operational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6">
      <c r="A186" t="inlineStr">
        <is>
          <t>li-4376721961</t>
        </is>
      </c>
      <c r="B186" t="inlineStr">
        <is>
          <t>Technical Program Manager II, Data Center Networking, Cloud Infrastructure</t>
        </is>
      </c>
      <c r="C186" t="inlineStr">
        <is>
          <t>Google</t>
        </is>
      </c>
      <c r="D186" t="inlineStr">
        <is>
          <t>linkedin</t>
        </is>
      </c>
      <c r="E186">
        <f>HYPERLINK("https://www.linkedin.com/jobs/view/4376721961", "https://www.linkedin.com/jobs/view/4376721961")</f>
        <v/>
      </c>
      <c r="F186">
        <f>HYPERLINK("https://careers.google.com/jobs/results/87369908047749830-technical-program-manager-ii/?src=Online/LinkedIn/linkedin_us&amp;utm_source=linkedin&amp;utm_medium=jobposting&amp;utm_campaign=contract&amp;urlHash=lDoi", "https://careers.google.com/jobs/results/87369908047749830-technical-program-manager-ii/?src=Online/LinkedIn/linkedin_us&amp;utm_source=linkedin&amp;utm_medium=jobposting&amp;utm_campaign=contract&amp;urlHash=lDoi")</f>
        <v/>
      </c>
      <c r="G186" t="inlineStr">
        <is>
          <t>Sunnyvale, CA</t>
        </is>
      </c>
      <c r="H186" t="inlineStr"/>
      <c r="I186" t="inlineStr">
        <is>
          <t>Note: By applying to this position you will have an opportunity to share your preferred working location from the following:
 **Atlanta, GA, USA; Sunnyvale, CA, USA** 
 .
 **Minimum qualifications:**
* Bachelor's degree in a technical field, or equivalent practical experience.
* 2 years of experience in program management.
* Experience with networking technologies.
* Experience with data center infrastructure (e.g., power, storage, cooling systems, servers, racks, etc.).
**Preferred qualifications:**
* 2 years of experience managing cross\-functional or cross\-team projects.
* Experience with data center technologies, network architecture, NPI, and deployment planning.
* Experience with network capacity planning.
* Ability to grow technically and become a subject matter expert.
* Excellent problem\-solving, communication, and influencing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Cluster Networking team drives the evolution and optimization of cluster network infrastructure to enable deployability of machines and ML capacity within Google's data centers.
 In this role, you will participate in NPIs (New Product Introductions) to launch the cluster networking infrastructure to scale cluster fabrics. You will be responsible for planning and ensuring that networking capacity is available to land machine learning capacity at the right time across all of Google's data centers.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Facilitate the timely delivery of cluster networking capacity across all Google's data centers.
* Drive change event impact analysis and adjust plans of record across systems of record.
* Define policies and tooling requirements to manage cluster networking products, emphasizing planning, provisioning, reliability, and interoperability needs across the existing fleet.
* Participate in the development of new products from early concepts all the way through to full production and help manage the transition of the new products into the fleet.
* Offer technical guidance across the broader organization, regarding how new products and processes will impact or be impacted by the networking fleet.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7">
      <c r="A187" t="inlineStr">
        <is>
          <t>li-4317547551</t>
        </is>
      </c>
      <c r="B187" t="inlineStr">
        <is>
          <t>Staff Technical Program Manager, Infrastructure</t>
        </is>
      </c>
      <c r="C187" t="inlineStr">
        <is>
          <t>Moloco</t>
        </is>
      </c>
      <c r="D187" t="inlineStr">
        <is>
          <t>linkedin</t>
        </is>
      </c>
      <c r="E187">
        <f>HYPERLINK("https://www.linkedin.com/jobs/view/4317547551", "https://www.linkedin.com/jobs/view/4317547551")</f>
        <v/>
      </c>
      <c r="F187" t="inlineStr"/>
      <c r="G187" t="inlineStr">
        <is>
          <t>Seattle, WA</t>
        </is>
      </c>
      <c r="H187" t="inlineStr"/>
      <c r="I187"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Opportunity:**
* Be the connective tissue across the organization to keep engineering, product, leadership, and stakeholders aligned on priorities, schedule, risks, and progress.
* Own and drive cross\-team initiatives from conception to completion.
* Create and manage cross\-team roadmaps, schedule, risks, and issues.
* Own security, privacy, compliance, and operational excellence initiatives.
* Establish scalable, repeatable, and efficient processes and schedules.
* Be a force multiplier by continually improving engineering, product, and operational efficiency across the organization.
* Help grow the TPM function.
**Who We’re Looking For:**
* You love working on technical initiatives to build and manage large cloud infrastructure.
* You don’t just work with engineering, you’re embedded into the team, shepherding their programs end\-to\-end.
* You have worked with big cloud players like GCP, AWS, OCI, Azure, etc.
**How Do I Know if the Role is Right For Me?**
* Experience working with senior leadership, including C\-level leaders.
* Excellent oral and written communication skills
* Ability to effectively collaborate and drive consensus with all levels and teams across the company.
* Integral contributor to the development and operational readiness of large scale cloud products.
* Experience managing projects, risks, and dependencies with Product, Engineering, GTM, and cross\-functional teams.
* Experience building scalable, sustainable processes and coordinating release schedules across multiple organizations.
* Experience in agile software development methodologies including deploying best practices and SDLC processes.
* 5\+ years of technical program management or engineering management experience.
* 7\+ years of experience working directly with software, cloud, or data engineering teams.
* Bachelor's degree in computer science, engineering or a related technical discipline.
**Preferred Experience:**
* Prior experience in ML Infra and Adtech
* Experience with Multi Cloud infrastructure
* Passionate for learning about technologies and products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$195,200—$245,000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188">
      <c r="A188" t="inlineStr">
        <is>
          <t>li-4377850411</t>
        </is>
      </c>
      <c r="B188" t="inlineStr">
        <is>
          <t>Program Manager</t>
        </is>
      </c>
      <c r="C188" t="inlineStr">
        <is>
          <t>Actalent</t>
        </is>
      </c>
      <c r="D188" t="inlineStr">
        <is>
          <t>linkedin</t>
        </is>
      </c>
      <c r="E188">
        <f>HYPERLINK("https://www.linkedin.com/jobs/view/4377850411", "https://www.linkedin.com/jobs/view/4377850411")</f>
        <v/>
      </c>
      <c r="F188">
        <f>HYPERLINK("https://jsv3.recruitics.com/redirect?rx_cid=3374&amp;rx_jobId=JP-005852568&amp;rx_url=https%3A%2F%2Fars2.equest.com%2F%3Ficid%3Dlinkedin_recruitics%26response_id%3D653cdf7dd2278c54690a6ce83e4b7582%26rx_campaign%3DLinkedin1%26rx_ch%3Dconnector%26rx_group%3D125337%26rx_id%3D767e2e36-11a6-11f1-b5ee-85db04c3be33%26rx_job%3DJP-005852568%26rx_medium%3Dpost%26rx_r%3Dnone%26rx_source%3DLinkedin%26rx_ts%3D20260225T121203Z%26rx_vp%3Dslots&amp;urlHash=GqYF", "https://jsv3.recruitics.com/redirect?rx_cid=3374&amp;rx_jobId=JP-005852568&amp;rx_url=https%3A%2F%2Fars2.equest.com%2F%3Ficid%3Dlinkedin_recruitics%26response_id%3D653cdf7dd2278c54690a6ce83e4b7582%26rx_campaign%3DLinkedin1%26rx_ch%3Dconnector%26rx_group%3D125337%26rx_id%3D767e2e36-11a6-11f1-b5ee-85db04c3be33%26rx_job%3DJP-005852568%26rx_medium%3Dpost%26rx_r%3Dnone%26rx_source%3DLinkedin%26rx_ts%3D20260225T121203Z%26rx_vp%3Dslots&amp;urlHash=GqYF")</f>
        <v/>
      </c>
      <c r="G188" t="inlineStr">
        <is>
          <t>Chantilly, VA</t>
        </is>
      </c>
      <c r="H188" t="inlineStr"/>
      <c r="I188" t="inlineStr">
        <is>
          <t>**Program Manager (Space Electronic Systems)**
**Job Description**
 The Program Manager will directly manage one or more flight programs, ensuring customer satisfaction, execution to cost and schedule, risk management, and delivery of high\-quality products. The manager will coordinate with key functional areas such as Engineering, Operations, Supply Chain, Contracts, and Finance to ensure effective planning and execution of their programs. Additionally, they will mentor other PMO members and operate as part of a team to ensure the overall success of the business unit.
**Responsibilities**
* Manage cost, schedule, risk, and customer interface for flight programs.
* Collaborate with a Lead Systems Engineer who will manage technical execution.
* Mentor other Project Managers.
* Lead the development of space hardware programs.
**Essential Skills**
* Risk management
* Space hardware
* Product development process
* Program management
* Electrical engineering
* Electronics
* Design
* Systems engineering
* Space flight hardware
**Additional Skills \&amp; Qualifications**
* Bachelor's degree and 9\+ years, or graduate degree and 7\+ years, of applicable experience
* Experience in managing government programs of a technical nature including FAR\-based contracts with multiple CLINs
* Financial management and planning experience
* Working knowledge of Government contract types (including OTA and FAR based)
* Experience managing product development programs, including design, development, procurement, prototype, and production elements
* Proficiency in MS Office Suite including MS Project, Excel, PowerPoint, and Word
* Bachelor's degree in business or engineering (preferred)
* Space electronic systems experience (preferred)
* Familiarity with Earned Value Management (preferred)
* PMP Certification, or the ability to obtain within 6\-months of starting employment (preferred)
**Work Environment**
 The position offers a hybrid work environment ideally in Fairfax, with the possibility of a remote candidate who can travel 30\-50%. Systems engineers are assigned one or more programs at a time for which they are responsible. This role provides the opportunity to work in a fast\-paced, R\&amp;D environment with product development cycles ranging from 8\-12 months. The organization is medium\-sized, with a flat structure and comprised of highly technical\-minded engineers focused on solving customer problems.
**Job Type \&amp; Location**
 This is a Permanent position based out of Fairfax, VA.
**Pay And Benefits**
 The pay range for this position is $200000\.00 \- $220000\.00/yr.
* 6% 401k contribution \- 4 weeks PTO \- 7 holidays, with company shutdown Dec. 25th\-31st
**Workplace Type**
 This is a hybrid position in Fairfax,VA.
**Application Deadline**
 This position is anticipated to close on Feb 27,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189">
      <c r="A189" t="inlineStr">
        <is>
          <t>li-4339633537</t>
        </is>
      </c>
      <c r="B189" t="inlineStr">
        <is>
          <t>Program Manager - Surface Systems</t>
        </is>
      </c>
      <c r="C189" t="inlineStr">
        <is>
          <t>Leonardo DRS</t>
        </is>
      </c>
      <c r="D189" t="inlineStr">
        <is>
          <t>linkedin</t>
        </is>
      </c>
      <c r="E189">
        <f>HYPERLINK("https://www.linkedin.com/jobs/view/4339633537", "https://www.linkedin.com/jobs/view/4339633537")</f>
        <v/>
      </c>
      <c r="F189">
        <f>HYPERLINK("https://careers.leonardodrs.com/job/Johnstown-Program-Manager-Surface-Systems-PA-15904/1330296200/?feedId=336500&amp;utm_source=LinkedInJobPostings&amp;utm_campaign=LeonardoDRS_LinkedIn&amp;urlHash=x4eA", "https://careers.leonardodrs.com/job/Johnstown-Program-Manager-Surface-Systems-PA-15904/1330296200/?feedId=336500&amp;utm_source=LinkedInJobPostings&amp;utm_campaign=LeonardoDRS_LinkedIn&amp;urlHash=x4eA")</f>
        <v/>
      </c>
      <c r="G189" t="inlineStr">
        <is>
          <t>Johnstown, PA</t>
        </is>
      </c>
      <c r="H189" t="inlineStr"/>
      <c r="I189" t="inlineStr">
        <is>
          <t>**Job ID: 112977**
 The Leonardo DRS Naval Electronics business provides leading naval computing infrastructure, network and data distribution and middleware enterprise services, as well as world\-class manufacturing and support capabilities.
**Job Summary**
 This position is based out of our Display, Processing, and Networking Center of Excellence located in Johnstown, PA, and will support our Surface Systems Line of Business.
 The Program Manager manages and ensures the timely completion of contract requirements for production programs from start to completion to ensure that costs, schedule, lead times, capacity and goals are met while working closely with Operations and Supply Chain. The PM assists in providing contractual interface, communication and coordination with internal and external customer on matters pertaining to existing production operations contracts. This position uses specific knowledge in production operations and planning to research, plan, communicate and achieve objectives through program/project team, ensures production readiness for new programs and awards, engages in production engineering decisions during new product integration, and develops and executes plans required to meet or exceed all contract and Internal Operating Plan.
**Job Responsibilities**
* Manage and direct the daily execution of contract requirements to assure that cost, schedules and performance goals are met
* Lead all meetings and the integrated product team from kick\-off through project close
* Provide interface, communication and coordination with internal and external customers on matters pertaining to existing contracts
* Participate as a team member or leader on bid and proposal activities. Ensure that the requirements of the request for proposal are met in the preparation and documentation of bids and proposals for existing customers
* Actively seek new business opportunities in coordination with Business Development
* Represent management at program reviews, meetings, seminars, etc.
* Prepare for and participate in contract/subcontract negotiations. While representing Company’s interests, assure that all government regulatory guidance is adhered to
* Develop and implement plans and schedules to execute contracts/subcontracts. Allocate and control contract budgets for labor, material, travel and purchased services. Regularly report program status to senior management
* Formally identify, assess, monitor and mitigate risk throughout the program life cycle. Obtains management approval prior to making decisions that will cause deterioration of established program, cost and schedule objectives.
* May be required to ensure the overall execution of material on schedule and on budget for a business area
* May be required to collaborate on various tasks with various project teams
* May be required to various tasks/team/project/Engineering changes
* Notify and seek senior management assistance in resolving schedule and budget problems as they arise. Develop and implement corrective action plans when deviations from budgets and/or schedules are evident
* Perform variance analysis of schedule and cost on a formal and informal basis and present them to senior management (i.e. earned value management system)
**Job Responsibilities Part II**
* May serve as the primary interface with the customer on all matters involving contract execution. Coordinate with other departments on resolution of contractual problems with the customer
* Coordinate with Contracts Administration on issues pertaining to contract requirements, changes, and interpretations.
* Assure the contract requirements are executed in accordance with appropriate regulations and Company policies and procedures (i.e. federal acquisition regulations)
* May provide leadership to program or project team. Assures communication and cooperation among team members and resolves areas of conflict
* Ensure a timely closeout of completed programs to ensure that all obligations are satisfied and program documentation is properly recorded
* Understand and develop leading verses lagging indicators
* Develop and execute program corrective action strategies
* May partner with various stakeholders on planning process and system improvements
* Develop and understand principles of program planning. Broad application of principles, theories, and concepts in applicable discipline, plus working knowledge of other related fields
* Develop and understand cash flow management principles
* Develop and understand principles of process improvement (i.e. Lean Six Sigma)
 Secondary Accountabilities
* May require 3\+ year in the in DoD program and/or materials management and in production manufacturing operation utilizing MRP/ERP depending upon the job discipline
* May require knowledge of DoD FAR procurement regulations
* May require knowledge of MRP/ERP with a solid understanding of electro\-mechanical assembly operations, bills of material, demand material planning, and the supply chain purchasing process.
**Qualifications**
* 3\+ years of relevent experience
* Bachelor’s degree or equivalent combination of education and experience
* Engineering, Finance, Supply Chain or Business degree may be preferred or equivalent combination of education and experience depending upon the job discipline
* Knowledge of program management tools and procedures
* Solid leadership and management skills
* Exposure to the program lifecycle or components of development through sustainment to include: proposal development, requirements decomposition, generation of system and subsystem statements of work and subcontracts, risk management, and continuous improvement efforts including implementation cost reduction and performance improvement efforts
* Exposure to the earned value cost accounting and reporting; experience with metrics for assessing and reporting program progress, productivity and variance analysis
* Exposure to finance, contracting, export regulations, engineering, logistics, manufacturing and supply chain management
* Strong customer interface skills
* Solid problem solving skills
* Strong presentation skills
* Demonstrated knowledge of specific discipline
* Exposure to managing manpower planning, project reviews, scheduling and budget control
* Ability to manage aerospace/defense programs as a prime or subcontractor to a domestic or foreign military organization
* Strong oral and written communication skills
* Program Management certification preferred (i.e. PMP or DAU)
**U.S. Citizenship required. This position requires an active DOD security clearance or the ability to obtain such clearance within a reasonable time after commencement of employment.**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
*\#NEL*</t>
        </is>
      </c>
    </row>
    <row r="190">
      <c r="A190" t="inlineStr">
        <is>
          <t>li-4374539954</t>
        </is>
      </c>
      <c r="B190" t="inlineStr">
        <is>
          <t>Fitness Program Manager II</t>
        </is>
      </c>
      <c r="C190" t="inlineStr">
        <is>
          <t>HealthFitness</t>
        </is>
      </c>
      <c r="D190" t="inlineStr">
        <is>
          <t>linkedin</t>
        </is>
      </c>
      <c r="E190">
        <f>HYPERLINK("https://www.linkedin.com/jobs/view/4374539954", "https://www.linkedin.com/jobs/view/4374539954")</f>
        <v/>
      </c>
      <c r="F190">
        <f>HYPERLINK("https://trustmark.wd1.myworkdayjobs.com/healthfitnesscareers/job/World-Bank-MC-Washington-DC/Fitness-Program-Manager-II_105206?source=LinkedIn&amp;urlHash=Ao9E", "https://trustmark.wd1.myworkdayjobs.com/healthfitnesscareers/job/World-Bank-MC-Washington-DC/Fitness-Program-Manager-II_105206?source=LinkedIn&amp;urlHash=Ao9E")</f>
        <v/>
      </c>
      <c r="G190" t="inlineStr">
        <is>
          <t>Washington, DC</t>
        </is>
      </c>
      <c r="H190" t="inlineStr"/>
      <c r="I190"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We’re looking for a
 **hands\-on Fitness Program Manager II** 
 to lead two corporate fitness locations in DC. This role is a great fit if you:
* Enjoy leading and developing staff in an active, high\-energy environment
* Excel at communication, relationship management, and problem\-solving
* Want a stable schedule: Monday–Friday, 6:00am–9:00pm (no weekends or holidays)
* Value metro\-accessible locations and a professional client setting
 Manages and directs all operational aspects of a midsized, single client on\-site fitness program ensuring the highest level of participation, results achievement, and customer satisfaction in the delivery of programs and services.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Also implements and instructs individual and group fitness programs, provides floor supervision, fitness testing, exercise prescriptions, and orientations.
 Key Accountabilities
* Carries out supervisory responsibilities in accordance with HealthFitness policies, procedures and applicable laws including recruiting, orienting, training, evaluating, developing, and planning the succession of associates. Plans, assigns, and directs work assignments to ensure staff remain challenged and productivity is maximized; provides training and development opportunities to promote and encourage career growth.
* Ensures all staff is properly trained and hold appropriate certifications necessary for safe and effective program delivery; provides continuous feedback and coaching to all program staff to ensure quality of all programs and services being delivered. Conducts formal performance appraisals on an annual basis and initiates formal corrective action process when warranted.
* Leads regular individual and group staff meetings to ensure associates are informed about HealthFitness, client and program events, initiatives, and status.
* Submits employment forms, payroll records and billing worksheets accurately and according to contract provisions and HealthFitness policies.
* Ensures contract compliance. Manages client relationship to ensure that high customer satisfaction is maintained and HealthFitness value is reinforced.
* Develops and implements the yearly strategic business plan to identify contract deliverables, program/ service offerings and initiatives, targeted outcomes, and marketing strategy to meet client objectives.
* Prepares and manages operating budget. Ensures expenditures are made in accordance with applicable policies and procedures.
* Manages the development of outcomes focused programs to meet client objectives; interfaces with client company management and peripheral departments as appropriate to assess client needs and identify HealthFitness programming solutions.
* Tracks participant and program data for measurement of individual and program goal achievement, outcomes, and results; creates outcomes focused management reports based on the identified business plan goals and objectives.
* Directs the implementation of fitness center based individual and group fitness programs, health education activities, motivational programs and special events; coordinates marketing and communications to maximize program engagement, bringing in HealthFitness Corporate support as appropriate. General oversight and management of Fitness Center(s) operations.
* Manages all fitness center program activities in accordance with HealthFitness operational, quality, safety, and service standards.
* Designs and develops outcomes focused programs and interventions including data collection and evaluation process; delivers personalized services and other programs to participants as applicable.
* Coordinates marketing and communications to maximize program engagement, bringing in HealthFitness Corporate support as appropriate.
* Maintains accurate records and ensures confidentiality of data collected during health assessment and health promotion/membership activities in accordance with HealthFitness requirements, including if applicable file transfer, processes, collaborating with related suppliers and/or storage.
* Other duties as needed/assigned.
**Minimum Requirements**
* Bachelor’s Degree in Exercise Science, Health Promotion, Kinesiology, or related discipline required; 3\+ years fitness center operations experience.
* Minimum of 2 years of prior supervisory experience.
* Current Adult CPR/AED/First Aid certifications from American Heart Association, American Red Cross, National Safety Institute, or American Safety \&amp; Health Institute required by start date. (Note: certification must have an in\-person component and not 100% online/OSHA compliant).
* Industry recognized Group Exercise certification from ACE, AFAA/NASM, ACSM, NCCPT or NETA, if not current must obtain within 90 days of hire.
* Strong leadership, team management, interpersonal and customer service skills including the ability to motivate others.
* Ability to effectively organize and prioritize work demands
* Computer proficiency in MS Office including at minimum Word, Excel and Outlook.
* Proficiency in fitness assessment and exercise prescription.
 Compensation: $55,000/Year \- $60,000/Year.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PPO and FSA options, retirement/401(k) with employer matching program, fitness and wellness programs incentivized with medical plan discounts, certification reimbursement program, tuition reimbursement,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191">
      <c r="A191" t="inlineStr">
        <is>
          <t>li-4377826919</t>
        </is>
      </c>
      <c r="B191" t="inlineStr">
        <is>
          <t>Senior Technical Program Manager (Network Fiber)</t>
        </is>
      </c>
      <c r="C191" t="inlineStr">
        <is>
          <t>Microsoft</t>
        </is>
      </c>
      <c r="D191" t="inlineStr">
        <is>
          <t>linkedin</t>
        </is>
      </c>
      <c r="E191">
        <f>HYPERLINK("https://www.linkedin.com/jobs/view/4377826919", "https://www.linkedin.com/jobs/view/4377826919")</f>
        <v/>
      </c>
      <c r="F191" t="inlineStr"/>
      <c r="G191" t="inlineStr">
        <is>
          <t>Redmond, WA</t>
        </is>
      </c>
      <c r="H191" t="inlineStr"/>
      <c r="I191" t="inlineStr">
        <is>
          <t>**Overview**
 Cloud Operations and Innovation (CO\+I) is the engine that powers Microsoft’s cloud services. The team is responsible for designing, building, and operating our unified global datacenters; managing the demand planning and capacity utilization of our unified infrastructure; and for operating the physical infrastructure (including supply chain, hardware, power, security, and workflow teams). We focus on smart growth with an emphasis on automation, data driven engineering, cost\-effectiveness, and environmental sustainability. We deliver the core infrastructure and foundational technologies for Microsoft’s over 200 online businesses including Azure, Bing, MSN, Office 365, Xbox Live, Skype, and OneDrive. Our infrastructure is comprised of a large global portfolio of more than 100 datacenters and 1 million servers. Our portfolio is built and managed by a team of subject matter experts working 24x7x365 to support services for more than 1 billion customers and 20 million businesses in over 90 countries worldwide.
 The Cloud Infrastructure Acquisitions Network team is responsible for the acquisition of Fiber, Edge, Egress and Peering solutions supporting all of Microsoft’s online services infrastructure. We work with various network engineering, capacity, and long\-range planning teams on a collaborative basis to ensure the Microsoft network has the highest quality and availability globally.
 We're looking for someone with experience in a fast\-paced production environment, you must be agile and able to adapt to changing conditions and priorities. The successful candidate will need analytical, excellent communication, and collaboration skills. You will be working with people from many different teams and backgrounds. You must be able to influence others and work cross\-functionally to achieve broad goals. You must be able to work independently and drive for impact and results. A proven track record of successfully managing projects and stakeholders, removing overhead and improving workflows is a primary skill set needed to be successful in this role.
**Responsibilities**
* Responsible for developing business and technical requirements that feed into development teams for tooling and reporting enhancements
* Work closely with development and administrative teams to ensure that new features and functionality are implemented per specification
* Collaborate with internal teams to identify and define tooling enhancements that create efficiency through process streamlining, system integration and automation
* Drive continuous improvement in business processes and tools to enable rapid growth and scale.
* Communicate progress internally and collaborate with network deployment teams.
* Manage Technical Project Managers and Data Analytics staff
* Perform leadership responsibilities for the team, including conducting performance evaluations, coaching both individual team members and the group, and preparing monthly and quarterly team metrics and reports for senior leadership
**Qualifications**
 Required Qualifications:
* Bachelor's Degree AND 4\+ years experience in engineering, product/technical program management, data analysis, or product development OR equivalent experience.
* 1\+ years' project or people management experience.
* 1\+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engineering, product/technical program management, data analysis, or product development OR equivalent experience.
* 2\+ years of people management experience.
* 6\+ years of experience managing cross\-functional and/or cross\-team projects.
* 8\+ years of experience in networking technologies or Telecommunications industry with a focus on Network tooling (GIS, TEM, and ticketing systems used for processing network tasks).
* Demonstrated understanding of Security Access Controls.
* Demonstrated business systems analytic skills with a focus on developing business requirements, translating to technical specifications and leading cross functional team through implementation of new system features and enhanced functionality.
* 7\+ years of engineering experience leading, defining and delivering projects or services.
* Demonstrated ability to work closely with technical/engineering teams.
* 7\+ years’ experience managing service suppliers (or equivalent QBR experience).
* In\-depth knowledge of performance metrics.
* Demonstrated MS office skills (Word, Excel, PowerPoint, Visio, Bi\-Dashboards).
* 8\+ years of experience in networking technologies.
* 8\+ years of GIS tooling experience (as power user or administrator).
* Demonstrated understanding of domestic and global carrier networks.
* Experience with Microsoft Dynamics.
 \#COICareers \| \#EPCCareers \| \#DCDCareers
 Technical Program Management M4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2">
      <c r="A192" t="inlineStr">
        <is>
          <t>li-4346102680</t>
        </is>
      </c>
      <c r="B192" t="inlineStr">
        <is>
          <t>Deal Desk Program Manager</t>
        </is>
      </c>
      <c r="C192" t="inlineStr">
        <is>
          <t>Stand Together</t>
        </is>
      </c>
      <c r="D192" t="inlineStr">
        <is>
          <t>linkedin</t>
        </is>
      </c>
      <c r="E192">
        <f>HYPERLINK("https://www.linkedin.com/jobs/view/4346102680", "https://www.linkedin.com/jobs/view/4346102680")</f>
        <v/>
      </c>
      <c r="F192">
        <f>HYPERLINK("https://jobs.lever.co/standtogether/53e8200d-b8ca-4e21-b224-4c08e8a57640/apply?lever-source=Job+postings+feed&amp;source=LinkedIn&amp;urlHash=4znz", "https://jobs.lever.co/standtogether/53e8200d-b8ca-4e21-b224-4c08e8a57640/apply?lever-source=Job+postings+feed&amp;source=LinkedIn&amp;urlHash=4znz")</f>
        <v/>
      </c>
      <c r="G192" t="inlineStr">
        <is>
          <t>Arlington, VA</t>
        </is>
      </c>
      <c r="H192" t="inlineStr"/>
      <c r="I192" t="inlineStr">
        <is>
          <t>**Stand Together** 
 is a philanthropic community that helps America’s boldest changemakers tackle the root causes of our country’s biggest problems, from education to the economy, broken communities, and toxic division, among dozens of other pressing issues. We provide our partners with access to resources including funding, thought leadership, a network of peers, and a playbook for applying proven principles to transform lives and society.
 As Program Manager of the Development (fundraising) Deal Desk, you will play a critical role on our partner operations team that devises strategies to enable the country’s top business and philanthropic leaders to maximize their financial and leadership contributions to tackle the nation’s most complex challenges. You will provide world\-class strategic and operational leadership for Stand Together’s complex, large opportunities ($500k\+) with sales stage discipline.
 You’ll collaborate closely with Partnership Advisors, Partnership Success Managers, leadership, and cross\-functional teams to ensure that large, multifaceted deals move through shared vision opportunity stages. Your work will directly enable our partners to lead clear ask plans and accelerating pledges and fulfillment.
 This is a high\-visibility role that combines strategic thinking, operational rigor, and relationship management — ideal for someone who thrives in dynamic environments and is motivated by meaningful outcomes.
 Are you excited to apply your program management and operations expertise to address some of the nation’s most complex challenges? If so, we’d love to hear from you.
 How You Will Contribute
* Lead program managing deal support for high\-value opportunities ensuring structure, clarity, and timely execution.
* Coordinate cross\-functional collaboration across Partnership Advisors, fundraising strategy, marketing, legal, and finance to align objectives, streamline processes, and produce compliant, accurate, and clean proposal products that improve our win rates and reduce cycle time.
* Develop and maintain oversight and best practices for deal frameworks, templates, and best practices to drive operational consistency and efficiency, building long\-term capability.
* Analyze partnership opportunities and provide insights that inform decision making, pledge strategy, and risk assessment.
* Report on pipeline and deal progress for executive leadership, offering data\-driven recommendations for improvement.
* Continuously improve deal processes to increase effectiveness, enable scale, and ensure the right knowledge is acquired at the right time.
 What You Will Bring
* 8\+ years of experience in deal desk program operations, business operations, strategic partnerships, or related fields.
* Demonstrated success managing complex, cross\-functional deals or initiatives involving multiple stakeholders.
* Strong analytical and organizational skills with attention to detail and a drive for operational efficiency.
* Ability to identify trends and commonality across opportunities.
* Excellent written and verbal communication skills, with the ability to distill complex ideas clearly and concisely.
* Solutions\-oriented, principled, and motivated by contribution and continuous improvement.
* Ability to work independently and take initiative in a multifaceted organization to create a world class experience for our donor partners.
* Proficient with project management tools and CRM systems (e.g., Salesforce).
* Enthusiasm to contribute to Stand Together's vision and principled approach to solving problems, and a commitment to stewarding our culture, which champions values including transformation and innovation, entrepreneurialism, humility, and respect.
 What We Offer
* Competitive benefits: Enjoy a 6% 401(k) match with immediate vesting, flexible time off, comprehensive health and dental plans, plus wellness and mental health support through Peloton and Talkspace.
* A meaningful career: Join a passionate community of over 1,300 employees dedicated to improving lives and driving innovative solutions to complex social challenges.
* Commitment to growth: Thrive in a non\-hierarchical environment that empowers employees to discover, develop and apply their unique talents.
* Competitive compensation: Our approach rewards the value you create through competitive salaries and bonus opportunities, allowing you to share in the success you help drive.
**Our Values:** 
 Working at Stand Together is different from many other organizations. Our culture is deeply rooted in Principle Based Management® (PBM®), a framework guided by the principles that drive human progress, such as dignity, openness, and bottom\-up empowerment. PBM® empowers our employees to be entrepreneurial, to innovate, and to continually drive transformation.
 We believe diversity fuels creativity, broadens knowledge, and helps drive success, and that is why we’re proud to be an Equal Opportunity Employer and strive to treat all employees and applicants with honesty, dignity, respect and sensitivity.</t>
        </is>
      </c>
    </row>
    <row r="193">
      <c r="A193" t="inlineStr">
        <is>
          <t>li-4368878853</t>
        </is>
      </c>
      <c r="B193" t="inlineStr">
        <is>
          <t>Assisted Living Program Manager (LPN)</t>
        </is>
      </c>
      <c r="C193" t="inlineStr">
        <is>
          <t>National Lutheran Communities &amp; Services</t>
        </is>
      </c>
      <c r="D193" t="inlineStr">
        <is>
          <t>linkedin</t>
        </is>
      </c>
      <c r="E193">
        <f>HYPERLINK("https://www.linkedin.com/jobs/view/4368878853", "https://www.linkedin.com/jobs/view/4368878853")</f>
        <v/>
      </c>
      <c r="F193" t="inlineStr"/>
      <c r="G193" t="inlineStr">
        <is>
          <t>Winchester, VA</t>
        </is>
      </c>
      <c r="H193" t="inlineStr"/>
      <c r="I193" t="inlineStr">
        <is>
          <t>**The Village at Orchard Ridge – Assisted Living Manager Opportunity, Winchester, VA**
**Position:** 
 Assisted Living Program Manager
**Compensation:** 
 $70K – $80K annually, commensurate with experience, qualifications, and demonstrated leadership capabilities.
**New Year, New Opportunity!**
 Step into 2026 with a leadership role that truly makes a difference. At The Village at Orchard Ridge, every day is a chance to inspire, uplift, and lead a team that’s passionate about enriching the lives of older adults. As our Assisted Living Manager, you’ll guide a dedicated team in delivering exceptional, person\-focused care — all within a community built on respect, compassion, and innovation.
**Why You’ll LOVE Working with Us**
* Purpose with Impact: Lead a vibrant assisted living program where your vision and care inspire residents, families, and staff alike
* Dynamic Leadership: Manage and motivate a compassionate, skilled team committed to creating a warm, engaging environment
* Strategic Influence: Oversee daily operations, staffing, and resident satisfaction to ensure our community continues to set the standard for excellence
* Growth \&amp; Recognition: Take advantage of leadership development, continuing education, and meaningful career advancement opportunities
* Supportive Culture: Work alongside an engaged leadership team that values transparency, collaboration, and shared success
**What You’ll Do**
* Takes the lead in coaching, supervising, directing and coordinating the assisted living nursing service program to ensure excellence in the delivery of care for residents
* Ensure the delivery of high\-quality, person\-centered care that reflects our mission and upholds all regulatory standards
* Recruit, coach, and inspire a high\-performing team built on trust and accountability
* Manage budgets effectively while balancing quality service and operational efficiency
* Maintain readiness for all licensing and compliance standards
* Build positive relationships with residents, families, and community partners
* Monitor performance indicators and lead ongoing quality improvement initiatives
* Champion a culture of safety, respect, and resident well\-being
**What We’re Looking For**
* Associate Degree in Nursing required
* LPN licensed in the State of Employment with active license in good standing
* Current certification in cardiopulmonary resuscitation (CPR) and, Adult First Aid from the American Red Cross and/or American Heart Association
* Must be considerate and respectful of the rights, dignity and sensitivities of aged and disabled persons
* Minimum 3\-5 years clinical experience in hospital, assisted living facility, long term care facility or other related healthcare facility
* Must be proficient in Microsoft Office
* Must possess strong written and oral communication skills; able to maintain confidential information
**Why Our Team Thrives**
 At The Village at Orchard Ridge, part of National Lutheran Communities \&amp; Services, we believe culture drives care. We value authenticity, compassion, and teamwork — empowering everyone to bring their best selves to work each day.
**Our Benefits And Perks Include**
* Up to 5 weeks of PTO in your first year
* 403(b) retirement plan with matching
* Comprehensive medical, dental, and vision coverage
* Employer\-paid life and disability insurance
* Tuition reimbursement and ongoing professional development
* Team recognition programs, discounted meals, and pet insurance
**Make 2026 the year you lead with purpose and heart.** 
 Join The Village at Orchard Ridge as our next Assisted Living Manager — and help shape a thriving community where residents and team members flourish together. Apply today and bring your leadership legacy to life!</t>
        </is>
      </c>
    </row>
    <row r="194">
      <c r="A194" t="inlineStr">
        <is>
          <t>li-4341284058</t>
        </is>
      </c>
      <c r="B194" t="inlineStr">
        <is>
          <t>Associate, AI Product Manager | Consumer Team</t>
        </is>
      </c>
      <c r="C194" t="inlineStr">
        <is>
          <t>Red Ventures</t>
        </is>
      </c>
      <c r="D194" t="inlineStr">
        <is>
          <t>linkedin</t>
        </is>
      </c>
      <c r="E194">
        <f>HYPERLINK("https://www.linkedin.com/jobs/view/4341284058", "https://www.linkedin.com/jobs/view/4341284058")</f>
        <v/>
      </c>
      <c r="F194" t="inlineStr"/>
      <c r="G194" t="inlineStr">
        <is>
          <t>Charlotte, NC</t>
        </is>
      </c>
      <c r="H194" t="inlineStr"/>
      <c r="I194" t="inlineStr">
        <is>
          <t>***This role is not open to visa sponsorship or transfer of visa sponsorship including those on H1\-B, F\-1, OPT, STEM\-OPT, or TN visa, nor is it available to work corp\-to\-corp.***
***This role requires a hybrid schedule and will be based in our Fort Mill, SC Headquarters (Tuesday through Thursday) and work fully remotely on Mondays and Fridays each week.***
 Red Ventures Home empowers partners through a unique blend of high\-scale proprietary distribution, data models, AI\-enabled applications, and strategic client partnerships. We help our clients unlock significant and sustainable growth across the home services ecosystem, ranging from telecom and security to energy and home automation.
 We are looking to hire an Associate AI Product Manager to join our Home Client Services division. This product team is responsible for transforming organizations’ customer acquisition, retention and business operations through applications in AI \&amp; ML. In this role, you’ll help tailor, optimize, and scale data science solutions to solve specific partner and customer challenges, ensuring our technology delivers measurable value in the marketplace. An example project includes building and deploying real\-time technology, powered by generative AI, to assist our sales professionals.
 You will play a pivotal role in bridging the gap between complex data science initiatives and impactful product solutions to create value for both our business and our customers. As an Associate, you will be\-hands on technical, both in leveraging the AI/ML solutions to drive value and in assisting in point solutions that augment the product you’re working on. We are looking for 1\+ years of hands\-on data science / advanced analytics experience or product management on an AI/ML consumer\-facing application.
 Curious how Home fits into Red Ventures? Click here.
**What You'll Do**
* Identify opportunities: Responsible for identifying opportunities to increase the impact of your product through deep understanding of the problem space, thorough comprehension of the product strategy and technology, and advanced statistical analysis. Effectively communicating recommendations to your product leads to create buy\-in and action
* Translate insights into execution: Translate your recommendations into clear work streams and features that contribute to the product roadmap. Collaborate with Data Science, Design, and Engineering teams to turn objectives into detailed requirements with assistance from your product lead
* Execute technical workstreams: Leverage algorithms and programming tools to execute relevant technical workstreams. This includes building items such as:
+ Data pipelines to gather, manipulate, prepare, and visualize large datasets
+ Machine learning models for offline and proof\-of\-concept use cases
+ LLM workflows to automate tasks or for reasoning capabilities for specific features in your product
* End to end ownership of experiments: Assist in deploying features aimed at improving core KPIs. Conduct analyses to assess the impact of the experiments, synthesizing and owning the narrative
* Stay ahead of the curve: Research advancements in machine learning and generative AI to identify innovative ways to solve business challenges
**Who You Are**
* Analytical thinker: Strong analytical and critical thinking skills. Can connect the dots between the business problem, the approach, the data, and the relevant recommendation
* Resilient learner: Strong grit and learning mentality when faced with challenging projects, unfamiliar technology, and ambiguous business problems. You take a proactive approach to overcoming obstacles
* Creative problem solver: An entrepreneurial mindset and a strong business acumen with an interest in solving business and customer problems to create impact
* Technically fluent: You have a strong technical and data foundation that enables you to communicate effectively with data scientists, understand relevant algorithms, and explain technical concepts to non\-technical stakeholders
**Experiences You’ve Had**
* Real\-world product experience: Experience working on a product—whether as a product manager, product analyst, or data scientist.
* Data\-driven problem solving: Demonstrated ability to root cause problems through a data\-driven approach, synthesizing takeaways and effectively communicating recommendations to relevant audiences
* Applied ML/AI: Hands\-on application of machine learning and/or generative AI to a relevant problem through statistical programming languages or large language models (e.g., Python, R, GPT5, Claude). Thorough knowledge in statistics and machine learning techniques
**Analytical self\-sufficiency:** 
 Demonstrated ability to collect, mine, and manipulate large data from disparate data sources, with an ability to dig deep and understand the process (e.g., SQL, Pandas, Tableau)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Total Cash Compensation Range: $95,000 \- $125,000 per year
 Additionally, the following benefits are provided by Red Ventures, subject to eligibility requirements.
* Health Insurance Coverage (medical, dental, and vision)
* Life Insurance
* Short and Long\-Term Disability Insurance
* Flexible Spending Accounts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 a joint venture in the health services industry, 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2026-02-25T17:18:03Z</dcterms:created>
  <dcterms:modified xsi:type="dcterms:W3CDTF">2026-02-25T17:18:03Z</dcterms:modified>
</cp:coreProperties>
</file>