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9"/>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in-f2dd0084730de1d4</t>
        </is>
      </c>
      <c r="B2" t="inlineStr">
        <is>
          <t>Data Scientist - Pricing and Promotions Optimization</t>
        </is>
      </c>
      <c r="C2" t="inlineStr">
        <is>
          <t>CVS Health</t>
        </is>
      </c>
      <c r="D2" t="inlineStr">
        <is>
          <t>indeed</t>
        </is>
      </c>
      <c r="E2" t="inlineStr"/>
      <c r="F2" t="inlineStr"/>
      <c r="G2" t="inlineStr">
        <is>
          <t>New York, NY, US</t>
        </is>
      </c>
      <c r="H2" s="1" t="n">
        <v>46077</v>
      </c>
      <c r="I2"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The Retail Analytics team is helping lead the effort to transform healthcare and drive improved consumer experience by partnering with key business areas across CVS Health and delivering impactful analytic solutions and insights. As a member of this team, you will be at the forefront of delivering high visibility projects for key CVS Retail strategic initiatives. Specifically, you will have the opportunity to drive revenue and customer satisfaction in CVS Health’s Front Store business using data science to optimize pricing and promotions decisions. You will work cross functionally with both technical and non\-technical stakeholders and translate their business needs into problems to be solved using statistical modeling, machine learning, and optimization. We are a fast\-paced team focused on building innovative advanced analytics solutions using cloud capabilities. We are looking for individuals who have a strong sense of ownership, accountability, and a desire to deliver high quality and high impact products using advanced data driven approaches. Key responsibilities and what you will do:
* **Algorithm Development**: Develop, validate, and deploy scalable optimization algorithms to achieve business objectives and inform strategic decision\-making across CVS Health’s retail business. Define and monitor model performance metrics, ensuring alignment with business impact over time. Develop proof of concepts and transition solutions into production\-ready pipelines and APIs as required by the business.
* **Cross\-Functional Collaboration**: Collaborate with product managers, data engineering, software engineering, and data science teams to identify and implement impactful solutions to solve complex business problems, fostering trust and commitment through agile methodologies.
* **Data Exploration**: Analyze and interpret large volumes of structured and unstructured data to address complex business challenges effectively. Develop and maintain datasets and pipelines to organize, collect, and standardize data, facilitating insights and addressing reporting needs.
* **Continuous Learning**: Stay abreast of the latest advancements in optimization algorithms, machine learning solutions, and methodologies to enhance capabilities. Research and integrate new technologies to enhance existing solutions and address emerging challenges.
**Required Qualifications**
* 1\+ years of demonstrated experience applying operations research, reinforcement learning, and/or dynamic programming techniques.
* 1\+ years of experience building linear and nonlinear programming models for mathematical optimization and experience with optimization tools and libraries (Gurobi, Pulp, Pyomo, CPLEX).
* 1\+ years of experience in SQL and Python programming.
* Experience working with large datasets, analyzing data, and extracting meaningful insights.
* Experience working with a data engineering/MLOps team to productionize data science models, familiarity with version control (GitLab or GitHub), and ML platforms (AWS SageMaker, Databricks, GCP Vertex AI, etc.).
* Experience using applied statistics and machine learning techniques.
* Proven experience in analyzing complex problems and translating them into efficient data science algorithms with a focus on computational efficiency.
**Preferred Qualifications**
* A strong drive to explore data and make a business impact by applying data science and the curiosity to dive deep.
* Excellent communication and presentation skills and attention to detail.
* PhD in Operations Research, Management Science or equivalent.
* Retail domain knowledge and basic understanding of pricing and promotions concepts.
* Experience using PySpark and/or big data platforms (e.g., Hadoop, Spark) for large data processing.
* Knowledge of or experience in causal inference, and machine learning algorithms.
* Ability to effectively communicate technical concepts to non\-technical audiences, including experience creating communication materials (e.g., white paper, slide decks, etc.).
 **Education**
* A PhD or a Master’s degree with 1\+ years, or a Bachelor’s degree with 2\+ years of relevant experience in a STEM field such as Operations Research/ Industrial Engineering, Applied Mathematics, Computer Science, Engineering, or a related field.
**Anticipated Weekly Hours**
40**Time Type**
Full time**Pay Range**
The typical pay range for this role is:
$86,520\.00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03/15/2026
Qualified applicants with arrest or conviction records will be considered for employment in accordance with all federal, state and local laws.</t>
        </is>
      </c>
    </row>
    <row r="3">
      <c r="A3" t="inlineStr">
        <is>
          <t>in-7ac1b66db18d2c42</t>
        </is>
      </c>
      <c r="B3" t="inlineStr">
        <is>
          <t>Data Scientist - Pricing and Promotions Optimization</t>
        </is>
      </c>
      <c r="C3" t="inlineStr">
        <is>
          <t>CVS Health</t>
        </is>
      </c>
      <c r="D3" t="inlineStr">
        <is>
          <t>indeed</t>
        </is>
      </c>
      <c r="E3" t="inlineStr"/>
      <c r="F3" t="inlineStr"/>
      <c r="G3" t="inlineStr">
        <is>
          <t>Wellesley, MA, US</t>
        </is>
      </c>
      <c r="H3" s="1" t="n">
        <v>46077</v>
      </c>
      <c r="I3"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The Retail Analytics team is helping lead the effort to transform healthcare and drive improved consumer experience by partnering with key business areas across CVS Health and delivering impactful analytic solutions and insights. As a member of this team, you will be at the forefront of delivering high visibility projects for key CVS Retail strategic initiatives. Specifically, you will have the opportunity to drive revenue and customer satisfaction in CVS Health’s Front Store business using data science to optimize pricing and promotions decisions. You will work cross functionally with both technical and non\-technical stakeholders and translate their business needs into problems to be solved using statistical modeling, machine learning, and optimization. We are a fast\-paced team focused on building innovative advanced analytics solutions using cloud capabilities. We are looking for individuals who have a strong sense of ownership, accountability, and a desire to deliver high quality and high impact products using advanced data driven approaches. Key responsibilities and what you will do:
* **Algorithm Development**: Develop, validate, and deploy scalable optimization algorithms to achieve business objectives and inform strategic decision\-making across CVS Health’s retail business. Define and monitor model performance metrics, ensuring alignment with business impact over time. Develop proof of concepts and transition solutions into production\-ready pipelines and APIs as required by the business.
* **Cross\-Functional Collaboration**: Collaborate with product managers, data engineering, software engineering, and data science teams to identify and implement impactful solutions to solve complex business problems, fostering trust and commitment through agile methodologies.
* **Data Exploration**: Analyze and interpret large volumes of structured and unstructured data to address complex business challenges effectively. Develop and maintain datasets and pipelines to organize, collect, and standardize data, facilitating insights and addressing reporting needs.
* **Continuous Learning**: Stay abreast of the latest advancements in optimization algorithms, machine learning solutions, and methodologies to enhance capabilities. Research and integrate new technologies to enhance existing solutions and address emerging challenges.
**Required Qualifications**
* 1\+ years of demonstrated experience applying operations research, reinforcement learning, and/or dynamic programming techniques.
* 1\+ years of experience building linear and nonlinear programming models for mathematical optimization and experience with optimization tools and libraries (Gurobi, Pulp, Pyomo, CPLEX).
* 1\+ years of experience in SQL and Python programming.
* Experience working with large datasets, analyzing data, and extracting meaningful insights.
* Experience working with a data engineering/MLOps team to productionize data science models, familiarity with version control (GitLab or GitHub), and ML platforms (AWS SageMaker, Databricks, GCP Vertex AI, etc.).
* Experience using applied statistics and machine learning techniques.
* Proven experience in analyzing complex problems and translating them into efficient data science algorithms with a focus on computational efficiency.
**Preferred Qualifications**
* A strong drive to explore data and make a business impact by applying data science and the curiosity to dive deep.
* Excellent communication and presentation skills and attention to detail.
* PhD in Operations Research, Management Science or equivalent.
* Retail domain knowledge and basic understanding of pricing and promotions concepts.
* Experience using PySpark and/or big data platforms (e.g., Hadoop, Spark) for large data processing.
* Knowledge of or experience in causal inference, and machine learning algorithms.
* Ability to effectively communicate technical concepts to non\-technical audiences, including experience creating communication materials (e.g., white paper, slide decks, etc.).
 **Education**
* A PhD or a Master’s degree with 1\+ years, or a Bachelor’s degree with 2\+ years of relevant experience in a STEM field such as Operations Research/ Industrial Engineering, Applied Mathematics, Computer Science, Engineering, or a related field.
**Anticipated Weekly Hours**
40**Time Type**
Full time**Pay Range**
The typical pay range for this role is:
$86,520\.00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03/15/2026
Qualified applicants with arrest or conviction records will be considered for employment in accordance with all federal, state and local laws.</t>
        </is>
      </c>
    </row>
    <row r="4">
      <c r="A4" t="inlineStr">
        <is>
          <t>in-af7dfe7927229903</t>
        </is>
      </c>
      <c r="B4" t="inlineStr">
        <is>
          <t>Principal Applied Scientist, Experimentation Platform - CoreAI</t>
        </is>
      </c>
      <c r="C4" t="inlineStr">
        <is>
          <t>Microsoft</t>
        </is>
      </c>
      <c r="D4" t="inlineStr">
        <is>
          <t>indeed</t>
        </is>
      </c>
      <c r="E4" t="inlineStr"/>
      <c r="F4" t="inlineStr"/>
      <c r="G4" t="inlineStr">
        <is>
          <t>Redmond, WA, US</t>
        </is>
      </c>
      <c r="H4" s="1" t="n">
        <v>46076</v>
      </c>
      <c r="I4" t="inlineStr">
        <is>
          <t>**Overview** **Overview:** CoreAI sits at the center of Microsoft’s mission to redefine how software is built and experienced, providing the foundational platforms, services, and developer experiences that power the next generation of AI\-driven applications. As part of CoreAI, the Experimentation Platform (ExP) enables trustworthy, high\-scale online experimentation that accelerates product learning and drives progress across Microsoft’s AI ecosystem. You will play a pivotal role in shaping the technical direction of systems that help teams ship better AI experiences faster by providing the experimentation capabilities needed to evaluate, refine, and safely deploy new innovations.
**In this role, you will:**
* Push the envelope on online experimentation methodology and agent evaluations, advancing the state\-of\-the\-art by connecting product development needs, latest science techniques and platform opportunities
* Contribute to one of the highest\-scale experimentation platforms on the planet
* Collaborate closely with backend engineers, data scientists, site reliability engineers (SREs), and product managers to gather requirements, iterate on features, and deliver seamless, end\-to\-end user experiences.
* Collaborate closely with designers, UI\-experts, science leaders and engineers to ensure clear, actionable dashboards and visualizations that empower users to make trustworthy science\-informed decisions.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 with and bridge the gaps between researchers (e.g., across CoreAI, Microsoft Research \[MSR] and open source communities) to translate applied research into differentiated, production\-quality features
* Provide technical guidance and deep industry insight, advising cross\-functional teams on the adoption of cutting\-edge AI tools, technologies, and methodologies to ensure successful experimentation programs and uphold the highest standards of quality and scientific rigor.
* Ensure teams develop and apply advanced subject matter expertise across a diverse set of specialized tools and methods, driving measurable business outcomes and elevating the scope and impact of Microsoft’s experimentation initiatives.
* Interface with experimentation partners across Microsoft to translate requirements into platform capabilities and lower barriers requiring advanced subject matter expertise.
* Provide mentorship and coaching to less experienced and mid\-level team members by sharing expertise to build team capabilities and guiding team members in projects, and their careers
**Qualifications** **Required Minimum Qualifications:**
Bachelor's Degree in Statistics, Econometrics, Computer Science, Electrical or Computer Engineering, or related field AND 6\+ years related experience (e.g., statistics, predictive analytics, research) OR Master's Degree in Statistics, Econometrics, Computer Science, Electrical or Computer Engineering, or related field AND 4\+ years related experience (e.g., statistics, predictive analytics, research) OR Doctorate in Statistics, Econometrics, Computer Science, Electrical or Computer Engineering, or related field AND 3\+ years related experience (e.g., statistics, predictive analytics, research)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Doctorate in Statistics, Econometrics, Computer Science, Electrical or Computer Engineering, or related field AND 6\+ years related experience (e.g., statistics, predictive analytics, research)
* Experience with Agent based architectures, frameworks and technologies (such as MCP, A2A protocol, or Azure AI Foundry)
* 3\+ years of experience developing and deploying products or systems at multiple points in the product cycle from ideation to shipping as part of a product team.
* Proven track record designing and scaling online experimentation platforms that support high‑velocity A/B and multivariate testing across complex, multi‑team product ecosystems, including governance, guardrails, and causal inference best practices.
* Demonstrated thought leadership in product measurement strategy, with the ability to define north‑star metrics, architect measurement frameworks, and influence senior product and engineering leaders on how to interpret ambiguous or noisy data at scale.
* 5\+ years experience creating publications (e.g., patents, libraries, peer\-reviewed academic papers).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Applied Sciences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
      <c r="A5" t="inlineStr">
        <is>
          <t>in-7727b77bfe2ee95c</t>
        </is>
      </c>
      <c r="B5" t="inlineStr">
        <is>
          <t>Applied Scientist II</t>
        </is>
      </c>
      <c r="C5" t="inlineStr">
        <is>
          <t>Microsoft</t>
        </is>
      </c>
      <c r="D5" t="inlineStr">
        <is>
          <t>indeed</t>
        </is>
      </c>
      <c r="E5" t="inlineStr"/>
      <c r="F5" t="inlineStr"/>
      <c r="G5" t="inlineStr">
        <is>
          <t>US</t>
        </is>
      </c>
      <c r="H5" s="1" t="n">
        <v>46064</v>
      </c>
      <c r="I5" t="inlineStr">
        <is>
          <t>**Overview**  
AI has created an unprecedented opportunity to make work better for hundreds of millions of people. Microsoft’s productivity division is hiring **Applied Scientists II** to help ensure we maximize this amazing opportunity. Our scientists collaborate closely with people across Microsoft’s product teams and Microsoft Research to see their ideas realized in products and services like M365, M365 Copilot, Office AI, and Office Products (Excel, PowerPoint, Word, etc.). They also contribute back to the scientific community through peer\-reviewed publications at top venues, scientific presentations, and beyond.
We are looking for **Applied Scientists II** who are creative, self\-driven, curious, people\-oriented and comfortable defining a path through ambiguity towards high\-level goals. Research areas of interest include but are certainly not limited to reinforcement learning, agentic systems multimodal modeling, post\-training techniques and their application, human\-centered artificial intelligence (AI), domain\-specific large language model (LLM) applications (e.g. long\-form writing assistance), personalization, computational social science, memory, agentic retrieval\-augmented generation (RAG), real\-time AI systems, collaborative AI, privacy\-preserving AI, trustworthy AI, data\-centric AI, AI flywheels, and multilingual 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Defining, leading, and helping to conduct research projects that simultaneously advance the state\-of\-the\-art and directly benefit Microsoft’s core productivity products.
* Shape product direction by integrating rigorous scientific methods into the product lifecycle.
* Collaborating and coordinating with people in a range of roles, including researchers, engineers, product managers, designers, and other key product stakeholders. Serving as a bridge between research and product.
* Teaching, guiding, and tutoring colleagues without research backgrounds in state\-of\-the\-art techniques and research best practices.
* Sharing your research with others via a range of means, including publication, to enable others to build on your work and to contribute to the understanding of our products as cutting\-edge and science driven.
* Effectively communicating with product leaders (and often Microsoft researchers (MSR)) throughout the planning and execution of applied research projects, which often involves learning and teaching complex concepts.
**Qualifications** **Required Qualifications:**
* Bachelor's Degree in Statistics, Econometrics, Computer Science, Electrical or Computer Engineering, or related field AND 2\+ years related experience (e.g., statistics, predictive analytics, research) OR Master's Degree in Statistics, Econometrics, Computer Science, Electrical or Computer Engineering, or related field AND 1\+ year(s) related experience (e.g., statistics, predictive analytics, research) OR Doctorate in Statistics, Econometrics, Computer Science, Electrical or Computer Engineering, or related field OR equivalent experience.
**Preferred Qualifications:**
* At least one internship or prior role at a leading technology company, or start\-up, or related organizations.
* A record of publications in top\-tier scientific venues (e.g., NeurIPS, ICML, ICLR, ACL, NAACL, KDD, WWW, CHI, PNAS, Nature, EMNLP, CVPR, ICCV, ECCV, CoRL).
* Proven real\-world impact from your research, demonstrated through shipped products, improved user experiences, or other measurable benefits for diverse stakeholders.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
      <c r="A6" t="inlineStr">
        <is>
          <t>in-5a9bbacf831a80a2</t>
        </is>
      </c>
      <c r="B6" t="inlineStr">
        <is>
          <t>Data Scientist, AWS Infrastructure Services Science</t>
        </is>
      </c>
      <c r="C6" t="inlineStr">
        <is>
          <t>Amazon.com</t>
        </is>
      </c>
      <c r="D6" t="inlineStr">
        <is>
          <t>indeed</t>
        </is>
      </c>
      <c r="E6" t="inlineStr"/>
      <c r="F6" t="inlineStr"/>
      <c r="G6" t="inlineStr">
        <is>
          <t>Herndon, VA, US</t>
        </is>
      </c>
      <c r="H6" s="1" t="n">
        <v>46065</v>
      </c>
      <c r="I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7">
      <c r="A7" t="inlineStr">
        <is>
          <t>in-f293c8abe3bcfb9a</t>
        </is>
      </c>
      <c r="B7" t="inlineStr">
        <is>
          <t>Data Scientist, AWS Infrastructure Services Science</t>
        </is>
      </c>
      <c r="C7" t="inlineStr">
        <is>
          <t>Amazon.com</t>
        </is>
      </c>
      <c r="D7" t="inlineStr">
        <is>
          <t>indeed</t>
        </is>
      </c>
      <c r="E7" t="inlineStr"/>
      <c r="F7" t="inlineStr"/>
      <c r="G7" t="inlineStr">
        <is>
          <t>Seattle, WA, US</t>
        </is>
      </c>
      <c r="H7" s="1" t="n">
        <v>46065</v>
      </c>
      <c r="I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8">
      <c r="A8" t="inlineStr">
        <is>
          <t>in-254e42d91393a395</t>
        </is>
      </c>
      <c r="B8" t="inlineStr">
        <is>
          <t>Healthcare Data Scientist - ML AI Stats OR</t>
        </is>
      </c>
      <c r="C8" t="inlineStr">
        <is>
          <t>University of Maryland Medical System</t>
        </is>
      </c>
      <c r="D8" t="inlineStr">
        <is>
          <t>indeed</t>
        </is>
      </c>
      <c r="E8" t="inlineStr"/>
      <c r="F8" t="inlineStr"/>
      <c r="G8" t="inlineStr">
        <is>
          <t>Linthicum Heights, MD, US</t>
        </is>
      </c>
      <c r="H8" s="1" t="n">
        <v>46077</v>
      </c>
      <c r="I8" t="inlineStr">
        <is>
          <t>**Job Requirements**  
**General Summary**
The Healthcare Data Scientist \- Machine Learning/AI, Statistics, Operations Research position will join our Advanced Data Science group at the University of Maryland Medical System (UMMS) in support of its strategic priority to become a data\-driven and outcomes\-oriented organization. The successful candidate will have experience with Machine Learning/AI, Statistics and Operations Research and a passion for working with healthcare data. Previous experience with various computational approaches along with an ability to demonstrate a portfolio of relevant prior projects is essential. This position will report to the Director for Advanced Data Science \&amp; Consulting Services.
**Principal Responsibilities and Tasks**
* Support analytic efforts designed around the organization’s strategic priorities and clinical/business problems.
* Develop predictive (machine learning and deep learning) and prescriptive (mathematical optimization and simulation) analytic models in support of the organization’s clinical, operations and business initiatives and priorities.
* Deploy solutions so that they provide actionable insights to the organization and are embedded or integrated with application systems.
* Work with the analytics team and clinical/business stakeholders to develop pilots so that they may be tested and validated in *pilot/incubator settings*.
* Perform statistical analysis to evaluate primary and secondary objectives from such pilots.
* Support development of strategic, tactical and operational presentations that summarize the results of predictive and prescriptive analytics projects in support of robust strategies for the organization.
* Build and extend our analytics portfolio supported by robust documentation.
* Work in a team to drive disruptive innovation, which may translate into improved quality of care, clinical outcomes, reduced costs, temporal efficiencies and process improvements.
* Assist leadership with strategies for scaling successful projects across the organization, and enhance the analytics applications based on feedback from end\-users and clinical/business consumers.
* Assist leadership with dissemination of success stories (and failures) in an effort to increase analytics literacy and adoption across the organization.
* Work with autonomy to find solutions to complex problems using open source tools and in\-house development.
* Stay abreast of state\-of\-the\-art literature in the fields of machine learning/AI, operations research, statistical modeling, statistical process control and mathematical optimization.
**Work Experience**  
**Education and Experience**
* PhD degree in applied mathematics, data science, physics, computer science, engineering, statistics, economics or a related field required; comparable work experience may be substituted for the PhD degree.
* Preferred 3\+ years of industry experience in the following:
* Machine Learning/AI, Statistics or Operations Research.
* Programming with SQL, Python and R.
* Practical experience with machine learning/AI problems, or formulating and solving mathematical (deterministic and stochastic) optimization problems and simulation, or performing advanced statistical analysis.
* Developing and applying computational algorithms and statistical methods to healthcare data (including, but not limited to data from electronic medical record, financial management, human resources, quality and supply chain).
* Developing and deploying healthcare\-relevant predictive and prescriptive models.
* Combining analytic methods and advanced data visualizations.
* Text mining and Natural Language Processing (NLP) is preferred.
**Knowledge, Skills and Abilities**
* Develop (from scratch) machine learning and/or deep learning approaches and algorithms to solve clinical and business (including operations, supply chain, human resources, finance) problems.
* Formulate and solve complex mathematical optimization problems using exact and heuristic approaches.
* Perform independent/unsupervised exploratory data analysis and advanced statistical analysis (e.g., regression analysis, cluster analysis, factor analysis, ANOVA).
* Design and prototype new application functionality for our products.
* Work with “real world” data including scrubbing, transformation, and imputation.
* Capable of artful storytelling and clearly presenting findings in oral and written format and through graphics to stakeholders at various organization levels.
* Knowledge of databases, data structures, data processing and data mining from large enterprise transaction systems (e.g., Epic, Infor/Lawson, McKesson HPM, Payer Claims or similar applications in healthcare or other industries).
* Effective at working independently and in collaboration with other staff members for software platform and web application development.
* Cooperatively and effectively work with people from various organization levels.
* Manage projects to meet organizational goals.
* Plan work, set clear direction, and coordinate own tasks in a fast\-paced multidisciplinary environment, including triaging issues, identifying data anomalies, and debugging software.
* Able to compare, contrast, and validate work with keen attention to detail.
* Actively generate process improvements; support and drive change, and confront difficult circumstances in creative ways.</t>
        </is>
      </c>
    </row>
    <row r="9">
      <c r="A9" t="inlineStr">
        <is>
          <t>in-dfa263838254ecb7</t>
        </is>
      </c>
      <c r="B9" t="inlineStr">
        <is>
          <t>Principal Data Scientist</t>
        </is>
      </c>
      <c r="C9" t="inlineStr">
        <is>
          <t>Openkyber</t>
        </is>
      </c>
      <c r="D9" t="inlineStr">
        <is>
          <t>indeed</t>
        </is>
      </c>
      <c r="E9" t="inlineStr"/>
      <c r="F9" t="inlineStr"/>
      <c r="G9" t="inlineStr">
        <is>
          <t>AK, US</t>
        </is>
      </c>
      <c r="H9" s="1" t="n">
        <v>46077</v>
      </c>
      <c r="I9" t="inlineStr">
        <is>
          <t>**RESPONSIBILITIES:** OpenKyber has a client in Madison, WI that is seeking a Lead Data Scientist.
**Summary:** This position works with the business to embrace new technologies and GenAI capabilities that make a meaningful impact for our customers, and how we connect with them. Projects can span from large, multi\-team initiatives to individual discovery work. As part of the enterprise data science team, we work with and support all areas of the business (Claims, Product, Risk Management, Contact Centers, etc.), developing holistic solutions that leverage new concepts (e.g. Agentic AI) into Production systems, combining the best of third\-party vendors with in\-house capabilities, and contributing to the community of data science practitioners through papers, conferences, talks, and academic partnerships like the Data Science Institute with UW. The role requires a focus on innovation and market awareness, ensuring our work is informed by current trends and offerings in the industry.
**Primary Accountabilities**
* Leads data science contributions on multiple projects; From large corporate initiatives, discovery/research projects, engagement with third\-party vendors and consulting companies, and partnerships with academia
* Engages with key parts of the business to understand the problems they're trying to solve and where there are opportunities to leverage the latest data science advancements
* Defines the scope of data science work on a project, coordinates what data scientists are working on, anticipates and escalates upcoming considerations, and works with engineering/design/product/etc. to deliver impactful business solutions
* Proactively researches, evaluates, applies and shares expertise of emerging AI technologies and open\-source tools; Strong emphasis on Generative AI, including (auto) prompt engineering, Agentic AI frameworks/MCP, and maturing our infrastructure through tools such as LangFuse/LiteLLM
**REQUIREMENTS:** To be considered for this position, candidates must have experience in a similar role, or they must possess significant knowledge, experience, and abilities to successfully perform the responsibilities listed. Relevant education and/or training will be considered a plus.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OpenKyber's sole discretion unless and until paid and may be modified in its discretion consistent with the law. This job is not eligible for bonuses, incentives or commissions.
OpenKyber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OpenKyber and its affiliates, and service providers. Note that if you choose to communicate with OpenKyber via text messaging the frequency may vary, and message and data rates may apply. Carriers are not liable for delayed or undelivered messages. You will always have the right to cease communicating via text by using key words such as STOP.
**For applications and inquiries, contact:** hirings@openkyber.com</t>
        </is>
      </c>
    </row>
    <row r="10">
      <c r="A10" t="inlineStr">
        <is>
          <t>in-25d154d767e0361a</t>
        </is>
      </c>
      <c r="B10" t="inlineStr">
        <is>
          <t>Lead Data Scientist</t>
        </is>
      </c>
      <c r="C10" t="inlineStr">
        <is>
          <t>Openkyber</t>
        </is>
      </c>
      <c r="D10" t="inlineStr">
        <is>
          <t>indeed</t>
        </is>
      </c>
      <c r="E10" t="inlineStr"/>
      <c r="F10" t="inlineStr"/>
      <c r="G10" t="inlineStr">
        <is>
          <t>AK, US</t>
        </is>
      </c>
      <c r="H10" s="1" t="n">
        <v>46077</v>
      </c>
      <c r="I10" t="inlineStr">
        <is>
          <t>**Role:** Senior Data Scientist\- Gen AI  
**Location:** Charlotte, NC (On\-site)  
**Experince:** 6\-10
Client is looking for experienced Data Scientists to join our fast\-growing advanced analytics consulting firm. Consultants need to bring deep expertise in Data Science, Machine Learning and AI. Client is trusted analytics partner for multiple Fortune 500 companies, enabling them to generate business value from data. Client business value and leadership has been recognized by various market research firms, including Forrester and Gartner. We are looking for top\-notch talent as we continue to build the best global analytics consulting team in the world. We are seeking an experienced Senior Data Scientist with 6\-10 years of expertise to join our team. You will leverage advanced data science techniques, generative AI concepts, and NLP expertise to solve complex business problems and drive measurable impact aligned with our leadership's vision.
**Key Responsibilities**
* Design and implement data science solutions to address business challenges using advanced problem\-solving methodologies and statistical techniques.
* Develop, train, and deploy machine learning models with a focus on generative AI and large language models (LLMs)
* Work with text and transcription data to build NLP\-based solutions that enhance product capabilities and user experience.
* Partner with cross\-functional teams including engineering, product, and business stakeholders to identify process and workflow gaps, analyze root causes using data science techniques, and architect scalable solutions that drive operational efficiency and business value.
* Stay at the forefront of AI/NLP advancements and evaluate new algorithms for potential business applications
* Create comprehensive documentation and present findings to stakeholders, ensuring alignment with organizational objectives
**Requirements**
* 6\-10 years of professional experience as a Data Scientist or in a closely related role
* Demonstrated ability to approach complex business and technical challenges using data science methodologies and statistical techniques
* Hands\-on experience in writing production\-grade code, data manipulation, and querying large databases Like Python and SQL
* Proven experience working on NLP with text and transcription data, including preprocessing, feature engineering, and model development
* Solid understanding of latest\-generation AI concepts including LLMs, prompt engineering, retrieval\-augmented generation (RAG), and other contemporary generative AI applications
* Passionate about staying current with emerging trends, research papers, and advancements in NLP and AI
* Ability to articulate complex technical concepts to both technical and non\-technical audiences.
* Ability to understand organizational vision and strategy, translating it into data\-driven initiatives that create positive business impact
**For applications and inquiries, contact:** hirings@openkyber.com</t>
        </is>
      </c>
    </row>
    <row r="11">
      <c r="A11" t="inlineStr">
        <is>
          <t>in-ab8e54b3532cc481</t>
        </is>
      </c>
      <c r="B11" t="inlineStr">
        <is>
          <t>Cleared Data Scientist</t>
        </is>
      </c>
      <c r="C11" t="inlineStr">
        <is>
          <t>Dhara Consulting Group</t>
        </is>
      </c>
      <c r="D11" t="inlineStr">
        <is>
          <t>indeed</t>
        </is>
      </c>
      <c r="E11" t="inlineStr"/>
      <c r="F11" t="inlineStr"/>
      <c r="G11" t="inlineStr">
        <is>
          <t>Aurora, CO, US</t>
        </is>
      </c>
      <c r="H11" s="1" t="n">
        <v>46077</v>
      </c>
      <c r="I11" t="inlineStr">
        <is>
          <t>Posted today
Top Secret
Unspecified
CI Polygraph
IT \- Data Science
Aurora, CO (On\-Site/Office)
General Atomics Integrated Intelligence, Inc. (GA\-Intelligence), an affiliate of General Atomics, was founded in 1989 and is located in Charlottesville, VA. It provides custom software development and innovative information engineering solutions to customers in government and private industry. We build and develop best\-in\-class all domain and globally focused situational awareness capabilities that process petabytes of data from numerous streaming data sources in near real time. Our systems apply state\-of\-the\-art algorithms and machine learning techniques to extract features and fuse data from multiple phenomenologies to form a rich live view of objects in the sky, on the sea, and on the ground. These analytics are designed to determine not just where something is, but what it is, where it's been and what it's doing. All of this "data to knowledge" is made available to end users in our own browser\-based application for visualization, analysis, and understanding. We always want to do more, and that's where you come in!
GA\-Intelligence is seeking Data Scientists to join our core product team, shaping the future of situational awareness capabilities for our customers. Our teams leverage cutting\-edge technology to process petabytes of data and extract features in near real time, all while providing a rich, live view of objects on land, sea, and sky. Join our growing team in taking our systems to the next level, giving end\-users the power to see beyond the data and truly understand the world around them.  
DUTIES AND RESPONSIBILITIES:* Design, develop and program methods that integrate to systems that consolidate and analyze unstructured, diverse data sources to generate actionable insights and solutions for client services and product enhancement.
* Develop, refine, deploy, and support statistical and machine learning models utilizing state of the art approaches.
* Communicate insights and findings from analysis and experiments to product, service, and business managers.
* Identify opportunities for product and customer process improvement using statistical and machine learning models to improve the effectiveness of different courses of action
* Create and utilize moderately complex algorithms and approaches, clean and synthesize training/test data, create/run simulations, and perform analysis of alternatives to best meet stakeholder requirements.
* Develop and deploy data visualization in order to communicate moderately complex concepts and data in a simple, actionable manner.
* Interact with product and service teams to identify questions and issues for data analysis and experiments.
* Document findings for business stakeholders as required. May create proposals, cost estimates, and whitepapers suitable for publication.
* Represent the organization as a contact with internal and external representatives.
* Maintain the strict confidentiality of sensitive information.
* Responsible for observing all laws, regulations and other applicable obligations wherever and whenever business is conducted on behalf of the Company. Expected to work in a safe manner in accordance with established operating procedures and practices.
We recognize and appreciate the value and contributions of individuals with diverse backgrounds and experiences and welcome all qualified individuals to apply.  
**Job Qualifications**  
* Typically requires a bachelor's degree, master's degree or PhD in data science, applied mathematics, statistics, computer science, or related technical/quantitative discipline from an accredited institution and progressive data science experience as follows; five or more years of experience with a bachelor's degree, three or more years of experience with a master's degree, or one or more years with a PhD. May substitute equivalent experience in lieu of education.
* Must have a general understanding of software development concepts, principles, and theory and demonstrate the ability to follow and apply the use of programming and analysis concepts.
* Must be able to work both independently and in a team environment.
* Able to work extended hours and travel to support project needs as required.
* PREFERRED SKILLS AND EXPERIENCE:
* Active TS/SCI Clearance with CI Poly
* Prior experience with gym , Unity, Unreal, or some other simulation environments
* Researched or applied autonomy in a highly\-latent, low\-bandwidth, or otherwise resource constrained environment
* Trained deep reinforcement learning algorithms for coordination of multiple, autonomous goals
* Performed nonlinear optimization for resource allocation with dynamic uncertainty and/or non\-observable variables
* Prior experience in domains/industries like: robotics, space mission planning, large industrial facility automation, robust and resilient communications
* Familiarity with common machine learning libraries for implementation (sklearn, weka, tensorflow, torch, etc)
* Proficiency in one or more of: Python, C\+\+, Java, R, Julia, Matlab
* Ability to understand and implement new models from the literature
* Experience with geospatial data and analytics.
* Familiarity with Intelligence Community and DoD mission sets.
**GROUP ID:** 10414685</t>
        </is>
      </c>
    </row>
    <row r="12">
      <c r="A12" t="inlineStr">
        <is>
          <t>in-794fe2e3d95263d5</t>
        </is>
      </c>
      <c r="B12" t="inlineStr">
        <is>
          <t>Data Scientist</t>
        </is>
      </c>
      <c r="C12" t="inlineStr">
        <is>
          <t>U.S. Department of Commerce</t>
        </is>
      </c>
      <c r="D12" t="inlineStr">
        <is>
          <t>indeed</t>
        </is>
      </c>
      <c r="E12" t="inlineStr"/>
      <c r="F12" t="inlineStr"/>
      <c r="G12" t="inlineStr">
        <is>
          <t>Alexandria, VA, US</t>
        </is>
      </c>
      <c r="H12" s="1" t="n">
        <v>46077</v>
      </c>
      <c r="I12" t="inlineStr">
        <is>
          <t>**Summary**
-----------
The Enterprise Data Architecture Division (EDAD) is responsible for establishing and maintaining a robust enterprise data architecture program, to standardize, streamline, and enhance enterprise data for organizational use and for digital efficiency in meeting business objectives.
**This job is open to**
-----------------------
### **The public**
U.S. Citizens, Nationals or those who owe allegiance to the U.S.
### **Career transition (CTAP, ICTAP, RPL)**
Federal employees whose job, agency or department was eliminated and are eligible for priority over other applicants.
### **Clarification from the agency**
This Vacancy is using the Direct\-Hire Authority to recruit for positions for which there is a critical hiring need. Using the Office of Personnel Management's approved government\-wide direct hire authorities, agencies may appoint candidates directly to jobs, without regard to the provision of Title 5 U.S.C 3309 through 3318, for which OPM determines that there is a severe shortage of candidates or a critical hiring need.
**Duties**
----------
***The physical worksite for this position is located in Alexandria****,* ***Virginia****.* ***Presence at the Alexandria, VA campus is required for this role, as it includes on site functions that must be performed in person. Position may be eligible for situational telework in accordance with agency policy/business unit discretion. The agency currently allows for 52 hours of telework per calendar year.***  
***Come join our team if you are enthusiastic about…***
* *Conducting advanced data analysis and implementing highly complex design algorithms to extract meaningful insights.*
* *Applying creative and innovative approaches to perform data mining and discover new patterns from large datasets.*
* *Developing, adopting and promoting ground\-breaking guidelines, policies, and standards for data science activities and applications across organizations.*
* *Utilizing diverse analytical and assessment methods and tools to produce comprehensive findings and actionable recommendations.*
**Requirements**
----------------
### **Conditions of employment**
* Applications will only be accepted from United States Citizens and Nationals.
* Your resume and question responses must demonstrate the job\-related competencies.
* You must meet the definition of specialized experience.
* Required to pass a background investigation and fingerprint check.
* Must be registered for Selective Service, if applicable (www.sss.gov).
* If selected, you may be required to complete a one year probationary period.
* You must meet all qualification requirements upon the closing date of this announcement.
* Suitable for Federal Employment
### **Qualifications**
You must meet the United States Office of Personnel Management's (OPM) qualification requirements (including specialized experience and/or educational requirements) for the advertised position. You must meet all eligibility and qualifications requirements by the closing date of the job announcement. OPM Qualifications Standards are available at Data Science Series 1560  
***BASIC QUALIFICATION REQUIREMENTS:*** To be considered for this position, you must have either:  
1\. Degree: Mathematics, statistics, computer science, data science or field directly related to the position. The degree mut be in a major field of study (at least at the baccalaureate level) that is appropriate for the position.  
***OR***  
2\. Combination of education and experience: Courses equivalent to a major field of study (30 semester hours) as shown in paragraph A above, plus additional education or appropriate experience.  
***In addition to meeting the specialized experience below you must meet the basic requirement above to qualify for this position.***  
Specialized Experienceis experience that has equipped applicants with the particular knowledge, skills and abilities to successfully perform the duties of the position, and that is typically in or related to the position to be filled. To be creditable, specialized experience must have been equivalent to at least the next lower grade level in the federal service.  
**Specialized experience for this position includes:**  
***For the GS\-12:***  
The next lower grade level is a GS\-11\. Specialized experience for this position includes:
* Experience conducting complex statistical analysis and predictive modeling. ***AND***
* Experience developing and implementing machine learning algorithms. ***AND***
* Experience managing and analyzing large, complex datasets with data quality assurance. ***AND***
* Experience with data cleaning, preprocessing, and quality assurance.
***For the GS\-13:***  
The next lower grade level is a GS\-12\. Specialized experience for this position includes:
* Experience leading data science projects and providing technical guidance. ***AND***
* Experience in advanced statistical models, machine learning, big data technologies, and cloud\-based analytics platforms. ***AND***
* Experience mentoring staff and presenting complex findings to senior management. ***AND***
* Experience designing and implementing data science workflows and pipelines.
**For the GS\-14:**  
The next lower grade level is a GS\-13\. Specialized experience for this position includes:
* Experience directing enterprise\-wide data science initiatives and strategic data analytics programs. ***AND***
* Experience in designing and implementing data science frameworks, standards, and governance policies across multiple organizational units. ***AND***
* Experience in managing cross\-functional teams, establishing data science best practices, and advising executive leadership on data\-driven strategic decisions.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***NOTE:*** This is a career\-ladder position that includes grades GS\-12,13 and 14\. Upon satisfactory completion of qualification/performance requirements and at management's discretion, the incumbent may be advanced non\-competitively to the next higher level. It is the ability to demonstrate satisfactory performance at the next higher level in all aspects of the position that is the primary basis for consideration for promotion. Meeting the time\-in\-grade requirement for the higher\-grade position does not automatically entitle the incumbent to a promotion.
### **Education**
**Education may not be substituted for experience at this grade level.** If this position requires proof of higher education, or you are substituting education for experience, you must submit an unofficial transcript or a list of courses that includes the following information: name of accredited institution, grades earned, completion dates, and quarter and semester hours earned. Education completed in foreign colleges or universities may be used to meet the requirements. Please refer to General Schedule Qualification Policies for more information. You are not required to submit official documents at this time; copies are sufficient.  
**Special Instructions for Foreign Education:** Qualifying education from colleges and universities in foreign countries must be evaluated in terms of equivalency to that acquired in U.S. colleges and universities. Applicants educated in whole or in part in foreign countries must submit sufficient evidence, including transcripts, to an accredited private organization for an equivalency evaluation of course work and degree. A listing of these accredited organizations can be found on the Department of Education's website \- US Department of Education. Another listing of services that can perform this evaluation is available at the National Association of Credential Evaluation Services (NACES) website. You must provide a copy of the letter containing the results of the equivalency evaluation with a course by course listing along with your application. Failure to provide such documentation when requested will result in lost consideration.  
**NOTE:** **Only education and experience acquired before the filing deadline will be considered. Report only attendance and/or degrees from schools accredited by accrediting institutions recognized by the U.S. Department of Education.**
### **Additional information**
If you are a male applicant born after December 31, 1959, you must certify that you have registered with the Selective Service System. If you are exempt from registration under Selective Service Law, you must provide appropriate proof of exemption. Please visit the Selective Service System website for more information.  
This is a Non Bargaining Unit position.  
This is a Public Trust position and has a risk level designation of "moderate".  
Background Investigation \- If selected for this position, you may be required to complete a Declaration for Federal Employment (OF\-306\), which includes a fingerprint and credit check, to determine your suitability for Federal employment and to authorize a background investigation.  
The USPTO participates in E\-Verify. For more information on E\-Verify, please visit the Department of Homeland Security Website.  
All Federal employees are required to have Federal salary payments made by direct deposit to a financial institution of their choice.  
Relocation Expenses are not authorized and will not be paid.  
CTAP and ICTAP candidates will be eligible for selection priority if it is determined that they have exceeded the minimum qualifications for the position by attaining at least a "well qualified" rating of 85 out of 100\. Information about CTAP and ICTAP eligibility is on the Office of Personnel Management's Career Transition Resources website at: OPM CTAP/ICTAP.  
CTAP/ICTAP documentation requirements are listed in the 'Required Documents' section of this announcement.  
**More than one selection may be made from this announcement** if additional identical vacancies in the same title, series, grade, and unit occur within 90 days from the date the certificate was issued.  
All application materials become the property of the United States Patent and Trademark Office.  
USPTO Job Applicants requiring reasonable accommodation for any part of the application and hiring process should request accommodation(s) from the USPTO at USPTO Reasonable Accommodation.  
*The United States Patent and Trademark Office is an equal opportunity employer and does not discriminate on the basis of race, color, religion, sex (including sexual orientation), national origin, political affiliation, marital status, disability, genetic information, age, pregnancy, childbirth, or related medical conditions, retaliation for engaging in protected activity, parental status, military service, or other non\-merit factors. If you believe that you have been discriminated against and would like to file an EEO complaint, you must do so within 45 days of the date of the alleged discriminatory act. Claims of employment discrimination must be submitted to the attention of the USPTO's Office of Equal Employment Opportunity via email (**oeeo@uspto.gov**) or phone (571\-272\-8292\).*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Your resume, optional cover letter and supporting documentation will be reviewed to determine if you meet the minimum qualification requirements for the position. Under the provisions of the Direct\-Hire Authority (DHA), rating, ranking and veterans' preference does not apply; therefore, your responses to the questionnaire will not be used to determine a scored rating. All applicants who meet the minimum qualification requirements, as defined in the job opportunity announcement, will be referred for selection consideration. While veterans' preference does not apply in DHA, preference eligibles are encouraged to submit their supporting documentation (DD\-214 stating disposition of discharge or character of service, VA letter, SF\-15, etc.).  
**Your resume will be evaluated based on evidence of your ability to demonstrate possession of any specialized experience and how well your background and experience relates to the self\-assessment questions in the job announcement.**  
**The self\-assessment questions relate to the following knowledge, skills, abilities, and competencies (KSA's).**  
* Advanced Computational Analytics and Technology Evaluation
* Advanced Data Infrastructure and Mining
* Advanced Data Science and Analytics
* Comprehensive Analytics and Technology Assessment
* Data Science Governance and Strategy
* Strategic Data Science Advisory and Systems Development
**Please click the link below to preview the Assessment Questionnaire:**  
https://apply.usastaffing.gov/ViewQuestionnaire/12877125
**Required Documents**
----------------------
**A complete application consists of:**
* **A resume or any other written format you choose to describe your job\-related qualifications; optional cover letter:** Your resume should indicate your citizenship and should list your educational and work experience including titles, salary, employment dates, duties, experience and how it relates to the specialized experience in the job announcement. **Please note your resume must be limited to a maximum of two pages.** Resumes exceeding this limit will not be considered eligible. Please submit only one resume. Only the document uploaded under the "Resume "section as the "Document Type" will be reviewed to assess your qualifications and for evaluation purposes.
* **Professional or Academic References** \- Provide 2\-3 professional/academic references (name, phone, email); one must be your current supervisor. We'll notify you before contacting them.
**Please Note:** Responses to job questions that are not fully supported by the information in your resume may result in adjustments to your rating. Any experience claimed in a cover letter should be substantiated by information contained in your resume. A HR Representative will validate the qualifications of those candidates eligible to be referred to the hiring official.  
**Supporting Documents:**  
**PLEASE NOTE:** Applicants who meet the minimum eligibility and qualification requirements for this position may be contacted via email within 7 business days of this announcement closing to submit follow\-up supporting docs if applicable. Applicants claiming CTAP/ICTAP eligibility who fail to submit supporting documents within 5 business days of receiving the email request will not lose consideration for this position, however they will not be entitled to special or priority consideration. Supporting docs that may be requested of applicants after the closing date of this announcement are:  
**1\. Notification of Personnel Action (SF\-50\)** \- For current and/or former Federal employees, your status eligibility and highest permanent grade/step/salary held in the Federal service will be validated with a copy of **your most recent SF\-50**, "Notification of Personnel Action" so that we may verify your time\-in\-grade.  
**2\. Performance Appraisal \-** Recent performance appraisal with supervisor's signature showing the official final rating of record, and copy of incentive award(s). In cases where the performance appraisal is incomplete or unavailable, applicants may provide explanation of the reasons.  
**3\. Career Transition Assistance Program (CTAP) or Interagency Career Transition Assistance Program (ICTAP) documents** \-
* **CTAP applicants MUST submit the following documents:** 1\. A copy of your RIF separation notice, notice of proposed removal for declining a directed geographic relocation outside of the local commuting area; a Certificate of Expected Separation (CES); or certification that you are in a surplus organization or occupation (this could be a position abolishment letter, a notice of eligibility for discontinued service retirement, or similar notice); 2\. A copy of your SF\-50 "Notification of Personnel Action", noting current position, grade/band level, and duty location; 3\. A copy of your latest performance appraisal including your rating; and 4\. Any documentation from your bureau/operating unit that shows your current promotion potential.
* **ICTAP applicants MUST submit the following documents:** 1\. A copy of your RIF separation notice, notice of proposed removal for declining a directed geographic relocation outside of the local commuting area, notice of disability annuity termination, certification from your former agency that it cannot place you after your recovery from a work\-related compensable injury; or certification from the National Guard Bureau or Military Department that you are eligible for disability retirement. 2\. A copy of your SF\-50 "Notification of Personnel Action", documenting your RIF separation, noting your position, grade/band level, and duty location, and/or Agency certification of inability to place you through RPL, etc.; 3\. A copy of your latest performance appraisal including your rating; and 4\. Any documentation from your agency that shows your current promotion potential.
You can upload your documents when you register or update your information on the Dept. of Commerce site which you access through the USAJobs site.  
**Your application and all required documents must be received by 11:59 pm ET on the closing date of this job announcement.**  
NOTE: The preceding documents requirement are based on job requirements and individual applicant eligibility. Not all documents are applicable to all applicants; if you are unsure which documents apply to you, contact the HR Specialist listed on this announcement.
**How to Apply**
----------------
You **MUST** apply online. If you experience difficulties with the application process or do not have access to a computer, please contact the HR Specialist listed as the point of contact before the closing date of this job announcement.  
If you are a new user to the USAJobs Site and have never registered for an account, you will first need to create an account profile with your basic contact information and a resume to begin applying. You must be a registered USAJobs user AND you must be signed\-in to your account in order to apply for this position. For help setting up an account or for general help using USAJobs, go to USAJobs Help Page. Once you have gathered all of the required information and are ready to begin the application process, click the "APPLY" button at the right side of the page. You will then be directed away from USAJobs to the Department of Commerce application site for USPTO. You must click "Submit" at the end of the application process to send your application for consideration.  
To return to your saved application, log in to your USAJOBS account at http://www.usajobs.gov/ and click on "Applications." Click on the position title, then select "Update Application."  
If you experience any difficulties with the application site, help is available! OPM has a Help feature on each page. Use this option when you need assistance.  
All required supporting documents will be collected electronically via the USAJobs "Saved Documents" feature.  
**Personally Identifiable Information (PII)**  
Personally Identifiable Information (PII) is defined as information that can be traced back to a specific individual and potentially compromise their security or privacy. Examples of PII include: date of birth, Social Security Number, and place of birth.  
Please ensure that you have removed all Personally Identifiable Information from all documents prior to submitting or uploading your applications material.
### **Agency contact information**
Erica Faulcon
Phone
571\-270\-3344
Email
erica.faulcon@uspto.gov
Address
*TMCO\-Information Technology Transformation Office*  
*Office of Human Resources*  
*Mail Stop 171*  
*P.O. Box 1450*  
*Alexandria, VA 22313*  
*US*### **Next steps**
You will receive a notice generated by the USAJobs System when you have successfully submitted your application.  
You will be notified of your application status through USAJOBS at four points during the hiring process, as applicable. You can check the status of your application by accessing the USAJOBS website at http://usajobs.gov/ and clicking on "Track Your Online Application." The four points of notification are:  
1\. Application Received or Application Incomplete;  
2\. Minimum Qualification Requirement Met or Minimum Qualification Requirement Not Met;  
3\. Eligible (Application Referred to the Selecting Official) or Eligible (Application Not Referred to the Selecting Official); and  
4\. Selected or Not Selected  
After all application packages have been received, we will review your application and transcript(s) (if you are qualifying based on education) to ensure you meet the basic qualification requirements. We will evaluate each applicant who meets the basic qualifications on the information provided and you may be contacted for follow\-up supplemental documentation. It is the applicant's responsibility to provide any supplemental documents or information requested by the Office of Human Resources within the allocated timeframes.  
You will be required to submit official documentation prior to appointment. The agency will then verify the information provided on your application (i.e., degree, veterans' preference, disability, etc.). You can check the status of your application by logging into USAJOBS. You may also sign up to receive automatic emails anytime the status of your application has changed by logging into your USAJobs Account, editing your profile and changing the "Notification Settings" to indicate that you want to be notified by email when the status changes. Information regarding the status of your application should be updated in the system within 2 weeks after the closing date of this job announcement.
**Overview**
------------
Accepting applications
Open \&amp; closing dates
02/25/2026 to 03/09/2026
This job will close when we have received **250 applications** which may be sooner than the closing date. Learn more
Salary
$102,415 to \- $187,093 per year
\*\*Salary listed above is for the Washington\-Baltimore\-Arlington area; Salary dependent on location of selectee; Locality tables are listed on OPM.\*\*
Pay scale \&amp; grade
GS 12 \- 14
Location
1 vacancy in the following location:
Alexandria, VA
Remote job
No
Telework eligible
No
Travel Required
Not required
Relocation expenses reimbursed
No
Appointment type
Permanent
Work schedule
Full\-time
Service
Competitive
Promotion potential
14
Job family (Series)
* 1560 Data Science Series
Supervisory status
No
Security clearance
Not Required
Drug test
No
Position sensitivity and risk
Moderate Risk (MR)
Trust determination process
* Credentialing
* Suitability/Fitness
Financial disclosure
No
Bargaining unit status
No
Announcement number
TMCO\-ITTO\-26\-12877125\-DH
Control number
858879000</t>
        </is>
      </c>
    </row>
    <row r="13">
      <c r="A13" t="inlineStr">
        <is>
          <t>in-e559c2324dd6c17f</t>
        </is>
      </c>
      <c r="B13" t="inlineStr">
        <is>
          <t>Data Scientist – Entry Level – Artificial Intelligence Focus (Hybrid)</t>
        </is>
      </c>
      <c r="C13" t="inlineStr">
        <is>
          <t>Barr Engineering</t>
        </is>
      </c>
      <c r="D13" t="inlineStr">
        <is>
          <t>indeed</t>
        </is>
      </c>
      <c r="E13" t="inlineStr"/>
      <c r="F13" t="inlineStr"/>
      <c r="G13" t="inlineStr">
        <is>
          <t>Minneapolis, MN, US</t>
        </is>
      </c>
      <c r="H13" s="1" t="n">
        <v>46077</v>
      </c>
      <c r="I13" t="inlineStr">
        <is>
          <t>The role – what you’ll do
The individual in this role will join a talented and collaborative team of digital solutions professionals. This person will support teams and work with various clients on data engineering, data science, artificial intelligence, and agentic systems. Work may also involve working with digital twins, management information systems, and bolstering internal digital technology capabilities.
The ideal candidate for this position will meet internal and external client needs with exceptional client service and professionalism. They are adaptable, have strong problem\-solving skills and have a desire to learn. They also have a strong team mentality with a willingness to assist where needed to contribute to the group’s success.
Your impact – key responsibilities* Create, deploy, and maintain artificial intelligence workflows.
* Implement agent scaffolding to optimize instructions, skills, tools, and context retrieval.
* Orchestrate teams of agents and subagents.
* Design, test, and deploy machine learning models.
* Perform data analysis, including data cleansing, data quality reviews, data visualization, statistical analysis, and model development and deployment
* Integrate data sources and support building of data pipelines
* Perform reviews to improve the accuracy of the data warehouse and reporting.
* Participate in Barr’s Data Resource Group and support technology for a wide variety of engineering, environmental, and scientific project work.
* Participate in process improvements and special projects as assigned by data scientists and engineers.
About the opportunity* Hybrid: a hybrid work arrangement may be considered for this position. A hybrid work arrangement refers to splitting time worked between a Barr office and a home office. This position is based out of Barr's Minneapolis, Minnesota, office.
* Travel expectation: this role may require up to 5% of time spent travelling; may vary depending on client needs and project commitments.
About you – required core competencies* Education: bachelor’s degree or relevant equivalent experience in computer science, data science, artificial intelligence, or a related program, such as engineering with an emphasis on data science.
* Software: experience with Azure or similar cloud computing platforms. Experience with Python.
* Experience building and implementing artificial intelligence workflows.
* Experience with processing unstructured data via large language models.
* Excellent oral and written communication skills.
* Excellent attention to detail, accuracy, time management, and follow\-through.
* Driver’s license: possession of a current, valid driver’s license and acceptable driving record.
* Must be legally authorized to work in the United States without the need for sponsorship by Barr, now or in the future.
Compensation: Anticipated range of $75,000–$90,000 annually. Compensation will vary based on relevant experience, education, skill level, and other compensable factors. Employees in this position may also be eligible for a discretionary cash bonus based on team and individual performance. This position is classified as exempt (salaried) under the Fair Labor Standards Act.
\#LI\-Hybrid \#Handshake
Benefits \- what we offer
We are committed to providing an employee experience that attracts and retains top talent. That's why we offer a competitive package of employee benefits \- including some unique offerings not found at other companies. At Barr, we also believe that learning doesn't stop when you get your degree, which is why we provide coaching, mentoring, and support for ongoing educational opportunities to foster professional development at every stage of your career.* Competitive, affordable insurance plans: Medical, dental, vision, life, disability, accidental death insurance, and flexible spending accounts for medical and dependent care
* Retirement benefits: 401(k) retirement savings plan with company contribution and an Employee Stock Ownership Plan (ESOP) with company contribution in Barr stock
* Profit distribution: Barr has a "no retained earnings" model and distributes all profit to our employees through our annual bonus distribution plan, ESOP, and dividends to shareholders
* Professional development benefits: Annual time and expense allowances, mentorship program, and many internal training opportunities
* Work/life balance: Paid time off, holidays, overtime for non\-exempt/hourly staff, and compensatory time for exempt/salaried staff (time off or pay for extra time worked), paid family leave
* Wellness focus: Ergonomic analysis and equipment, Personal Protective Equipment allowance, wellbeing\-focused educational opportunities
Please note that benefits eligibility is determined and may change based on part\-time, reduced\-time, or full\-time status.
About us \- why choose Barr
At Barr, you'll join a community of engineers, scientists, and professionals who will help you achieve your ambitions and build a meaningful, rewarding career. You'll serve as a trusted advisor to clients who value Barr's tailored solutions and commitment to exceptional service.
As part of our employee\-owned firm, you'll contribute to a culture of commitment and camaraderie where staff can thrive as professionals. We value diverse perspectives and experiences and believe an inclusive workplace is critical to our success.
To learn more about Barr's culture and values, visit: https://www.barr.com/Careers/Our\-culture*Open positions at Barr Engineering Co. do not have application deadlines. Barr Engineering Co. is an equal opportunity employer, and all applicants will receive consideration for employment without regard to race, color, religion, sex, sexual orientation, gender identity, national origin, disability, or status as a protected veteran.*</t>
        </is>
      </c>
    </row>
    <row r="14">
      <c r="A14" t="inlineStr">
        <is>
          <t>in-bd00aaacf52a8fb2</t>
        </is>
      </c>
      <c r="B14" t="inlineStr">
        <is>
          <t>Senior Applied Scientist</t>
        </is>
      </c>
      <c r="C14" t="inlineStr">
        <is>
          <t>Microsoft</t>
        </is>
      </c>
      <c r="D14" t="inlineStr">
        <is>
          <t>indeed</t>
        </is>
      </c>
      <c r="E14" t="inlineStr"/>
      <c r="F14" t="inlineStr"/>
      <c r="G14" t="inlineStr">
        <is>
          <t>Redmond, WA, US</t>
        </is>
      </c>
      <c r="H14" s="1" t="n">
        <v>46072</v>
      </c>
      <c r="I14" t="inlineStr">
        <is>
          <t>**Overview**  
You’ll join the asset generation team in Microsoft AI focusing on image and video retrieval, recommendation and generation. You will build core generative AI solutions that power customer\-facing AI solutions and services for Microsoft Advertising at Bing platforms. In this role, you’ll combine solid computer vision skills with applied ML expertise to design, prototype, evaluate and ship production systems—using techniques like knowledge distillation, prompt engineering, reinforcement learning, image/video processing and rigorous evaluation/metrics to continuously improve image and video asset qualities. You’ll partner closely across product, research, and service engineering to deliver the innovative and robust solutions for enterprise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Research, develop, and build effective and innovative production\-grade generative AI and classical computer vision systems, with end\-to\-end ownership from concept through deployment and service operations.
* Lead technical design for core GenAI capabilities on image and video assets (e.g., image and video generation, super\-resolution and summarization) and make data\-driven tradeoffs across quality, latency, cost, and safety.
* Define and improve model and system quality using evaluation frameworks, experiment design, and metric evaluation; ensure robust testing and regression coverage.
* Collaborate with the partner teams to build solutions that meet enterprise requirements and align with customer needs and make business impact.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Demonstrated solid modelling skills in training and inferencing on online and offline computer vision models and related performance optimization for latency and artifact.
* Experience with prompt engineering, knowledge distillation and post\-training.
* Experience building and shipping generative AI systems (including image and video systems).
* Familiarity with compliance and security standards in enterprise AI solutions.
* Track record of delivering enterprise\-facing AI products at scale.
* Experience building and operating ML/AI systems in cloud environments; familiarity with MLOps practices (Azure a plus).
* Experience in publishing papers in top\-tier computer vision and machine learning conferences such as CVPR, ICML, ICCV, Neurips and ICLR.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
      <c r="A15" t="inlineStr">
        <is>
          <t>in-570bd35f5b52b0c6</t>
        </is>
      </c>
      <c r="B15" t="inlineStr">
        <is>
          <t>Principal Applied Scientist</t>
        </is>
      </c>
      <c r="C15" t="inlineStr">
        <is>
          <t>Microsoft</t>
        </is>
      </c>
      <c r="D15" t="inlineStr">
        <is>
          <t>indeed</t>
        </is>
      </c>
      <c r="E15" t="inlineStr"/>
      <c r="F15" t="inlineStr"/>
      <c r="G15" t="inlineStr">
        <is>
          <t>Redmond, WA, US</t>
        </is>
      </c>
      <c r="H15" s="1" t="n">
        <v>46071</v>
      </c>
      <c r="I15" t="inlineStr">
        <is>
          <t>**Overview**  
As a **Principal** **Applied Scientist** on the Copilot Agentic Security team, you will serve as a **scientific and technical leader** advancing the foundations that secure Microsoft’s agentic and autonomous AI systems. You will define **what to measure, how to measure it, and how to validate mitigations at scale**, shaping how Copilot evaluates and reduces real‑world security risk.
You will operate across the full security lifecycle—**attack simulation threat pattern discovery mitigation design empirical validation continuous measurement**—with ownership of **end‑to‑end evaluation strategies** rather than isolated experiments. Your work informs **durable, reusable defenses** that integrate into Copilot’s orchestration layers, shared services, and emerging agents.
At IC6, success is not only producing strong scientific artifacts, but **setting scientific direction**, influencing engineering and security strategy, and ensuring that mitigation decisions are grounded in **objective evidence, robust metrics, and reproducible methodology**.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**Scientific Leadership \&amp; Direction**
* Lead the **design of scientific approaches** for evaluating agentic security risks, including defining metrics, experimental methodology, and validation criteria.
* Serve as a **scientific authority** for how Copilot measures security quality, mitigation effectiveness, and residual risk over time.
* Identify gaps in existing evaluation approaches and **invent new methodologies** where current techniques are insufficient.
**Applied Modeling \&amp; Experimentation**
* Develop and apply advanced techniques in **machine learning, generative modeling, and empirical evaluation** to identify and characterize risks in agentic and autonomous systems.
* Build **reproducible experiments, datasets, and scorecards** that quantify system vulnerabilities and mitigation performance across realistic threat scenarios.
* Investigate **model behaviors, failure modes, and threat classes** emerging from MSRC cases, red‑team exercises, and internal adversarial testing.
**Evaluation \&amp; Risk Measurement**
* Design and operate **end‑to‑end evaluation pipelines** that measure agentic security quality across Copilot orchestration components and shared services.
* Translate top security risks into **measurable scientific requirements**, evaluation rubrics, and success criteria aligned with Copilot’s protection lifecycle.
* Use telemetry and real‑world signals to **continuously tune scoring functions, alerting thresholds, and validation loops**.
**Mitigation Science \&amp; Validation**
* Partner with engineering and adversarial testing to close the loop from **threat discovery mitigation design empirical validation**.
* Prototype and validate mitigation approaches, balancing **security effectiveness, model behavior, system performance, COGS, and latency**.
* Analyze incidents and vulnerability reports to **generalize categorical mitigations** that eliminate classes of threats rather than single exploits.
**Cross‑Functional Influence**
* Work closely with engineering to ensure scientific outputs are **operationalized into production‑grade services and reusable platform components**.
* Collaborate with PM/TPM and partner security teams (e.g., MSRC, Microsoft AI Security, Azure Security) to align scientific insights with roadmap decisions.
* Communicate findings, tradeoffs, and impact clearly to **senior engineering leadership and stakeholders**.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**Experience designing and executing scientific experiments** for complex, real‑world systems, including defining metrics, evaluation methodology, and validation criteria.
* **Experience building or applying ML models or statistical techniques** to analyze system behavior, detect failure modes, or evaluate mitigation effectiveness.
* **Proficiency in one or more programming languages** such as **Python**, **C\+\+**, **C\#**, or **Java**, including building reproducible analysis or evaluation pipelines.
* **Experience designing or evaluating algorithms, metrics, datasets, or data pipelines** used to assess system quality, safety, or security.
* Ability to meet **Microsoft, customer, and/or government security screening requirements**.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5\+ years experience creating publications (e.g., patents, libraries, peer\-reviewed academic papers).
* 2\+ years experience presenting at conferences or other events in the outside research/industry community as an invited speaker.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 Ability to operate effectively in **highly ambiguous, fast‑evolving security environments**, particularly those involving autonomous or generative AI systems.
* Willingness to engage deeply across organizational boundaries to drive durable security outcomes.
* Work‑site requirements vary by location and follow organizational guidance.
* This role may involve working with **sensitive or confidential AI model data** in accordance with Microsoft Responsible AI and Security policies.
\#DataScience,\# AppliedScience, \#Copilot, \#LLM, \#Agent, \#Security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
      <c r="A16" t="inlineStr">
        <is>
          <t>in-836e33254cbfbacb</t>
        </is>
      </c>
      <c r="B16" t="inlineStr">
        <is>
          <t>Data Scientist - Social Analytics</t>
        </is>
      </c>
      <c r="C16" t="inlineStr">
        <is>
          <t>Microsoft</t>
        </is>
      </c>
      <c r="D16" t="inlineStr">
        <is>
          <t>indeed</t>
        </is>
      </c>
      <c r="E16" t="inlineStr"/>
      <c r="F16" t="inlineStr"/>
      <c r="G16" t="inlineStr">
        <is>
          <t>Redmond, WA, US</t>
        </is>
      </c>
      <c r="H16" s="1" t="n">
        <v>46070</v>
      </c>
      <c r="I16" t="inlineStr">
        <is>
          <t>**Overview**  
We’re building a **Frontier Marketing** organization that learns fast and executes with precision and agility through AI\-powered insights. Our **Marketing Analytics** team builds AI and advanced analytics models that enable us to create intelligent tools that empower marketers with the data\-driven insights they need to optimize marketing impact and deliver rich recommendations for sellers to drive opportunities in their accounts. To accelerate this transformation to Frontier marketing, we are looking for a **Data Scientist – Social Analytics** who is excited to work with largescale social and behavioral data and apply analytical and social network techniques to real business problems. This role is designed for an individual contributor who can independently execute well\-scoped analytical problems, apply established methods, and deliver insights that inform marketing and communications decisions, with guidance from senior data scientists.  
You are a curious data scientist who enjoys working with complex, noisy data and uncovering patterns in how people and communities interact. You are comfortable applying analytical techniques to social and behavioral datasets and are eager to deepen your skills in social network analysis, experimentation, and storytelling with data.
You thrive in a collaborative, matrixed environment and enjoy partnering with analysts, data scientists, and business stakeholders. While you benefit from guidance on problem framing and approach, you can take ownership of execution, manage your work, and deliver high\-quality analyses that drive impact.  
You care about rigor and clarity, and you’re motivated by turning fast moving social data into insights that help teams make better decisions.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Execute well\-defined social analytics projects, translating business questions into analytical approaches with guidance from senior data scientists
* Apply social analytics and social network analysis techniques (e.g., graph analytics, community detection, centrality analysis, influence or diffusion concepts) to understand engagement and behavioral patterns
* Analyze large\-scale, noisy, and unstructured social media data, contributing to incremental improvements in data quality, feature engineering, and analytical relevance
* Develop analytical outputs, metrics, and visualizations that support marketing, public relations, and product decision\-making
* Collaborate with analysts and senior data scientists to contribute to scalable and self\-serve analytics solutions
* Communicate findings clearly through written summaries, presentations, and visualizations, translating technical results into business\-friendly insights
* Follow established best practices for data science quality, documentation, and reproducibility, and contribute to shared team standards and learnings
* Embody our culture and values.
 **Qualifications** **Required/minimum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**Additional or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1\+ years of experience ingesting, cleaning, and analyzing large\-scale social media data, including unstructured and semi\-structured signals (e.g., posts, comments, engagement metadata), with attention to data quality, bias, and analytical fitness for use
* 1\+ years of experience with social network analysis algorithms including community detection, centrality metrics, influence propagation models, graph\-based clustering methods
* 1\+ years of experience applying statistical or machine learning techniques to social or behavioral analytics problems
* 1\+ years of experience with advanced visualization techniques for social analytics and tools such as PowerBI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7">
      <c r="A17" t="inlineStr">
        <is>
          <t>in-9017b901141c54f3</t>
        </is>
      </c>
      <c r="B17" t="inlineStr">
        <is>
          <t>Senior Data Scientist - Social Analytics</t>
        </is>
      </c>
      <c r="C17" t="inlineStr">
        <is>
          <t>Microsoft</t>
        </is>
      </c>
      <c r="D17" t="inlineStr">
        <is>
          <t>indeed</t>
        </is>
      </c>
      <c r="E17" t="inlineStr"/>
      <c r="F17" t="inlineStr"/>
      <c r="G17" t="inlineStr">
        <is>
          <t>Redmond, WA, US</t>
        </is>
      </c>
      <c r="H17" s="1" t="n">
        <v>46070</v>
      </c>
      <c r="I17" t="inlineStr">
        <is>
          <t>**Overview**  
We’re building a **Frontier Marketing** organization that learns fast and executes with precision and agility through AI\-powered insights. Our **Marketing Analytics** team builds AI and advanced analytics models that enable us to create intelligent tools that empower marketers with the data\-driven insights they need to optimize marketing impact and deliver rich recommendations for sellers to drive opportunities in their accounts. To accelerate this transformation to Frontier marketing, we are looking for a **Data Scientist – Social Analytics** who is excited to work with largescale social and behavioral data and apply analytical and social network techniques to real business problems. This role is designed for an individual contributor who can independently execute well\-scoped analytical problems, apply established methods, and deliver insights that inform marketing and communications decisions, with guidance from senior data scientists.
You are a curious data scientist who enjoys working with complex, noisy data and uncovering patterns in how people and communities interact. You are comfortable applying analytical techniques to social and behavioral datasets and are eager to deepen your skills in social network analysis, experimentation, and storytelling with data.
You thrive in a collaborative, matrixed environment and enjoy partnering with analysts, data scientists, and business stakeholders. While you benefit from guidance on problem framing and approach, you can take ownership of execution, manage your work, and deliver high\-quality analyses that drive impact.
You care about rigor and clarity, and you’re motivated by turning fast moving social data into insights that help teams make better decisions.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Own and deliver complex social analytics problem spaces end\-to\-end, leveraging strong analytic judgement while framing ambiguous business questions into clear analytical objectives and success measures
* Apply advanced social network analysis methods (graph analytics, community detection, influence/diffusion modeling) and statistical techniques to understand engagement, behavior, and diffusion patterns to develop actionable insights
* Evaluate and extract insights from noisy, large\-scale and unstructured data, developing new methods to improve analytical quality and relevance
* Collaborate with analysts and partners to translate data science solutions into scalable, self\-serve analytics experiences
* Drive execution independently, with minimal guidance, identifying key risks, dependencies, and trade\-offs to ensure timely, high\-impact delivery.
* Partner directly with marketing, public relations, and product stakeholders to translate business questions into data science approaches, influencing decisions through explaining trade\-offs and implications of data science results
* Communicate complex findings clearly through narratives, visualizations, and executive\-ready materials, translating technical results into business terms and clear recommendations
* Serve as a technical thought leader and mentor across the team by setting high standards for data science quality, documentation and reproducibility, raising the overall bar for rigor and creativity.
 **Qualifications** **Required/minimum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**Additional or preferred qualifications*** Doctorate in Data Science, Mathematics, Statistics, Econometrics, Economics, Operations Research, Computer Science, or related field AND 3\+ years data\-science experience (e.g., managing structured and unstructured data, applying statistical techniques and reporting results)
	+ OR Master's Degree in Data Science, Mathematics, Statistics, Econometrics, Economics, Operations Research, Computer Science, or related field AND 5\+ years data\-science experience (e.g., managing structured and unstructured data, applying statistical techniques and reporting results)
	+ OR Bachelor's Degree in Data Science, Mathematics, Statistics, Econometrics, Economics, Operations Research, Computer Science, or related field AND 7\+ years data\-science experience (e.g., managing structured and unstructured data, applying statistical techniques and reporting results)
	+ OR equivalent experience.
* 3\+ years of experience ingesting, cleaning, and analyzing largescale social media data, including unstructured and semi\-structured signals (e.g., posts, comments, engagement metadata), with attention to data quality, bias, and analytical fitness for use.
* 3\+ years of experience applying social network analysis algorithms including community detection, centrality metrics, influence propagation models, graph\-based clustering methods.
* 3\+ years of experience applying statistical or machine learning techniques to social or behavioral analytics problems.
* 3\+ years of experience with advanced visualization techniques for social analytics and tools such as PowerBI.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8">
      <c r="A18" t="inlineStr">
        <is>
          <t>in-26f540a821d7d2a6</t>
        </is>
      </c>
      <c r="B18" t="inlineStr">
        <is>
          <t>Principal Applied Scientist</t>
        </is>
      </c>
      <c r="C18" t="inlineStr">
        <is>
          <t>Microsoft</t>
        </is>
      </c>
      <c r="D18" t="inlineStr">
        <is>
          <t>indeed</t>
        </is>
      </c>
      <c r="E18" t="inlineStr"/>
      <c r="F18" t="inlineStr"/>
      <c r="G18" t="inlineStr">
        <is>
          <t>US</t>
        </is>
      </c>
      <c r="H18" s="1" t="n">
        <v>46069</v>
      </c>
      <c r="I18"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Our team builds and operates the end\-to\-end measurement stack for Microsoft Security’s AI agents. We build and collaborate with industry on security domain benchmarks for foundation model comparisons, empowering product teams to build at the frontier edge of AI while driving progress in model research and development. We build rigorous evaluations of complete agentic systems, ensuring only the best solutions reach our customers. As a Principal Applied Scientist, you will define and drive the evaluation strategy for AI security agents across multiple products and orchestration frameworks. You will help set technical direction for how we measure agent capabilities at scale. You will also influence product roadmaps through evaluation insights, partner with product and engineering to translate results into readiness gates, model selection criteria, and go/no\-go decisions that enable teams to ship, safe, reliable security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You will be part of an Applied Science evaluations team working on high\-impact AI initiatives that define how security AI agents are measured, trusted, and shipped. You will lead technical direction for evaluation strategy, set standards adopted across teams, and mentor others in evaluation methodology.
Responsibilities include:
* Technical Leadership \&amp; Ownership: Define and drive technical strategy for security agent evaluations across Microsoft Security.
* Lead assessments of full agent systems, set evaluation standards adopted by multiple product groups, and translate findings into exec\-ready recommendations and deployment quality gates
* Agentic System Evaluation \&amp; Measurement: Define evaluation methodology for agent actions in realistic security scenarios covering planning, tool use, reasoning, robustness, and failure modes.
* Establish metrics that directly influence product readiness and release decisions.
* Evaluation Infrastructure \&amp; Harnesses: Architect reusable evaluation platform and harnesses across orchestration frameworks.
* Enable controlled testing on production\-representative data with appropriate privacy controls.
* Collect trajectories, telemetry, and results at scale
* Data \&amp; Signals for Evaluation: Set data standards and governance for agent evaluation datasets and grading rubrics.
* Ensure reproducibility, privacy\-preserving data practices, and long\-term reuse across evaluation scenarios.
* Research \&amp; Innovation: Collaborate with cross\-functional teams to advance evaluation research, prototype novel methods, and land them into the evaluation platform used by product teams.
* Contribute to publications and external partnerships where appropriate.
**Qualifications** **Required/minimum qualifications**
* Bachelor's Degree in Statistics, Econometrics, Computer Science, Electrical or Computer Engineering, or related field AND 6\+ years related experience (e.g., statistics, predictive analytics, research) OR Master's Degree in Statistics, Econometrics, Computer Science, Electrical or Computer Engineering, or related field AND 4\+ years related experience (e.g., statistics, predictive analytics, research) OR Doctorate in Statistics, Econometrics, Computer Science, Electrical or Computer Engineering, or related field AND 3\+ years related experience (e.g., statistics, predictive analytics, research) OR equivalent experience.
**Other Requirements**
* Candidates must be able to meet Microsoft, customer and/or government security screening requirements are required for this role. These requirements include, but are not limited to the following specialized security screenings:
* + Microsoft Cloud Background Check: This position will be required to pass the Microsoft Cloud background check upon hire/transfer and every two years thereafter.
**Additional or preferred qualifications*** Master's Degree in Statistics, Econometrics, Computer Science, Electrical or Computer Engineering, or related field AND 9\+ years related experience (e.g., statistics, predictive analytics, research) OR Doctorate in Statistics, Econometrics, Computer Science, Electrical or Computer Engineering, or related field AND 6\+ years related experience (e.g., statistics, predictive analytics, research) OR equivalent experience.
* Demonstrated experience shipping ML systems in production with experiment design, evaluation, and measurement methodology.
* Ability to design controlled experiments and ablations to isolate system behavior
* Experience in cybersecurity or security\-adjacent domains (safety, abuse/fraud, or risk)
* Track record of technical leadership across teams in the form of setting standards and driving alignment in ambiguity
* Deep expertise across multiple security domains (detection, investigation, response, threat intelligence, automation)
* Experience evaluating LLM\-based systems and agentic workflows, including tool use, planning, reasoning, and robustness.
* Track record of setting evaluation standards adopted across orgs, mentoring ICs in methodology, and driving executive\-level decisions through rigorous experimental analysis.
\#MSFTSecurity \#MSECAI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9">
      <c r="A19" t="inlineStr">
        <is>
          <t>in-0fc2f8fd7bae8d02</t>
        </is>
      </c>
      <c r="B19" t="inlineStr">
        <is>
          <t>Senior Applied Scientist</t>
        </is>
      </c>
      <c r="C19" t="inlineStr">
        <is>
          <t>Microsoft</t>
        </is>
      </c>
      <c r="D19" t="inlineStr">
        <is>
          <t>indeed</t>
        </is>
      </c>
      <c r="E19" t="inlineStr"/>
      <c r="F19" t="inlineStr"/>
      <c r="G19" t="inlineStr">
        <is>
          <t>Redmond, WA, US</t>
        </is>
      </c>
      <c r="H19" s="1" t="n">
        <v>46069</v>
      </c>
      <c r="I19"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looking for a Senior Applied Scientists to join a multidisciplinary squad to reshape how we defend Microsoft. You will actively innovate by leveraging and building upon a broad set of research from Microsoft, academia, and industry to develop novel methods, tools, and frameworks for demonstrating and enhancing defensive capabilities. You will collaborate with internal and external partners to apply your research to real\-world scenarios and challenges. You will have the opportunity to publish your work in top\-tier venues and contribute to the scientific community and the broader society. For those passionate about making a meaningful impact in the security industry, don’t miss this opportunity to join the team working on the latest AI technology and applicability.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**Responsibilities:**
* Conduct cutting\-edge research that builds towards transformative defensive security capabilities with demonstrated scientific rigor.
* Champion innovative principles and forward\-looking concepts guided by research trends in academia, OSS and industry. Form strategic partnerships with thought leaders across the company, in the industry and across domains.
* Work with defenders, threat hunters, PMs, and engineers to turn research into effective solutions that improve our ability to protect ourselves.
* Share research findings and innovations through open\-source releases, blog posts, patents, and industry conferences.
* Participate in partnerships with academia and industry to advance the state of the art in the field.
Embody our culture and values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experience conducting research as part of a research program (in academic or industry settings).
* 3\+ years of experience in Python, PyTorch, TensorFlow, or other machine learning frameworks.
* 2\+ years of experience in Python.
* 2\+ years of experience building customer solutions or open\-source projects using ML/generative AI and/or multi\-agent frameworks such as AutoGen, LangChain, LangGraph, crewAI, or equivalent.
* Excellent written and verbal communication skills, ability to simplify and explain complex ideas. 3\+ years experience creating publications (e.g., patents, libraries, peer\-reviewed academic papers).
* 1\+ year(s) experience developing and deploying products or systems at multiple points in the product cycle from ideation to shipping.
* Experience in cyber security and safety domains, such as malware detection, fraud prevention, cyber\-physical systems, adversary tradecraft, emerging threats or SOC operations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0">
      <c r="A20" t="inlineStr">
        <is>
          <t>in-61a8a1da1b25da3b</t>
        </is>
      </c>
      <c r="B20" t="inlineStr">
        <is>
          <t>Data Scientist II</t>
        </is>
      </c>
      <c r="C20" t="inlineStr">
        <is>
          <t>Microsoft</t>
        </is>
      </c>
      <c r="D20" t="inlineStr">
        <is>
          <t>indeed</t>
        </is>
      </c>
      <c r="E20" t="inlineStr"/>
      <c r="F20" t="inlineStr"/>
      <c r="G20" t="inlineStr">
        <is>
          <t>US</t>
        </is>
      </c>
      <c r="H20" s="1" t="n">
        <v>46065</v>
      </c>
      <c r="I20" t="inlineStr">
        <is>
          <t>**Overview**  
Come join us in the Azure Core Economics team, explore your passions, and impact the world! If you join the Azure Core Economics team, you will join a group of economists, data scientists, and software engineers within Azure Engineering that tackles a variety of data\-intensive problems related to cloud economics that are of critical importance to Microsoft. Our team collaborates with many other teams in Microsoft on problems such as pricing, demand estimation and forecasting, commerce incentives, capacity management and planning, cost modeling, geo\-expansion, fraud detection, yield management, virtual machine bin packing, and others.
As a Data Scientist II in the Azure Core Economics team, you will be responsible for leveraging large amounts of data to deliver products, prototypes, and actionable economic insights that drive improvements to Azure’s business. You will collaborate with colleagues in a wide range of disciplines on teams such as Azure Engineering, Business Planning, Capacity, Supply Chain \&amp; Provisioning, Finance, Microsoft Research, and the Office of the Chief Economist.  
This opportunity will allow you to gain experience working on unique cutting\-edge problems on the intersection of cloud computing, data science, economics, engineering, and research; develop deep expertise in economics, the cloud business, and a wide range of data science domains; and accelerate your career growth in an interdisciplinary environment. The team is supportive of flexible work, and candidates may work from home up to 2 days per week regardless of where they are located or as often as they would like if they have no collaborators in a Microsoft office within 50 miles of their residence.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Acquires data necessary for successful completion of project and utilizes querying, visualization, and reporting techniques to describe acquired data
* Understands existing code to write efficient and readable code for their own specific feature and collaborates with other engineering teams to integrate data models into engineering systems
* Understands modeling techniques and selects the correct approach to prepare data, train and optimize the model, and evaluate the output for statistical and business significance
* Assists with testing models on applications, real data, and production data, and analyzes model performance
* Assists in interpreting results, developing insights, and communicating results and insights to customers and stakeholders
* Engages with colleagues to understand strategy goals, explore opportunities for data science applications, and identify growth opportunities
* Learns and understands tools, techniques, strategies, and processes that can be utilized to improve process efficiency and performance
**Qualifications**  
Required Qualification: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Proficiency with relational databases and SQL, statistical packages in R, and standard libraries in Python
* Experience with distributed big data analytics (using, for example, Apache Spark, Hadoop, Azure Data Lake, or Cosmos)
* Solid understanding of and experience working with statistical inference techniques, machine learning models, and causal inference research designs.
\#azurecorejobs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1">
      <c r="A21" t="inlineStr">
        <is>
          <t>in-910435bdb562d86e</t>
        </is>
      </c>
      <c r="B21" t="inlineStr">
        <is>
          <t>Data Scientist, Security</t>
        </is>
      </c>
      <c r="C21" t="inlineStr">
        <is>
          <t>Microsoft</t>
        </is>
      </c>
      <c r="D21" t="inlineStr">
        <is>
          <t>indeed</t>
        </is>
      </c>
      <c r="E21" t="inlineStr"/>
      <c r="F21" t="inlineStr"/>
      <c r="G21" t="inlineStr">
        <is>
          <t>US</t>
        </is>
      </c>
      <c r="H21" s="1" t="n">
        <v>46064</v>
      </c>
      <c r="I21" t="inlineStr">
        <is>
          <t>**Overview**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Team Overview: The Microsoft Insider Risk Program is dedicated to safeguarding our people, data, and intellectual property from internal threats that could compromise the security and integrity of the company. Built on a foundation of collaboration, innovation, and analytical rigor, our team is focused on developing advanced detection and response capabilities for proactive insider risk identification, enabling Microsoft to remain resilient against internal risks in an ever\-evolving threat landscape.  
Role Overview: We are seeking a data scientist to join the engineering team for the Insider Risk Program. This role will join a fast\-paced, growing team to build advanced detection and monitoring capabilities, leveraging tools and techniques from across data science to create new features. You will be responsible for applying analysis and experimentation methods to iterate quickly, validate hypotheses, and measure system performance. This role will collaborate closely with all parts of the Insider Risk Program, from driving program alignment to translating operational needs to applying software development and systems engineering best practices.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Contribute to the design, development, implementation, and testing of data science techniques to enhance and expand detection systems. Apply big\-data methods to ensure scalability and performance.
* Collaborate with key stakeholders to understand gaps and requirements and effectively translate from business problem to technical approach. Communicate technical concepts to a variety of audiences to enable shared understanding.
* Develop and maintain detailed documentation for models and features to support debugging, troubleshooting, and long\-term code maintenance.
* Maintain awareness of trends in cybersecurity and insider risk detection strategies to identify opportunities to apply novel methodologies, share knowledge and contribute to technical discussions, and participate in internal/external conferences.
 **Qualifications** **Required/minimum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background and Microsoft Cloud background check upon hire/transfer and every two years thereafter.
* Citizenship \&amp; Citizenship Verification: This position requires verification of citizenship due to citizenship\-based legal restrictions. Specifically, this position supports United States federal, state, and/or local US government agency customers and is subject to certain citizenship\-based restrictions where required or permitted by applicable law. To meet this legal requirement, and as a condition of employment, the successful candidate’s citizenship will be verified with a valid passport.
* This role will require access to information that is controlled for export under export control regulations, potentially under the U.S. International Traffic in Arms Regulations or Export Administration Regulations, the EU Dual Use Regulation, and/or other export control regulations. As a condition of employment, the successful candidate will be required to provide either proof of their country of citizenship or proof of their U.S. permanent residency or other protected status (e.g., under 8 U.S.C. 1324b(a)(3\)) for assessment of eligibility to access the export controlled information. To meet this legal requirement, and as a condition of employment, the successful candidate’s citizenship will be verified with a valid passport. Lawful permanent residents, refugees, and asylees may verify status using other documents, where applicable.
**Additional or preferred qualifications:**
* 1\+ years experience in programming in Python and SQL or SQL\-like language
* 1\+ years experience in cybersecurity or insider risk programs
* 1\+ years experience in software development concepts like unit testing and CI/CD frameworks
* 1\+ years experience in applications of unsupervised machine learning or anomaly detection methods to business problems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2">
      <c r="A22" t="inlineStr">
        <is>
          <t>in-e6dcdf3f18bb9dd1</t>
        </is>
      </c>
      <c r="B22" t="inlineStr">
        <is>
          <t>Data Scientist II</t>
        </is>
      </c>
      <c r="C22" t="inlineStr">
        <is>
          <t>Microsoft</t>
        </is>
      </c>
      <c r="D22" t="inlineStr">
        <is>
          <t>indeed</t>
        </is>
      </c>
      <c r="E22" t="inlineStr"/>
      <c r="F22" t="inlineStr"/>
      <c r="G22" t="inlineStr">
        <is>
          <t>US</t>
        </is>
      </c>
      <c r="H22" s="1" t="n">
        <v>46056</v>
      </c>
      <c r="I22" t="inlineStr">
        <is>
          <t>**Overview**  
Cloud Computing is the highly competitive and rapidly growing market and is one of the most important initiatives for Microsoft. Customers put their big bet on Azure Cloud Platform to run their business. The Azure Core Insights team is a growing Agile team looking for passionate candidate who have both machine learning /data science and development skills and a keen interest in building AIOps solutions to solve the unique challenges in Cloud and drive the new generations of cloud infrastructure.
As a member of our team, you will be helping design and implement anomaly detection, auto\-triaging/correlation, and causal inference model to deliver preventive insights to improve Azure cloud system’s availability, reliability, and efficiency based on statistics, AI/ML, Large language model (LLM). You will be helping drive the actions based on the insights and infuse the AI/ML, LLM and AI Agent into our daily operations by working with research team, engineering team and program management team. The ideal candidate should have a passion around compute science, machine learning/AI, LLM and turning data into meaningful Insights and make it actionable. If you’ve dreamed of having global impact and love working with data and AI to create huge business value, come talk to us today!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Share accountability of a wide array of assets and be comfortable with learning a broad array of technologies.
* Independently design and implement anomaly detection, auto\-triaging/correlation, and causal inference model to deliver preventive insights to improve Azure cloud system availability, reliability, and efficiency
* Work with partner teams to integrate the Insights into Azure daily dev operations and Azure system for automatic mitigation and repairs
* Contribute towards driving visibility into customer impacting on Virtual Machines or Containers or higher\-level Azure services built on top of Virtual Machines.
* Assist with building an automated data quality solution to detect problems in downstream dependencies and take automated action to correct them.
* Look for opportunities to share learnings and tools broadly within Microsoft and beyond. Specifically, our team does cutting edge work with Azure Data Explorer (Kusto) and makes a point at contributing back to the larger environment.
**Qualifications** **Required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
	+ OR Bachelor's Degree in Data Science, Mathematics, Statistics, Econometrics, Economics, Operations Research, Computer Science, or related field AND 2\+ years data\-science experience (e.g., managing structured and unstructured data, applying statistical tec
	+ OR equivalent experience.
* 2\+ years in anomaly detection algorithm design or implemetations experience.
* 1\+ year(s) familiarity with open source machine learning library such as Scikit\-Learn, Pandas, Seaborn and or similar.
* 1\+ year(s) familiarity with AI Agent framework and machine learning models or LLM models such as linear/nonlinear regression, Bagged and Boosted Trees, Bayes methods, Transformer and or similar.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Data Science, Mathematics, Statistics, Econometrics, Economics, Operations Research, Computer Science,
	+ OR related field AND 3\+ years data\-science experience (e.g., managing structured and unstructured data, applying statistical techniques and reporting results)
	+ OR Bachelor's Degree in Data Science, Mathematics, Statistics, Econometrics, Economics, Operations Research, Computer Science,
	+ OR related field AND 5\+ years data\-science experience (e.g., managing structured and unstructured data, applying statistical techniques and reporting results)
	+ OR equivalent experience.
* 2\+ year(s) of basic computer science knowledge (concepts such as central processing unit (CPU), memory, top\-of\-rack switch (TOR), load balancer (LB), virtual network (VNet), virtual local area network (VLAN), etc.), and serverless architectures and other cloud architectural patterns.
* 2\+ years of experience in anomaly detection related AI/ML models.
* 2\+ years of proficiency in data visualization tools such as PowerBI, Networkx, or similar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3">
      <c r="A23" t="inlineStr">
        <is>
          <t>in-d4504260e59ea543</t>
        </is>
      </c>
      <c r="B23" t="inlineStr">
        <is>
          <t>Sr. Applied Scientist, Sponsored Products Off-Search Sourcing</t>
        </is>
      </c>
      <c r="C23" t="inlineStr">
        <is>
          <t>Amazon.com</t>
        </is>
      </c>
      <c r="D23" t="inlineStr">
        <is>
          <t>indeed</t>
        </is>
      </c>
      <c r="E23" t="inlineStr"/>
      <c r="F23" t="inlineStr"/>
      <c r="G23" t="inlineStr">
        <is>
          <t>Palo Alto, CA, US</t>
        </is>
      </c>
      <c r="H23" s="1" t="n">
        <v>46049</v>
      </c>
      <c r="I23"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24">
      <c r="A24" t="inlineStr">
        <is>
          <t>in-972411a486b6f962</t>
        </is>
      </c>
      <c r="B24" t="inlineStr">
        <is>
          <t>Sr. Applied Scientist, Sponsored Products Off-Search Sourcing</t>
        </is>
      </c>
      <c r="C24" t="inlineStr">
        <is>
          <t>Amazon.com</t>
        </is>
      </c>
      <c r="D24" t="inlineStr">
        <is>
          <t>indeed</t>
        </is>
      </c>
      <c r="E24" t="inlineStr"/>
      <c r="F24" t="inlineStr"/>
      <c r="G24" t="inlineStr">
        <is>
          <t>Seattle, WA, US</t>
        </is>
      </c>
      <c r="H24" s="1" t="n">
        <v>46049</v>
      </c>
      <c r="I24"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25">
      <c r="A25" t="inlineStr">
        <is>
          <t>in-26fe9ce6d13bb33f</t>
        </is>
      </c>
      <c r="B25" t="inlineStr">
        <is>
          <t>Sr. Applied Scientist, Sponsored Products Off-Search Sourcing</t>
        </is>
      </c>
      <c r="C25" t="inlineStr">
        <is>
          <t>Amazon.com</t>
        </is>
      </c>
      <c r="D25" t="inlineStr">
        <is>
          <t>indeed</t>
        </is>
      </c>
      <c r="E25" t="inlineStr"/>
      <c r="F25" t="inlineStr"/>
      <c r="G25" t="inlineStr">
        <is>
          <t>New York, NY, US</t>
        </is>
      </c>
      <c r="H25" s="1" t="n">
        <v>46049</v>
      </c>
      <c r="I25"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26">
      <c r="A26" t="inlineStr">
        <is>
          <t>in-ad6b21b38462c644</t>
        </is>
      </c>
      <c r="B26" t="inlineStr">
        <is>
          <t>Applied Scientist, Amazon Connect</t>
        </is>
      </c>
      <c r="C26" t="inlineStr">
        <is>
          <t>Amazon Web Services</t>
        </is>
      </c>
      <c r="D26" t="inlineStr">
        <is>
          <t>indeed</t>
        </is>
      </c>
      <c r="E26" t="inlineStr"/>
      <c r="F26" t="inlineStr"/>
      <c r="G26" t="inlineStr">
        <is>
          <t>New York, NY, US</t>
        </is>
      </c>
      <c r="H26" s="1" t="n">
        <v>46047</v>
      </c>
      <c r="I26"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7">
      <c r="A27" t="inlineStr">
        <is>
          <t>in-571c396865f372d1</t>
        </is>
      </c>
      <c r="B27" t="inlineStr">
        <is>
          <t>Applied Scientist II, Prime Video Personalization and Discovery Science</t>
        </is>
      </c>
      <c r="C27" t="inlineStr">
        <is>
          <t>Amazon.com</t>
        </is>
      </c>
      <c r="D27" t="inlineStr">
        <is>
          <t>indeed</t>
        </is>
      </c>
      <c r="E27" t="inlineStr"/>
      <c r="F27" t="inlineStr"/>
      <c r="G27" t="inlineStr">
        <is>
          <t>Sunnyvale, CA, US</t>
        </is>
      </c>
      <c r="H27" s="1" t="n">
        <v>46047</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8">
      <c r="A28" t="inlineStr">
        <is>
          <t>in-c9e564b327b8c63a</t>
        </is>
      </c>
      <c r="B28" t="inlineStr">
        <is>
          <t>Applied Scientist, Amazon Connect</t>
        </is>
      </c>
      <c r="C28" t="inlineStr">
        <is>
          <t>Amazon Web Services</t>
        </is>
      </c>
      <c r="D28" t="inlineStr">
        <is>
          <t>indeed</t>
        </is>
      </c>
      <c r="E28" t="inlineStr"/>
      <c r="F28" t="inlineStr"/>
      <c r="G28" t="inlineStr">
        <is>
          <t>Seattle, WA, US</t>
        </is>
      </c>
      <c r="H28" s="1" t="n">
        <v>46047</v>
      </c>
      <c r="I28"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9">
      <c r="A29" t="inlineStr">
        <is>
          <t>in-3cec8816d50f0fbe</t>
        </is>
      </c>
      <c r="B29" t="inlineStr">
        <is>
          <t>Applied Scientist II, Prime Video Personalization and Discovery Science</t>
        </is>
      </c>
      <c r="C29" t="inlineStr">
        <is>
          <t>Amazon.com</t>
        </is>
      </c>
      <c r="D29" t="inlineStr">
        <is>
          <t>indeed</t>
        </is>
      </c>
      <c r="E29" t="inlineStr"/>
      <c r="F29" t="inlineStr"/>
      <c r="G29" t="inlineStr">
        <is>
          <t>Seattle, WA, US</t>
        </is>
      </c>
      <c r="H29" s="1" t="n">
        <v>46047</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0">
      <c r="A30" t="inlineStr">
        <is>
          <t>in-4cb42d934880eba4</t>
        </is>
      </c>
      <c r="B30" t="inlineStr">
        <is>
          <t>Applied Scientist II, Prime Video Personalization and Discovery Science</t>
        </is>
      </c>
      <c r="C30" t="inlineStr">
        <is>
          <t>Amazon.com</t>
        </is>
      </c>
      <c r="D30" t="inlineStr">
        <is>
          <t>indeed</t>
        </is>
      </c>
      <c r="E30" t="inlineStr"/>
      <c r="F30" t="inlineStr"/>
      <c r="G30" t="inlineStr">
        <is>
          <t>New York, NY, US</t>
        </is>
      </c>
      <c r="H30" s="1" t="n">
        <v>46047</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1">
      <c r="A31" t="inlineStr">
        <is>
          <t>in-c76cccc0fc067223</t>
        </is>
      </c>
      <c r="B31" t="inlineStr">
        <is>
          <t>Applied Scientist, Safety ML</t>
        </is>
      </c>
      <c r="C31" t="inlineStr">
        <is>
          <t>Amazon.com</t>
        </is>
      </c>
      <c r="D31" t="inlineStr">
        <is>
          <t>indeed</t>
        </is>
      </c>
      <c r="E31" t="inlineStr"/>
      <c r="F31" t="inlineStr"/>
      <c r="G31" t="inlineStr">
        <is>
          <t>San Francisco, CA, US</t>
        </is>
      </c>
      <c r="H31" s="1" t="n">
        <v>46037</v>
      </c>
      <c r="I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32">
      <c r="A32" t="inlineStr">
        <is>
          <t>in-c797d0bc63821b88</t>
        </is>
      </c>
      <c r="B32" t="inlineStr">
        <is>
          <t>Applied Scientist, Safety ML</t>
        </is>
      </c>
      <c r="C32" t="inlineStr">
        <is>
          <t>Amazon.com</t>
        </is>
      </c>
      <c r="D32" t="inlineStr">
        <is>
          <t>indeed</t>
        </is>
      </c>
      <c r="E32" t="inlineStr"/>
      <c r="F32" t="inlineStr"/>
      <c r="G32" t="inlineStr">
        <is>
          <t>Seattle, WA, US</t>
        </is>
      </c>
      <c r="H32" s="1" t="n">
        <v>46037</v>
      </c>
      <c r="I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33">
      <c r="A33" t="inlineStr">
        <is>
          <t>in-3c043ff4d7e87785</t>
        </is>
      </c>
      <c r="B33" t="inlineStr">
        <is>
          <t>Applied Scientist, LLM Code Agents, Kiro Science</t>
        </is>
      </c>
      <c r="C33" t="inlineStr">
        <is>
          <t>Amazon.com</t>
        </is>
      </c>
      <c r="D33" t="inlineStr">
        <is>
          <t>indeed</t>
        </is>
      </c>
      <c r="E33" t="inlineStr"/>
      <c r="F33" t="inlineStr"/>
      <c r="G33" t="inlineStr">
        <is>
          <t>Seattle, WA, US</t>
        </is>
      </c>
      <c r="H33" s="1" t="n">
        <v>46035</v>
      </c>
      <c r="I33"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34">
      <c r="A34" t="inlineStr">
        <is>
          <t>in-4f236ea12209ed84</t>
        </is>
      </c>
      <c r="B34" t="inlineStr">
        <is>
          <t>Applied Scientist, LLM Code Agents, Kiro Science</t>
        </is>
      </c>
      <c r="C34" t="inlineStr">
        <is>
          <t>Amazon.com</t>
        </is>
      </c>
      <c r="D34" t="inlineStr">
        <is>
          <t>indeed</t>
        </is>
      </c>
      <c r="E34" t="inlineStr"/>
      <c r="F34" t="inlineStr"/>
      <c r="G34" t="inlineStr">
        <is>
          <t>Santa Clara, CA, US</t>
        </is>
      </c>
      <c r="H34" s="1" t="n">
        <v>46035</v>
      </c>
      <c r="I34"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35">
      <c r="A35" t="inlineStr">
        <is>
          <t>in-46554f3189f9912b</t>
        </is>
      </c>
      <c r="B35" t="inlineStr">
        <is>
          <t>Applied Scientist II, Prime Video Personalization and Discovery Science</t>
        </is>
      </c>
      <c r="C35" t="inlineStr">
        <is>
          <t>Amazon.com</t>
        </is>
      </c>
      <c r="D35" t="inlineStr">
        <is>
          <t>indeed</t>
        </is>
      </c>
      <c r="E35" t="inlineStr"/>
      <c r="F35" t="inlineStr"/>
      <c r="G35" t="inlineStr">
        <is>
          <t>Seattle, WA, US</t>
        </is>
      </c>
      <c r="H35" s="1" t="n">
        <v>46034</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6">
      <c r="A36" t="inlineStr">
        <is>
          <t>in-f2a7cb169857f455</t>
        </is>
      </c>
      <c r="B36" t="inlineStr">
        <is>
          <t>Applied Scientist II, Prime Video Personalization and Discovery Science</t>
        </is>
      </c>
      <c r="C36" t="inlineStr">
        <is>
          <t>Amazon.com</t>
        </is>
      </c>
      <c r="D36" t="inlineStr">
        <is>
          <t>indeed</t>
        </is>
      </c>
      <c r="E36" t="inlineStr"/>
      <c r="F36" t="inlineStr"/>
      <c r="G36" t="inlineStr">
        <is>
          <t>Sunnyvale, CA, US</t>
        </is>
      </c>
      <c r="H36" s="1" t="n">
        <v>46034</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7">
      <c r="A37" t="inlineStr">
        <is>
          <t>in-5edf64a771385db9</t>
        </is>
      </c>
      <c r="B37" t="inlineStr">
        <is>
          <t>Applied Scientist, AWS Applied AI Solutions</t>
        </is>
      </c>
      <c r="C37" t="inlineStr">
        <is>
          <t>Amazon Web Services</t>
        </is>
      </c>
      <c r="D37" t="inlineStr">
        <is>
          <t>indeed</t>
        </is>
      </c>
      <c r="E37" t="inlineStr"/>
      <c r="F37" t="inlineStr"/>
      <c r="G37" t="inlineStr">
        <is>
          <t>New York, NY, US</t>
        </is>
      </c>
      <c r="H37" s="1" t="n">
        <v>46030</v>
      </c>
      <c r="I37"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8">
      <c r="A38" t="inlineStr">
        <is>
          <t>in-79cd05f12d04d96b</t>
        </is>
      </c>
      <c r="B38" t="inlineStr">
        <is>
          <t>Applied Scientist, AWS Applied AI Solutions</t>
        </is>
      </c>
      <c r="C38" t="inlineStr">
        <is>
          <t>Amazon Web Services</t>
        </is>
      </c>
      <c r="D38" t="inlineStr">
        <is>
          <t>indeed</t>
        </is>
      </c>
      <c r="E38" t="inlineStr"/>
      <c r="F38" t="inlineStr"/>
      <c r="G38" t="inlineStr">
        <is>
          <t>Seattle, WA, US</t>
        </is>
      </c>
      <c r="H38" s="1" t="n">
        <v>46030</v>
      </c>
      <c r="I38"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9">
      <c r="A39" t="inlineStr">
        <is>
          <t>in-ba269f008e614691</t>
        </is>
      </c>
      <c r="B39" t="inlineStr">
        <is>
          <t>Senior Applied Scientist, Sponsored Products and Brands, Off-Search</t>
        </is>
      </c>
      <c r="C39" t="inlineStr">
        <is>
          <t>Amazon.com</t>
        </is>
      </c>
      <c r="D39" t="inlineStr">
        <is>
          <t>indeed</t>
        </is>
      </c>
      <c r="E39" t="inlineStr"/>
      <c r="F39" t="inlineStr"/>
      <c r="G39" t="inlineStr">
        <is>
          <t>New York, NY, US</t>
        </is>
      </c>
      <c r="H39" s="1" t="n">
        <v>46017</v>
      </c>
      <c r="I39"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in-f9cecda23b030687</t>
        </is>
      </c>
      <c r="B40" t="inlineStr">
        <is>
          <t>Senior Applied Scientist, Sponsored Products and Brands, Off-Search</t>
        </is>
      </c>
      <c r="C40" t="inlineStr">
        <is>
          <t>Amazon.com</t>
        </is>
      </c>
      <c r="D40" t="inlineStr">
        <is>
          <t>indeed</t>
        </is>
      </c>
      <c r="E40" t="inlineStr"/>
      <c r="F40" t="inlineStr"/>
      <c r="G40" t="inlineStr">
        <is>
          <t>Palo Alto, CA, US</t>
        </is>
      </c>
      <c r="H40" s="1" t="n">
        <v>46017</v>
      </c>
      <c r="I40"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in-a176c4ce94c11053</t>
        </is>
      </c>
      <c r="B41" t="inlineStr">
        <is>
          <t>Senior Applied Scientist, Sponsored Products and Brands, Off-Search</t>
        </is>
      </c>
      <c r="C41" t="inlineStr">
        <is>
          <t>Amazon.com</t>
        </is>
      </c>
      <c r="D41" t="inlineStr">
        <is>
          <t>indeed</t>
        </is>
      </c>
      <c r="E41" t="inlineStr"/>
      <c r="F41" t="inlineStr"/>
      <c r="G41" t="inlineStr">
        <is>
          <t>Seattle, WA, US</t>
        </is>
      </c>
      <c r="H41" s="1" t="n">
        <v>46017</v>
      </c>
      <c r="I41"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in-ee168c378aa558b3</t>
        </is>
      </c>
      <c r="B42" t="inlineStr">
        <is>
          <t>Principal Applied Scientist, Kiro Science</t>
        </is>
      </c>
      <c r="C42" t="inlineStr">
        <is>
          <t>Amazon Web Services</t>
        </is>
      </c>
      <c r="D42" t="inlineStr">
        <is>
          <t>indeed</t>
        </is>
      </c>
      <c r="E42" t="inlineStr"/>
      <c r="F42" t="inlineStr"/>
      <c r="G42" t="inlineStr">
        <is>
          <t>New York, NY, US</t>
        </is>
      </c>
      <c r="H42" s="1" t="n">
        <v>45999</v>
      </c>
      <c r="I42"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43">
      <c r="A43" t="inlineStr">
        <is>
          <t>in-be0573e9ef4d4dc0</t>
        </is>
      </c>
      <c r="B43" t="inlineStr">
        <is>
          <t>Principal Applied Scientist, Kiro Science</t>
        </is>
      </c>
      <c r="C43" t="inlineStr">
        <is>
          <t>Amazon Web Services</t>
        </is>
      </c>
      <c r="D43" t="inlineStr">
        <is>
          <t>indeed</t>
        </is>
      </c>
      <c r="E43" t="inlineStr"/>
      <c r="F43" t="inlineStr"/>
      <c r="G43" t="inlineStr">
        <is>
          <t>Santa Clara, CA, US</t>
        </is>
      </c>
      <c r="H43" s="1" t="n">
        <v>45999</v>
      </c>
      <c r="I43"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44">
      <c r="A44" t="inlineStr">
        <is>
          <t>in-f88a6d66e87b6481</t>
        </is>
      </c>
      <c r="B44" t="inlineStr">
        <is>
          <t>Sr. Applied Scientist, Amazon Ads</t>
        </is>
      </c>
      <c r="C44" t="inlineStr">
        <is>
          <t>Amazon.com</t>
        </is>
      </c>
      <c r="D44" t="inlineStr">
        <is>
          <t>indeed</t>
        </is>
      </c>
      <c r="E44" t="inlineStr"/>
      <c r="F44" t="inlineStr"/>
      <c r="G44" t="inlineStr">
        <is>
          <t>New York, NY, US</t>
        </is>
      </c>
      <c r="H44" s="1" t="n">
        <v>45998</v>
      </c>
      <c r="I4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5">
      <c r="A45" t="inlineStr">
        <is>
          <t>in-0c5e48c88325bdaa</t>
        </is>
      </c>
      <c r="B45" t="inlineStr">
        <is>
          <t>Sr. Applied Scientist, Amazon Ads</t>
        </is>
      </c>
      <c r="C45" t="inlineStr">
        <is>
          <t>Amazon.com</t>
        </is>
      </c>
      <c r="D45" t="inlineStr">
        <is>
          <t>indeed</t>
        </is>
      </c>
      <c r="E45" t="inlineStr"/>
      <c r="F45" t="inlineStr"/>
      <c r="G45" t="inlineStr">
        <is>
          <t>Santa Monica, CA, US</t>
        </is>
      </c>
      <c r="H45" s="1" t="n">
        <v>45998</v>
      </c>
      <c r="I4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6">
      <c r="A46" t="inlineStr">
        <is>
          <t>in-f8b2397b5c4aaae1</t>
        </is>
      </c>
      <c r="B46" t="inlineStr">
        <is>
          <t>Sr. Applied Scientist, Amazon Ads</t>
        </is>
      </c>
      <c r="C46" t="inlineStr">
        <is>
          <t>Amazon.com</t>
        </is>
      </c>
      <c r="D46" t="inlineStr">
        <is>
          <t>indeed</t>
        </is>
      </c>
      <c r="E46" t="inlineStr"/>
      <c r="F46" t="inlineStr"/>
      <c r="G46" t="inlineStr">
        <is>
          <t>Palo Alto, CA, US</t>
        </is>
      </c>
      <c r="H46" s="1" t="n">
        <v>45998</v>
      </c>
      <c r="I4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7">
      <c r="A47" t="inlineStr">
        <is>
          <t>in-bcec2599d8989356</t>
        </is>
      </c>
      <c r="B47" t="inlineStr">
        <is>
          <t>Sr. Applied Scientist, Amazon Ads</t>
        </is>
      </c>
      <c r="C47" t="inlineStr">
        <is>
          <t>Amazon.com</t>
        </is>
      </c>
      <c r="D47" t="inlineStr">
        <is>
          <t>indeed</t>
        </is>
      </c>
      <c r="E47" t="inlineStr"/>
      <c r="F47" t="inlineStr"/>
      <c r="G47" t="inlineStr">
        <is>
          <t>Boulder, CO, US</t>
        </is>
      </c>
      <c r="H47" s="1" t="n">
        <v>45998</v>
      </c>
      <c r="I4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8">
      <c r="A48" t="inlineStr">
        <is>
          <t>in-98c33c6a195c830c</t>
        </is>
      </c>
      <c r="B48" t="inlineStr">
        <is>
          <t>Sr. Applied Scientist, Amazon Ads</t>
        </is>
      </c>
      <c r="C48" t="inlineStr">
        <is>
          <t>Amazon.com</t>
        </is>
      </c>
      <c r="D48" t="inlineStr">
        <is>
          <t>indeed</t>
        </is>
      </c>
      <c r="E48" t="inlineStr"/>
      <c r="F48" t="inlineStr"/>
      <c r="G48" t="inlineStr">
        <is>
          <t>Corvallis, OR, US</t>
        </is>
      </c>
      <c r="H48" s="1" t="n">
        <v>45998</v>
      </c>
      <c r="I4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9">
      <c r="A49" t="inlineStr">
        <is>
          <t>in-c9817e8b032729d0</t>
        </is>
      </c>
      <c r="B49" t="inlineStr">
        <is>
          <t>Sr. Applied Scientist, Amazon Ads</t>
        </is>
      </c>
      <c r="C49" t="inlineStr">
        <is>
          <t>Amazon.com</t>
        </is>
      </c>
      <c r="D49" t="inlineStr">
        <is>
          <t>indeed</t>
        </is>
      </c>
      <c r="E49" t="inlineStr"/>
      <c r="F49" t="inlineStr"/>
      <c r="G49" t="inlineStr">
        <is>
          <t>Brooklyn, NY, US</t>
        </is>
      </c>
      <c r="H49" s="1" t="n">
        <v>45998</v>
      </c>
      <c r="I4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0">
      <c r="A50" t="inlineStr">
        <is>
          <t>in-da0b7c2260adab53</t>
        </is>
      </c>
      <c r="B50" t="inlineStr">
        <is>
          <t>Sr. Applied Scientist, Amazon Ads</t>
        </is>
      </c>
      <c r="C50" t="inlineStr">
        <is>
          <t>Amazon.com</t>
        </is>
      </c>
      <c r="D50" t="inlineStr">
        <is>
          <t>indeed</t>
        </is>
      </c>
      <c r="E50" t="inlineStr"/>
      <c r="F50" t="inlineStr"/>
      <c r="G50" t="inlineStr">
        <is>
          <t>Seattle, WA, US</t>
        </is>
      </c>
      <c r="H50" s="1" t="n">
        <v>45998</v>
      </c>
      <c r="I5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1">
      <c r="A51" t="inlineStr">
        <is>
          <t>in-5c2551587950b152</t>
        </is>
      </c>
      <c r="B51" t="inlineStr">
        <is>
          <t>Sr. Applied Scientist, Amazon Ads</t>
        </is>
      </c>
      <c r="C51" t="inlineStr">
        <is>
          <t>Amazon.com</t>
        </is>
      </c>
      <c r="D51" t="inlineStr">
        <is>
          <t>indeed</t>
        </is>
      </c>
      <c r="E51" t="inlineStr"/>
      <c r="F51" t="inlineStr"/>
      <c r="G51" t="inlineStr">
        <is>
          <t>Sunnyvale, CA, US</t>
        </is>
      </c>
      <c r="H51" s="1" t="n">
        <v>45998</v>
      </c>
      <c r="I5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2">
      <c r="A52" t="inlineStr">
        <is>
          <t>in-3e506e932e33a87c</t>
        </is>
      </c>
      <c r="B52" t="inlineStr">
        <is>
          <t>Sr. Applied Scientist, Amazon Ads</t>
        </is>
      </c>
      <c r="C52" t="inlineStr">
        <is>
          <t>Amazon.com</t>
        </is>
      </c>
      <c r="D52" t="inlineStr">
        <is>
          <t>indeed</t>
        </is>
      </c>
      <c r="E52" t="inlineStr"/>
      <c r="F52" t="inlineStr"/>
      <c r="G52" t="inlineStr">
        <is>
          <t>Tukwila, WA, US</t>
        </is>
      </c>
      <c r="H52" s="1" t="n">
        <v>45998</v>
      </c>
      <c r="I5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3">
      <c r="A53" t="inlineStr">
        <is>
          <t>in-76ef0390dac23926</t>
        </is>
      </c>
      <c r="B53" t="inlineStr">
        <is>
          <t>Sr. Applied Scientist, Amazon Ads</t>
        </is>
      </c>
      <c r="C53" t="inlineStr">
        <is>
          <t>Amazon.com</t>
        </is>
      </c>
      <c r="D53" t="inlineStr">
        <is>
          <t>indeed</t>
        </is>
      </c>
      <c r="E53" t="inlineStr"/>
      <c r="F53" t="inlineStr"/>
      <c r="G53" t="inlineStr">
        <is>
          <t>Boston, MA, US</t>
        </is>
      </c>
      <c r="H53" s="1" t="n">
        <v>45998</v>
      </c>
      <c r="I5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4">
      <c r="A54" t="inlineStr">
        <is>
          <t>in-7a41dbf99d511552</t>
        </is>
      </c>
      <c r="B54" t="inlineStr">
        <is>
          <t>Principal Applied Scientist, Sponsored Products and Brands</t>
        </is>
      </c>
      <c r="C54" t="inlineStr">
        <is>
          <t>Amazon.com</t>
        </is>
      </c>
      <c r="D54" t="inlineStr">
        <is>
          <t>indeed</t>
        </is>
      </c>
      <c r="E54" t="inlineStr"/>
      <c r="F54" t="inlineStr"/>
      <c r="G54" t="inlineStr">
        <is>
          <t>Seattle, WA, US</t>
        </is>
      </c>
      <c r="H54" s="1" t="n">
        <v>45979</v>
      </c>
      <c r="I5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in-c11e252b1769b052</t>
        </is>
      </c>
      <c r="B55" t="inlineStr">
        <is>
          <t>Principal Applied Scientist, Sponsored Products and Brands</t>
        </is>
      </c>
      <c r="C55" t="inlineStr">
        <is>
          <t>Amazon.com</t>
        </is>
      </c>
      <c r="D55" t="inlineStr">
        <is>
          <t>indeed</t>
        </is>
      </c>
      <c r="E55" t="inlineStr"/>
      <c r="F55" t="inlineStr"/>
      <c r="G55" t="inlineStr">
        <is>
          <t>New York, NY, US</t>
        </is>
      </c>
      <c r="H55" s="1" t="n">
        <v>45979</v>
      </c>
      <c r="I5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in-64dd3d50513a565d</t>
        </is>
      </c>
      <c r="B56" t="inlineStr">
        <is>
          <t>Senior Applied Scientist, Sponsored Products and Brands</t>
        </is>
      </c>
      <c r="C56" t="inlineStr">
        <is>
          <t>Amazon.com</t>
        </is>
      </c>
      <c r="D56" t="inlineStr">
        <is>
          <t>indeed</t>
        </is>
      </c>
      <c r="E56" t="inlineStr"/>
      <c r="F56" t="inlineStr"/>
      <c r="G56" t="inlineStr">
        <is>
          <t>New York, NY, US</t>
        </is>
      </c>
      <c r="H56" s="1" t="n">
        <v>45979</v>
      </c>
      <c r="I5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57">
      <c r="A57" t="inlineStr">
        <is>
          <t>in-ecbe25d49c5aa7ac</t>
        </is>
      </c>
      <c r="B57" t="inlineStr">
        <is>
          <t>Senior Applied Scientist, Sponsored Products and Brands</t>
        </is>
      </c>
      <c r="C57" t="inlineStr">
        <is>
          <t>Amazon.com</t>
        </is>
      </c>
      <c r="D57" t="inlineStr">
        <is>
          <t>indeed</t>
        </is>
      </c>
      <c r="E57" t="inlineStr"/>
      <c r="F57" t="inlineStr"/>
      <c r="G57" t="inlineStr">
        <is>
          <t>Seattle, WA, US</t>
        </is>
      </c>
      <c r="H57" s="1" t="n">
        <v>45979</v>
      </c>
      <c r="I5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58">
      <c r="A58" t="inlineStr">
        <is>
          <t>in-7e02de7f62e95ae9</t>
        </is>
      </c>
      <c r="B58" t="inlineStr">
        <is>
          <t>Sr. Applied Scientist, Sponsored Products</t>
        </is>
      </c>
      <c r="C58" t="inlineStr">
        <is>
          <t>Amazon.com</t>
        </is>
      </c>
      <c r="D58" t="inlineStr">
        <is>
          <t>indeed</t>
        </is>
      </c>
      <c r="E58" t="inlineStr"/>
      <c r="F58" t="inlineStr"/>
      <c r="G58" t="inlineStr">
        <is>
          <t>New York, NY, US</t>
        </is>
      </c>
      <c r="H58" s="1" t="n">
        <v>45976</v>
      </c>
      <c r="I5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59">
      <c r="A59" t="inlineStr">
        <is>
          <t>in-e69de29457ba448f</t>
        </is>
      </c>
      <c r="B59" t="inlineStr">
        <is>
          <t>Sr. Applied Scientist, Sponsored Products</t>
        </is>
      </c>
      <c r="C59" t="inlineStr">
        <is>
          <t>Amazon.com</t>
        </is>
      </c>
      <c r="D59" t="inlineStr">
        <is>
          <t>indeed</t>
        </is>
      </c>
      <c r="E59" t="inlineStr"/>
      <c r="F59" t="inlineStr"/>
      <c r="G59" t="inlineStr">
        <is>
          <t>Arlington, VA, US</t>
        </is>
      </c>
      <c r="H59" s="1" t="n">
        <v>45976</v>
      </c>
      <c r="I5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60">
      <c r="A60" t="inlineStr">
        <is>
          <t>in-f0c9d19beb492067</t>
        </is>
      </c>
      <c r="B60" t="inlineStr">
        <is>
          <t>Sr. Applied Scientist, Sponsored Products</t>
        </is>
      </c>
      <c r="C60" t="inlineStr">
        <is>
          <t>Amazon.com</t>
        </is>
      </c>
      <c r="D60" t="inlineStr">
        <is>
          <t>indeed</t>
        </is>
      </c>
      <c r="E60" t="inlineStr"/>
      <c r="F60" t="inlineStr"/>
      <c r="G60" t="inlineStr">
        <is>
          <t>Seattle, WA, US</t>
        </is>
      </c>
      <c r="H60" s="1" t="n">
        <v>45976</v>
      </c>
      <c r="I6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61">
      <c r="A61" t="inlineStr">
        <is>
          <t>in-93610bc84eaac52a</t>
        </is>
      </c>
      <c r="B61" t="inlineStr">
        <is>
          <t>Applied Scientist, AWS Agentic AI</t>
        </is>
      </c>
      <c r="C61" t="inlineStr">
        <is>
          <t>Amazon Web Services</t>
        </is>
      </c>
      <c r="D61" t="inlineStr">
        <is>
          <t>indeed</t>
        </is>
      </c>
      <c r="E61" t="inlineStr"/>
      <c r="F61" t="inlineStr"/>
      <c r="G61" t="inlineStr">
        <is>
          <t>Seattle, WA, US</t>
        </is>
      </c>
      <c r="H61" s="1" t="n">
        <v>45962</v>
      </c>
      <c r="I6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in-0fae428008f34d86</t>
        </is>
      </c>
      <c r="B62" t="inlineStr">
        <is>
          <t>Applied Scientist, AWS Agentic AI</t>
        </is>
      </c>
      <c r="C62" t="inlineStr">
        <is>
          <t>Amazon Web Services</t>
        </is>
      </c>
      <c r="D62" t="inlineStr">
        <is>
          <t>indeed</t>
        </is>
      </c>
      <c r="E62" t="inlineStr"/>
      <c r="F62" t="inlineStr"/>
      <c r="G62" t="inlineStr">
        <is>
          <t>Santa Clara, CA, US</t>
        </is>
      </c>
      <c r="H62" s="1" t="n">
        <v>45962</v>
      </c>
      <c r="I6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in-b291bd6f6148b4e9</t>
        </is>
      </c>
      <c r="B63" t="inlineStr">
        <is>
          <t>Applied Scientist, AWS Agentic AI</t>
        </is>
      </c>
      <c r="C63" t="inlineStr">
        <is>
          <t>Amazon Web Services</t>
        </is>
      </c>
      <c r="D63" t="inlineStr">
        <is>
          <t>indeed</t>
        </is>
      </c>
      <c r="E63" t="inlineStr"/>
      <c r="F63" t="inlineStr"/>
      <c r="G63" t="inlineStr">
        <is>
          <t>New York, NY, US</t>
        </is>
      </c>
      <c r="H63" s="1" t="n">
        <v>45962</v>
      </c>
      <c r="I6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in-50cdf6ae8522bb9c</t>
        </is>
      </c>
      <c r="B64" t="inlineStr">
        <is>
          <t>Principal Applied Scientist, Advertiser Growth, Amazon Sponsored Products &amp; Brands</t>
        </is>
      </c>
      <c r="C64" t="inlineStr">
        <is>
          <t>Amazon.com</t>
        </is>
      </c>
      <c r="D64" t="inlineStr">
        <is>
          <t>indeed</t>
        </is>
      </c>
      <c r="E64" t="inlineStr"/>
      <c r="F64" t="inlineStr"/>
      <c r="G64" t="inlineStr">
        <is>
          <t>Palo Alto, CA, US</t>
        </is>
      </c>
      <c r="H64" s="1" t="n">
        <v>45942</v>
      </c>
      <c r="I6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in-ac207eb6669efbab</t>
        </is>
      </c>
      <c r="B65" t="inlineStr">
        <is>
          <t>Principal Applied Scientist, Advertiser Growth, Amazon Sponsored Products &amp; Brands</t>
        </is>
      </c>
      <c r="C65" t="inlineStr">
        <is>
          <t>Amazon.com</t>
        </is>
      </c>
      <c r="D65" t="inlineStr">
        <is>
          <t>indeed</t>
        </is>
      </c>
      <c r="E65" t="inlineStr"/>
      <c r="F65" t="inlineStr"/>
      <c r="G65" t="inlineStr">
        <is>
          <t>Seattle, WA, US</t>
        </is>
      </c>
      <c r="H65" s="1" t="n">
        <v>45942</v>
      </c>
      <c r="I6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in-37851469749411d7</t>
        </is>
      </c>
      <c r="B66" t="inlineStr">
        <is>
          <t>Principal Applied Scientist, Advertiser Growth, Amazon Sponsored Products &amp; Brands</t>
        </is>
      </c>
      <c r="C66" t="inlineStr">
        <is>
          <t>Amazon.com</t>
        </is>
      </c>
      <c r="D66" t="inlineStr">
        <is>
          <t>indeed</t>
        </is>
      </c>
      <c r="E66" t="inlineStr"/>
      <c r="F66" t="inlineStr"/>
      <c r="G66" t="inlineStr">
        <is>
          <t>New York, NY, US</t>
        </is>
      </c>
      <c r="H66" s="1" t="n">
        <v>45942</v>
      </c>
      <c r="I6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in-801b37f233d32cf6</t>
        </is>
      </c>
      <c r="B67" t="inlineStr">
        <is>
          <t>Applied Scientist II, Prime Video - Personalization and Discovery Science, Personalization and Discovery Science</t>
        </is>
      </c>
      <c r="C67" t="inlineStr">
        <is>
          <t>Amazon.com</t>
        </is>
      </c>
      <c r="D67" t="inlineStr">
        <is>
          <t>indeed</t>
        </is>
      </c>
      <c r="E67" t="inlineStr"/>
      <c r="F67" t="inlineStr"/>
      <c r="G67" t="inlineStr">
        <is>
          <t>New York, NY, US</t>
        </is>
      </c>
      <c r="H67" s="1" t="n">
        <v>45930</v>
      </c>
      <c r="I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in-4291e25a7906b836</t>
        </is>
      </c>
      <c r="B68" t="inlineStr">
        <is>
          <t>Applied Scientist II, Prime Video - Personalization and Discovery Science, Personalization and Discovery Science</t>
        </is>
      </c>
      <c r="C68" t="inlineStr">
        <is>
          <t>Amazon.com</t>
        </is>
      </c>
      <c r="D68" t="inlineStr">
        <is>
          <t>indeed</t>
        </is>
      </c>
      <c r="E68" t="inlineStr"/>
      <c r="F68" t="inlineStr"/>
      <c r="G68" t="inlineStr">
        <is>
          <t>Seattle, WA, US</t>
        </is>
      </c>
      <c r="H68" s="1" t="n">
        <v>45930</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in-be40aa565ffe3e6a</t>
        </is>
      </c>
      <c r="B69" t="inlineStr">
        <is>
          <t>Applied Scientist II, Prime Video - Personalization and Discovery Science, Personalization and Discovery Science</t>
        </is>
      </c>
      <c r="C69" t="inlineStr">
        <is>
          <t>Amazon.com</t>
        </is>
      </c>
      <c r="D69" t="inlineStr">
        <is>
          <t>indeed</t>
        </is>
      </c>
      <c r="E69" t="inlineStr"/>
      <c r="F69" t="inlineStr"/>
      <c r="G69" t="inlineStr">
        <is>
          <t>Sunnyvale, CA, US</t>
        </is>
      </c>
      <c r="H69" s="1" t="n">
        <v>45930</v>
      </c>
      <c r="I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in-81a97661b88207cb</t>
        </is>
      </c>
      <c r="B70" t="inlineStr">
        <is>
          <t>Applied Scientist, Workplace Health &amp; Safety</t>
        </is>
      </c>
      <c r="C70" t="inlineStr">
        <is>
          <t>Amazon.com</t>
        </is>
      </c>
      <c r="D70" t="inlineStr">
        <is>
          <t>indeed</t>
        </is>
      </c>
      <c r="E70" t="inlineStr"/>
      <c r="F70" t="inlineStr"/>
      <c r="G70" t="inlineStr">
        <is>
          <t>Bellevue, WA, US</t>
        </is>
      </c>
      <c r="H70" s="1" t="n">
        <v>45917</v>
      </c>
      <c r="I70"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in-30dc68692d13ff8f</t>
        </is>
      </c>
      <c r="B71" t="inlineStr">
        <is>
          <t>Applied Scientist, Workplace Health &amp; Safety</t>
        </is>
      </c>
      <c r="C71" t="inlineStr">
        <is>
          <t>Amazon.com</t>
        </is>
      </c>
      <c r="D71" t="inlineStr">
        <is>
          <t>indeed</t>
        </is>
      </c>
      <c r="E71" t="inlineStr"/>
      <c r="F71" t="inlineStr"/>
      <c r="G71" t="inlineStr">
        <is>
          <t>Nashville, TN, US</t>
        </is>
      </c>
      <c r="H71" s="1" t="n">
        <v>45917</v>
      </c>
      <c r="I71"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in-b08e042cf272617c</t>
        </is>
      </c>
      <c r="B72" t="inlineStr">
        <is>
          <t>Sr. Applied Scientist, Prime Video - Personalization and Discovery Science</t>
        </is>
      </c>
      <c r="C72" t="inlineStr">
        <is>
          <t>Amazon.com</t>
        </is>
      </c>
      <c r="D72" t="inlineStr">
        <is>
          <t>indeed</t>
        </is>
      </c>
      <c r="E72" t="inlineStr"/>
      <c r="F72" t="inlineStr"/>
      <c r="G72" t="inlineStr">
        <is>
          <t>New York, NY, US</t>
        </is>
      </c>
      <c r="H72" s="1" t="n">
        <v>45896</v>
      </c>
      <c r="I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73">
      <c r="A73" t="inlineStr">
        <is>
          <t>in-bf84df6e78feab0f</t>
        </is>
      </c>
      <c r="B73" t="inlineStr">
        <is>
          <t>Sr. Applied Scientist, Prime Video - Personalization and Discovery Science</t>
        </is>
      </c>
      <c r="C73" t="inlineStr">
        <is>
          <t>Amazon.com</t>
        </is>
      </c>
      <c r="D73" t="inlineStr">
        <is>
          <t>indeed</t>
        </is>
      </c>
      <c r="E73" t="inlineStr"/>
      <c r="F73" t="inlineStr"/>
      <c r="G73" t="inlineStr">
        <is>
          <t>Seattle, WA, US</t>
        </is>
      </c>
      <c r="H73" s="1" t="n">
        <v>45896</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74">
      <c r="A74" t="inlineStr">
        <is>
          <t>in-79033347522f9619</t>
        </is>
      </c>
      <c r="B74" t="inlineStr">
        <is>
          <t>Sr. Applied Scientist, Prime Video - Personalization and Discovery Science</t>
        </is>
      </c>
      <c r="C74" t="inlineStr">
        <is>
          <t>Amazon.com</t>
        </is>
      </c>
      <c r="D74" t="inlineStr">
        <is>
          <t>indeed</t>
        </is>
      </c>
      <c r="E74" t="inlineStr"/>
      <c r="F74" t="inlineStr"/>
      <c r="G74" t="inlineStr">
        <is>
          <t>Sunnyvale, CA, US</t>
        </is>
      </c>
      <c r="H74" s="1" t="n">
        <v>45896</v>
      </c>
      <c r="I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75">
      <c r="A75" t="inlineStr">
        <is>
          <t>in-243d12b5767fa969</t>
        </is>
      </c>
      <c r="B75" t="inlineStr">
        <is>
          <t>Applied Scientist II, Prime Video - Personalization and Discovery Science</t>
        </is>
      </c>
      <c r="C75" t="inlineStr">
        <is>
          <t>Amazon.com</t>
        </is>
      </c>
      <c r="D75" t="inlineStr">
        <is>
          <t>indeed</t>
        </is>
      </c>
      <c r="E75" t="inlineStr"/>
      <c r="F75" t="inlineStr"/>
      <c r="G75" t="inlineStr">
        <is>
          <t>Seattle, WA, US</t>
        </is>
      </c>
      <c r="H75" s="1" t="n">
        <v>45881</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in-3880ddd0e4a51902</t>
        </is>
      </c>
      <c r="B76" t="inlineStr">
        <is>
          <t>Sr. Applied Scientist, Prime Video - Personalization and Discovery Science</t>
        </is>
      </c>
      <c r="C76" t="inlineStr">
        <is>
          <t>Amazon.com</t>
        </is>
      </c>
      <c r="D76" t="inlineStr">
        <is>
          <t>indeed</t>
        </is>
      </c>
      <c r="E76" t="inlineStr"/>
      <c r="F76" t="inlineStr"/>
      <c r="G76" t="inlineStr">
        <is>
          <t>New York, NY, US</t>
        </is>
      </c>
      <c r="H76" s="1" t="n">
        <v>45881</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in-8f886876fba73a5e</t>
        </is>
      </c>
      <c r="B77" t="inlineStr">
        <is>
          <t>Sr. Applied Scientist, Prime Video - Personalization and Discovery Science</t>
        </is>
      </c>
      <c r="C77" t="inlineStr">
        <is>
          <t>Amazon.com</t>
        </is>
      </c>
      <c r="D77" t="inlineStr">
        <is>
          <t>indeed</t>
        </is>
      </c>
      <c r="E77" t="inlineStr"/>
      <c r="F77" t="inlineStr"/>
      <c r="G77" t="inlineStr">
        <is>
          <t>Sunnyvale, CA, US</t>
        </is>
      </c>
      <c r="H77" s="1" t="n">
        <v>45881</v>
      </c>
      <c r="I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in-ff3470df798ece5d</t>
        </is>
      </c>
      <c r="B78" t="inlineStr">
        <is>
          <t>Applied Scientist II, Prime Video - Personalization and Discovery Science</t>
        </is>
      </c>
      <c r="C78" t="inlineStr">
        <is>
          <t>Amazon.com</t>
        </is>
      </c>
      <c r="D78" t="inlineStr">
        <is>
          <t>indeed</t>
        </is>
      </c>
      <c r="E78" t="inlineStr"/>
      <c r="F78" t="inlineStr"/>
      <c r="G78" t="inlineStr">
        <is>
          <t>New York, NY, US</t>
        </is>
      </c>
      <c r="H78" s="1" t="n">
        <v>45881</v>
      </c>
      <c r="I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in-956435d6999ff1ac</t>
        </is>
      </c>
      <c r="B79" t="inlineStr">
        <is>
          <t>Applied Scientist II, Prime Video - Personalization and Discovery Science</t>
        </is>
      </c>
      <c r="C79" t="inlineStr">
        <is>
          <t>Amazon.com</t>
        </is>
      </c>
      <c r="D79" t="inlineStr">
        <is>
          <t>indeed</t>
        </is>
      </c>
      <c r="E79" t="inlineStr"/>
      <c r="F79" t="inlineStr"/>
      <c r="G79" t="inlineStr">
        <is>
          <t>Sunnyvale, CA, US</t>
        </is>
      </c>
      <c r="H79" s="1" t="n">
        <v>45881</v>
      </c>
      <c r="I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in-32b8970badac5eb1</t>
        </is>
      </c>
      <c r="B80" t="inlineStr">
        <is>
          <t>Sr. Applied Scientist, Prime Video - Personalization and Discovery Science</t>
        </is>
      </c>
      <c r="C80" t="inlineStr">
        <is>
          <t>Amazon.com</t>
        </is>
      </c>
      <c r="D80" t="inlineStr">
        <is>
          <t>indeed</t>
        </is>
      </c>
      <c r="E80" t="inlineStr"/>
      <c r="F80" t="inlineStr"/>
      <c r="G80" t="inlineStr">
        <is>
          <t>Seattle, WA, US</t>
        </is>
      </c>
      <c r="H80" s="1" t="n">
        <v>45881</v>
      </c>
      <c r="I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in-92745dccb2fea014</t>
        </is>
      </c>
      <c r="B81" t="inlineStr">
        <is>
          <t>Applied Scientist III, StoreGen</t>
        </is>
      </c>
      <c r="C81" t="inlineStr">
        <is>
          <t>Amazon.com</t>
        </is>
      </c>
      <c r="D81" t="inlineStr">
        <is>
          <t>indeed</t>
        </is>
      </c>
      <c r="E81" t="inlineStr"/>
      <c r="F81" t="inlineStr"/>
      <c r="G81" t="inlineStr">
        <is>
          <t>Seattle, WA, US</t>
        </is>
      </c>
      <c r="H81" s="1" t="n">
        <v>45868</v>
      </c>
      <c r="I81"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in-2123b133f9085034</t>
        </is>
      </c>
      <c r="B82" t="inlineStr">
        <is>
          <t>Applied Scientist III, StoreGen</t>
        </is>
      </c>
      <c r="C82" t="inlineStr">
        <is>
          <t>Amazon.com</t>
        </is>
      </c>
      <c r="D82" t="inlineStr">
        <is>
          <t>indeed</t>
        </is>
      </c>
      <c r="E82" t="inlineStr"/>
      <c r="F82" t="inlineStr"/>
      <c r="G82" t="inlineStr">
        <is>
          <t>Sunnyvale, CA, US</t>
        </is>
      </c>
      <c r="H82" s="1" t="n">
        <v>45868</v>
      </c>
      <c r="I82"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in-4d97c82eceddcbec</t>
        </is>
      </c>
      <c r="B83" t="inlineStr">
        <is>
          <t>Sr. Applied Scientist, Amazon Advertising</t>
        </is>
      </c>
      <c r="C83" t="inlineStr">
        <is>
          <t>Amazon.com</t>
        </is>
      </c>
      <c r="D83" t="inlineStr">
        <is>
          <t>indeed</t>
        </is>
      </c>
      <c r="E83" t="inlineStr"/>
      <c r="F83" t="inlineStr"/>
      <c r="G83" t="inlineStr">
        <is>
          <t>West Hollywood, CA, US</t>
        </is>
      </c>
      <c r="H83" s="1" t="n">
        <v>45851</v>
      </c>
      <c r="I8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in-79f1fc79855b0e7b</t>
        </is>
      </c>
      <c r="B84" t="inlineStr">
        <is>
          <t>Sr. Applied Scientist, Amazon Advertising</t>
        </is>
      </c>
      <c r="C84" t="inlineStr">
        <is>
          <t>Amazon.com</t>
        </is>
      </c>
      <c r="D84" t="inlineStr">
        <is>
          <t>indeed</t>
        </is>
      </c>
      <c r="E84" t="inlineStr"/>
      <c r="F84" t="inlineStr"/>
      <c r="G84" t="inlineStr">
        <is>
          <t>New York, NY, US</t>
        </is>
      </c>
      <c r="H84" s="1" t="n">
        <v>45851</v>
      </c>
      <c r="I8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in-365f702d4c6502f8</t>
        </is>
      </c>
      <c r="B85" t="inlineStr">
        <is>
          <t>Sr. Applied Scientist, Amazon Advertising</t>
        </is>
      </c>
      <c r="C85" t="inlineStr">
        <is>
          <t>Amazon.com</t>
        </is>
      </c>
      <c r="D85" t="inlineStr">
        <is>
          <t>indeed</t>
        </is>
      </c>
      <c r="E85" t="inlineStr"/>
      <c r="F85" t="inlineStr"/>
      <c r="G85" t="inlineStr">
        <is>
          <t>Palo Alto, CA, US</t>
        </is>
      </c>
      <c r="H85" s="1" t="n">
        <v>45851</v>
      </c>
      <c r="I8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in-b2a56d60c7b7b3d6</t>
        </is>
      </c>
      <c r="B86" t="inlineStr">
        <is>
          <t>Sr. Applied Scientist, Amazon Advertising</t>
        </is>
      </c>
      <c r="C86" t="inlineStr">
        <is>
          <t>Amazon.com</t>
        </is>
      </c>
      <c r="D86" t="inlineStr">
        <is>
          <t>indeed</t>
        </is>
      </c>
      <c r="E86" t="inlineStr"/>
      <c r="F86" t="inlineStr"/>
      <c r="G86" t="inlineStr">
        <is>
          <t>Los Angeles, CA, US</t>
        </is>
      </c>
      <c r="H86" s="1" t="n">
        <v>45851</v>
      </c>
      <c r="I8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in-4d5f77b9d591ac8d</t>
        </is>
      </c>
      <c r="B87" t="inlineStr">
        <is>
          <t>Sr. Applied Scientist, Amazon Advertising</t>
        </is>
      </c>
      <c r="C87" t="inlineStr">
        <is>
          <t>Amazon.com</t>
        </is>
      </c>
      <c r="D87" t="inlineStr">
        <is>
          <t>indeed</t>
        </is>
      </c>
      <c r="E87" t="inlineStr"/>
      <c r="F87" t="inlineStr"/>
      <c r="G87" t="inlineStr">
        <is>
          <t>Seattle, WA, US</t>
        </is>
      </c>
      <c r="H87" s="1" t="n">
        <v>45851</v>
      </c>
      <c r="I8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in-1c17754586e3b505</t>
        </is>
      </c>
      <c r="B88" t="inlineStr">
        <is>
          <t>Sr. Applied Scientist, Amazon Advertising</t>
        </is>
      </c>
      <c r="C88" t="inlineStr">
        <is>
          <t>Amazon.com</t>
        </is>
      </c>
      <c r="D88" t="inlineStr">
        <is>
          <t>indeed</t>
        </is>
      </c>
      <c r="E88" t="inlineStr"/>
      <c r="F88" t="inlineStr"/>
      <c r="G88" t="inlineStr">
        <is>
          <t>Arlington, VA, US</t>
        </is>
      </c>
      <c r="H88" s="1" t="n">
        <v>45851</v>
      </c>
      <c r="I8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in-62f8db63f2f00c23</t>
        </is>
      </c>
      <c r="B89" t="inlineStr">
        <is>
          <t>Sr. Applied Scientist, Amazon Advertising</t>
        </is>
      </c>
      <c r="C89" t="inlineStr">
        <is>
          <t>Amazon.com</t>
        </is>
      </c>
      <c r="D89" t="inlineStr">
        <is>
          <t>indeed</t>
        </is>
      </c>
      <c r="E89" t="inlineStr"/>
      <c r="F89" t="inlineStr"/>
      <c r="G89" t="inlineStr">
        <is>
          <t>Simi Valley, CA, US</t>
        </is>
      </c>
      <c r="H89" s="1" t="n">
        <v>45851</v>
      </c>
      <c r="I8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in-6836675d1f49f6eb</t>
        </is>
      </c>
      <c r="B90" t="inlineStr">
        <is>
          <t>Sr. Applied Scientist, Amazon Advertising</t>
        </is>
      </c>
      <c r="C90" t="inlineStr">
        <is>
          <t>Amazon.com</t>
        </is>
      </c>
      <c r="D90" t="inlineStr">
        <is>
          <t>indeed</t>
        </is>
      </c>
      <c r="E90" t="inlineStr"/>
      <c r="F90" t="inlineStr"/>
      <c r="G90" t="inlineStr">
        <is>
          <t>Austin, TX, US</t>
        </is>
      </c>
      <c r="H90" s="1" t="n">
        <v>45851</v>
      </c>
      <c r="I9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in-8cb81e52dff3c511</t>
        </is>
      </c>
      <c r="B91" t="inlineStr">
        <is>
          <t>Senior Applied Scientist, Delivery Foundation Model</t>
        </is>
      </c>
      <c r="C91" t="inlineStr">
        <is>
          <t>Amazon.com</t>
        </is>
      </c>
      <c r="D91" t="inlineStr">
        <is>
          <t>indeed</t>
        </is>
      </c>
      <c r="E91" t="inlineStr"/>
      <c r="F91" t="inlineStr"/>
      <c r="G91" t="inlineStr">
        <is>
          <t>Santa Clara, CA, US</t>
        </is>
      </c>
      <c r="H91" s="1" t="n">
        <v>45806</v>
      </c>
      <c r="I9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in-e0556118b775f04c</t>
        </is>
      </c>
      <c r="B92" t="inlineStr">
        <is>
          <t>Senior Applied Scientist, Delivery Foundation Model</t>
        </is>
      </c>
      <c r="C92" t="inlineStr">
        <is>
          <t>Amazon.com</t>
        </is>
      </c>
      <c r="D92" t="inlineStr">
        <is>
          <t>indeed</t>
        </is>
      </c>
      <c r="E92" t="inlineStr"/>
      <c r="F92" t="inlineStr"/>
      <c r="G92" t="inlineStr">
        <is>
          <t>New York, NY, US</t>
        </is>
      </c>
      <c r="H92" s="1" t="n">
        <v>45806</v>
      </c>
      <c r="I9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in-ea50648da7e7f141</t>
        </is>
      </c>
      <c r="B93" t="inlineStr">
        <is>
          <t>Senior Applied Scientist, Delivery Foundation Model</t>
        </is>
      </c>
      <c r="C93" t="inlineStr">
        <is>
          <t>Amazon.com</t>
        </is>
      </c>
      <c r="D93" t="inlineStr">
        <is>
          <t>indeed</t>
        </is>
      </c>
      <c r="E93" t="inlineStr"/>
      <c r="F93" t="inlineStr"/>
      <c r="G93" t="inlineStr">
        <is>
          <t>Bellevue, WA, US</t>
        </is>
      </c>
      <c r="H93" s="1" t="n">
        <v>45806</v>
      </c>
      <c r="I9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in-7d9e35512fed55ed</t>
        </is>
      </c>
      <c r="B94" t="inlineStr">
        <is>
          <t>Sr. Applied Scientist - Privacy, Privacy Engineering</t>
        </is>
      </c>
      <c r="C94" t="inlineStr">
        <is>
          <t>Amazon.com</t>
        </is>
      </c>
      <c r="D94" t="inlineStr">
        <is>
          <t>indeed</t>
        </is>
      </c>
      <c r="E94" t="inlineStr"/>
      <c r="F94" t="inlineStr"/>
      <c r="G94" t="inlineStr">
        <is>
          <t>San Francisco, CA, US</t>
        </is>
      </c>
      <c r="H94" s="1" t="n">
        <v>45787</v>
      </c>
      <c r="I9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in-311f2193b86bb4d1</t>
        </is>
      </c>
      <c r="B95" t="inlineStr">
        <is>
          <t>Sr. Applied Scientist - Privacy, Privacy Engineering</t>
        </is>
      </c>
      <c r="C95" t="inlineStr">
        <is>
          <t>Amazon.com</t>
        </is>
      </c>
      <c r="D95" t="inlineStr">
        <is>
          <t>indeed</t>
        </is>
      </c>
      <c r="E95" t="inlineStr"/>
      <c r="F95" t="inlineStr"/>
      <c r="G95" t="inlineStr">
        <is>
          <t>Sunnyvale, CA, US</t>
        </is>
      </c>
      <c r="H95" s="1" t="n">
        <v>45787</v>
      </c>
      <c r="I9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in-b6109d97c31bd374</t>
        </is>
      </c>
      <c r="B96" t="inlineStr">
        <is>
          <t>Sr. Applied Scientist - Privacy, Privacy Engineering</t>
        </is>
      </c>
      <c r="C96" t="inlineStr">
        <is>
          <t>Amazon.com</t>
        </is>
      </c>
      <c r="D96" t="inlineStr">
        <is>
          <t>indeed</t>
        </is>
      </c>
      <c r="E96" t="inlineStr"/>
      <c r="F96" t="inlineStr"/>
      <c r="G96" t="inlineStr">
        <is>
          <t>Santa Clara, CA, US</t>
        </is>
      </c>
      <c r="H96" s="1" t="n">
        <v>45787</v>
      </c>
      <c r="I96"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in-a454fb8d5153e89c</t>
        </is>
      </c>
      <c r="B97" t="inlineStr">
        <is>
          <t>Sr. Applied Scientist - Privacy, Privacy Engineering</t>
        </is>
      </c>
      <c r="C97" t="inlineStr">
        <is>
          <t>Amazon.com</t>
        </is>
      </c>
      <c r="D97" t="inlineStr">
        <is>
          <t>indeed</t>
        </is>
      </c>
      <c r="E97" t="inlineStr"/>
      <c r="F97" t="inlineStr"/>
      <c r="G97" t="inlineStr">
        <is>
          <t>Seattle, WA, US</t>
        </is>
      </c>
      <c r="H97" s="1" t="n">
        <v>45787</v>
      </c>
      <c r="I97"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in-4afd17f2e3cc0297</t>
        </is>
      </c>
      <c r="B98" t="inlineStr">
        <is>
          <t>Principal Associate, Data Scientist - LLM Customization Team</t>
        </is>
      </c>
      <c r="C98" t="inlineStr">
        <is>
          <t>Capital One</t>
        </is>
      </c>
      <c r="D98" t="inlineStr">
        <is>
          <t>indeed</t>
        </is>
      </c>
      <c r="E98" t="inlineStr"/>
      <c r="F98" t="inlineStr"/>
      <c r="G98" t="inlineStr">
        <is>
          <t>New York, NY, US</t>
        </is>
      </c>
      <c r="H98" s="1" t="n">
        <v>46076</v>
      </c>
      <c r="I98" t="inlineStr">
        <is>
          <t>Principal Associate, Data Scientist \- LLM Customization Team
At Capital One, we think big and do big things. We are not just a nationally recognized credit card issuer, a top 10 bank by deposit, but a high\-tech company with products that reach tens of millions of consumers and have been recognized by numerous prestigious awards for their customer\-friendliness. Capital One was the first major bank to move to cloud computing and to publish APIs for the Open Banking future. AI is transforming every industry. At Capital One, you will help shape how it transforms financial services.
**Team Description**
AI Foundations LLM Customization team is at the center of bringing our vision for LLMs and GenAI at Capital One to life. Our work touches every aspect of the research life cycle, from research to building production systems. We work with product, technology and business leaders to apply the state of the art in AI to our business. You will be the driving force to experiment, innovate and create next generation experiences powered by the latest emerging generative AI technologies.
**In this role, you will:**
* Partner with a cross\-functional team of data scientists, applied researchers, software engineers, machine learning engineers and product managers to deliver AI powered products that change how customers interact with their money.
* Leverage a broad stack of technologies — Pytorch, Hugging Face, AWS Ultraclusters, LangChain, VectorDBs, and more — to reveal the insights hidden within huge volumes of numeric and textual data.
* Be the expert in Natural Language Processing (NLP) to harness the power of Large Language Models (LLMs), adapt and finetune them for business specific applications and features.
* Build NLP models through all phases of development, from design through training, evaluation, and validation; partnering with engineering teams to operationalize them in scalable and resilient production systems.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advanced ML and DL technologies including language models and are passionate about developing further. You have hands\-on experience working with LLMs and solutions using open\-source tools and cloud computing platforms.
* Influential. You are passionate about AI/ML and can bring along a cross functional team in breakthrough innovations. You communicate clearly and effectively to share your findings with non\-technical audiences.
* You are experienced in training language models or large computer vision models as well as have expertise in one or more key subdomains such as: training optimization, self\-supervised learning, explainability, RLHF.
* You have an engineering mindset as shown by a track record of delivering models at scale both in training data and inference volumes. You have experience in delivering libraries, platforms, or solution level code to existing products.
 **Basic Qualifications:**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Experience with Large Language Models (LLM), Finetuning, and Deep Learning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9">
      <c r="A99" t="inlineStr">
        <is>
          <t>in-dbbfd5a9b8d40bad</t>
        </is>
      </c>
      <c r="B99" t="inlineStr">
        <is>
          <t>Applied Scientist, Alexa Smart Home</t>
        </is>
      </c>
      <c r="C99" t="inlineStr">
        <is>
          <t>Amazon.com</t>
        </is>
      </c>
      <c r="D99" t="inlineStr">
        <is>
          <t>indeed</t>
        </is>
      </c>
      <c r="E99" t="inlineStr"/>
      <c r="F99" t="inlineStr"/>
      <c r="G99" t="inlineStr">
        <is>
          <t>Seattle, WA, US</t>
        </is>
      </c>
      <c r="H99" s="1" t="n">
        <v>46033</v>
      </c>
      <c r="I99"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00">
      <c r="A100" t="inlineStr">
        <is>
          <t>in-1248099aec5f8f63</t>
        </is>
      </c>
      <c r="B100" t="inlineStr">
        <is>
          <t>Applied Scientist, Alexa Smart Home</t>
        </is>
      </c>
      <c r="C100" t="inlineStr">
        <is>
          <t>Amazon.com</t>
        </is>
      </c>
      <c r="D100" t="inlineStr">
        <is>
          <t>indeed</t>
        </is>
      </c>
      <c r="E100" t="inlineStr"/>
      <c r="F100" t="inlineStr"/>
      <c r="G100" t="inlineStr">
        <is>
          <t>Sunnyvale, CA, US</t>
        </is>
      </c>
      <c r="H100" s="1" t="n">
        <v>46033</v>
      </c>
      <c r="I100"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01">
      <c r="A101" t="inlineStr">
        <is>
          <t>in-f2dd0084730de1d4</t>
        </is>
      </c>
      <c r="B101" t="inlineStr">
        <is>
          <t>Data Scientist - Pricing and Promotions Optimization</t>
        </is>
      </c>
      <c r="C101" t="inlineStr">
        <is>
          <t>CVS Health</t>
        </is>
      </c>
      <c r="D101" t="inlineStr">
        <is>
          <t>indeed</t>
        </is>
      </c>
      <c r="E101">
        <f>HYPERLINK("https://www.indeed.com/viewjob?jk=f2dd0084730de1d4", "https://www.indeed.com/viewjob?jk=f2dd0084730de1d4")</f>
        <v/>
      </c>
      <c r="F101">
        <f>HYPERLINK("https://click.appcast.io/t/1i2Y2HI4XE-B4l5NmU-1p2d-VrJ-OLy_qt_yAeaEtWY=", "https://click.appcast.io/t/1i2Y2HI4XE-B4l5NmU-1p2d-VrJ-OLy_qt_yAeaEtWY=")</f>
        <v/>
      </c>
      <c r="G101" t="inlineStr">
        <is>
          <t>New York, NY, US</t>
        </is>
      </c>
      <c r="H101" s="2" t="n">
        <v>46077</v>
      </c>
      <c r="I101"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The Retail Analytics team is helping lead the effort to transform healthcare and drive improved consumer experience by partnering with key business areas across CVS Health and delivering impactful analytic solutions and insights. As a member of this team, you will be at the forefront of delivering high visibility projects for key CVS Retail strategic initiatives. Specifically, you will have the opportunity to drive revenue and customer satisfaction in CVS Health’s Front Store business using data science to optimize pricing and promotions decisions. You will work cross functionally with both technical and non\-technical stakeholders and translate their business needs into problems to be solved using statistical modeling, machine learning, and optimization. We are a fast\-paced team focused on building innovative advanced analytics solutions using cloud capabilities. We are looking for individuals who have a strong sense of ownership, accountability, and a desire to deliver high quality and high impact products using advanced data driven approaches. Key responsibilities and what you will do:
* **Algorithm Development**: Develop, validate, and deploy scalable optimization algorithms to achieve business objectives and inform strategic decision\-making across CVS Health’s retail business. Define and monitor model performance metrics, ensuring alignment with business impact over time. Develop proof of concepts and transition solutions into production\-ready pipelines and APIs as required by the business.
* **Cross\-Functional Collaboration**: Collaborate with product managers, data engineering, software engineering, and data science teams to identify and implement impactful solutions to solve complex business problems, fostering trust and commitment through agile methodologies.
* **Data Exploration**: Analyze and interpret large volumes of structured and unstructured data to address complex business challenges effectively. Develop and maintain datasets and pipelines to organize, collect, and standardize data, facilitating insights and addressing reporting needs.
* **Continuous Learning**: Stay abreast of the latest advancements in optimization algorithms, machine learning solutions, and methodologies to enhance capabilities. Research and integrate new technologies to enhance existing solutions and address emerging challenges.
**Required Qualifications**
* 1\+ years of demonstrated experience applying operations research, reinforcement learning, and/or dynamic programming techniques.
* 1\+ years of experience building linear and nonlinear programming models for mathematical optimization and experience with optimization tools and libraries (Gurobi, Pulp, Pyomo, CPLEX).
* 1\+ years of experience in SQL and Python programming.
* Experience working with large datasets, analyzing data, and extracting meaningful insights.
* Experience working with a data engineering/MLOps team to productionize data science models, familiarity with version control (GitLab or GitHub), and ML platforms (AWS SageMaker, Databricks, GCP Vertex AI, etc.).
* Experience using applied statistics and machine learning techniques.
* Proven experience in analyzing complex problems and translating them into efficient data science algorithms with a focus on computational efficiency.
**Preferred Qualifications**
* A strong drive to explore data and make a business impact by applying data science and the curiosity to dive deep.
* Excellent communication and presentation skills and attention to detail.
* PhD in Operations Research, Management Science or equivalent.
* Retail domain knowledge and basic understanding of pricing and promotions concepts.
* Experience using PySpark and/or big data platforms (e.g., Hadoop, Spark) for large data processing.
* Knowledge of or experience in causal inference, and machine learning algorithms.
* Ability to effectively communicate technical concepts to non\-technical audiences, including experience creating communication materials (e.g., white paper, slide decks, etc.).
 **Education**
* A PhD or a Master’s degree with 1\+ years, or a Bachelor’s degree with 2\+ years of relevant experience in a STEM field such as Operations Research/ Industrial Engineering, Applied Mathematics, Computer Science, Engineering, or a related field.
**Anticipated Weekly Hours**
40**Time Type**
Full time**Pay Range**
The typical pay range for this role is:
$86,520\.00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03/15/2026
Qualified applicants with arrest or conviction records will be considered for employment in accordance with all federal, state and local laws.</t>
        </is>
      </c>
    </row>
    <row r="102">
      <c r="A102" t="inlineStr">
        <is>
          <t>in-7ac1b66db18d2c42</t>
        </is>
      </c>
      <c r="B102" t="inlineStr">
        <is>
          <t>Data Scientist - Pricing and Promotions Optimization</t>
        </is>
      </c>
      <c r="C102" t="inlineStr">
        <is>
          <t>CVS Health</t>
        </is>
      </c>
      <c r="D102" t="inlineStr">
        <is>
          <t>indeed</t>
        </is>
      </c>
      <c r="E102">
        <f>HYPERLINK("https://www.indeed.com/viewjob?jk=7ac1b66db18d2c42", "https://www.indeed.com/viewjob?jk=7ac1b66db18d2c42")</f>
        <v/>
      </c>
      <c r="F102">
        <f>HYPERLINK("https://click.appcast.io/t/irix05HW0fpM3-SWYbycRIOh-japms2AIfbgLidkKc0=", "https://click.appcast.io/t/irix05HW0fpM3-SWYbycRIOh-japms2AIfbgLidkKc0=")</f>
        <v/>
      </c>
      <c r="G102" t="inlineStr">
        <is>
          <t>Wellesley, MA, US</t>
        </is>
      </c>
      <c r="H102" s="2" t="n">
        <v>46077</v>
      </c>
      <c r="I102"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The Retail Analytics team is helping lead the effort to transform healthcare and drive improved consumer experience by partnering with key business areas across CVS Health and delivering impactful analytic solutions and insights. As a member of this team, you will be at the forefront of delivering high visibility projects for key CVS Retail strategic initiatives. Specifically, you will have the opportunity to drive revenue and customer satisfaction in CVS Health’s Front Store business using data science to optimize pricing and promotions decisions. You will work cross functionally with both technical and non\-technical stakeholders and translate their business needs into problems to be solved using statistical modeling, machine learning, and optimization. We are a fast\-paced team focused on building innovative advanced analytics solutions using cloud capabilities. We are looking for individuals who have a strong sense of ownership, accountability, and a desire to deliver high quality and high impact products using advanced data driven approaches. Key responsibilities and what you will do:
* **Algorithm Development**: Develop, validate, and deploy scalable optimization algorithms to achieve business objectives and inform strategic decision\-making across CVS Health’s retail business. Define and monitor model performance metrics, ensuring alignment with business impact over time. Develop proof of concepts and transition solutions into production\-ready pipelines and APIs as required by the business.
* **Cross\-Functional Collaboration**: Collaborate with product managers, data engineering, software engineering, and data science teams to identify and implement impactful solutions to solve complex business problems, fostering trust and commitment through agile methodologies.
* **Data Exploration**: Analyze and interpret large volumes of structured and unstructured data to address complex business challenges effectively. Develop and maintain datasets and pipelines to organize, collect, and standardize data, facilitating insights and addressing reporting needs.
* **Continuous Learning**: Stay abreast of the latest advancements in optimization algorithms, machine learning solutions, and methodologies to enhance capabilities. Research and integrate new technologies to enhance existing solutions and address emerging challenges.
**Required Qualifications**
* 1\+ years of demonstrated experience applying operations research, reinforcement learning, and/or dynamic programming techniques.
* 1\+ years of experience building linear and nonlinear programming models for mathematical optimization and experience with optimization tools and libraries (Gurobi, Pulp, Pyomo, CPLEX).
* 1\+ years of experience in SQL and Python programming.
* Experience working with large datasets, analyzing data, and extracting meaningful insights.
* Experience working with a data engineering/MLOps team to productionize data science models, familiarity with version control (GitLab or GitHub), and ML platforms (AWS SageMaker, Databricks, GCP Vertex AI, etc.).
* Experience using applied statistics and machine learning techniques.
* Proven experience in analyzing complex problems and translating them into efficient data science algorithms with a focus on computational efficiency.
**Preferred Qualifications**
* A strong drive to explore data and make a business impact by applying data science and the curiosity to dive deep.
* Excellent communication and presentation skills and attention to detail.
* PhD in Operations Research, Management Science or equivalent.
* Retail domain knowledge and basic understanding of pricing and promotions concepts.
* Experience using PySpark and/or big data platforms (e.g., Hadoop, Spark) for large data processing.
* Knowledge of or experience in causal inference, and machine learning algorithms.
* Ability to effectively communicate technical concepts to non\-technical audiences, including experience creating communication materials (e.g., white paper, slide decks, etc.).
 **Education**
* A PhD or a Master’s degree with 1\+ years, or a Bachelor’s degree with 2\+ years of relevant experience in a STEM field such as Operations Research/ Industrial Engineering, Applied Mathematics, Computer Science, Engineering, or a related field.
**Anticipated Weekly Hours**
40**Time Type**
Full time**Pay Range**
The typical pay range for this role is:
$86,520\.00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03/15/2026
Qualified applicants with arrest or conviction records will be considered for employment in accordance with all federal, state and local laws.</t>
        </is>
      </c>
    </row>
    <row r="103">
      <c r="A103" t="inlineStr">
        <is>
          <t>in-af7dfe7927229903</t>
        </is>
      </c>
      <c r="B103" t="inlineStr">
        <is>
          <t>Principal Applied Scientist, Experimentation Platform - CoreAI</t>
        </is>
      </c>
      <c r="C103" t="inlineStr">
        <is>
          <t>Microsoft</t>
        </is>
      </c>
      <c r="D103" t="inlineStr">
        <is>
          <t>indeed</t>
        </is>
      </c>
      <c r="E103">
        <f>HYPERLINK("https://www.indeed.com/viewjob?jk=af7dfe7927229903", "https://www.indeed.com/viewjob?jk=af7dfe7927229903")</f>
        <v/>
      </c>
      <c r="F103">
        <f>HYPERLINK("https://apply.careers.microsoft.com/careers/job/1970393556803649?utm_source=indeed&amp;domain=microsoft.com", "https://apply.careers.microsoft.com/careers/job/1970393556803649?utm_source=indeed&amp;domain=microsoft.com")</f>
        <v/>
      </c>
      <c r="G103" t="inlineStr">
        <is>
          <t>Redmond, WA, US</t>
        </is>
      </c>
      <c r="H103" s="2" t="n">
        <v>46076</v>
      </c>
      <c r="I103" t="inlineStr">
        <is>
          <t>**Overview** **Overview:** CoreAI sits at the center of Microsoft’s mission to redefine how software is built and experienced, providing the foundational platforms, services, and developer experiences that power the next generation of AI\-driven applications. As part of CoreAI, the Experimentation Platform (ExP) enables trustworthy, high\-scale online experimentation that accelerates product learning and drives progress across Microsoft’s AI ecosystem. You will play a pivotal role in shaping the technical direction of systems that help teams ship better AI experiences faster by providing the experimentation capabilities needed to evaluate, refine, and safely deploy new innovations.
**In this role, you will:**
* Push the envelope on online experimentation methodology and agent evaluations, advancing the state\-of\-the\-art by connecting product development needs, latest science techniques and platform opportunities
* Contribute to one of the highest\-scale experimentation platforms on the planet
* Collaborate closely with backend engineers, data scientists, site reliability engineers (SREs), and product managers to gather requirements, iterate on features, and deliver seamless, end\-to\-end user experiences.
* Collaborate closely with designers, UI\-experts, science leaders and engineers to ensure clear, actionable dashboards and visualizations that empower users to make trustworthy science\-informed decisions.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 with and bridge the gaps between researchers (e.g., across CoreAI, Microsoft Research \[MSR] and open source communities) to translate applied research into differentiated, production\-quality features
* Provide technical guidance and deep industry insight, advising cross\-functional teams on the adoption of cutting\-edge AI tools, technologies, and methodologies to ensure successful experimentation programs and uphold the highest standards of quality and scientific rigor.
* Ensure teams develop and apply advanced subject matter expertise across a diverse set of specialized tools and methods, driving measurable business outcomes and elevating the scope and impact of Microsoft’s experimentation initiatives.
* Interface with experimentation partners across Microsoft to translate requirements into platform capabilities and lower barriers requiring advanced subject matter expertise.
* Provide mentorship and coaching to less experienced and mid\-level team members by sharing expertise to build team capabilities and guiding team members in projects, and their careers
**Qualifications** **Required Minimum Qualifications:**
Bachelor's Degree in Statistics, Econometrics, Computer Science, Electrical or Computer Engineering, or related field AND 6\+ years related experience (e.g., statistics, predictive analytics, research) OR Master's Degree in Statistics, Econometrics, Computer Science, Electrical or Computer Engineering, or related field AND 4\+ years related experience (e.g., statistics, predictive analytics, research) OR Doctorate in Statistics, Econometrics, Computer Science, Electrical or Computer Engineering, or related field AND 3\+ years related experience (e.g., statistics, predictive analytics, research)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Doctorate in Statistics, Econometrics, Computer Science, Electrical or Computer Engineering, or related field AND 6\+ years related experience (e.g., statistics, predictive analytics, research)
* Experience with Agent based architectures, frameworks and technologies (such as MCP, A2A protocol, or Azure AI Foundry)
* 3\+ years of experience developing and deploying products or systems at multiple points in the product cycle from ideation to shipping as part of a product team.
* Proven track record designing and scaling online experimentation platforms that support high‑velocity A/B and multivariate testing across complex, multi‑team product ecosystems, including governance, guardrails, and causal inference best practices.
* Demonstrated thought leadership in product measurement strategy, with the ability to define north‑star metrics, architect measurement frameworks, and influence senior product and engineering leaders on how to interpret ambiguous or noisy data at scale.
* 5\+ years experience creating publications (e.g., patents, libraries, peer\-reviewed academic papers).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Applied Sciences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4">
      <c r="A104" t="inlineStr">
        <is>
          <t>in-7727b77bfe2ee95c</t>
        </is>
      </c>
      <c r="B104" t="inlineStr">
        <is>
          <t>Applied Scientist II</t>
        </is>
      </c>
      <c r="C104" t="inlineStr">
        <is>
          <t>Microsoft</t>
        </is>
      </c>
      <c r="D104" t="inlineStr">
        <is>
          <t>indeed</t>
        </is>
      </c>
      <c r="E104">
        <f>HYPERLINK("https://www.indeed.com/viewjob?jk=7727b77bfe2ee95c", "https://www.indeed.com/viewjob?jk=7727b77bfe2ee95c")</f>
        <v/>
      </c>
      <c r="F104">
        <f>HYPERLINK("https://apply.careers.microsoft.com/careers/job/1970393556754649?utm_source=indeed&amp;domain=microsoft.com", "https://apply.careers.microsoft.com/careers/job/1970393556754649?utm_source=indeed&amp;domain=microsoft.com")</f>
        <v/>
      </c>
      <c r="G104" t="inlineStr">
        <is>
          <t>US</t>
        </is>
      </c>
      <c r="H104" s="2" t="n">
        <v>46064</v>
      </c>
      <c r="I104" t="inlineStr">
        <is>
          <t>**Overview**  
AI has created an unprecedented opportunity to make work better for hundreds of millions of people. Microsoft’s productivity division is hiring **Applied Scientists II** to help ensure we maximize this amazing opportunity. Our scientists collaborate closely with people across Microsoft’s product teams and Microsoft Research to see their ideas realized in products and services like M365, M365 Copilot, Office AI, and Office Products (Excel, PowerPoint, Word, etc.). They also contribute back to the scientific community through peer\-reviewed publications at top venues, scientific presentations, and beyond.
We are looking for **Applied Scientists II** who are creative, self\-driven, curious, people\-oriented and comfortable defining a path through ambiguity towards high\-level goals. Research areas of interest include but are certainly not limited to reinforcement learning, agentic systems multimodal modeling, post\-training techniques and their application, human\-centered artificial intelligence (AI), domain\-specific large language model (LLM) applications (e.g. long\-form writing assistance), personalization, computational social science, memory, agentic retrieval\-augmented generation (RAG), real\-time AI systems, collaborative AI, privacy\-preserving AI, trustworthy AI, data\-centric AI, AI flywheels, and multilingual 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Defining, leading, and helping to conduct research projects that simultaneously advance the state\-of\-the\-art and directly benefit Microsoft’s core productivity products.
* Shape product direction by integrating rigorous scientific methods into the product lifecycle.
* Collaborating and coordinating with people in a range of roles, including researchers, engineers, product managers, designers, and other key product stakeholders. Serving as a bridge between research and product.
* Teaching, guiding, and tutoring colleagues without research backgrounds in state\-of\-the\-art techniques and research best practices.
* Sharing your research with others via a range of means, including publication, to enable others to build on your work and to contribute to the understanding of our products as cutting\-edge and science driven.
* Effectively communicating with product leaders (and often Microsoft researchers (MSR)) throughout the planning and execution of applied research projects, which often involves learning and teaching complex concepts.
**Qualifications** **Required Qualifications:**
* Bachelor's Degree in Statistics, Econometrics, Computer Science, Electrical or Computer Engineering, or related field AND 2\+ years related experience (e.g., statistics, predictive analytics, research) OR Master's Degree in Statistics, Econometrics, Computer Science, Electrical or Computer Engineering, or related field AND 1\+ year(s) related experience (e.g., statistics, predictive analytics, research) OR Doctorate in Statistics, Econometrics, Computer Science, Electrical or Computer Engineering, or related field OR equivalent experience.
**Preferred Qualifications:**
* At least one internship or prior role at a leading technology company, or start\-up, or related organizations.
* A record of publications in top\-tier scientific venues (e.g., NeurIPS, ICML, ICLR, ACL, NAACL, KDD, WWW, CHI, PNAS, Nature, EMNLP, CVPR, ICCV, ECCV, CoRL).
* Proven real\-world impact from your research, demonstrated through shipped products, improved user experiences, or other measurable benefits for diverse stakeholders.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5">
      <c r="A105" t="inlineStr">
        <is>
          <t>in-5a9bbacf831a80a2</t>
        </is>
      </c>
      <c r="B105" t="inlineStr">
        <is>
          <t>Data Scientist, AWS Infrastructure Services Science</t>
        </is>
      </c>
      <c r="C105" t="inlineStr">
        <is>
          <t>Amazon.com</t>
        </is>
      </c>
      <c r="D105" t="inlineStr">
        <is>
          <t>indeed</t>
        </is>
      </c>
      <c r="E105">
        <f>HYPERLINK("https://www.indeed.com/viewjob?jk=5a9bbacf831a80a2", "https://www.indeed.com/viewjob?jk=5a9bbacf831a80a2")</f>
        <v/>
      </c>
      <c r="F105">
        <f>HYPERLINK("https://www.amazon.jobs/jobs/3181348/data-scientist-aws-infrastructure-services-science?cmpid=DA_INAD200785B", "https://www.amazon.jobs/jobs/3181348/data-scientist-aws-infrastructure-services-science?cmpid=DA_INAD200785B")</f>
        <v/>
      </c>
      <c r="G105" t="inlineStr">
        <is>
          <t>Herndon, VA, US</t>
        </is>
      </c>
      <c r="H105" s="2" t="n">
        <v>46065</v>
      </c>
      <c r="I10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06">
      <c r="A106" t="inlineStr">
        <is>
          <t>in-f293c8abe3bcfb9a</t>
        </is>
      </c>
      <c r="B106" t="inlineStr">
        <is>
          <t>Data Scientist, AWS Infrastructure Services Science</t>
        </is>
      </c>
      <c r="C106" t="inlineStr">
        <is>
          <t>Amazon.com</t>
        </is>
      </c>
      <c r="D106" t="inlineStr">
        <is>
          <t>indeed</t>
        </is>
      </c>
      <c r="E106">
        <f>HYPERLINK("https://www.indeed.com/viewjob?jk=f293c8abe3bcfb9a", "https://www.indeed.com/viewjob?jk=f293c8abe3bcfb9a")</f>
        <v/>
      </c>
      <c r="F106">
        <f>HYPERLINK("https://www.amazon.jobs/jobs/3181348/data-scientist-aws-infrastructure-services-science?cmpid=DA_INAD200785B", "https://www.amazon.jobs/jobs/3181348/data-scientist-aws-infrastructure-services-science?cmpid=DA_INAD200785B")</f>
        <v/>
      </c>
      <c r="G106" t="inlineStr">
        <is>
          <t>Seattle, WA, US</t>
        </is>
      </c>
      <c r="H106" s="2" t="n">
        <v>46065</v>
      </c>
      <c r="I10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07">
      <c r="A107" t="inlineStr">
        <is>
          <t>in-794fe2e3d95263d5</t>
        </is>
      </c>
      <c r="B107" t="inlineStr">
        <is>
          <t>Data Scientist</t>
        </is>
      </c>
      <c r="C107" t="inlineStr">
        <is>
          <t>U.S. Department of Commerce</t>
        </is>
      </c>
      <c r="D107" t="inlineStr">
        <is>
          <t>indeed</t>
        </is>
      </c>
      <c r="E107">
        <f>HYPERLINK("https://www.indeed.com/viewjob?jk=794fe2e3d95263d5", "https://www.indeed.com/viewjob?jk=794fe2e3d95263d5")</f>
        <v/>
      </c>
      <c r="F107">
        <f>HYPERLINK("https://www.usajobs.gov:443/job/858879000", "https://www.usajobs.gov:443/job/858879000")</f>
        <v/>
      </c>
      <c r="G107" t="inlineStr">
        <is>
          <t>Alexandria, VA, US</t>
        </is>
      </c>
      <c r="H107" s="2" t="n">
        <v>46077</v>
      </c>
      <c r="I107" t="inlineStr">
        <is>
          <t>**Summary**
-----------
The Enterprise Data Architecture Division (EDAD) is responsible for establishing and maintaining a robust enterprise data architecture program, to standardize, streamline, and enhance enterprise data for organizational use and for digital efficiency in meeting business objectives.
**This job is open to**
-----------------------
### **The public**
U.S. Citizens, Nationals or those who owe allegiance to the U.S.
### **Career transition (CTAP, ICTAP, RPL)**
Federal employees whose job, agency or department was eliminated and are eligible for priority over other applicants.
### **Clarification from the agency**
This Vacancy is using the Direct\-Hire Authority to recruit for positions for which there is a critical hiring need. Using the Office of Personnel Management's approved government\-wide direct hire authorities, agencies may appoint candidates directly to jobs, without regard to the provision of Title 5 U.S.C 3309 through 3318, for which OPM determines that there is a severe shortage of candidates or a critical hiring need.
**Duties**
----------
***The physical worksite for this position is located in Alexandria****,* ***Virginia****.* ***Presence at the Alexandria, VA campus is required for this role, as it includes on site functions that must be performed in person. Position may be eligible for situational telework in accordance with agency policy/business unit discretion. The agency currently allows for 52 hours of telework per calendar year.***  
***Come join our team if you are enthusiastic about…***
* *Conducting advanced data analysis and implementing highly complex design algorithms to extract meaningful insights.*
* *Applying creative and innovative approaches to perform data mining and discover new patterns from large datasets.*
* *Developing, adopting and promoting ground\-breaking guidelines, policies, and standards for data science activities and applications across organizations.*
* *Utilizing diverse analytical and assessment methods and tools to produce comprehensive findings and actionable recommendations.*
**Requirements**
----------------
### **Conditions of employment**
* Applications will only be accepted from United States Citizens and Nationals.
* Your resume and question responses must demonstrate the job\-related competencies.
* You must meet the definition of specialized experience.
* Required to pass a background investigation and fingerprint check.
* Must be registered for Selective Service, if applicable (www.sss.gov).
* If selected, you may be required to complete a one year probationary period.
* You must meet all qualification requirements upon the closing date of this announcement.
* Suitable for Federal Employment
### **Qualifications**
You must meet the United States Office of Personnel Management's (OPM) qualification requirements (including specialized experience and/or educational requirements) for the advertised position. You must meet all eligibility and qualifications requirements by the closing date of the job announcement. OPM Qualifications Standards are available at Data Science Series 1560  
***BASIC QUALIFICATION REQUIREMENTS:*** To be considered for this position, you must have either:  
1\. Degree: Mathematics, statistics, computer science, data science or field directly related to the position. The degree mut be in a major field of study (at least at the baccalaureate level) that is appropriate for the position.  
***OR***  
2\. Combination of education and experience: Courses equivalent to a major field of study (30 semester hours) as shown in paragraph A above, plus additional education or appropriate experience.  
***In addition to meeting the specialized experience below you must meet the basic requirement above to qualify for this position.***  
Specialized Experienceis experience that has equipped applicants with the particular knowledge, skills and abilities to successfully perform the duties of the position, and that is typically in or related to the position to be filled. To be creditable, specialized experience must have been equivalent to at least the next lower grade level in the federal service.  
**Specialized experience for this position includes:**  
***For the GS\-12:***  
The next lower grade level is a GS\-11\. Specialized experience for this position includes:
* Experience conducting complex statistical analysis and predictive modeling. ***AND***
* Experience developing and implementing machine learning algorithms. ***AND***
* Experience managing and analyzing large, complex datasets with data quality assurance. ***AND***
* Experience with data cleaning, preprocessing, and quality assurance.
***For the GS\-13:***  
The next lower grade level is a GS\-12\. Specialized experience for this position includes:
* Experience leading data science projects and providing technical guidance. ***AND***
* Experience in advanced statistical models, machine learning, big data technologies, and cloud\-based analytics platforms. ***AND***
* Experience mentoring staff and presenting complex findings to senior management. ***AND***
* Experience designing and implementing data science workflows and pipelines.
**For the GS\-14:**  
The next lower grade level is a GS\-13\. Specialized experience for this position includes:
* Experience directing enterprise\-wide data science initiatives and strategic data analytics programs. ***AND***
* Experience in designing and implementing data science frameworks, standards, and governance policies across multiple organizational units. ***AND***
* Experience in managing cross\-functional teams, establishing data science best practices, and advising executive leadership on data\-driven strategic decisions.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***NOTE:*** This is a career\-ladder position that includes grades GS\-12,13 and 14\. Upon satisfactory completion of qualification/performance requirements and at management's discretion, the incumbent may be advanced non\-competitively to the next higher level. It is the ability to demonstrate satisfactory performance at the next higher level in all aspects of the position that is the primary basis for consideration for promotion. Meeting the time\-in\-grade requirement for the higher\-grade position does not automatically entitle the incumbent to a promotion.
### **Education**
**Education may not be substituted for experience at this grade level.** If this position requires proof of higher education, or you are substituting education for experience, you must submit an unofficial transcript or a list of courses that includes the following information: name of accredited institution, grades earned, completion dates, and quarter and semester hours earned. Education completed in foreign colleges or universities may be used to meet the requirements. Please refer to General Schedule Qualification Policies for more information. You are not required to submit official documents at this time; copies are sufficient.  
**Special Instructions for Foreign Education:** Qualifying education from colleges and universities in foreign countries must be evaluated in terms of equivalency to that acquired in U.S. colleges and universities. Applicants educated in whole or in part in foreign countries must submit sufficient evidence, including transcripts, to an accredited private organization for an equivalency evaluation of course work and degree. A listing of these accredited organizations can be found on the Department of Education's website \- US Department of Education. Another listing of services that can perform this evaluation is available at the National Association of Credential Evaluation Services (NACES) website. You must provide a copy of the letter containing the results of the equivalency evaluation with a course by course listing along with your application. Failure to provide such documentation when requested will result in lost consideration.  
**NOTE:** **Only education and experience acquired before the filing deadline will be considered. Report only attendance and/or degrees from schools accredited by accrediting institutions recognized by the U.S. Department of Education.**
### **Additional information**
If you are a male applicant born after December 31, 1959, you must certify that you have registered with the Selective Service System. If you are exempt from registration under Selective Service Law, you must provide appropriate proof of exemption. Please visit the Selective Service System website for more information.  
This is a Non Bargaining Unit position.  
This is a Public Trust position and has a risk level designation of "moderate".  
Background Investigation \- If selected for this position, you may be required to complete a Declaration for Federal Employment (OF\-306\), which includes a fingerprint and credit check, to determine your suitability for Federal employment and to authorize a background investigation.  
The USPTO participates in E\-Verify. For more information on E\-Verify, please visit the Department of Homeland Security Website.  
All Federal employees are required to have Federal salary payments made by direct deposit to a financial institution of their choice.  
Relocation Expenses are not authorized and will not be paid.  
CTAP and ICTAP candidates will be eligible for selection priority if it is determined that they have exceeded the minimum qualifications for the position by attaining at least a "well qualified" rating of 85 out of 100\. Information about CTAP and ICTAP eligibility is on the Office of Personnel Management's Career Transition Resources website at: OPM CTAP/ICTAP.  
CTAP/ICTAP documentation requirements are listed in the 'Required Documents' section of this announcement.  
**More than one selection may be made from this announcement** if additional identical vacancies in the same title, series, grade, and unit occur within 90 days from the date the certificate was issued.  
All application materials become the property of the United States Patent and Trademark Office.  
USPTO Job Applicants requiring reasonable accommodation for any part of the application and hiring process should request accommodation(s) from the USPTO at USPTO Reasonable Accommodation.  
*The United States Patent and Trademark Office is an equal opportunity employer and does not discriminate on the basis of race, color, religion, sex (including sexual orientation), national origin, political affiliation, marital status, disability, genetic information, age, pregnancy, childbirth, or related medical conditions, retaliation for engaging in protected activity, parental status, military service, or other non\-merit factors. If you believe that you have been discriminated against and would like to file an EEO complaint, you must do so within 45 days of the date of the alleged discriminatory act. Claims of employment discrimination must be submitted to the attention of the USPTO's Office of Equal Employment Opportunity via email (**oeeo@uspto.gov**) or phone (571\-272\-8292\).*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Your resume, optional cover letter and supporting documentation will be reviewed to determine if you meet the minimum qualification requirements for the position. Under the provisions of the Direct\-Hire Authority (DHA), rating, ranking and veterans' preference does not apply; therefore, your responses to the questionnaire will not be used to determine a scored rating. All applicants who meet the minimum qualification requirements, as defined in the job opportunity announcement, will be referred for selection consideration. While veterans' preference does not apply in DHA, preference eligibles are encouraged to submit their supporting documentation (DD\-214 stating disposition of discharge or character of service, VA letter, SF\-15, etc.).  
**Your resume will be evaluated based on evidence of your ability to demonstrate possession of any specialized experience and how well your background and experience relates to the self\-assessment questions in the job announcement.**  
**The self\-assessment questions relate to the following knowledge, skills, abilities, and competencies (KSA's).**  
* Advanced Computational Analytics and Technology Evaluation
* Advanced Data Infrastructure and Mining
* Advanced Data Science and Analytics
* Comprehensive Analytics and Technology Assessment
* Data Science Governance and Strategy
* Strategic Data Science Advisory and Systems Development
**Please click the link below to preview the Assessment Questionnaire:**  
https://apply.usastaffing.gov/ViewQuestionnaire/12877125
**Required Documents**
----------------------
**A complete application consists of:**
* **A resume or any other written format you choose to describe your job\-related qualifications; optional cover letter:** Your resume should indicate your citizenship and should list your educational and work experience including titles, salary, employment dates, duties, experience and how it relates to the specialized experience in the job announcement. **Please note your resume must be limited to a maximum of two pages.** Resumes exceeding this limit will not be considered eligible. Please submit only one resume. Only the document uploaded under the "Resume "section as the "Document Type" will be reviewed to assess your qualifications and for evaluation purposes.
* **Professional or Academic References** \- Provide 2\-3 professional/academic references (name, phone, email); one must be your current supervisor. We'll notify you before contacting them.
**Please Note:** Responses to job questions that are not fully supported by the information in your resume may result in adjustments to your rating. Any experience claimed in a cover letter should be substantiated by information contained in your resume. A HR Representative will validate the qualifications of those candidates eligible to be referred to the hiring official.  
**Supporting Documents:**  
**PLEASE NOTE:** Applicants who meet the minimum eligibility and qualification requirements for this position may be contacted via email within 7 business days of this announcement closing to submit follow\-up supporting docs if applicable. Applicants claiming CTAP/ICTAP eligibility who fail to submit supporting documents within 5 business days of receiving the email request will not lose consideration for this position, however they will not be entitled to special or priority consideration. Supporting docs that may be requested of applicants after the closing date of this announcement are:  
**1\. Notification of Personnel Action (SF\-50\)** \- For current and/or former Federal employees, your status eligibility and highest permanent grade/step/salary held in the Federal service will be validated with a copy of **your most recent SF\-50**, "Notification of Personnel Action" so that we may verify your time\-in\-grade.  
**2\. Performance Appraisal \-** Recent performance appraisal with supervisor's signature showing the official final rating of record, and copy of incentive award(s). In cases where the performance appraisal is incomplete or unavailable, applicants may provide explanation of the reasons.  
**3\. Career Transition Assistance Program (CTAP) or Interagency Career Transition Assistance Program (ICTAP) documents** \-
* **CTAP applicants MUST submit the following documents:** 1\. A copy of your RIF separation notice, notice of proposed removal for declining a directed geographic relocation outside of the local commuting area; a Certificate of Expected Separation (CES); or certification that you are in a surplus organization or occupation (this could be a position abolishment letter, a notice of eligibility for discontinued service retirement, or similar notice); 2\. A copy of your SF\-50 "Notification of Personnel Action", noting current position, grade/band level, and duty location; 3\. A copy of your latest performance appraisal including your rating; and 4\. Any documentation from your bureau/operating unit that shows your current promotion potential.
* **ICTAP applicants MUST submit the following documents:** 1\. A copy of your RIF separation notice, notice of proposed removal for declining a directed geographic relocation outside of the local commuting area, notice of disability annuity termination, certification from your former agency that it cannot place you after your recovery from a work\-related compensable injury; or certification from the National Guard Bureau or Military Department that you are eligible for disability retirement. 2\. A copy of your SF\-50 "Notification of Personnel Action", documenting your RIF separation, noting your position, grade/band level, and duty location, and/or Agency certification of inability to place you through RPL, etc.; 3\. A copy of your latest performance appraisal including your rating; and 4\. Any documentation from your agency that shows your current promotion potential.
You can upload your documents when you register or update your information on the Dept. of Commerce site which you access through the USAJobs site.  
**Your application and all required documents must be received by 11:59 pm ET on the closing date of this job announcement.**  
NOTE: The preceding documents requirement are based on job requirements and individual applicant eligibility. Not all documents are applicable to all applicants; if you are unsure which documents apply to you, contact the HR Specialist listed on this announcement.
**How to Apply**
----------------
You **MUST** apply online. If you experience difficulties with the application process or do not have access to a computer, please contact the HR Specialist listed as the point of contact before the closing date of this job announcement.  
If you are a new user to the USAJobs Site and have never registered for an account, you will first need to create an account profile with your basic contact information and a resume to begin applying. You must be a registered USAJobs user AND you must be signed\-in to your account in order to apply for this position. For help setting up an account or for general help using USAJobs, go to USAJobs Help Page. Once you have gathered all of the required information and are ready to begin the application process, click the "APPLY" button at the right side of the page. You will then be directed away from USAJobs to the Department of Commerce application site for USPTO. You must click "Submit" at the end of the application process to send your application for consideration.  
To return to your saved application, log in to your USAJOBS account at http://www.usajobs.gov/ and click on "Applications." Click on the position title, then select "Update Application."  
If you experience any difficulties with the application site, help is available! OPM has a Help feature on each page. Use this option when you need assistance.  
All required supporting documents will be collected electronically via the USAJobs "Saved Documents" feature.  
**Personally Identifiable Information (PII)**  
Personally Identifiable Information (PII) is defined as information that can be traced back to a specific individual and potentially compromise their security or privacy. Examples of PII include: date of birth, Social Security Number, and place of birth.  
Please ensure that you have removed all Personally Identifiable Information from all documents prior to submitting or uploading your applications material.
### **Agency contact information**
Erica Faulcon
Phone
571\-270\-3344
Email
erica.faulcon@uspto.gov
Address
*TMCO\-Information Technology Transformation Office*  
*Office of Human Resources*  
*Mail Stop 171*  
*P.O. Box 1450*  
*Alexandria, VA 22313*  
*US*### **Next steps**
You will receive a notice generated by the USAJobs System when you have successfully submitted your application.  
You will be notified of your application status through USAJOBS at four points during the hiring process, as applicable. You can check the status of your application by accessing the USAJOBS website at http://usajobs.gov/ and clicking on "Track Your Online Application." The four points of notification are:  
1\. Application Received or Application Incomplete;  
2\. Minimum Qualification Requirement Met or Minimum Qualification Requirement Not Met;  
3\. Eligible (Application Referred to the Selecting Official) or Eligible (Application Not Referred to the Selecting Official); and  
4\. Selected or Not Selected  
After all application packages have been received, we will review your application and transcript(s) (if you are qualifying based on education) to ensure you meet the basic qualification requirements. We will evaluate each applicant who meets the basic qualifications on the information provided and you may be contacted for follow\-up supplemental documentation. It is the applicant's responsibility to provide any supplemental documents or information requested by the Office of Human Resources within the allocated timeframes.  
You will be required to submit official documentation prior to appointment. The agency will then verify the information provided on your application (i.e., degree, veterans' preference, disability, etc.). You can check the status of your application by logging into USAJOBS. You may also sign up to receive automatic emails anytime the status of your application has changed by logging into your USAJobs Account, editing your profile and changing the "Notification Settings" to indicate that you want to be notified by email when the status changes. Information regarding the status of your application should be updated in the system within 2 weeks after the closing date of this job announcement.
**Overview**
------------
Accepting applications
Open \&amp; closing dates
02/25/2026 to 03/09/2026
This job will close when we have received **250 applications** which may be sooner than the closing date. Learn more
Salary
$102,415 to \- $187,093 per year
\*\*Salary listed above is for the Washington\-Baltimore\-Arlington area; Salary dependent on location of selectee; Locality tables are listed on OPM.\*\*
Pay scale \&amp; grade
GS 12 \- 14
Location
1 vacancy in the following location:
Alexandria, VA
Remote job
No
Telework eligible
No
Travel Required
Not required
Relocation expenses reimbursed
No
Appointment type
Permanent
Work schedule
Full\-time
Service
Competitive
Promotion potential
14
Job family (Series)
* 1560 Data Science Series
Supervisory status
No
Security clearance
Not Required
Drug test
No
Position sensitivity and risk
Moderate Risk (MR)
Trust determination process
* Credentialing
* Suitability/Fitness
Financial disclosure
No
Bargaining unit status
No
Announcement number
TMCO\-ITTO\-26\-12877125\-DH
Control number
858879000</t>
        </is>
      </c>
    </row>
    <row r="108">
      <c r="A108" t="inlineStr">
        <is>
          <t>in-e559c2324dd6c17f</t>
        </is>
      </c>
      <c r="B108" t="inlineStr">
        <is>
          <t>Data Scientist – Entry Level – Artificial Intelligence Focus (Hybrid)</t>
        </is>
      </c>
      <c r="C108" t="inlineStr">
        <is>
          <t>Barr Engineering</t>
        </is>
      </c>
      <c r="D108" t="inlineStr">
        <is>
          <t>indeed</t>
        </is>
      </c>
      <c r="E108">
        <f>HYPERLINK("https://www.indeed.com/viewjob?jk=e559c2324dd6c17f", "https://www.indeed.com/viewjob?jk=e559c2324dd6c17f")</f>
        <v/>
      </c>
      <c r="F108">
        <f>HYPERLINK("https://barr.wd1.myworkdayjobs.com/en-US/BarrCareers/job/Minneapolis-MN/Data-Scientist---Entry-Level---Artificial-Intelligence-Focus--Hybrid-_R-102031", "https://barr.wd1.myworkdayjobs.com/en-US/BarrCareers/job/Minneapolis-MN/Data-Scientist---Entry-Level---Artificial-Intelligence-Focus--Hybrid-_R-102031")</f>
        <v/>
      </c>
      <c r="G108" t="inlineStr">
        <is>
          <t>Minneapolis, MN, US</t>
        </is>
      </c>
      <c r="H108" s="2" t="n">
        <v>46077</v>
      </c>
      <c r="I108" t="inlineStr">
        <is>
          <t>The role – what you’ll do
The individual in this role will join a talented and collaborative team of digital solutions professionals. This person will support teams and work with various clients on data engineering, data science, artificial intelligence, and agentic systems. Work may also involve working with digital twins, management information systems, and bolstering internal digital technology capabilities.
The ideal candidate for this position will meet internal and external client needs with exceptional client service and professionalism. They are adaptable, have strong problem\-solving skills and have a desire to learn. They also have a strong team mentality with a willingness to assist where needed to contribute to the group’s success.
Your impact – key responsibilities* Create, deploy, and maintain artificial intelligence workflows.
* Implement agent scaffolding to optimize instructions, skills, tools, and context retrieval.
* Orchestrate teams of agents and subagents.
* Design, test, and deploy machine learning models.
* Perform data analysis, including data cleansing, data quality reviews, data visualization, statistical analysis, and model development and deployment
* Integrate data sources and support building of data pipelines
* Perform reviews to improve the accuracy of the data warehouse and reporting.
* Participate in Barr’s Data Resource Group and support technology for a wide variety of engineering, environmental, and scientific project work.
* Participate in process improvements and special projects as assigned by data scientists and engineers.
About the opportunity* Hybrid: a hybrid work arrangement may be considered for this position. A hybrid work arrangement refers to splitting time worked between a Barr office and a home office. This position is based out of Barr's Minneapolis, Minnesota, office.
* Travel expectation: this role may require up to 5% of time spent travelling; may vary depending on client needs and project commitments.
About you – required core competencies* Education: bachelor’s degree or relevant equivalent experience in computer science, data science, artificial intelligence, or a related program, such as engineering with an emphasis on data science.
* Software: experience with Azure or similar cloud computing platforms. Experience with Python.
* Experience building and implementing artificial intelligence workflows.
* Experience with processing unstructured data via large language models.
* Excellent oral and written communication skills.
* Excellent attention to detail, accuracy, time management, and follow\-through.
* Driver’s license: possession of a current, valid driver’s license and acceptable driving record.
* Must be legally authorized to work in the United States without the need for sponsorship by Barr, now or in the future.
Compensation: Anticipated range of $75,000–$90,000 annually. Compensation will vary based on relevant experience, education, skill level, and other compensable factors. Employees in this position may also be eligible for a discretionary cash bonus based on team and individual performance. This position is classified as exempt (salaried) under the Fair Labor Standards Act.
\#LI\-Hybrid \#Handshake
Benefits \- what we offer
We are committed to providing an employee experience that attracts and retains top talent. That's why we offer a competitive package of employee benefits \- including some unique offerings not found at other companies. At Barr, we also believe that learning doesn't stop when you get your degree, which is why we provide coaching, mentoring, and support for ongoing educational opportunities to foster professional development at every stage of your career.* Competitive, affordable insurance plans: Medical, dental, vision, life, disability, accidental death insurance, and flexible spending accounts for medical and dependent care
* Retirement benefits: 401(k) retirement savings plan with company contribution and an Employee Stock Ownership Plan (ESOP) with company contribution in Barr stock
* Profit distribution: Barr has a "no retained earnings" model and distributes all profit to our employees through our annual bonus distribution plan, ESOP, and dividends to shareholders
* Professional development benefits: Annual time and expense allowances, mentorship program, and many internal training opportunities
* Work/life balance: Paid time off, holidays, overtime for non\-exempt/hourly staff, and compensatory time for exempt/salaried staff (time off or pay for extra time worked), paid family leave
* Wellness focus: Ergonomic analysis and equipment, Personal Protective Equipment allowance, wellbeing\-focused educational opportunities
Please note that benefits eligibility is determined and may change based on part\-time, reduced\-time, or full\-time status.
About us \- why choose Barr
At Barr, you'll join a community of engineers, scientists, and professionals who will help you achieve your ambitions and build a meaningful, rewarding career. You'll serve as a trusted advisor to clients who value Barr's tailored solutions and commitment to exceptional service.
As part of our employee\-owned firm, you'll contribute to a culture of commitment and camaraderie where staff can thrive as professionals. We value diverse perspectives and experiences and believe an inclusive workplace is critical to our success.
To learn more about Barr's culture and values, visit: https://www.barr.com/Careers/Our\-culture*Open positions at Barr Engineering Co. do not have application deadlines. Barr Engineering Co. is an equal opportunity employer, and all applicants will receive consideration for employment without regard to race, color, religion, sex, sexual orientation, gender identity, national origin, disability, or status as a protected veteran.*</t>
        </is>
      </c>
    </row>
    <row r="109">
      <c r="A109" t="inlineStr">
        <is>
          <t>in-254e42d91393a395</t>
        </is>
      </c>
      <c r="B109" t="inlineStr">
        <is>
          <t>Healthcare Data Scientist - ML AI Stats OR</t>
        </is>
      </c>
      <c r="C109" t="inlineStr">
        <is>
          <t>University of Maryland Medical System</t>
        </is>
      </c>
      <c r="D109" t="inlineStr">
        <is>
          <t>indeed</t>
        </is>
      </c>
      <c r="E109">
        <f>HYPERLINK("https://www.indeed.com/viewjob?jk=254e42d91393a395", "https://www.indeed.com/viewjob?jk=254e42d91393a395")</f>
        <v/>
      </c>
      <c r="F109">
        <f>HYPERLINK("https://careers.umms.org/us/en/job/UOJUOMUSP100104EXTERNALENUS/Healthcare-Data-Scientist-ML-AI-Stats-OR?utm_source=indeed&amp;utm_medium=phenom-feeds", "https://careers.umms.org/us/en/job/UOJUOMUSP100104EXTERNALENUS/Healthcare-Data-Scientist-ML-AI-Stats-OR?utm_source=indeed&amp;utm_medium=phenom-feeds")</f>
        <v/>
      </c>
      <c r="G109" t="inlineStr">
        <is>
          <t>Linthicum Heights, MD, US</t>
        </is>
      </c>
      <c r="H109" s="2" t="n">
        <v>46077</v>
      </c>
      <c r="I109" t="inlineStr">
        <is>
          <t>**Job Requirements**  
**General Summary**
The Healthcare Data Scientist \- Machine Learning/AI, Statistics, Operations Research position will join our Advanced Data Science group at the University of Maryland Medical System (UMMS) in support of its strategic priority to become a data\-driven and outcomes\-oriented organization. The successful candidate will have experience with Machine Learning/AI, Statistics and Operations Research and a passion for working with healthcare data. Previous experience with various computational approaches along with an ability to demonstrate a portfolio of relevant prior projects is essential. This position will report to the Director for Advanced Data Science \&amp; Consulting Services.
**Principal Responsibilities and Tasks**
* Support analytic efforts designed around the organization’s strategic priorities and clinical/business problems.
* Develop predictive (machine learning and deep learning) and prescriptive (mathematical optimization and simulation) analytic models in support of the organization’s clinical, operations and business initiatives and priorities.
* Deploy solutions so that they provide actionable insights to the organization and are embedded or integrated with application systems.
* Work with the analytics team and clinical/business stakeholders to develop pilots so that they may be tested and validated in *pilot/incubator settings*.
* Perform statistical analysis to evaluate primary and secondary objectives from such pilots.
* Support development of strategic, tactical and operational presentations that summarize the results of predictive and prescriptive analytics projects in support of robust strategies for the organization.
* Build and extend our analytics portfolio supported by robust documentation.
* Work in a team to drive disruptive innovation, which may translate into improved quality of care, clinical outcomes, reduced costs, temporal efficiencies and process improvements.
* Assist leadership with strategies for scaling successful projects across the organization, and enhance the analytics applications based on feedback from end\-users and clinical/business consumers.
* Assist leadership with dissemination of success stories (and failures) in an effort to increase analytics literacy and adoption across the organization.
* Work with autonomy to find solutions to complex problems using open source tools and in\-house development.
* Stay abreast of state\-of\-the\-art literature in the fields of machine learning/AI, operations research, statistical modeling, statistical process control and mathematical optimization.
**Work Experience**  
**Education and Experience**
* PhD degree in applied mathematics, data science, physics, computer science, engineering, statistics, economics or a related field required; comparable work experience may be substituted for the PhD degree.
* Preferred 3\+ years of industry experience in the following:
* Machine Learning/AI, Statistics or Operations Research.
* Programming with SQL, Python and R.
* Practical experience with machine learning/AI problems, or formulating and solving mathematical (deterministic and stochastic) optimization problems and simulation, or performing advanced statistical analysis.
* Developing and applying computational algorithms and statistical methods to healthcare data (including, but not limited to data from electronic medical record, financial management, human resources, quality and supply chain).
* Developing and deploying healthcare\-relevant predictive and prescriptive models.
* Combining analytic methods and advanced data visualizations.
* Text mining and Natural Language Processing (NLP) is preferred.
**Knowledge, Skills and Abilities**
* Develop (from scratch) machine learning and/or deep learning approaches and algorithms to solve clinical and business (including operations, supply chain, human resources, finance) problems.
* Formulate and solve complex mathematical optimization problems using exact and heuristic approaches.
* Perform independent/unsupervised exploratory data analysis and advanced statistical analysis (e.g., regression analysis, cluster analysis, factor analysis, ANOVA).
* Design and prototype new application functionality for our products.
* Work with “real world” data including scrubbing, transformation, and imputation.
* Capable of artful storytelling and clearly presenting findings in oral and written format and through graphics to stakeholders at various organization levels.
* Knowledge of databases, data structures, data processing and data mining from large enterprise transaction systems (e.g., Epic, Infor/Lawson, McKesson HPM, Payer Claims or similar applications in healthcare or other industries).
* Effective at working independently and in collaboration with other staff members for software platform and web application development.
* Cooperatively and effectively work with people from various organization levels.
* Manage projects to meet organizational goals.
* Plan work, set clear direction, and coordinate own tasks in a fast\-paced multidisciplinary environment, including triaging issues, identifying data anomalies, and debugging software.
* Able to compare, contrast, and validate work with keen attention to detail.
* Actively generate process improvements; support and drive change, and confront difficult circumstances in creative ways.</t>
        </is>
      </c>
    </row>
    <row r="110">
      <c r="A110" t="inlineStr">
        <is>
          <t>in-dfa263838254ecb7</t>
        </is>
      </c>
      <c r="B110" t="inlineStr">
        <is>
          <t>Principal Data Scientist</t>
        </is>
      </c>
      <c r="C110" t="inlineStr">
        <is>
          <t>Openkyber</t>
        </is>
      </c>
      <c r="D110" t="inlineStr">
        <is>
          <t>indeed</t>
        </is>
      </c>
      <c r="E110">
        <f>HYPERLINK("https://www.indeed.com/viewjob?jk=dfa263838254ecb7", "https://www.indeed.com/viewjob?jk=dfa263838254ecb7")</f>
        <v/>
      </c>
      <c r="F110">
        <f>HYPERLINK("https://candidateportalnew.ceipal.com/job-details/WYla1kwjPq4k8HJczsO5SB_EKfQq4zuQFAeQWwZ-bzg#.job_boards.Indeed", "https://candidateportalnew.ceipal.com/job-details/WYla1kwjPq4k8HJczsO5SB_EKfQq4zuQFAeQWwZ-bzg#.job_boards.Indeed")</f>
        <v/>
      </c>
      <c r="G110" t="inlineStr">
        <is>
          <t>AK, US</t>
        </is>
      </c>
      <c r="H110" s="2" t="n">
        <v>46077</v>
      </c>
      <c r="I110" t="inlineStr">
        <is>
          <t>**RESPONSIBILITIES:** OpenKyber has a client in Madison, WI that is seeking a Lead Data Scientist.
**Summary:** This position works with the business to embrace new technologies and GenAI capabilities that make a meaningful impact for our customers, and how we connect with them. Projects can span from large, multi\-team initiatives to individual discovery work. As part of the enterprise data science team, we work with and support all areas of the business (Claims, Product, Risk Management, Contact Centers, etc.), developing holistic solutions that leverage new concepts (e.g. Agentic AI) into Production systems, combining the best of third\-party vendors with in\-house capabilities, and contributing to the community of data science practitioners through papers, conferences, talks, and academic partnerships like the Data Science Institute with UW. The role requires a focus on innovation and market awareness, ensuring our work is informed by current trends and offerings in the industry.
**Primary Accountabilities**
* Leads data science contributions on multiple projects; From large corporate initiatives, discovery/research projects, engagement with third\-party vendors and consulting companies, and partnerships with academia
* Engages with key parts of the business to understand the problems they're trying to solve and where there are opportunities to leverage the latest data science advancements
* Defines the scope of data science work on a project, coordinates what data scientists are working on, anticipates and escalates upcoming considerations, and works with engineering/design/product/etc. to deliver impactful business solutions
* Proactively researches, evaluates, applies and shares expertise of emerging AI technologies and open\-source tools; Strong emphasis on Generative AI, including (auto) prompt engineering, Agentic AI frameworks/MCP, and maturing our infrastructure through tools such as LangFuse/LiteLLM
**REQUIREMENTS:** To be considered for this position, candidates must have experience in a similar role, or they must possess significant knowledge, experience, and abilities to successfully perform the responsibilities listed. Relevant education and/or training will be considered a plus.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OpenKyber's sole discretion unless and until paid and may be modified in its discretion consistent with the law. This job is not eligible for bonuses, incentives or commissions.
OpenKyber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OpenKyber and its affiliates, and service providers. Note that if you choose to communicate with OpenKyber via text messaging the frequency may vary, and message and data rates may apply. Carriers are not liable for delayed or undelivered messages. You will always have the right to cease communicating via text by using key words such as STOP.
**For applications and inquiries, contact:** hirings@openkyber.com</t>
        </is>
      </c>
    </row>
    <row r="111">
      <c r="A111" t="inlineStr">
        <is>
          <t>in-25d154d767e0361a</t>
        </is>
      </c>
      <c r="B111" t="inlineStr">
        <is>
          <t>Lead Data Scientist</t>
        </is>
      </c>
      <c r="C111" t="inlineStr">
        <is>
          <t>Openkyber</t>
        </is>
      </c>
      <c r="D111" t="inlineStr">
        <is>
          <t>indeed</t>
        </is>
      </c>
      <c r="E111">
        <f>HYPERLINK("https://www.indeed.com/viewjob?jk=25d154d767e0361a", "https://www.indeed.com/viewjob?jk=25d154d767e0361a")</f>
        <v/>
      </c>
      <c r="F111">
        <f>HYPERLINK("https://candidateportalnew.ceipal.com/job-details/IpRy0H58rBu6Yk-kc-QStDG_ppCK64491ofsyiLzYzU#.job_boards.Indeed", "https://candidateportalnew.ceipal.com/job-details/IpRy0H58rBu6Yk-kc-QStDG_ppCK64491ofsyiLzYzU#.job_boards.Indeed")</f>
        <v/>
      </c>
      <c r="G111" t="inlineStr">
        <is>
          <t>AK, US</t>
        </is>
      </c>
      <c r="H111" s="2" t="n">
        <v>46077</v>
      </c>
      <c r="I111" t="inlineStr">
        <is>
          <t>**Role:** Senior Data Scientist\- Gen AI  
**Location:** Charlotte, NC (On\-site)  
**Experince:** 6\-10
Client is looking for experienced Data Scientists to join our fast\-growing advanced analytics consulting firm. Consultants need to bring deep expertise in Data Science, Machine Learning and AI. Client is trusted analytics partner for multiple Fortune 500 companies, enabling them to generate business value from data. Client business value and leadership has been recognized by various market research firms, including Forrester and Gartner. We are looking for top\-notch talent as we continue to build the best global analytics consulting team in the world. We are seeking an experienced Senior Data Scientist with 6\-10 years of expertise to join our team. You will leverage advanced data science techniques, generative AI concepts, and NLP expertise to solve complex business problems and drive measurable impact aligned with our leadership's vision.
**Key Responsibilities**
* Design and implement data science solutions to address business challenges using advanced problem\-solving methodologies and statistical techniques.
* Develop, train, and deploy machine learning models with a focus on generative AI and large language models (LLMs)
* Work with text and transcription data to build NLP\-based solutions that enhance product capabilities and user experience.
* Partner with cross\-functional teams including engineering, product, and business stakeholders to identify process and workflow gaps, analyze root causes using data science techniques, and architect scalable solutions that drive operational efficiency and business value.
* Stay at the forefront of AI/NLP advancements and evaluate new algorithms for potential business applications
* Create comprehensive documentation and present findings to stakeholders, ensuring alignment with organizational objectives
**Requirements**
* 6\-10 years of professional experience as a Data Scientist or in a closely related role
* Demonstrated ability to approach complex business and technical challenges using data science methodologies and statistical techniques
* Hands\-on experience in writing production\-grade code, data manipulation, and querying large databases Like Python and SQL
* Proven experience working on NLP with text and transcription data, including preprocessing, feature engineering, and model development
* Solid understanding of latest\-generation AI concepts including LLMs, prompt engineering, retrieval\-augmented generation (RAG), and other contemporary generative AI applications
* Passionate about staying current with emerging trends, research papers, and advancements in NLP and AI
* Ability to articulate complex technical concepts to both technical and non\-technical audiences.
* Ability to understand organizational vision and strategy, translating it into data\-driven initiatives that create positive business impact
**For applications and inquiries, contact:** hirings@openkyber.com</t>
        </is>
      </c>
    </row>
    <row r="112">
      <c r="A112" t="inlineStr">
        <is>
          <t>in-ab8e54b3532cc481</t>
        </is>
      </c>
      <c r="B112" t="inlineStr">
        <is>
          <t>Cleared Data Scientist</t>
        </is>
      </c>
      <c r="C112" t="inlineStr">
        <is>
          <t>Dhara Consulting Group</t>
        </is>
      </c>
      <c r="D112" t="inlineStr">
        <is>
          <t>indeed</t>
        </is>
      </c>
      <c r="E112">
        <f>HYPERLINK("https://www.indeed.com/viewjob?jk=ab8e54b3532cc481", "https://www.indeed.com/viewjob?jk=ab8e54b3532cc481")</f>
        <v/>
      </c>
      <c r="F112">
        <f>HYPERLINK("https://www.clearancejobs.com/jobs/8771582/cleared-data-scientist", "https://www.clearancejobs.com/jobs/8771582/cleared-data-scientist")</f>
        <v/>
      </c>
      <c r="G112" t="inlineStr">
        <is>
          <t>Aurora, CO, US</t>
        </is>
      </c>
      <c r="H112" s="2" t="n">
        <v>46077</v>
      </c>
      <c r="I112" t="inlineStr">
        <is>
          <t>Posted today
Top Secret
Unspecified
CI Polygraph
IT \- Data Science
Aurora, CO (On\-Site/Office)
General Atomics Integrated Intelligence, Inc. (GA\-Intelligence), an affiliate of General Atomics, was founded in 1989 and is located in Charlottesville, VA. It provides custom software development and innovative information engineering solutions to customers in government and private industry. We build and develop best\-in\-class all domain and globally focused situational awareness capabilities that process petabytes of data from numerous streaming data sources in near real time. Our systems apply state\-of\-the\-art algorithms and machine learning techniques to extract features and fuse data from multiple phenomenologies to form a rich live view of objects in the sky, on the sea, and on the ground. These analytics are designed to determine not just where something is, but what it is, where it's been and what it's doing. All of this "data to knowledge" is made available to end users in our own browser\-based application for visualization, analysis, and understanding. We always want to do more, and that's where you come in!
GA\-Intelligence is seeking Data Scientists to join our core product team, shaping the future of situational awareness capabilities for our customers. Our teams leverage cutting\-edge technology to process petabytes of data and extract features in near real time, all while providing a rich, live view of objects on land, sea, and sky. Join our growing team in taking our systems to the next level, giving end\-users the power to see beyond the data and truly understand the world around them.  
DUTIES AND RESPONSIBILITIES:* Design, develop and program methods that integrate to systems that consolidate and analyze unstructured, diverse data sources to generate actionable insights and solutions for client services and product enhancement.
* Develop, refine, deploy, and support statistical and machine learning models utilizing state of the art approaches.
* Communicate insights and findings from analysis and experiments to product, service, and business managers.
* Identify opportunities for product and customer process improvement using statistical and machine learning models to improve the effectiveness of different courses of action
* Create and utilize moderately complex algorithms and approaches, clean and synthesize training/test data, create/run simulations, and perform analysis of alternatives to best meet stakeholder requirements.
* Develop and deploy data visualization in order to communicate moderately complex concepts and data in a simple, actionable manner.
* Interact with product and service teams to identify questions and issues for data analysis and experiments.
* Document findings for business stakeholders as required. May create proposals, cost estimates, and whitepapers suitable for publication.
* Represent the organization as a contact with internal and external representatives.
* Maintain the strict confidentiality of sensitive information.
* Responsible for observing all laws, regulations and other applicable obligations wherever and whenever business is conducted on behalf of the Company. Expected to work in a safe manner in accordance with established operating procedures and practices.
We recognize and appreciate the value and contributions of individuals with diverse backgrounds and experiences and welcome all qualified individuals to apply.  
**Job Qualifications**  
* Typically requires a bachelor's degree, master's degree or PhD in data science, applied mathematics, statistics, computer science, or related technical/quantitative discipline from an accredited institution and progressive data science experience as follows; five or more years of experience with a bachelor's degree, three or more years of experience with a master's degree, or one or more years with a PhD. May substitute equivalent experience in lieu of education.
* Must have a general understanding of software development concepts, principles, and theory and demonstrate the ability to follow and apply the use of programming and analysis concepts.
* Must be able to work both independently and in a team environment.
* Able to work extended hours and travel to support project needs as required.
* PREFERRED SKILLS AND EXPERIENCE:
* Active TS/SCI Clearance with CI Poly
* Prior experience with gym , Unity, Unreal, or some other simulation environments
* Researched or applied autonomy in a highly\-latent, low\-bandwidth, or otherwise resource constrained environment
* Trained deep reinforcement learning algorithms for coordination of multiple, autonomous goals
* Performed nonlinear optimization for resource allocation with dynamic uncertainty and/or non\-observable variables
* Prior experience in domains/industries like: robotics, space mission planning, large industrial facility automation, robust and resilient communications
* Familiarity with common machine learning libraries for implementation (sklearn, weka, tensorflow, torch, etc)
* Proficiency in one or more of: Python, C\+\+, Java, R, Julia, Matlab
* Ability to understand and implement new models from the literature
* Experience with geospatial data and analytics.
* Familiarity with Intelligence Community and DoD mission sets.
**GROUP ID:** 10414685</t>
        </is>
      </c>
    </row>
    <row r="113">
      <c r="A113" t="inlineStr">
        <is>
          <t>in-bd00aaacf52a8fb2</t>
        </is>
      </c>
      <c r="B113" t="inlineStr">
        <is>
          <t>Senior Applied Scientist</t>
        </is>
      </c>
      <c r="C113" t="inlineStr">
        <is>
          <t>Microsoft</t>
        </is>
      </c>
      <c r="D113" t="inlineStr">
        <is>
          <t>indeed</t>
        </is>
      </c>
      <c r="E113">
        <f>HYPERLINK("https://www.indeed.com/viewjob?jk=bd00aaacf52a8fb2", "https://www.indeed.com/viewjob?jk=bd00aaacf52a8fb2")</f>
        <v/>
      </c>
      <c r="F113">
        <f>HYPERLINK("https://apply.careers.microsoft.com/careers/job/1970393556769383?utm_source=indeed&amp;domain=microsoft.com", "https://apply.careers.microsoft.com/careers/job/1970393556769383?utm_source=indeed&amp;domain=microsoft.com")</f>
        <v/>
      </c>
      <c r="G113" t="inlineStr">
        <is>
          <t>Redmond, WA, US</t>
        </is>
      </c>
      <c r="H113" s="2" t="n">
        <v>46072</v>
      </c>
      <c r="I113" t="inlineStr">
        <is>
          <t>**Overview**  
You’ll join the asset generation team in Microsoft AI focusing on image and video retrieval, recommendation and generation. You will build core generative AI solutions that power customer\-facing AI solutions and services for Microsoft Advertising at Bing platforms. In this role, you’ll combine solid computer vision skills with applied ML expertise to design, prototype, evaluate and ship production systems—using techniques like knowledge distillation, prompt engineering, reinforcement learning, image/video processing and rigorous evaluation/metrics to continuously improve image and video asset qualities. You’ll partner closely across product, research, and service engineering to deliver the innovative and robust solutions for enterprise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Research, develop, and build effective and innovative production\-grade generative AI and classical computer vision systems, with end\-to\-end ownership from concept through deployment and service operations.
* Lead technical design for core GenAI capabilities on image and video assets (e.g., image and video generation, super\-resolution and summarization) and make data\-driven tradeoffs across quality, latency, cost, and safety.
* Define and improve model and system quality using evaluation frameworks, experiment design, and metric evaluation; ensure robust testing and regression coverage.
* Collaborate with the partner teams to build solutions that meet enterprise requirements and align with customer needs and make business impact.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Demonstrated solid modelling skills in training and inferencing on online and offline computer vision models and related performance optimization for latency and artifact.
* Experience with prompt engineering, knowledge distillation and post\-training.
* Experience building and shipping generative AI systems (including image and video systems).
* Familiarity with compliance and security standards in enterprise AI solutions.
* Track record of delivering enterprise\-facing AI products at scale.
* Experience building and operating ML/AI systems in cloud environments; familiarity with MLOps practices (Azure a plus).
* Experience in publishing papers in top\-tier computer vision and machine learning conferences such as CVPR, ICML, ICCV, Neurips and ICLR.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4">
      <c r="A114" t="inlineStr">
        <is>
          <t>in-570bd35f5b52b0c6</t>
        </is>
      </c>
      <c r="B114" t="inlineStr">
        <is>
          <t>Principal Applied Scientist</t>
        </is>
      </c>
      <c r="C114" t="inlineStr">
        <is>
          <t>Microsoft</t>
        </is>
      </c>
      <c r="D114" t="inlineStr">
        <is>
          <t>indeed</t>
        </is>
      </c>
      <c r="E114">
        <f>HYPERLINK("https://www.indeed.com/viewjob?jk=570bd35f5b52b0c6", "https://www.indeed.com/viewjob?jk=570bd35f5b52b0c6")</f>
        <v/>
      </c>
      <c r="F114">
        <f>HYPERLINK("https://apply.careers.microsoft.com/careers/job/1970393556761673?utm_source=indeed&amp;domain=microsoft.com", "https://apply.careers.microsoft.com/careers/job/1970393556761673?utm_source=indeed&amp;domain=microsoft.com")</f>
        <v/>
      </c>
      <c r="G114" t="inlineStr">
        <is>
          <t>Redmond, WA, US</t>
        </is>
      </c>
      <c r="H114" s="2" t="n">
        <v>46071</v>
      </c>
      <c r="I114" t="inlineStr">
        <is>
          <t>**Overview**  
As a **Principal** **Applied Scientist** on the Copilot Agentic Security team, you will serve as a **scientific and technical leader** advancing the foundations that secure Microsoft’s agentic and autonomous AI systems. You will define **what to measure, how to measure it, and how to validate mitigations at scale**, shaping how Copilot evaluates and reduces real‑world security risk.
You will operate across the full security lifecycle—**attack simulation threat pattern discovery mitigation design empirical validation continuous measurement**—with ownership of **end‑to‑end evaluation strategies** rather than isolated experiments. Your work informs **durable, reusable defenses** that integrate into Copilot’s orchestration layers, shared services, and emerging agents.
At IC6, success is not only producing strong scientific artifacts, but **setting scientific direction**, influencing engineering and security strategy, and ensuring that mitigation decisions are grounded in **objective evidence, robust metrics, and reproducible methodology**.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**Scientific Leadership \&amp; Direction**
* Lead the **design of scientific approaches** for evaluating agentic security risks, including defining metrics, experimental methodology, and validation criteria.
* Serve as a **scientific authority** for how Copilot measures security quality, mitigation effectiveness, and residual risk over time.
* Identify gaps in existing evaluation approaches and **invent new methodologies** where current techniques are insufficient.
**Applied Modeling \&amp; Experimentation**
* Develop and apply advanced techniques in **machine learning, generative modeling, and empirical evaluation** to identify and characterize risks in agentic and autonomous systems.
* Build **reproducible experiments, datasets, and scorecards** that quantify system vulnerabilities and mitigation performance across realistic threat scenarios.
* Investigate **model behaviors, failure modes, and threat classes** emerging from MSRC cases, red‑team exercises, and internal adversarial testing.
**Evaluation \&amp; Risk Measurement**
* Design and operate **end‑to‑end evaluation pipelines** that measure agentic security quality across Copilot orchestration components and shared services.
* Translate top security risks into **measurable scientific requirements**, evaluation rubrics, and success criteria aligned with Copilot’s protection lifecycle.
* Use telemetry and real‑world signals to **continuously tune scoring functions, alerting thresholds, and validation loops**.
**Mitigation Science \&amp; Validation**
* Partner with engineering and adversarial testing to close the loop from **threat discovery mitigation design empirical validation**.
* Prototype and validate mitigation approaches, balancing **security effectiveness, model behavior, system performance, COGS, and latency**.
* Analyze incidents and vulnerability reports to **generalize categorical mitigations** that eliminate classes of threats rather than single exploits.
**Cross‑Functional Influence**
* Work closely with engineering to ensure scientific outputs are **operationalized into production‑grade services and reusable platform components**.
* Collaborate with PM/TPM and partner security teams (e.g., MSRC, Microsoft AI Security, Azure Security) to align scientific insights with roadmap decisions.
* Communicate findings, tradeoffs, and impact clearly to **senior engineering leadership and stakeholders**.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**Experience designing and executing scientific experiments** for complex, real‑world systems, including defining metrics, evaluation methodology, and validation criteria.
* **Experience building or applying ML models or statistical techniques** to analyze system behavior, detect failure modes, or evaluate mitigation effectiveness.
* **Proficiency in one or more programming languages** such as **Python**, **C\+\+**, **C\#**, or **Java**, including building reproducible analysis or evaluation pipelines.
* **Experience designing or evaluating algorithms, metrics, datasets, or data pipelines** used to assess system quality, safety, or security.
* Ability to meet **Microsoft, customer, and/or government security screening requirements**.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5\+ years experience creating publications (e.g., patents, libraries, peer\-reviewed academic papers).
* 2\+ years experience presenting at conferences or other events in the outside research/industry community as an invited speaker.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 Ability to operate effectively in **highly ambiguous, fast‑evolving security environments**, particularly those involving autonomous or generative AI systems.
* Willingness to engage deeply across organizational boundaries to drive durable security outcomes.
* Work‑site requirements vary by location and follow organizational guidance.
* This role may involve working with **sensitive or confidential AI model data** in accordance with Microsoft Responsible AI and Security policies.
\#DataScience,\# AppliedScience, \#Copilot, \#LLM, \#Agent, \#Security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5">
      <c r="A115" t="inlineStr">
        <is>
          <t>in-836e33254cbfbacb</t>
        </is>
      </c>
      <c r="B115" t="inlineStr">
        <is>
          <t>Data Scientist - Social Analytics</t>
        </is>
      </c>
      <c r="C115" t="inlineStr">
        <is>
          <t>Microsoft</t>
        </is>
      </c>
      <c r="D115" t="inlineStr">
        <is>
          <t>indeed</t>
        </is>
      </c>
      <c r="E115">
        <f>HYPERLINK("https://www.indeed.com/viewjob?jk=836e33254cbfbacb", "https://www.indeed.com/viewjob?jk=836e33254cbfbacb")</f>
        <v/>
      </c>
      <c r="F115">
        <f>HYPERLINK("https://apply.careers.microsoft.com/careers/job/1970393556761667?utm_source=indeed&amp;domain=microsoft.com", "https://apply.careers.microsoft.com/careers/job/1970393556761667?utm_source=indeed&amp;domain=microsoft.com")</f>
        <v/>
      </c>
      <c r="G115" t="inlineStr">
        <is>
          <t>Redmond, WA, US</t>
        </is>
      </c>
      <c r="H115" s="2" t="n">
        <v>46070</v>
      </c>
      <c r="I115" t="inlineStr">
        <is>
          <t>**Overview**  
We’re building a **Frontier Marketing** organization that learns fast and executes with precision and agility through AI\-powered insights. Our **Marketing Analytics** team builds AI and advanced analytics models that enable us to create intelligent tools that empower marketers with the data\-driven insights they need to optimize marketing impact and deliver rich recommendations for sellers to drive opportunities in their accounts. To accelerate this transformation to Frontier marketing, we are looking for a **Data Scientist – Social Analytics** who is excited to work with largescale social and behavioral data and apply analytical and social network techniques to real business problems. This role is designed for an individual contributor who can independently execute well\-scoped analytical problems, apply established methods, and deliver insights that inform marketing and communications decisions, with guidance from senior data scientists.  
You are a curious data scientist who enjoys working with complex, noisy data and uncovering patterns in how people and communities interact. You are comfortable applying analytical techniques to social and behavioral datasets and are eager to deepen your skills in social network analysis, experimentation, and storytelling with data.
You thrive in a collaborative, matrixed environment and enjoy partnering with analysts, data scientists, and business stakeholders. While you benefit from guidance on problem framing and approach, you can take ownership of execution, manage your work, and deliver high\-quality analyses that drive impact.  
You care about rigor and clarity, and you’re motivated by turning fast moving social data into insights that help teams make better decisions.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Execute well\-defined social analytics projects, translating business questions into analytical approaches with guidance from senior data scientists
* Apply social analytics and social network analysis techniques (e.g., graph analytics, community detection, centrality analysis, influence or diffusion concepts) to understand engagement and behavioral patterns
* Analyze large\-scale, noisy, and unstructured social media data, contributing to incremental improvements in data quality, feature engineering, and analytical relevance
* Develop analytical outputs, metrics, and visualizations that support marketing, public relations, and product decision\-making
* Collaborate with analysts and senior data scientists to contribute to scalable and self\-serve analytics solutions
* Communicate findings clearly through written summaries, presentations, and visualizations, translating technical results into business\-friendly insights
* Follow established best practices for data science quality, documentation, and reproducibility, and contribute to shared team standards and learnings
* Embody our culture and values.
 **Qualifications** **Required/minimum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**Additional or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1\+ years of experience ingesting, cleaning, and analyzing large\-scale social media data, including unstructured and semi\-structured signals (e.g., posts, comments, engagement metadata), with attention to data quality, bias, and analytical fitness for use
* 1\+ years of experience with social network analysis algorithms including community detection, centrality metrics, influence propagation models, graph\-based clustering methods
* 1\+ years of experience applying statistical or machine learning techniques to social or behavioral analytics problems
* 1\+ years of experience with advanced visualization techniques for social analytics and tools such as PowerBI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6">
      <c r="A116" t="inlineStr">
        <is>
          <t>in-9017b901141c54f3</t>
        </is>
      </c>
      <c r="B116" t="inlineStr">
        <is>
          <t>Senior Data Scientist - Social Analytics</t>
        </is>
      </c>
      <c r="C116" t="inlineStr">
        <is>
          <t>Microsoft</t>
        </is>
      </c>
      <c r="D116" t="inlineStr">
        <is>
          <t>indeed</t>
        </is>
      </c>
      <c r="E116">
        <f>HYPERLINK("https://www.indeed.com/viewjob?jk=9017b901141c54f3", "https://www.indeed.com/viewjob?jk=9017b901141c54f3")</f>
        <v/>
      </c>
      <c r="F116">
        <f>HYPERLINK("https://apply.careers.microsoft.com/careers/job/1970393556761660?utm_source=indeed&amp;domain=microsoft.com", "https://apply.careers.microsoft.com/careers/job/1970393556761660?utm_source=indeed&amp;domain=microsoft.com")</f>
        <v/>
      </c>
      <c r="G116" t="inlineStr">
        <is>
          <t>Redmond, WA, US</t>
        </is>
      </c>
      <c r="H116" s="2" t="n">
        <v>46070</v>
      </c>
      <c r="I116" t="inlineStr">
        <is>
          <t>**Overview**  
We’re building a **Frontier Marketing** organization that learns fast and executes with precision and agility through AI\-powered insights. Our **Marketing Analytics** team builds AI and advanced analytics models that enable us to create intelligent tools that empower marketers with the data\-driven insights they need to optimize marketing impact and deliver rich recommendations for sellers to drive opportunities in their accounts. To accelerate this transformation to Frontier marketing, we are looking for a **Data Scientist – Social Analytics** who is excited to work with largescale social and behavioral data and apply analytical and social network techniques to real business problems. This role is designed for an individual contributor who can independently execute well\-scoped analytical problems, apply established methods, and deliver insights that inform marketing and communications decisions, with guidance from senior data scientists.
You are a curious data scientist who enjoys working with complex, noisy data and uncovering patterns in how people and communities interact. You are comfortable applying analytical techniques to social and behavioral datasets and are eager to deepen your skills in social network analysis, experimentation, and storytelling with data.
You thrive in a collaborative, matrixed environment and enjoy partnering with analysts, data scientists, and business stakeholders. While you benefit from guidance on problem framing and approach, you can take ownership of execution, manage your work, and deliver high\-quality analyses that drive impact.
You care about rigor and clarity, and you’re motivated by turning fast moving social data into insights that help teams make better decisions.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Own and deliver complex social analytics problem spaces end\-to\-end, leveraging strong analytic judgement while framing ambiguous business questions into clear analytical objectives and success measures
* Apply advanced social network analysis methods (graph analytics, community detection, influence/diffusion modeling) and statistical techniques to understand engagement, behavior, and diffusion patterns to develop actionable insights
* Evaluate and extract insights from noisy, large\-scale and unstructured data, developing new methods to improve analytical quality and relevance
* Collaborate with analysts and partners to translate data science solutions into scalable, self\-serve analytics experiences
* Drive execution independently, with minimal guidance, identifying key risks, dependencies, and trade\-offs to ensure timely, high\-impact delivery.
* Partner directly with marketing, public relations, and product stakeholders to translate business questions into data science approaches, influencing decisions through explaining trade\-offs and implications of data science results
* Communicate complex findings clearly through narratives, visualizations, and executive\-ready materials, translating technical results into business terms and clear recommendations
* Serve as a technical thought leader and mentor across the team by setting high standards for data science quality, documentation and reproducibility, raising the overall bar for rigor and creativity.
 **Qualifications** **Required/minimum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**Additional or preferred qualifications*** Doctorate in Data Science, Mathematics, Statistics, Econometrics, Economics, Operations Research, Computer Science, or related field AND 3\+ years data\-science experience (e.g., managing structured and unstructured data, applying statistical techniques and reporting results)
	+ OR Master's Degree in Data Science, Mathematics, Statistics, Econometrics, Economics, Operations Research, Computer Science, or related field AND 5\+ years data\-science experience (e.g., managing structured and unstructured data, applying statistical techniques and reporting results)
	+ OR Bachelor's Degree in Data Science, Mathematics, Statistics, Econometrics, Economics, Operations Research, Computer Science, or related field AND 7\+ years data\-science experience (e.g., managing structured and unstructured data, applying statistical techniques and reporting results)
	+ OR equivalent experience.
* 3\+ years of experience ingesting, cleaning, and analyzing largescale social media data, including unstructured and semi\-structured signals (e.g., posts, comments, engagement metadata), with attention to data quality, bias, and analytical fitness for use.
* 3\+ years of experience applying social network analysis algorithms including community detection, centrality metrics, influence propagation models, graph\-based clustering methods.
* 3\+ years of experience applying statistical or machine learning techniques to social or behavioral analytics problems.
* 3\+ years of experience with advanced visualization techniques for social analytics and tools such as PowerBI.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7">
      <c r="A117" t="inlineStr">
        <is>
          <t>in-26f540a821d7d2a6</t>
        </is>
      </c>
      <c r="B117" t="inlineStr">
        <is>
          <t>Principal Applied Scientist</t>
        </is>
      </c>
      <c r="C117" t="inlineStr">
        <is>
          <t>Microsoft</t>
        </is>
      </c>
      <c r="D117" t="inlineStr">
        <is>
          <t>indeed</t>
        </is>
      </c>
      <c r="E117">
        <f>HYPERLINK("https://www.indeed.com/viewjob?jk=26f540a821d7d2a6", "https://www.indeed.com/viewjob?jk=26f540a821d7d2a6")</f>
        <v/>
      </c>
      <c r="F117">
        <f>HYPERLINK("https://apply.careers.microsoft.com/careers/job/1970393556756300?utm_source=indeed&amp;domain=microsoft.com", "https://apply.careers.microsoft.com/careers/job/1970393556756300?utm_source=indeed&amp;domain=microsoft.com")</f>
        <v/>
      </c>
      <c r="G117" t="inlineStr">
        <is>
          <t>US</t>
        </is>
      </c>
      <c r="H117" s="2" t="n">
        <v>46069</v>
      </c>
      <c r="I117"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Our team builds and operates the end\-to\-end measurement stack for Microsoft Security’s AI agents. We build and collaborate with industry on security domain benchmarks for foundation model comparisons, empowering product teams to build at the frontier edge of AI while driving progress in model research and development. We build rigorous evaluations of complete agentic systems, ensuring only the best solutions reach our customers. As a Principal Applied Scientist, you will define and drive the evaluation strategy for AI security agents across multiple products and orchestration frameworks. You will help set technical direction for how we measure agent capabilities at scale. You will also influence product roadmaps through evaluation insights, partner with product and engineering to translate results into readiness gates, model selection criteria, and go/no\-go decisions that enable teams to ship, safe, reliable security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You will be part of an Applied Science evaluations team working on high\-impact AI initiatives that define how security AI agents are measured, trusted, and shipped. You will lead technical direction for evaluation strategy, set standards adopted across teams, and mentor others in evaluation methodology.
Responsibilities include:
* Technical Leadership \&amp; Ownership: Define and drive technical strategy for security agent evaluations across Microsoft Security.
* Lead assessments of full agent systems, set evaluation standards adopted by multiple product groups, and translate findings into exec\-ready recommendations and deployment quality gates
* Agentic System Evaluation \&amp; Measurement: Define evaluation methodology for agent actions in realistic security scenarios covering planning, tool use, reasoning, robustness, and failure modes.
* Establish metrics that directly influence product readiness and release decisions.
* Evaluation Infrastructure \&amp; Harnesses: Architect reusable evaluation platform and harnesses across orchestration frameworks.
* Enable controlled testing on production\-representative data with appropriate privacy controls.
* Collect trajectories, telemetry, and results at scale
* Data \&amp; Signals for Evaluation: Set data standards and governance for agent evaluation datasets and grading rubrics.
* Ensure reproducibility, privacy\-preserving data practices, and long\-term reuse across evaluation scenarios.
* Research \&amp; Innovation: Collaborate with cross\-functional teams to advance evaluation research, prototype novel methods, and land them into the evaluation platform used by product teams.
* Contribute to publications and external partnerships where appropriate.
**Qualifications** **Required/minimum qualifications**
* Bachelor's Degree in Statistics, Econometrics, Computer Science, Electrical or Computer Engineering, or related field AND 6\+ years related experience (e.g., statistics, predictive analytics, research) OR Master's Degree in Statistics, Econometrics, Computer Science, Electrical or Computer Engineering, or related field AND 4\+ years related experience (e.g., statistics, predictive analytics, research) OR Doctorate in Statistics, Econometrics, Computer Science, Electrical or Computer Engineering, or related field AND 3\+ years related experience (e.g., statistics, predictive analytics, research) OR equivalent experience.
**Other Requirements**
* Candidates must be able to meet Microsoft, customer and/or government security screening requirements are required for this role. These requirements include, but are not limited to the following specialized security screenings:
* + Microsoft Cloud Background Check: This position will be required to pass the Microsoft Cloud background check upon hire/transfer and every two years thereafter.
**Additional or preferred qualifications*** Master's Degree in Statistics, Econometrics, Computer Science, Electrical or Computer Engineering, or related field AND 9\+ years related experience (e.g., statistics, predictive analytics, research) OR Doctorate in Statistics, Econometrics, Computer Science, Electrical or Computer Engineering, or related field AND 6\+ years related experience (e.g., statistics, predictive analytics, research) OR equivalent experience.
* Demonstrated experience shipping ML systems in production with experiment design, evaluation, and measurement methodology.
* Ability to design controlled experiments and ablations to isolate system behavior
* Experience in cybersecurity or security\-adjacent domains (safety, abuse/fraud, or risk)
* Track record of technical leadership across teams in the form of setting standards and driving alignment in ambiguity
* Deep expertise across multiple security domains (detection, investigation, response, threat intelligence, automation)
* Experience evaluating LLM\-based systems and agentic workflows, including tool use, planning, reasoning, and robustness.
* Track record of setting evaluation standards adopted across orgs, mentoring ICs in methodology, and driving executive\-level decisions through rigorous experimental analysis.
\#MSFTSecurity \#MSECAI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8">
      <c r="A118" t="inlineStr">
        <is>
          <t>in-0fc2f8fd7bae8d02</t>
        </is>
      </c>
      <c r="B118" t="inlineStr">
        <is>
          <t>Senior Applied Scientist</t>
        </is>
      </c>
      <c r="C118" t="inlineStr">
        <is>
          <t>Microsoft</t>
        </is>
      </c>
      <c r="D118" t="inlineStr">
        <is>
          <t>indeed</t>
        </is>
      </c>
      <c r="E118">
        <f>HYPERLINK("https://www.indeed.com/viewjob?jk=0fc2f8fd7bae8d02", "https://www.indeed.com/viewjob?jk=0fc2f8fd7bae8d02")</f>
        <v/>
      </c>
      <c r="F118">
        <f>HYPERLINK("https://apply.careers.microsoft.com/careers/job/1970393556756295?utm_source=indeed&amp;domain=microsoft.com", "https://apply.careers.microsoft.com/careers/job/1970393556756295?utm_source=indeed&amp;domain=microsoft.com")</f>
        <v/>
      </c>
      <c r="G118" t="inlineStr">
        <is>
          <t>Redmond, WA, US</t>
        </is>
      </c>
      <c r="H118" s="2" t="n">
        <v>46069</v>
      </c>
      <c r="I118"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looking for a Senior Applied Scientists to join a multidisciplinary squad to reshape how we defend Microsoft. You will actively innovate by leveraging and building upon a broad set of research from Microsoft, academia, and industry to develop novel methods, tools, and frameworks for demonstrating and enhancing defensive capabilities. You will collaborate with internal and external partners to apply your research to real\-world scenarios and challenges. You will have the opportunity to publish your work in top\-tier venues and contribute to the scientific community and the broader society. For those passionate about making a meaningful impact in the security industry, don’t miss this opportunity to join the team working on the latest AI technology and applicability.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**Responsibilities:**
* Conduct cutting\-edge research that builds towards transformative defensive security capabilities with demonstrated scientific rigor.
* Champion innovative principles and forward\-looking concepts guided by research trends in academia, OSS and industry. Form strategic partnerships with thought leaders across the company, in the industry and across domains.
* Work with defenders, threat hunters, PMs, and engineers to turn research into effective solutions that improve our ability to protect ourselves.
* Share research findings and innovations through open\-source releases, blog posts, patents, and industry conferences.
* Participate in partnerships with academia and industry to advance the state of the art in the field.
Embody our culture and values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experience conducting research as part of a research program (in academic or industry settings).
* 3\+ years of experience in Python, PyTorch, TensorFlow, or other machine learning frameworks.
* 2\+ years of experience in Python.
* 2\+ years of experience building customer solutions or open\-source projects using ML/generative AI and/or multi\-agent frameworks such as AutoGen, LangChain, LangGraph, crewAI, or equivalent.
* Excellent written and verbal communication skills, ability to simplify and explain complex ideas. 3\+ years experience creating publications (e.g., patents, libraries, peer\-reviewed academic papers).
* 1\+ year(s) experience developing and deploying products or systems at multiple points in the product cycle from ideation to shipping.
* Experience in cyber security and safety domains, such as malware detection, fraud prevention, cyber\-physical systems, adversary tradecraft, emerging threats or SOC operations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9">
      <c r="A119" t="inlineStr">
        <is>
          <t>in-61a8a1da1b25da3b</t>
        </is>
      </c>
      <c r="B119" t="inlineStr">
        <is>
          <t>Data Scientist II</t>
        </is>
      </c>
      <c r="C119" t="inlineStr">
        <is>
          <t>Microsoft</t>
        </is>
      </c>
      <c r="D119" t="inlineStr">
        <is>
          <t>indeed</t>
        </is>
      </c>
      <c r="E119">
        <f>HYPERLINK("https://www.indeed.com/viewjob?jk=61a8a1da1b25da3b", "https://www.indeed.com/viewjob?jk=61a8a1da1b25da3b")</f>
        <v/>
      </c>
      <c r="F119">
        <f>HYPERLINK("https://apply.careers.microsoft.com/careers/job/1970393556754932?utm_source=indeed&amp;domain=microsoft.com", "https://apply.careers.microsoft.com/careers/job/1970393556754932?utm_source=indeed&amp;domain=microsoft.com")</f>
        <v/>
      </c>
      <c r="G119" t="inlineStr">
        <is>
          <t>US</t>
        </is>
      </c>
      <c r="H119" s="2" t="n">
        <v>46065</v>
      </c>
      <c r="I119" t="inlineStr">
        <is>
          <t>**Overview**  
Come join us in the Azure Core Economics team, explore your passions, and impact the world! If you join the Azure Core Economics team, you will join a group of economists, data scientists, and software engineers within Azure Engineering that tackles a variety of data\-intensive problems related to cloud economics that are of critical importance to Microsoft. Our team collaborates with many other teams in Microsoft on problems such as pricing, demand estimation and forecasting, commerce incentives, capacity management and planning, cost modeling, geo\-expansion, fraud detection, yield management, virtual machine bin packing, and others.
As a Data Scientist II in the Azure Core Economics team, you will be responsible for leveraging large amounts of data to deliver products, prototypes, and actionable economic insights that drive improvements to Azure’s business. You will collaborate with colleagues in a wide range of disciplines on teams such as Azure Engineering, Business Planning, Capacity, Supply Chain \&amp; Provisioning, Finance, Microsoft Research, and the Office of the Chief Economist.  
This opportunity will allow you to gain experience working on unique cutting\-edge problems on the intersection of cloud computing, data science, economics, engineering, and research; develop deep expertise in economics, the cloud business, and a wide range of data science domains; and accelerate your career growth in an interdisciplinary environment. The team is supportive of flexible work, and candidates may work from home up to 2 days per week regardless of where they are located or as often as they would like if they have no collaborators in a Microsoft office within 50 miles of their residence.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Acquires data necessary for successful completion of project and utilizes querying, visualization, and reporting techniques to describe acquired data
* Understands existing code to write efficient and readable code for their own specific feature and collaborates with other engineering teams to integrate data models into engineering systems
* Understands modeling techniques and selects the correct approach to prepare data, train and optimize the model, and evaluate the output for statistical and business significance
* Assists with testing models on applications, real data, and production data, and analyzes model performance
* Assists in interpreting results, developing insights, and communicating results and insights to customers and stakeholders
* Engages with colleagues to understand strategy goals, explore opportunities for data science applications, and identify growth opportunities
* Learns and understands tools, techniques, strategies, and processes that can be utilized to improve process efficiency and performance
**Qualifications**  
Required Qualification: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Proficiency with relational databases and SQL, statistical packages in R, and standard libraries in Python
* Experience with distributed big data analytics (using, for example, Apache Spark, Hadoop, Azure Data Lake, or Cosmos)
* Solid understanding of and experience working with statistical inference techniques, machine learning models, and causal inference research designs.
\#azurecorejobs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0">
      <c r="A120" t="inlineStr">
        <is>
          <t>in-910435bdb562d86e</t>
        </is>
      </c>
      <c r="B120" t="inlineStr">
        <is>
          <t>Data Scientist, Security</t>
        </is>
      </c>
      <c r="C120" t="inlineStr">
        <is>
          <t>Microsoft</t>
        </is>
      </c>
      <c r="D120" t="inlineStr">
        <is>
          <t>indeed</t>
        </is>
      </c>
      <c r="E120">
        <f>HYPERLINK("https://www.indeed.com/viewjob?jk=910435bdb562d86e", "https://www.indeed.com/viewjob?jk=910435bdb562d86e")</f>
        <v/>
      </c>
      <c r="F120">
        <f>HYPERLINK("https://apply.careers.microsoft.com/careers/job/1970393556754259?utm_source=indeed&amp;domain=microsoft.com", "https://apply.careers.microsoft.com/careers/job/1970393556754259?utm_source=indeed&amp;domain=microsoft.com")</f>
        <v/>
      </c>
      <c r="G120" t="inlineStr">
        <is>
          <t>US</t>
        </is>
      </c>
      <c r="H120" s="2" t="n">
        <v>46064</v>
      </c>
      <c r="I120" t="inlineStr">
        <is>
          <t>**Overview**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Team Overview: The Microsoft Insider Risk Program is dedicated to safeguarding our people, data, and intellectual property from internal threats that could compromise the security and integrity of the company. Built on a foundation of collaboration, innovation, and analytical rigor, our team is focused on developing advanced detection and response capabilities for proactive insider risk identification, enabling Microsoft to remain resilient against internal risks in an ever\-evolving threat landscape.  
Role Overview: We are seeking a data scientist to join the engineering team for the Insider Risk Program. This role will join a fast\-paced, growing team to build advanced detection and monitoring capabilities, leveraging tools and techniques from across data science to create new features. You will be responsible for applying analysis and experimentation methods to iterate quickly, validate hypotheses, and measure system performance. This role will collaborate closely with all parts of the Insider Risk Program, from driving program alignment to translating operational needs to applying software development and systems engineering best practices.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Contribute to the design, development, implementation, and testing of data science techniques to enhance and expand detection systems. Apply big\-data methods to ensure scalability and performance.
* Collaborate with key stakeholders to understand gaps and requirements and effectively translate from business problem to technical approach. Communicate technical concepts to a variety of audiences to enable shared understanding.
* Develop and maintain detailed documentation for models and features to support debugging, troubleshooting, and long\-term code maintenance.
* Maintain awareness of trends in cybersecurity and insider risk detection strategies to identify opportunities to apply novel methodologies, share knowledge and contribute to technical discussions, and participate in internal/external conferences.
 **Qualifications** **Required/minimum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background and Microsoft Cloud background check upon hire/transfer and every two years thereafter.
* Citizenship \&amp; Citizenship Verification: This position requires verification of citizenship due to citizenship\-based legal restrictions. Specifically, this position supports United States federal, state, and/or local US government agency customers and is subject to certain citizenship\-based restrictions where required or permitted by applicable law. To meet this legal requirement, and as a condition of employment, the successful candidate’s citizenship will be verified with a valid passport.
* This role will require access to information that is controlled for export under export control regulations, potentially under the U.S. International Traffic in Arms Regulations or Export Administration Regulations, the EU Dual Use Regulation, and/or other export control regulations. As a condition of employment, the successful candidate will be required to provide either proof of their country of citizenship or proof of their U.S. permanent residency or other protected status (e.g., under 8 U.S.C. 1324b(a)(3\)) for assessment of eligibility to access the export controlled information. To meet this legal requirement, and as a condition of employment, the successful candidate’s citizenship will be verified with a valid passport. Lawful permanent residents, refugees, and asylees may verify status using other documents, where applicable.
**Additional or preferred qualifications:**
* 1\+ years experience in programming in Python and SQL or SQL\-like language
* 1\+ years experience in cybersecurity or insider risk programs
* 1\+ years experience in software development concepts like unit testing and CI/CD frameworks
* 1\+ years experience in applications of unsupervised machine learning or anomaly detection methods to business problems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1">
      <c r="A121" t="inlineStr">
        <is>
          <t>in-e6dcdf3f18bb9dd1</t>
        </is>
      </c>
      <c r="B121" t="inlineStr">
        <is>
          <t>Data Scientist II</t>
        </is>
      </c>
      <c r="C121" t="inlineStr">
        <is>
          <t>Microsoft</t>
        </is>
      </c>
      <c r="D121" t="inlineStr">
        <is>
          <t>indeed</t>
        </is>
      </c>
      <c r="E121">
        <f>HYPERLINK("https://www.indeed.com/viewjob?jk=e6dcdf3f18bb9dd1", "https://www.indeed.com/viewjob?jk=e6dcdf3f18bb9dd1")</f>
        <v/>
      </c>
      <c r="F121">
        <f>HYPERLINK("https://apply.careers.microsoft.com/careers/job/1970393556751443?utm_source=indeed&amp;domain=microsoft.com", "https://apply.careers.microsoft.com/careers/job/1970393556751443?utm_source=indeed&amp;domain=microsoft.com")</f>
        <v/>
      </c>
      <c r="G121" t="inlineStr">
        <is>
          <t>US</t>
        </is>
      </c>
      <c r="H121" s="2" t="n">
        <v>46056</v>
      </c>
      <c r="I121" t="inlineStr">
        <is>
          <t>**Overview**  
Cloud Computing is the highly competitive and rapidly growing market and is one of the most important initiatives for Microsoft. Customers put their big bet on Azure Cloud Platform to run their business. The Azure Core Insights team is a growing Agile team looking for passionate candidate who have both machine learning /data science and development skills and a keen interest in building AIOps solutions to solve the unique challenges in Cloud and drive the new generations of cloud infrastructure.
As a member of our team, you will be helping design and implement anomaly detection, auto\-triaging/correlation, and causal inference model to deliver preventive insights to improve Azure cloud system’s availability, reliability, and efficiency based on statistics, AI/ML, Large language model (LLM). You will be helping drive the actions based on the insights and infuse the AI/ML, LLM and AI Agent into our daily operations by working with research team, engineering team and program management team. The ideal candidate should have a passion around compute science, machine learning/AI, LLM and turning data into meaningful Insights and make it actionable. If you’ve dreamed of having global impact and love working with data and AI to create huge business value, come talk to us today!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Share accountability of a wide array of assets and be comfortable with learning a broad array of technologies.
* Independently design and implement anomaly detection, auto\-triaging/correlation, and causal inference model to deliver preventive insights to improve Azure cloud system availability, reliability, and efficiency
* Work with partner teams to integrate the Insights into Azure daily dev operations and Azure system for automatic mitigation and repairs
* Contribute towards driving visibility into customer impacting on Virtual Machines or Containers or higher\-level Azure services built on top of Virtual Machines.
* Assist with building an automated data quality solution to detect problems in downstream dependencies and take automated action to correct them.
* Look for opportunities to share learnings and tools broadly within Microsoft and beyond. Specifically, our team does cutting edge work with Azure Data Explorer (Kusto) and makes a point at contributing back to the larger environment.
**Qualifications** **Required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
	+ OR Bachelor's Degree in Data Science, Mathematics, Statistics, Econometrics, Economics, Operations Research, Computer Science, or related field AND 2\+ years data\-science experience (e.g., managing structured and unstructured data, applying statistical tec
	+ OR equivalent experience.
* 2\+ years in anomaly detection algorithm design or implemetations experience.
* 1\+ year(s) familiarity with open source machine learning library such as Scikit\-Learn, Pandas, Seaborn and or similar.
* 1\+ year(s) familiarity with AI Agent framework and machine learning models or LLM models such as linear/nonlinear regression, Bagged and Boosted Trees, Bayes methods, Transformer and or similar.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Data Science, Mathematics, Statistics, Econometrics, Economics, Operations Research, Computer Science,
	+ OR related field AND 3\+ years data\-science experience (e.g., managing structured and unstructured data, applying statistical techniques and reporting results)
	+ OR Bachelor's Degree in Data Science, Mathematics, Statistics, Econometrics, Economics, Operations Research, Computer Science,
	+ OR related field AND 5\+ years data\-science experience (e.g., managing structured and unstructured data, applying statistical techniques and reporting results)
	+ OR equivalent experience.
* 2\+ year(s) of basic computer science knowledge (concepts such as central processing unit (CPU), memory, top\-of\-rack switch (TOR), load balancer (LB), virtual network (VNet), virtual local area network (VLAN), etc.), and serverless architectures and other cloud architectural patterns.
* 2\+ years of experience in anomaly detection related AI/ML models.
* 2\+ years of proficiency in data visualization tools such as PowerBI, Networkx, or similar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2">
      <c r="A122" t="inlineStr">
        <is>
          <t>in-d4504260e59ea543</t>
        </is>
      </c>
      <c r="B122" t="inlineStr">
        <is>
          <t>Sr. Applied Scientist, Sponsored Products Off-Search Sourcing</t>
        </is>
      </c>
      <c r="C122" t="inlineStr">
        <is>
          <t>Amazon.com</t>
        </is>
      </c>
      <c r="D122" t="inlineStr">
        <is>
          <t>indeed</t>
        </is>
      </c>
      <c r="E122">
        <f>HYPERLINK("https://www.indeed.com/viewjob?jk=d4504260e59ea543", "https://www.indeed.com/viewjob?jk=d4504260e59ea543")</f>
        <v/>
      </c>
      <c r="F122">
        <f>HYPERLINK("https://www.amazon.jobs/jobs/3169094/sr-applied-scientist-sponsored-products-offsearch-sourcing?cmpid=DA_INAD200785B", "https://www.amazon.jobs/jobs/3169094/sr-applied-scientist-sponsored-products-offsearch-sourcing?cmpid=DA_INAD200785B")</f>
        <v/>
      </c>
      <c r="G122" t="inlineStr">
        <is>
          <t>Palo Alto, CA, US</t>
        </is>
      </c>
      <c r="H122" s="2" t="n">
        <v>46049</v>
      </c>
      <c r="I122"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23">
      <c r="A123" t="inlineStr">
        <is>
          <t>in-972411a486b6f962</t>
        </is>
      </c>
      <c r="B123" t="inlineStr">
        <is>
          <t>Sr. Applied Scientist, Sponsored Products Off-Search Sourcing</t>
        </is>
      </c>
      <c r="C123" t="inlineStr">
        <is>
          <t>Amazon.com</t>
        </is>
      </c>
      <c r="D123" t="inlineStr">
        <is>
          <t>indeed</t>
        </is>
      </c>
      <c r="E123">
        <f>HYPERLINK("https://www.indeed.com/viewjob?jk=972411a486b6f962", "https://www.indeed.com/viewjob?jk=972411a486b6f962")</f>
        <v/>
      </c>
      <c r="F123">
        <f>HYPERLINK("https://www.amazon.jobs/jobs/3169094/sr-applied-scientist-sponsored-products-offsearch-sourcing?cmpid=DA_INAD200785B", "https://www.amazon.jobs/jobs/3169094/sr-applied-scientist-sponsored-products-offsearch-sourcing?cmpid=DA_INAD200785B")</f>
        <v/>
      </c>
      <c r="G123" t="inlineStr">
        <is>
          <t>Seattle, WA, US</t>
        </is>
      </c>
      <c r="H123" s="2" t="n">
        <v>46049</v>
      </c>
      <c r="I123"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24">
      <c r="A124" t="inlineStr">
        <is>
          <t>in-26fe9ce6d13bb33f</t>
        </is>
      </c>
      <c r="B124" t="inlineStr">
        <is>
          <t>Sr. Applied Scientist, Sponsored Products Off-Search Sourcing</t>
        </is>
      </c>
      <c r="C124" t="inlineStr">
        <is>
          <t>Amazon.com</t>
        </is>
      </c>
      <c r="D124" t="inlineStr">
        <is>
          <t>indeed</t>
        </is>
      </c>
      <c r="E124">
        <f>HYPERLINK("https://www.indeed.com/viewjob?jk=26fe9ce6d13bb33f", "https://www.indeed.com/viewjob?jk=26fe9ce6d13bb33f")</f>
        <v/>
      </c>
      <c r="F124">
        <f>HYPERLINK("https://www.amazon.jobs/jobs/3169094/sr-applied-scientist-sponsored-products-offsearch-sourcing?cmpid=DA_INAD200785B", "https://www.amazon.jobs/jobs/3169094/sr-applied-scientist-sponsored-products-offsearch-sourcing?cmpid=DA_INAD200785B")</f>
        <v/>
      </c>
      <c r="G124" t="inlineStr">
        <is>
          <t>New York, NY, US</t>
        </is>
      </c>
      <c r="H124" s="2" t="n">
        <v>46049</v>
      </c>
      <c r="I124"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25">
      <c r="A125" t="inlineStr">
        <is>
          <t>in-ad6b21b38462c644</t>
        </is>
      </c>
      <c r="B125" t="inlineStr">
        <is>
          <t>Applied Scientist, Amazon Connect</t>
        </is>
      </c>
      <c r="C125" t="inlineStr">
        <is>
          <t>Amazon Web Services</t>
        </is>
      </c>
      <c r="D125" t="inlineStr">
        <is>
          <t>indeed</t>
        </is>
      </c>
      <c r="E125">
        <f>HYPERLINK("https://www.indeed.com/viewjob?jk=ad6b21b38462c644", "https://www.indeed.com/viewjob?jk=ad6b21b38462c644")</f>
        <v/>
      </c>
      <c r="F125">
        <f>HYPERLINK("https://www.amazon.jobs/jobs/3168981/applied-scientist-amazon-connect?cmpid=DA_INAD200785B", "https://www.amazon.jobs/jobs/3168981/applied-scientist-amazon-connect?cmpid=DA_INAD200785B")</f>
        <v/>
      </c>
      <c r="G125" t="inlineStr">
        <is>
          <t>New York, NY, US</t>
        </is>
      </c>
      <c r="H125" s="2" t="n">
        <v>46047</v>
      </c>
      <c r="I125"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26">
      <c r="A126" t="inlineStr">
        <is>
          <t>in-571c396865f372d1</t>
        </is>
      </c>
      <c r="B126" t="inlineStr">
        <is>
          <t>Applied Scientist II, Prime Video Personalization and Discovery Science</t>
        </is>
      </c>
      <c r="C126" t="inlineStr">
        <is>
          <t>Amazon.com</t>
        </is>
      </c>
      <c r="D126" t="inlineStr">
        <is>
          <t>indeed</t>
        </is>
      </c>
      <c r="E126">
        <f>HYPERLINK("https://www.indeed.com/viewjob?jk=571c396865f372d1", "https://www.indeed.com/viewjob?jk=571c396865f372d1")</f>
        <v/>
      </c>
      <c r="F126">
        <f>HYPERLINK("https://www.amazon.jobs/jobs/3168905/applied-scientist-ii-prime-video-personalization-and-discovery-science?cmpid=DA_INAD200785B", "https://www.amazon.jobs/jobs/3168905/applied-scientist-ii-prime-video-personalization-and-discovery-science?cmpid=DA_INAD200785B")</f>
        <v/>
      </c>
      <c r="G126" t="inlineStr">
        <is>
          <t>Sunnyvale, CA, US</t>
        </is>
      </c>
      <c r="H126" s="2" t="n">
        <v>46047</v>
      </c>
      <c r="I1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27">
      <c r="A127" t="inlineStr">
        <is>
          <t>in-c9e564b327b8c63a</t>
        </is>
      </c>
      <c r="B127" t="inlineStr">
        <is>
          <t>Applied Scientist, Amazon Connect</t>
        </is>
      </c>
      <c r="C127" t="inlineStr">
        <is>
          <t>Amazon Web Services</t>
        </is>
      </c>
      <c r="D127" t="inlineStr">
        <is>
          <t>indeed</t>
        </is>
      </c>
      <c r="E127">
        <f>HYPERLINK("https://www.indeed.com/viewjob?jk=c9e564b327b8c63a", "https://www.indeed.com/viewjob?jk=c9e564b327b8c63a")</f>
        <v/>
      </c>
      <c r="F127">
        <f>HYPERLINK("https://www.amazon.jobs/jobs/3168981/applied-scientist-amazon-connect?cmpid=DA_INAD200785B", "https://www.amazon.jobs/jobs/3168981/applied-scientist-amazon-connect?cmpid=DA_INAD200785B")</f>
        <v/>
      </c>
      <c r="G127" t="inlineStr">
        <is>
          <t>Seattle, WA, US</t>
        </is>
      </c>
      <c r="H127" s="2" t="n">
        <v>46047</v>
      </c>
      <c r="I127"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28">
      <c r="A128" t="inlineStr">
        <is>
          <t>in-3cec8816d50f0fbe</t>
        </is>
      </c>
      <c r="B128" t="inlineStr">
        <is>
          <t>Applied Scientist II, Prime Video Personalization and Discovery Science</t>
        </is>
      </c>
      <c r="C128" t="inlineStr">
        <is>
          <t>Amazon.com</t>
        </is>
      </c>
      <c r="D128" t="inlineStr">
        <is>
          <t>indeed</t>
        </is>
      </c>
      <c r="E128">
        <f>HYPERLINK("https://www.indeed.com/viewjob?jk=3cec8816d50f0fbe", "https://www.indeed.com/viewjob?jk=3cec8816d50f0fbe")</f>
        <v/>
      </c>
      <c r="F128">
        <f>HYPERLINK("https://www.amazon.jobs/jobs/3168905/applied-scientist-ii-prime-video-personalization-and-discovery-science?cmpid=DA_INAD200785B", "https://www.amazon.jobs/jobs/3168905/applied-scientist-ii-prime-video-personalization-and-discovery-science?cmpid=DA_INAD200785B")</f>
        <v/>
      </c>
      <c r="G128" t="inlineStr">
        <is>
          <t>Seattle, WA, US</t>
        </is>
      </c>
      <c r="H128" s="2" t="n">
        <v>46047</v>
      </c>
      <c r="I1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29">
      <c r="A129" t="inlineStr">
        <is>
          <t>in-4cb42d934880eba4</t>
        </is>
      </c>
      <c r="B129" t="inlineStr">
        <is>
          <t>Applied Scientist II, Prime Video Personalization and Discovery Science</t>
        </is>
      </c>
      <c r="C129" t="inlineStr">
        <is>
          <t>Amazon.com</t>
        </is>
      </c>
      <c r="D129" t="inlineStr">
        <is>
          <t>indeed</t>
        </is>
      </c>
      <c r="E129">
        <f>HYPERLINK("https://www.indeed.com/viewjob?jk=4cb42d934880eba4", "https://www.indeed.com/viewjob?jk=4cb42d934880eba4")</f>
        <v/>
      </c>
      <c r="F129">
        <f>HYPERLINK("https://www.amazon.jobs/jobs/3168905/applied-scientist-ii-prime-video-personalization-and-discovery-science?cmpid=DA_INAD200785B", "https://www.amazon.jobs/jobs/3168905/applied-scientist-ii-prime-video-personalization-and-discovery-science?cmpid=DA_INAD200785B")</f>
        <v/>
      </c>
      <c r="G129" t="inlineStr">
        <is>
          <t>New York, NY, US</t>
        </is>
      </c>
      <c r="H129" s="2" t="n">
        <v>46047</v>
      </c>
      <c r="I1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30">
      <c r="A130" t="inlineStr">
        <is>
          <t>in-c76cccc0fc067223</t>
        </is>
      </c>
      <c r="B130" t="inlineStr">
        <is>
          <t>Applied Scientist, Safety ML</t>
        </is>
      </c>
      <c r="C130" t="inlineStr">
        <is>
          <t>Amazon.com</t>
        </is>
      </c>
      <c r="D130" t="inlineStr">
        <is>
          <t>indeed</t>
        </is>
      </c>
      <c r="E130">
        <f>HYPERLINK("https://www.indeed.com/viewjob?jk=c76cccc0fc067223", "https://www.indeed.com/viewjob?jk=c76cccc0fc067223")</f>
        <v/>
      </c>
      <c r="F130">
        <f>HYPERLINK("https://www.amazon.jobs/jobs/3161224/applied-scientist-safety-ml?cmpid=DA_INAD200785B", "https://www.amazon.jobs/jobs/3161224/applied-scientist-safety-ml?cmpid=DA_INAD200785B")</f>
        <v/>
      </c>
      <c r="G130" t="inlineStr">
        <is>
          <t>San Francisco, CA, US</t>
        </is>
      </c>
      <c r="H130" s="2" t="n">
        <v>46037</v>
      </c>
      <c r="I13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31">
      <c r="A131" t="inlineStr">
        <is>
          <t>in-c797d0bc63821b88</t>
        </is>
      </c>
      <c r="B131" t="inlineStr">
        <is>
          <t>Applied Scientist, Safety ML</t>
        </is>
      </c>
      <c r="C131" t="inlineStr">
        <is>
          <t>Amazon.com</t>
        </is>
      </c>
      <c r="D131" t="inlineStr">
        <is>
          <t>indeed</t>
        </is>
      </c>
      <c r="E131">
        <f>HYPERLINK("https://www.indeed.com/viewjob?jk=c797d0bc63821b88", "https://www.indeed.com/viewjob?jk=c797d0bc63821b88")</f>
        <v/>
      </c>
      <c r="F131">
        <f>HYPERLINK("https://www.amazon.jobs/jobs/3161224/applied-scientist-safety-ml?cmpid=DA_INAD200785B", "https://www.amazon.jobs/jobs/3161224/applied-scientist-safety-ml?cmpid=DA_INAD200785B")</f>
        <v/>
      </c>
      <c r="G131" t="inlineStr">
        <is>
          <t>Seattle, WA, US</t>
        </is>
      </c>
      <c r="H131" s="2" t="n">
        <v>46037</v>
      </c>
      <c r="I1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32">
      <c r="A132" t="inlineStr">
        <is>
          <t>in-3c043ff4d7e87785</t>
        </is>
      </c>
      <c r="B132" t="inlineStr">
        <is>
          <t>Applied Scientist, LLM Code Agents, Kiro Science</t>
        </is>
      </c>
      <c r="C132" t="inlineStr">
        <is>
          <t>Amazon.com</t>
        </is>
      </c>
      <c r="D132" t="inlineStr">
        <is>
          <t>indeed</t>
        </is>
      </c>
      <c r="E132">
        <f>HYPERLINK("https://www.indeed.com/viewjob?jk=3c043ff4d7e87785", "https://www.indeed.com/viewjob?jk=3c043ff4d7e87785")</f>
        <v/>
      </c>
      <c r="F132">
        <f>HYPERLINK("https://www.amazon.jobs/jobs/3161363/applied-scientist-llm-code-agents-kiro-science?cmpid=DA_INAD200785B", "https://www.amazon.jobs/jobs/3161363/applied-scientist-llm-code-agents-kiro-science?cmpid=DA_INAD200785B")</f>
        <v/>
      </c>
      <c r="G132" t="inlineStr">
        <is>
          <t>Seattle, WA, US</t>
        </is>
      </c>
      <c r="H132" s="2" t="n">
        <v>46035</v>
      </c>
      <c r="I132"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33">
      <c r="A133" t="inlineStr">
        <is>
          <t>in-4f236ea12209ed84</t>
        </is>
      </c>
      <c r="B133" t="inlineStr">
        <is>
          <t>Applied Scientist, LLM Code Agents, Kiro Science</t>
        </is>
      </c>
      <c r="C133" t="inlineStr">
        <is>
          <t>Amazon.com</t>
        </is>
      </c>
      <c r="D133" t="inlineStr">
        <is>
          <t>indeed</t>
        </is>
      </c>
      <c r="E133">
        <f>HYPERLINK("https://www.indeed.com/viewjob?jk=4f236ea12209ed84", "https://www.indeed.com/viewjob?jk=4f236ea12209ed84")</f>
        <v/>
      </c>
      <c r="F133">
        <f>HYPERLINK("https://www.amazon.jobs/jobs/3161363/applied-scientist-llm-code-agents-kiro-science?cmpid=DA_INAD200785B", "https://www.amazon.jobs/jobs/3161363/applied-scientist-llm-code-agents-kiro-science?cmpid=DA_INAD200785B")</f>
        <v/>
      </c>
      <c r="G133" t="inlineStr">
        <is>
          <t>Santa Clara, CA, US</t>
        </is>
      </c>
      <c r="H133" s="2" t="n">
        <v>46035</v>
      </c>
      <c r="I133"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34">
      <c r="A134" t="inlineStr">
        <is>
          <t>in-46554f3189f9912b</t>
        </is>
      </c>
      <c r="B134" t="inlineStr">
        <is>
          <t>Applied Scientist II, Prime Video Personalization and Discovery Science</t>
        </is>
      </c>
      <c r="C134" t="inlineStr">
        <is>
          <t>Amazon.com</t>
        </is>
      </c>
      <c r="D134" t="inlineStr">
        <is>
          <t>indeed</t>
        </is>
      </c>
      <c r="E134">
        <f>HYPERLINK("https://www.indeed.com/viewjob?jk=46554f3189f9912b", "https://www.indeed.com/viewjob?jk=46554f3189f9912b")</f>
        <v/>
      </c>
      <c r="F134">
        <f>HYPERLINK("https://www.amazon.jobs/jobs/3165157/applied-scientist-ii-prime-video-personalization-and-discovery-science?cmpid=DA_INAD200785B", "https://www.amazon.jobs/jobs/3165157/applied-scientist-ii-prime-video-personalization-and-discovery-science?cmpid=DA_INAD200785B")</f>
        <v/>
      </c>
      <c r="G134" t="inlineStr">
        <is>
          <t>Seattle, WA, US</t>
        </is>
      </c>
      <c r="H134" s="2" t="n">
        <v>46034</v>
      </c>
      <c r="I1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35">
      <c r="A135" t="inlineStr">
        <is>
          <t>in-f2a7cb169857f455</t>
        </is>
      </c>
      <c r="B135" t="inlineStr">
        <is>
          <t>Applied Scientist II, Prime Video Personalization and Discovery Science</t>
        </is>
      </c>
      <c r="C135" t="inlineStr">
        <is>
          <t>Amazon.com</t>
        </is>
      </c>
      <c r="D135" t="inlineStr">
        <is>
          <t>indeed</t>
        </is>
      </c>
      <c r="E135">
        <f>HYPERLINK("https://www.indeed.com/viewjob?jk=f2a7cb169857f455", "https://www.indeed.com/viewjob?jk=f2a7cb169857f455")</f>
        <v/>
      </c>
      <c r="F135">
        <f>HYPERLINK("https://www.amazon.jobs/jobs/3165157/applied-scientist-ii-prime-video-personalization-and-discovery-science?cmpid=DA_INAD200785B", "https://www.amazon.jobs/jobs/3165157/applied-scientist-ii-prime-video-personalization-and-discovery-science?cmpid=DA_INAD200785B")</f>
        <v/>
      </c>
      <c r="G135" t="inlineStr">
        <is>
          <t>Sunnyvale, CA, US</t>
        </is>
      </c>
      <c r="H135" s="2" t="n">
        <v>46034</v>
      </c>
      <c r="I1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36">
      <c r="A136" t="inlineStr">
        <is>
          <t>in-5edf64a771385db9</t>
        </is>
      </c>
      <c r="B136" t="inlineStr">
        <is>
          <t>Applied Scientist, AWS Applied AI Solutions</t>
        </is>
      </c>
      <c r="C136" t="inlineStr">
        <is>
          <t>Amazon Web Services</t>
        </is>
      </c>
      <c r="D136" t="inlineStr">
        <is>
          <t>indeed</t>
        </is>
      </c>
      <c r="E136">
        <f>HYPERLINK("https://www.indeed.com/viewjob?jk=5edf64a771385db9", "https://www.indeed.com/viewjob?jk=5edf64a771385db9")</f>
        <v/>
      </c>
      <c r="F136">
        <f>HYPERLINK("https://www.amazon.jobs/jobs/3166907/applied-scientist-aws-applied-ai-solutions?cmpid=DA_INAD200785B", "https://www.amazon.jobs/jobs/3166907/applied-scientist-aws-applied-ai-solutions?cmpid=DA_INAD200785B")</f>
        <v/>
      </c>
      <c r="G136" t="inlineStr">
        <is>
          <t>New York, NY, US</t>
        </is>
      </c>
      <c r="H136" s="2" t="n">
        <v>46030</v>
      </c>
      <c r="I136"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37">
      <c r="A137" t="inlineStr">
        <is>
          <t>in-79cd05f12d04d96b</t>
        </is>
      </c>
      <c r="B137" t="inlineStr">
        <is>
          <t>Applied Scientist, AWS Applied AI Solutions</t>
        </is>
      </c>
      <c r="C137" t="inlineStr">
        <is>
          <t>Amazon Web Services</t>
        </is>
      </c>
      <c r="D137" t="inlineStr">
        <is>
          <t>indeed</t>
        </is>
      </c>
      <c r="E137">
        <f>HYPERLINK("https://www.indeed.com/viewjob?jk=79cd05f12d04d96b", "https://www.indeed.com/viewjob?jk=79cd05f12d04d96b")</f>
        <v/>
      </c>
      <c r="F137">
        <f>HYPERLINK("https://www.amazon.jobs/jobs/3166907/applied-scientist-aws-applied-ai-solutions?cmpid=DA_INAD200785B", "https://www.amazon.jobs/jobs/3166907/applied-scientist-aws-applied-ai-solutions?cmpid=DA_INAD200785B")</f>
        <v/>
      </c>
      <c r="G137" t="inlineStr">
        <is>
          <t>Seattle, WA, US</t>
        </is>
      </c>
      <c r="H137" s="2" t="n">
        <v>46030</v>
      </c>
      <c r="I137"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38">
      <c r="A138" t="inlineStr">
        <is>
          <t>in-ba269f008e614691</t>
        </is>
      </c>
      <c r="B138" t="inlineStr">
        <is>
          <t>Senior Applied Scientist, Sponsored Products and Brands, Off-Search</t>
        </is>
      </c>
      <c r="C138" t="inlineStr">
        <is>
          <t>Amazon.com</t>
        </is>
      </c>
      <c r="D138" t="inlineStr">
        <is>
          <t>indeed</t>
        </is>
      </c>
      <c r="E138">
        <f>HYPERLINK("https://www.indeed.com/viewjob?jk=ba269f008e614691", "https://www.indeed.com/viewjob?jk=ba269f008e614691")</f>
        <v/>
      </c>
      <c r="F138">
        <f>HYPERLINK("https://www.amazon.jobs/jobs/3153569/senior-applied-scientist-sponsored-products-and-brands-offsearch?cmpid=DA_INAD200785B", "https://www.amazon.jobs/jobs/3153569/senior-applied-scientist-sponsored-products-and-brands-offsearch?cmpid=DA_INAD200785B")</f>
        <v/>
      </c>
      <c r="G138" t="inlineStr">
        <is>
          <t>New York, NY, US</t>
        </is>
      </c>
      <c r="H138" s="2" t="n">
        <v>46017</v>
      </c>
      <c r="I138"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in-f9cecda23b030687</t>
        </is>
      </c>
      <c r="B139" t="inlineStr">
        <is>
          <t>Senior Applied Scientist, Sponsored Products and Brands, Off-Search</t>
        </is>
      </c>
      <c r="C139" t="inlineStr">
        <is>
          <t>Amazon.com</t>
        </is>
      </c>
      <c r="D139" t="inlineStr">
        <is>
          <t>indeed</t>
        </is>
      </c>
      <c r="E139">
        <f>HYPERLINK("https://www.indeed.com/viewjob?jk=f9cecda23b030687", "https://www.indeed.com/viewjob?jk=f9cecda23b030687")</f>
        <v/>
      </c>
      <c r="F139">
        <f>HYPERLINK("https://www.amazon.jobs/jobs/3153569/senior-applied-scientist-sponsored-products-and-brands-offsearch?cmpid=DA_INAD200785B", "https://www.amazon.jobs/jobs/3153569/senior-applied-scientist-sponsored-products-and-brands-offsearch?cmpid=DA_INAD200785B")</f>
        <v/>
      </c>
      <c r="G139" t="inlineStr">
        <is>
          <t>Palo Alto, CA, US</t>
        </is>
      </c>
      <c r="H139" s="2" t="n">
        <v>46017</v>
      </c>
      <c r="I139"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in-a176c4ce94c11053</t>
        </is>
      </c>
      <c r="B140" t="inlineStr">
        <is>
          <t>Senior Applied Scientist, Sponsored Products and Brands, Off-Search</t>
        </is>
      </c>
      <c r="C140" t="inlineStr">
        <is>
          <t>Amazon.com</t>
        </is>
      </c>
      <c r="D140" t="inlineStr">
        <is>
          <t>indeed</t>
        </is>
      </c>
      <c r="E140">
        <f>HYPERLINK("https://www.indeed.com/viewjob?jk=a176c4ce94c11053", "https://www.indeed.com/viewjob?jk=a176c4ce94c11053")</f>
        <v/>
      </c>
      <c r="F140">
        <f>HYPERLINK("https://www.amazon.jobs/jobs/3153569/senior-applied-scientist-sponsored-products-and-brands-offsearch?cmpid=DA_INAD200785B", "https://www.amazon.jobs/jobs/3153569/senior-applied-scientist-sponsored-products-and-brands-offsearch?cmpid=DA_INAD200785B")</f>
        <v/>
      </c>
      <c r="G140" t="inlineStr">
        <is>
          <t>Seattle, WA, US</t>
        </is>
      </c>
      <c r="H140" s="2" t="n">
        <v>46017</v>
      </c>
      <c r="I140"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in-ee168c378aa558b3</t>
        </is>
      </c>
      <c r="B141" t="inlineStr">
        <is>
          <t>Principal Applied Scientist, Kiro Science</t>
        </is>
      </c>
      <c r="C141" t="inlineStr">
        <is>
          <t>Amazon Web Services</t>
        </is>
      </c>
      <c r="D141" t="inlineStr">
        <is>
          <t>indeed</t>
        </is>
      </c>
      <c r="E141">
        <f>HYPERLINK("https://www.indeed.com/viewjob?jk=ee168c378aa558b3", "https://www.indeed.com/viewjob?jk=ee168c378aa558b3")</f>
        <v/>
      </c>
      <c r="F141">
        <f>HYPERLINK("https://www.amazon.jobs/jobs/3161064/principal-applied-scientist-kiro-science?cmpid=DA_INAD200785B", "https://www.amazon.jobs/jobs/3161064/principal-applied-scientist-kiro-science?cmpid=DA_INAD200785B")</f>
        <v/>
      </c>
      <c r="G141" t="inlineStr">
        <is>
          <t>New York, NY, US</t>
        </is>
      </c>
      <c r="H141" s="2" t="n">
        <v>45999</v>
      </c>
      <c r="I141"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42">
      <c r="A142" t="inlineStr">
        <is>
          <t>in-be0573e9ef4d4dc0</t>
        </is>
      </c>
      <c r="B142" t="inlineStr">
        <is>
          <t>Principal Applied Scientist, Kiro Science</t>
        </is>
      </c>
      <c r="C142" t="inlineStr">
        <is>
          <t>Amazon Web Services</t>
        </is>
      </c>
      <c r="D142" t="inlineStr">
        <is>
          <t>indeed</t>
        </is>
      </c>
      <c r="E142">
        <f>HYPERLINK("https://www.indeed.com/viewjob?jk=be0573e9ef4d4dc0", "https://www.indeed.com/viewjob?jk=be0573e9ef4d4dc0")</f>
        <v/>
      </c>
      <c r="F142">
        <f>HYPERLINK("https://www.amazon.jobs/jobs/3161064/principal-applied-scientist-kiro-science?cmpid=DA_INAD200785B", "https://www.amazon.jobs/jobs/3161064/principal-applied-scientist-kiro-science?cmpid=DA_INAD200785B")</f>
        <v/>
      </c>
      <c r="G142" t="inlineStr">
        <is>
          <t>Santa Clara, CA, US</t>
        </is>
      </c>
      <c r="H142" s="2" t="n">
        <v>45999</v>
      </c>
      <c r="I142"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43">
      <c r="A143" t="inlineStr">
        <is>
          <t>in-f88a6d66e87b6481</t>
        </is>
      </c>
      <c r="B143" t="inlineStr">
        <is>
          <t>Sr. Applied Scientist, Amazon Ads</t>
        </is>
      </c>
      <c r="C143" t="inlineStr">
        <is>
          <t>Amazon.com</t>
        </is>
      </c>
      <c r="D143" t="inlineStr">
        <is>
          <t>indeed</t>
        </is>
      </c>
      <c r="E143">
        <f>HYPERLINK("https://www.indeed.com/viewjob?jk=f88a6d66e87b6481", "https://www.indeed.com/viewjob?jk=f88a6d66e87b6481")</f>
        <v/>
      </c>
      <c r="F143">
        <f>HYPERLINK("https://www.amazon.jobs/jobs/3139328/sr-applied-scientist-amazon-ads?cmpid=DA_INAD200785B", "https://www.amazon.jobs/jobs/3139328/sr-applied-scientist-amazon-ads?cmpid=DA_INAD200785B")</f>
        <v/>
      </c>
      <c r="G143" t="inlineStr">
        <is>
          <t>New York, NY, US</t>
        </is>
      </c>
      <c r="H143" s="2" t="n">
        <v>45998</v>
      </c>
      <c r="I14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4">
      <c r="A144" t="inlineStr">
        <is>
          <t>in-0c5e48c88325bdaa</t>
        </is>
      </c>
      <c r="B144" t="inlineStr">
        <is>
          <t>Sr. Applied Scientist, Amazon Ads</t>
        </is>
      </c>
      <c r="C144" t="inlineStr">
        <is>
          <t>Amazon.com</t>
        </is>
      </c>
      <c r="D144" t="inlineStr">
        <is>
          <t>indeed</t>
        </is>
      </c>
      <c r="E144">
        <f>HYPERLINK("https://www.indeed.com/viewjob?jk=0c5e48c88325bdaa", "https://www.indeed.com/viewjob?jk=0c5e48c88325bdaa")</f>
        <v/>
      </c>
      <c r="F144">
        <f>HYPERLINK("https://www.amazon.jobs/jobs/3139328/sr-applied-scientist-amazon-ads?cmpid=DA_INAD200785B", "https://www.amazon.jobs/jobs/3139328/sr-applied-scientist-amazon-ads?cmpid=DA_INAD200785B")</f>
        <v/>
      </c>
      <c r="G144" t="inlineStr">
        <is>
          <t>Santa Monica, CA, US</t>
        </is>
      </c>
      <c r="H144" s="2" t="n">
        <v>45998</v>
      </c>
      <c r="I14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5">
      <c r="A145" t="inlineStr">
        <is>
          <t>in-f8b2397b5c4aaae1</t>
        </is>
      </c>
      <c r="B145" t="inlineStr">
        <is>
          <t>Sr. Applied Scientist, Amazon Ads</t>
        </is>
      </c>
      <c r="C145" t="inlineStr">
        <is>
          <t>Amazon.com</t>
        </is>
      </c>
      <c r="D145" t="inlineStr">
        <is>
          <t>indeed</t>
        </is>
      </c>
      <c r="E145">
        <f>HYPERLINK("https://www.indeed.com/viewjob?jk=f8b2397b5c4aaae1", "https://www.indeed.com/viewjob?jk=f8b2397b5c4aaae1")</f>
        <v/>
      </c>
      <c r="F145">
        <f>HYPERLINK("https://www.amazon.jobs/jobs/3139328/sr-applied-scientist-amazon-ads?cmpid=DA_INAD200785B", "https://www.amazon.jobs/jobs/3139328/sr-applied-scientist-amazon-ads?cmpid=DA_INAD200785B")</f>
        <v/>
      </c>
      <c r="G145" t="inlineStr">
        <is>
          <t>Palo Alto, CA, US</t>
        </is>
      </c>
      <c r="H145" s="2" t="n">
        <v>45998</v>
      </c>
      <c r="I14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6">
      <c r="A146" t="inlineStr">
        <is>
          <t>in-bcec2599d8989356</t>
        </is>
      </c>
      <c r="B146" t="inlineStr">
        <is>
          <t>Sr. Applied Scientist, Amazon Ads</t>
        </is>
      </c>
      <c r="C146" t="inlineStr">
        <is>
          <t>Amazon.com</t>
        </is>
      </c>
      <c r="D146" t="inlineStr">
        <is>
          <t>indeed</t>
        </is>
      </c>
      <c r="E146">
        <f>HYPERLINK("https://www.indeed.com/viewjob?jk=bcec2599d8989356", "https://www.indeed.com/viewjob?jk=bcec2599d8989356")</f>
        <v/>
      </c>
      <c r="F146">
        <f>HYPERLINK("https://www.amazon.jobs/jobs/3139328/sr-applied-scientist-amazon-ads?cmpid=DA_INAD200785B", "https://www.amazon.jobs/jobs/3139328/sr-applied-scientist-amazon-ads?cmpid=DA_INAD200785B")</f>
        <v/>
      </c>
      <c r="G146" t="inlineStr">
        <is>
          <t>Boulder, CO, US</t>
        </is>
      </c>
      <c r="H146" s="2" t="n">
        <v>45998</v>
      </c>
      <c r="I14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7">
      <c r="A147" t="inlineStr">
        <is>
          <t>in-98c33c6a195c830c</t>
        </is>
      </c>
      <c r="B147" t="inlineStr">
        <is>
          <t>Sr. Applied Scientist, Amazon Ads</t>
        </is>
      </c>
      <c r="C147" t="inlineStr">
        <is>
          <t>Amazon.com</t>
        </is>
      </c>
      <c r="D147" t="inlineStr">
        <is>
          <t>indeed</t>
        </is>
      </c>
      <c r="E147">
        <f>HYPERLINK("https://www.indeed.com/viewjob?jk=98c33c6a195c830c", "https://www.indeed.com/viewjob?jk=98c33c6a195c830c")</f>
        <v/>
      </c>
      <c r="F147">
        <f>HYPERLINK("https://www.amazon.jobs/jobs/3139328/sr-applied-scientist-amazon-ads?cmpid=DA_INAD200785B", "https://www.amazon.jobs/jobs/3139328/sr-applied-scientist-amazon-ads?cmpid=DA_INAD200785B")</f>
        <v/>
      </c>
      <c r="G147" t="inlineStr">
        <is>
          <t>Corvallis, OR, US</t>
        </is>
      </c>
      <c r="H147" s="2" t="n">
        <v>45998</v>
      </c>
      <c r="I14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8">
      <c r="A148" t="inlineStr">
        <is>
          <t>in-c9817e8b032729d0</t>
        </is>
      </c>
      <c r="B148" t="inlineStr">
        <is>
          <t>Sr. Applied Scientist, Amazon Ads</t>
        </is>
      </c>
      <c r="C148" t="inlineStr">
        <is>
          <t>Amazon.com</t>
        </is>
      </c>
      <c r="D148" t="inlineStr">
        <is>
          <t>indeed</t>
        </is>
      </c>
      <c r="E148">
        <f>HYPERLINK("https://www.indeed.com/viewjob?jk=c9817e8b032729d0", "https://www.indeed.com/viewjob?jk=c9817e8b032729d0")</f>
        <v/>
      </c>
      <c r="F148">
        <f>HYPERLINK("https://www.amazon.jobs/jobs/3139328/sr-applied-scientist-amazon-ads?cmpid=DA_INAD200785B", "https://www.amazon.jobs/jobs/3139328/sr-applied-scientist-amazon-ads?cmpid=DA_INAD200785B")</f>
        <v/>
      </c>
      <c r="G148" t="inlineStr">
        <is>
          <t>Brooklyn, NY, US</t>
        </is>
      </c>
      <c r="H148" s="2" t="n">
        <v>45998</v>
      </c>
      <c r="I14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9">
      <c r="A149" t="inlineStr">
        <is>
          <t>in-da0b7c2260adab53</t>
        </is>
      </c>
      <c r="B149" t="inlineStr">
        <is>
          <t>Sr. Applied Scientist, Amazon Ads</t>
        </is>
      </c>
      <c r="C149" t="inlineStr">
        <is>
          <t>Amazon.com</t>
        </is>
      </c>
      <c r="D149" t="inlineStr">
        <is>
          <t>indeed</t>
        </is>
      </c>
      <c r="E149">
        <f>HYPERLINK("https://www.indeed.com/viewjob?jk=da0b7c2260adab53", "https://www.indeed.com/viewjob?jk=da0b7c2260adab53")</f>
        <v/>
      </c>
      <c r="F149">
        <f>HYPERLINK("https://www.amazon.jobs/jobs/3139328/sr-applied-scientist-amazon-ads?cmpid=DA_INAD200785B", "https://www.amazon.jobs/jobs/3139328/sr-applied-scientist-amazon-ads?cmpid=DA_INAD200785B")</f>
        <v/>
      </c>
      <c r="G149" t="inlineStr">
        <is>
          <t>Seattle, WA, US</t>
        </is>
      </c>
      <c r="H149" s="2" t="n">
        <v>45998</v>
      </c>
      <c r="I14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0">
      <c r="A150" t="inlineStr">
        <is>
          <t>in-5c2551587950b152</t>
        </is>
      </c>
      <c r="B150" t="inlineStr">
        <is>
          <t>Sr. Applied Scientist, Amazon Ads</t>
        </is>
      </c>
      <c r="C150" t="inlineStr">
        <is>
          <t>Amazon.com</t>
        </is>
      </c>
      <c r="D150" t="inlineStr">
        <is>
          <t>indeed</t>
        </is>
      </c>
      <c r="E150">
        <f>HYPERLINK("https://www.indeed.com/viewjob?jk=5c2551587950b152", "https://www.indeed.com/viewjob?jk=5c2551587950b152")</f>
        <v/>
      </c>
      <c r="F150">
        <f>HYPERLINK("https://www.amazon.jobs/jobs/3139328/sr-applied-scientist-amazon-ads?cmpid=DA_INAD200785B", "https://www.amazon.jobs/jobs/3139328/sr-applied-scientist-amazon-ads?cmpid=DA_INAD200785B")</f>
        <v/>
      </c>
      <c r="G150" t="inlineStr">
        <is>
          <t>Sunnyvale, CA, US</t>
        </is>
      </c>
      <c r="H150" s="2" t="n">
        <v>45998</v>
      </c>
      <c r="I15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1">
      <c r="A151" t="inlineStr">
        <is>
          <t>in-3e506e932e33a87c</t>
        </is>
      </c>
      <c r="B151" t="inlineStr">
        <is>
          <t>Sr. Applied Scientist, Amazon Ads</t>
        </is>
      </c>
      <c r="C151" t="inlineStr">
        <is>
          <t>Amazon.com</t>
        </is>
      </c>
      <c r="D151" t="inlineStr">
        <is>
          <t>indeed</t>
        </is>
      </c>
      <c r="E151">
        <f>HYPERLINK("https://www.indeed.com/viewjob?jk=3e506e932e33a87c", "https://www.indeed.com/viewjob?jk=3e506e932e33a87c")</f>
        <v/>
      </c>
      <c r="F151">
        <f>HYPERLINK("https://www.amazon.jobs/jobs/3139328/sr-applied-scientist-amazon-ads?cmpid=DA_INAD200785B", "https://www.amazon.jobs/jobs/3139328/sr-applied-scientist-amazon-ads?cmpid=DA_INAD200785B")</f>
        <v/>
      </c>
      <c r="G151" t="inlineStr">
        <is>
          <t>Tukwila, WA, US</t>
        </is>
      </c>
      <c r="H151" s="2" t="n">
        <v>45998</v>
      </c>
      <c r="I15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2">
      <c r="A152" t="inlineStr">
        <is>
          <t>in-76ef0390dac23926</t>
        </is>
      </c>
      <c r="B152" t="inlineStr">
        <is>
          <t>Sr. Applied Scientist, Amazon Ads</t>
        </is>
      </c>
      <c r="C152" t="inlineStr">
        <is>
          <t>Amazon.com</t>
        </is>
      </c>
      <c r="D152" t="inlineStr">
        <is>
          <t>indeed</t>
        </is>
      </c>
      <c r="E152">
        <f>HYPERLINK("https://www.indeed.com/viewjob?jk=76ef0390dac23926", "https://www.indeed.com/viewjob?jk=76ef0390dac23926")</f>
        <v/>
      </c>
      <c r="F152">
        <f>HYPERLINK("https://www.amazon.jobs/jobs/3139328/sr-applied-scientist-amazon-ads?cmpid=DA_INAD200785B", "https://www.amazon.jobs/jobs/3139328/sr-applied-scientist-amazon-ads?cmpid=DA_INAD200785B")</f>
        <v/>
      </c>
      <c r="G152" t="inlineStr">
        <is>
          <t>Boston, MA, US</t>
        </is>
      </c>
      <c r="H152" s="2" t="n">
        <v>45998</v>
      </c>
      <c r="I15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3">
      <c r="A153" t="inlineStr">
        <is>
          <t>in-7a41dbf99d511552</t>
        </is>
      </c>
      <c r="B153" t="inlineStr">
        <is>
          <t>Principal Applied Scientist, Sponsored Products and Brands</t>
        </is>
      </c>
      <c r="C153" t="inlineStr">
        <is>
          <t>Amazon.com</t>
        </is>
      </c>
      <c r="D153" t="inlineStr">
        <is>
          <t>indeed</t>
        </is>
      </c>
      <c r="E153">
        <f>HYPERLINK("https://www.indeed.com/viewjob?jk=7a41dbf99d511552", "https://www.indeed.com/viewjob?jk=7a41dbf99d511552")</f>
        <v/>
      </c>
      <c r="F153">
        <f>HYPERLINK("https://www.amazon.jobs/jobs/3130855/principal-applied-scientist-sponsored-products-and-brands?cmpid=DA_INAD200785B", "https://www.amazon.jobs/jobs/3130855/principal-applied-scientist-sponsored-products-and-brands?cmpid=DA_INAD200785B")</f>
        <v/>
      </c>
      <c r="G153" t="inlineStr">
        <is>
          <t>Seattle, WA, US</t>
        </is>
      </c>
      <c r="H153" s="2" t="n">
        <v>45979</v>
      </c>
      <c r="I15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in-c11e252b1769b052</t>
        </is>
      </c>
      <c r="B154" t="inlineStr">
        <is>
          <t>Principal Applied Scientist, Sponsored Products and Brands</t>
        </is>
      </c>
      <c r="C154" t="inlineStr">
        <is>
          <t>Amazon.com</t>
        </is>
      </c>
      <c r="D154" t="inlineStr">
        <is>
          <t>indeed</t>
        </is>
      </c>
      <c r="E154">
        <f>HYPERLINK("https://www.indeed.com/viewjob?jk=c11e252b1769b052", "https://www.indeed.com/viewjob?jk=c11e252b1769b052")</f>
        <v/>
      </c>
      <c r="F154">
        <f>HYPERLINK("https://www.amazon.jobs/jobs/3130855/principal-applied-scientist-sponsored-products-and-brands?cmpid=DA_INAD200785B", "https://www.amazon.jobs/jobs/3130855/principal-applied-scientist-sponsored-products-and-brands?cmpid=DA_INAD200785B")</f>
        <v/>
      </c>
      <c r="G154" t="inlineStr">
        <is>
          <t>New York, NY, US</t>
        </is>
      </c>
      <c r="H154" s="2" t="n">
        <v>45979</v>
      </c>
      <c r="I15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in-64dd3d50513a565d</t>
        </is>
      </c>
      <c r="B155" t="inlineStr">
        <is>
          <t>Senior Applied Scientist, Sponsored Products and Brands</t>
        </is>
      </c>
      <c r="C155" t="inlineStr">
        <is>
          <t>Amazon.com</t>
        </is>
      </c>
      <c r="D155" t="inlineStr">
        <is>
          <t>indeed</t>
        </is>
      </c>
      <c r="E155">
        <f>HYPERLINK("https://www.indeed.com/viewjob?jk=64dd3d50513a565d", "https://www.indeed.com/viewjob?jk=64dd3d50513a565d")</f>
        <v/>
      </c>
      <c r="F155">
        <f>HYPERLINK("https://www.amazon.jobs/jobs/3130062/senior-applied-scientist-sponsored-products-and-brands?cmpid=DA_INAD200785B", "https://www.amazon.jobs/jobs/3130062/senior-applied-scientist-sponsored-products-and-brands?cmpid=DA_INAD200785B")</f>
        <v/>
      </c>
      <c r="G155" t="inlineStr">
        <is>
          <t>New York, NY, US</t>
        </is>
      </c>
      <c r="H155" s="2" t="n">
        <v>45979</v>
      </c>
      <c r="I15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56">
      <c r="A156" t="inlineStr">
        <is>
          <t>in-ecbe25d49c5aa7ac</t>
        </is>
      </c>
      <c r="B156" t="inlineStr">
        <is>
          <t>Senior Applied Scientist, Sponsored Products and Brands</t>
        </is>
      </c>
      <c r="C156" t="inlineStr">
        <is>
          <t>Amazon.com</t>
        </is>
      </c>
      <c r="D156" t="inlineStr">
        <is>
          <t>indeed</t>
        </is>
      </c>
      <c r="E156">
        <f>HYPERLINK("https://www.indeed.com/viewjob?jk=ecbe25d49c5aa7ac", "https://www.indeed.com/viewjob?jk=ecbe25d49c5aa7ac")</f>
        <v/>
      </c>
      <c r="F156">
        <f>HYPERLINK("https://www.amazon.jobs/jobs/3130062/senior-applied-scientist-sponsored-products-and-brands?cmpid=DA_INAD200785B", "https://www.amazon.jobs/jobs/3130062/senior-applied-scientist-sponsored-products-and-brands?cmpid=DA_INAD200785B")</f>
        <v/>
      </c>
      <c r="G156" t="inlineStr">
        <is>
          <t>Seattle, WA, US</t>
        </is>
      </c>
      <c r="H156" s="2" t="n">
        <v>45979</v>
      </c>
      <c r="I15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57">
      <c r="A157" t="inlineStr">
        <is>
          <t>in-7e02de7f62e95ae9</t>
        </is>
      </c>
      <c r="B157" t="inlineStr">
        <is>
          <t>Sr. Applied Scientist, Sponsored Products</t>
        </is>
      </c>
      <c r="C157" t="inlineStr">
        <is>
          <t>Amazon.com</t>
        </is>
      </c>
      <c r="D157" t="inlineStr">
        <is>
          <t>indeed</t>
        </is>
      </c>
      <c r="E157">
        <f>HYPERLINK("https://www.indeed.com/viewjob?jk=7e02de7f62e95ae9", "https://www.indeed.com/viewjob?jk=7e02de7f62e95ae9")</f>
        <v/>
      </c>
      <c r="F157">
        <f>HYPERLINK("https://www.amazon.jobs/jobs/3136156/sr-applied-scientist-sponsored-products?cmpid=DA_INAD200785B", "https://www.amazon.jobs/jobs/3136156/sr-applied-scientist-sponsored-products?cmpid=DA_INAD200785B")</f>
        <v/>
      </c>
      <c r="G157" t="inlineStr">
        <is>
          <t>New York, NY, US</t>
        </is>
      </c>
      <c r="H157" s="2" t="n">
        <v>45976</v>
      </c>
      <c r="I15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58">
      <c r="A158" t="inlineStr">
        <is>
          <t>in-e69de29457ba448f</t>
        </is>
      </c>
      <c r="B158" t="inlineStr">
        <is>
          <t>Sr. Applied Scientist, Sponsored Products</t>
        </is>
      </c>
      <c r="C158" t="inlineStr">
        <is>
          <t>Amazon.com</t>
        </is>
      </c>
      <c r="D158" t="inlineStr">
        <is>
          <t>indeed</t>
        </is>
      </c>
      <c r="E158">
        <f>HYPERLINK("https://www.indeed.com/viewjob?jk=e69de29457ba448f", "https://www.indeed.com/viewjob?jk=e69de29457ba448f")</f>
        <v/>
      </c>
      <c r="F158">
        <f>HYPERLINK("https://www.amazon.jobs/jobs/3136156/sr-applied-scientist-sponsored-products?cmpid=DA_INAD200785B", "https://www.amazon.jobs/jobs/3136156/sr-applied-scientist-sponsored-products?cmpid=DA_INAD200785B")</f>
        <v/>
      </c>
      <c r="G158" t="inlineStr">
        <is>
          <t>Arlington, VA, US</t>
        </is>
      </c>
      <c r="H158" s="2" t="n">
        <v>45976</v>
      </c>
      <c r="I15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59">
      <c r="A159" t="inlineStr">
        <is>
          <t>in-f0c9d19beb492067</t>
        </is>
      </c>
      <c r="B159" t="inlineStr">
        <is>
          <t>Sr. Applied Scientist, Sponsored Products</t>
        </is>
      </c>
      <c r="C159" t="inlineStr">
        <is>
          <t>Amazon.com</t>
        </is>
      </c>
      <c r="D159" t="inlineStr">
        <is>
          <t>indeed</t>
        </is>
      </c>
      <c r="E159">
        <f>HYPERLINK("https://www.indeed.com/viewjob?jk=f0c9d19beb492067", "https://www.indeed.com/viewjob?jk=f0c9d19beb492067")</f>
        <v/>
      </c>
      <c r="F159">
        <f>HYPERLINK("https://www.amazon.jobs/jobs/3136156/sr-applied-scientist-sponsored-products?cmpid=DA_INAD200785B", "https://www.amazon.jobs/jobs/3136156/sr-applied-scientist-sponsored-products?cmpid=DA_INAD200785B")</f>
        <v/>
      </c>
      <c r="G159" t="inlineStr">
        <is>
          <t>Seattle, WA, US</t>
        </is>
      </c>
      <c r="H159" s="2" t="n">
        <v>45976</v>
      </c>
      <c r="I15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60">
      <c r="A160" t="inlineStr">
        <is>
          <t>in-93610bc84eaac52a</t>
        </is>
      </c>
      <c r="B160" t="inlineStr">
        <is>
          <t>Applied Scientist, AWS Agentic AI</t>
        </is>
      </c>
      <c r="C160" t="inlineStr">
        <is>
          <t>Amazon Web Services</t>
        </is>
      </c>
      <c r="D160" t="inlineStr">
        <is>
          <t>indeed</t>
        </is>
      </c>
      <c r="E160">
        <f>HYPERLINK("https://www.indeed.com/viewjob?jk=93610bc84eaac52a", "https://www.indeed.com/viewjob?jk=93610bc84eaac52a")</f>
        <v/>
      </c>
      <c r="F160">
        <f>HYPERLINK("https://www.amazon.jobs/jobs/3141517/applied-scientist-aws-agentic-ai-?cmpid=DA_INAD200785B", "https://www.amazon.jobs/jobs/3141517/applied-scientist-aws-agentic-ai-?cmpid=DA_INAD200785B")</f>
        <v/>
      </c>
      <c r="G160" t="inlineStr">
        <is>
          <t>Seattle, WA, US</t>
        </is>
      </c>
      <c r="H160" s="2" t="n">
        <v>45962</v>
      </c>
      <c r="I16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in-0fae428008f34d86</t>
        </is>
      </c>
      <c r="B161" t="inlineStr">
        <is>
          <t>Applied Scientist, AWS Agentic AI</t>
        </is>
      </c>
      <c r="C161" t="inlineStr">
        <is>
          <t>Amazon Web Services</t>
        </is>
      </c>
      <c r="D161" t="inlineStr">
        <is>
          <t>indeed</t>
        </is>
      </c>
      <c r="E161">
        <f>HYPERLINK("https://www.indeed.com/viewjob?jk=0fae428008f34d86", "https://www.indeed.com/viewjob?jk=0fae428008f34d86")</f>
        <v/>
      </c>
      <c r="F161">
        <f>HYPERLINK("https://www.amazon.jobs/jobs/3141517/applied-scientist-aws-agentic-ai-?cmpid=DA_INAD200785B", "https://www.amazon.jobs/jobs/3141517/applied-scientist-aws-agentic-ai-?cmpid=DA_INAD200785B")</f>
        <v/>
      </c>
      <c r="G161" t="inlineStr">
        <is>
          <t>Santa Clara, CA, US</t>
        </is>
      </c>
      <c r="H161" s="2" t="n">
        <v>45962</v>
      </c>
      <c r="I16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in-b291bd6f6148b4e9</t>
        </is>
      </c>
      <c r="B162" t="inlineStr">
        <is>
          <t>Applied Scientist, AWS Agentic AI</t>
        </is>
      </c>
      <c r="C162" t="inlineStr">
        <is>
          <t>Amazon Web Services</t>
        </is>
      </c>
      <c r="D162" t="inlineStr">
        <is>
          <t>indeed</t>
        </is>
      </c>
      <c r="E162">
        <f>HYPERLINK("https://www.indeed.com/viewjob?jk=b291bd6f6148b4e9", "https://www.indeed.com/viewjob?jk=b291bd6f6148b4e9")</f>
        <v/>
      </c>
      <c r="F162">
        <f>HYPERLINK("https://www.amazon.jobs/jobs/3141517/applied-scientist-aws-agentic-ai-?cmpid=DA_INAD200785B", "https://www.amazon.jobs/jobs/3141517/applied-scientist-aws-agentic-ai-?cmpid=DA_INAD200785B")</f>
        <v/>
      </c>
      <c r="G162" t="inlineStr">
        <is>
          <t>New York, NY, US</t>
        </is>
      </c>
      <c r="H162" s="2" t="n">
        <v>45962</v>
      </c>
      <c r="I16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in-50cdf6ae8522bb9c</t>
        </is>
      </c>
      <c r="B163" t="inlineStr">
        <is>
          <t>Principal Applied Scientist, Advertiser Growth, Amazon Sponsored Products &amp; Brands</t>
        </is>
      </c>
      <c r="C163" t="inlineStr">
        <is>
          <t>Amazon.com</t>
        </is>
      </c>
      <c r="D163" t="inlineStr">
        <is>
          <t>indeed</t>
        </is>
      </c>
      <c r="E163">
        <f>HYPERLINK("https://www.indeed.com/viewjob?jk=50cdf6ae8522bb9c", "https://www.indeed.com/viewjob?jk=50cdf6ae8522bb9c")</f>
        <v/>
      </c>
      <c r="F163">
        <f>HYPERLINK("https://www.amazon.jobs/jobs/3115279/principal-applied-scientist-advertiser-growth-amazon-sponsored-products--brands?cmpid=DA_INAD200785B", "https://www.amazon.jobs/jobs/3115279/principal-applied-scientist-advertiser-growth-amazon-sponsored-products--brands?cmpid=DA_INAD200785B")</f>
        <v/>
      </c>
      <c r="G163" t="inlineStr">
        <is>
          <t>Palo Alto, CA, US</t>
        </is>
      </c>
      <c r="H163" s="2" t="n">
        <v>45942</v>
      </c>
      <c r="I16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in-ac207eb6669efbab</t>
        </is>
      </c>
      <c r="B164" t="inlineStr">
        <is>
          <t>Principal Applied Scientist, Advertiser Growth, Amazon Sponsored Products &amp; Brands</t>
        </is>
      </c>
      <c r="C164" t="inlineStr">
        <is>
          <t>Amazon.com</t>
        </is>
      </c>
      <c r="D164" t="inlineStr">
        <is>
          <t>indeed</t>
        </is>
      </c>
      <c r="E164">
        <f>HYPERLINK("https://www.indeed.com/viewjob?jk=ac207eb6669efbab", "https://www.indeed.com/viewjob?jk=ac207eb6669efbab")</f>
        <v/>
      </c>
      <c r="F164">
        <f>HYPERLINK("https://www.amazon.jobs/jobs/3115279/principal-applied-scientist-advertiser-growth-amazon-sponsored-products--brands?cmpid=DA_INAD200785B", "https://www.amazon.jobs/jobs/3115279/principal-applied-scientist-advertiser-growth-amazon-sponsored-products--brands?cmpid=DA_INAD200785B")</f>
        <v/>
      </c>
      <c r="G164" t="inlineStr">
        <is>
          <t>Seattle, WA, US</t>
        </is>
      </c>
      <c r="H164" s="2" t="n">
        <v>45942</v>
      </c>
      <c r="I16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in-37851469749411d7</t>
        </is>
      </c>
      <c r="B165" t="inlineStr">
        <is>
          <t>Principal Applied Scientist, Advertiser Growth, Amazon Sponsored Products &amp; Brands</t>
        </is>
      </c>
      <c r="C165" t="inlineStr">
        <is>
          <t>Amazon.com</t>
        </is>
      </c>
      <c r="D165" t="inlineStr">
        <is>
          <t>indeed</t>
        </is>
      </c>
      <c r="E165">
        <f>HYPERLINK("https://www.indeed.com/viewjob?jk=37851469749411d7", "https://www.indeed.com/viewjob?jk=37851469749411d7")</f>
        <v/>
      </c>
      <c r="F165">
        <f>HYPERLINK("https://www.amazon.jobs/jobs/3115279/principal-applied-scientist-advertiser-growth-amazon-sponsored-products--brands?cmpid=DA_INAD200785B", "https://www.amazon.jobs/jobs/3115279/principal-applied-scientist-advertiser-growth-amazon-sponsored-products--brands?cmpid=DA_INAD200785B")</f>
        <v/>
      </c>
      <c r="G165" t="inlineStr">
        <is>
          <t>New York, NY, US</t>
        </is>
      </c>
      <c r="H165" s="2" t="n">
        <v>45942</v>
      </c>
      <c r="I16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in-801b37f233d32cf6</t>
        </is>
      </c>
      <c r="B166" t="inlineStr">
        <is>
          <t>Applied Scientist II, Prime Video - Personalization and Discovery Science, Personalization and Discovery Science</t>
        </is>
      </c>
      <c r="C166" t="inlineStr">
        <is>
          <t>Amazon.com</t>
        </is>
      </c>
      <c r="D166" t="inlineStr">
        <is>
          <t>indeed</t>
        </is>
      </c>
      <c r="E166">
        <f>HYPERLINK("https://www.indeed.com/viewjob?jk=801b37f233d32cf6", "https://www.indeed.com/viewjob?jk=801b37f233d32cf6")</f>
        <v/>
      </c>
      <c r="F166">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66" t="inlineStr">
        <is>
          <t>New York, NY, US</t>
        </is>
      </c>
      <c r="H166" s="2" t="n">
        <v>45930</v>
      </c>
      <c r="I1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in-4291e25a7906b836</t>
        </is>
      </c>
      <c r="B167" t="inlineStr">
        <is>
          <t>Applied Scientist II, Prime Video - Personalization and Discovery Science, Personalization and Discovery Science</t>
        </is>
      </c>
      <c r="C167" t="inlineStr">
        <is>
          <t>Amazon.com</t>
        </is>
      </c>
      <c r="D167" t="inlineStr">
        <is>
          <t>indeed</t>
        </is>
      </c>
      <c r="E167">
        <f>HYPERLINK("https://www.indeed.com/viewjob?jk=4291e25a7906b836", "https://www.indeed.com/viewjob?jk=4291e25a7906b836")</f>
        <v/>
      </c>
      <c r="F167">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67" t="inlineStr">
        <is>
          <t>Seattle, WA, US</t>
        </is>
      </c>
      <c r="H167" s="2" t="n">
        <v>45930</v>
      </c>
      <c r="I1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in-be40aa565ffe3e6a</t>
        </is>
      </c>
      <c r="B168" t="inlineStr">
        <is>
          <t>Applied Scientist II, Prime Video - Personalization and Discovery Science, Personalization and Discovery Science</t>
        </is>
      </c>
      <c r="C168" t="inlineStr">
        <is>
          <t>Amazon.com</t>
        </is>
      </c>
      <c r="D168" t="inlineStr">
        <is>
          <t>indeed</t>
        </is>
      </c>
      <c r="E168">
        <f>HYPERLINK("https://www.indeed.com/viewjob?jk=be40aa565ffe3e6a", "https://www.indeed.com/viewjob?jk=be40aa565ffe3e6a")</f>
        <v/>
      </c>
      <c r="F168">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68" t="inlineStr">
        <is>
          <t>Sunnyvale, CA, US</t>
        </is>
      </c>
      <c r="H168" s="2" t="n">
        <v>45930</v>
      </c>
      <c r="I1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in-81a97661b88207cb</t>
        </is>
      </c>
      <c r="B169" t="inlineStr">
        <is>
          <t>Applied Scientist, Workplace Health &amp; Safety</t>
        </is>
      </c>
      <c r="C169" t="inlineStr">
        <is>
          <t>Amazon.com</t>
        </is>
      </c>
      <c r="D169" t="inlineStr">
        <is>
          <t>indeed</t>
        </is>
      </c>
      <c r="E169">
        <f>HYPERLINK("https://www.indeed.com/viewjob?jk=81a97661b88207cb", "https://www.indeed.com/viewjob?jk=81a97661b88207cb")</f>
        <v/>
      </c>
      <c r="F169">
        <f>HYPERLINK("https://www.amazon.jobs/jobs/3144886/applied-scientist-workplace-health--safety-?cmpid=DA_INAD200785B", "https://www.amazon.jobs/jobs/3144886/applied-scientist-workplace-health--safety-?cmpid=DA_INAD200785B")</f>
        <v/>
      </c>
      <c r="G169" t="inlineStr">
        <is>
          <t>Bellevue, WA, US</t>
        </is>
      </c>
      <c r="H169" s="2" t="n">
        <v>45917</v>
      </c>
      <c r="I16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in-30dc68692d13ff8f</t>
        </is>
      </c>
      <c r="B170" t="inlineStr">
        <is>
          <t>Applied Scientist, Workplace Health &amp; Safety</t>
        </is>
      </c>
      <c r="C170" t="inlineStr">
        <is>
          <t>Amazon.com</t>
        </is>
      </c>
      <c r="D170" t="inlineStr">
        <is>
          <t>indeed</t>
        </is>
      </c>
      <c r="E170">
        <f>HYPERLINK("https://www.indeed.com/viewjob?jk=30dc68692d13ff8f", "https://www.indeed.com/viewjob?jk=30dc68692d13ff8f")</f>
        <v/>
      </c>
      <c r="F170">
        <f>HYPERLINK("https://www.amazon.jobs/jobs/3144886/applied-scientist-workplace-health--safety-?cmpid=DA_INAD200785B", "https://www.amazon.jobs/jobs/3144886/applied-scientist-workplace-health--safety-?cmpid=DA_INAD200785B")</f>
        <v/>
      </c>
      <c r="G170" t="inlineStr">
        <is>
          <t>Nashville, TN, US</t>
        </is>
      </c>
      <c r="H170" s="2" t="n">
        <v>45917</v>
      </c>
      <c r="I170"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in-b08e042cf272617c</t>
        </is>
      </c>
      <c r="B171" t="inlineStr">
        <is>
          <t>Sr. Applied Scientist, Prime Video - Personalization and Discovery Science</t>
        </is>
      </c>
      <c r="C171" t="inlineStr">
        <is>
          <t>Amazon.com</t>
        </is>
      </c>
      <c r="D171" t="inlineStr">
        <is>
          <t>indeed</t>
        </is>
      </c>
      <c r="E171">
        <f>HYPERLINK("https://www.indeed.com/viewjob?jk=b08e042cf272617c", "https://www.indeed.com/viewjob?jk=b08e042cf272617c")</f>
        <v/>
      </c>
      <c r="F171">
        <f>HYPERLINK("https://www.amazon.jobs/jobs/3084479/sr-applied-scientist-prime-video--personalization-and-discovery-science?cmpid=DA_INAD200785B", "https://www.amazon.jobs/jobs/3084479/sr-applied-scientist-prime-video--personalization-and-discovery-science?cmpid=DA_INAD200785B")</f>
        <v/>
      </c>
      <c r="G171" t="inlineStr">
        <is>
          <t>New York, NY, US</t>
        </is>
      </c>
      <c r="H171" s="2" t="n">
        <v>45896</v>
      </c>
      <c r="I1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72">
      <c r="A172" t="inlineStr">
        <is>
          <t>in-bf84df6e78feab0f</t>
        </is>
      </c>
      <c r="B172" t="inlineStr">
        <is>
          <t>Sr. Applied Scientist, Prime Video - Personalization and Discovery Science</t>
        </is>
      </c>
      <c r="C172" t="inlineStr">
        <is>
          <t>Amazon.com</t>
        </is>
      </c>
      <c r="D172" t="inlineStr">
        <is>
          <t>indeed</t>
        </is>
      </c>
      <c r="E172">
        <f>HYPERLINK("https://www.indeed.com/viewjob?jk=bf84df6e78feab0f", "https://www.indeed.com/viewjob?jk=bf84df6e78feab0f")</f>
        <v/>
      </c>
      <c r="F172">
        <f>HYPERLINK("https://www.amazon.jobs/jobs/3084479/sr-applied-scientist-prime-video--personalization-and-discovery-science?cmpid=DA_INAD200785B", "https://www.amazon.jobs/jobs/3084479/sr-applied-scientist-prime-video--personalization-and-discovery-science?cmpid=DA_INAD200785B")</f>
        <v/>
      </c>
      <c r="G172" t="inlineStr">
        <is>
          <t>Seattle, WA, US</t>
        </is>
      </c>
      <c r="H172" s="2" t="n">
        <v>45896</v>
      </c>
      <c r="I1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73">
      <c r="A173" t="inlineStr">
        <is>
          <t>in-79033347522f9619</t>
        </is>
      </c>
      <c r="B173" t="inlineStr">
        <is>
          <t>Sr. Applied Scientist, Prime Video - Personalization and Discovery Science</t>
        </is>
      </c>
      <c r="C173" t="inlineStr">
        <is>
          <t>Amazon.com</t>
        </is>
      </c>
      <c r="D173" t="inlineStr">
        <is>
          <t>indeed</t>
        </is>
      </c>
      <c r="E173">
        <f>HYPERLINK("https://www.indeed.com/viewjob?jk=79033347522f9619", "https://www.indeed.com/viewjob?jk=79033347522f9619")</f>
        <v/>
      </c>
      <c r="F173">
        <f>HYPERLINK("https://www.amazon.jobs/jobs/3084479/sr-applied-scientist-prime-video--personalization-and-discovery-science?cmpid=DA_INAD200785B", "https://www.amazon.jobs/jobs/3084479/sr-applied-scientist-prime-video--personalization-and-discovery-science?cmpid=DA_INAD200785B")</f>
        <v/>
      </c>
      <c r="G173" t="inlineStr">
        <is>
          <t>Sunnyvale, CA, US</t>
        </is>
      </c>
      <c r="H173" s="2" t="n">
        <v>45896</v>
      </c>
      <c r="I1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74">
      <c r="A174" t="inlineStr">
        <is>
          <t>in-243d12b5767fa969</t>
        </is>
      </c>
      <c r="B174" t="inlineStr">
        <is>
          <t>Applied Scientist II, Prime Video - Personalization and Discovery Science</t>
        </is>
      </c>
      <c r="C174" t="inlineStr">
        <is>
          <t>Amazon.com</t>
        </is>
      </c>
      <c r="D174" t="inlineStr">
        <is>
          <t>indeed</t>
        </is>
      </c>
      <c r="E174">
        <f>HYPERLINK("https://www.indeed.com/viewjob?jk=243d12b5767fa969", "https://www.indeed.com/viewjob?jk=243d12b5767fa969")</f>
        <v/>
      </c>
      <c r="F174">
        <f>HYPERLINK("https://www.amazon.jobs/jobs/3059253/applied-scientist-ii-prime-video--personalization-and-discovery-science?cmpid=DA_INAD200785B", "https://www.amazon.jobs/jobs/3059253/applied-scientist-ii-prime-video--personalization-and-discovery-science?cmpid=DA_INAD200785B")</f>
        <v/>
      </c>
      <c r="G174" t="inlineStr">
        <is>
          <t>Seattle, WA, US</t>
        </is>
      </c>
      <c r="H174" s="2" t="n">
        <v>45881</v>
      </c>
      <c r="I1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in-3880ddd0e4a51902</t>
        </is>
      </c>
      <c r="B175" t="inlineStr">
        <is>
          <t>Sr. Applied Scientist, Prime Video - Personalization and Discovery Science</t>
        </is>
      </c>
      <c r="C175" t="inlineStr">
        <is>
          <t>Amazon.com</t>
        </is>
      </c>
      <c r="D175" t="inlineStr">
        <is>
          <t>indeed</t>
        </is>
      </c>
      <c r="E175">
        <f>HYPERLINK("https://www.indeed.com/viewjob?jk=3880ddd0e4a51902", "https://www.indeed.com/viewjob?jk=3880ddd0e4a51902")</f>
        <v/>
      </c>
      <c r="F175">
        <f>HYPERLINK("https://www.amazon.jobs/jobs/3059256/sr-applied-scientist-prime-video--personalization-and-discovery-science?cmpid=DA_INAD200785B", "https://www.amazon.jobs/jobs/3059256/sr-applied-scientist-prime-video--personalization-and-discovery-science?cmpid=DA_INAD200785B")</f>
        <v/>
      </c>
      <c r="G175" t="inlineStr">
        <is>
          <t>New York, NY, US</t>
        </is>
      </c>
      <c r="H175" s="2" t="n">
        <v>45881</v>
      </c>
      <c r="I1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in-8f886876fba73a5e</t>
        </is>
      </c>
      <c r="B176" t="inlineStr">
        <is>
          <t>Sr. Applied Scientist, Prime Video - Personalization and Discovery Science</t>
        </is>
      </c>
      <c r="C176" t="inlineStr">
        <is>
          <t>Amazon.com</t>
        </is>
      </c>
      <c r="D176" t="inlineStr">
        <is>
          <t>indeed</t>
        </is>
      </c>
      <c r="E176">
        <f>HYPERLINK("https://www.indeed.com/viewjob?jk=8f886876fba73a5e", "https://www.indeed.com/viewjob?jk=8f886876fba73a5e")</f>
        <v/>
      </c>
      <c r="F176">
        <f>HYPERLINK("https://www.amazon.jobs/jobs/3059256/sr-applied-scientist-prime-video--personalization-and-discovery-science?cmpid=DA_INAD200785B", "https://www.amazon.jobs/jobs/3059256/sr-applied-scientist-prime-video--personalization-and-discovery-science?cmpid=DA_INAD200785B")</f>
        <v/>
      </c>
      <c r="G176" t="inlineStr">
        <is>
          <t>Sunnyvale, CA, US</t>
        </is>
      </c>
      <c r="H176" s="2" t="n">
        <v>45881</v>
      </c>
      <c r="I1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in-ff3470df798ece5d</t>
        </is>
      </c>
      <c r="B177" t="inlineStr">
        <is>
          <t>Applied Scientist II, Prime Video - Personalization and Discovery Science</t>
        </is>
      </c>
      <c r="C177" t="inlineStr">
        <is>
          <t>Amazon.com</t>
        </is>
      </c>
      <c r="D177" t="inlineStr">
        <is>
          <t>indeed</t>
        </is>
      </c>
      <c r="E177">
        <f>HYPERLINK("https://www.indeed.com/viewjob?jk=ff3470df798ece5d", "https://www.indeed.com/viewjob?jk=ff3470df798ece5d")</f>
        <v/>
      </c>
      <c r="F177">
        <f>HYPERLINK("https://www.amazon.jobs/jobs/3059253/applied-scientist-ii-prime-video--personalization-and-discovery-science?cmpid=DA_INAD200785B", "https://www.amazon.jobs/jobs/3059253/applied-scientist-ii-prime-video--personalization-and-discovery-science?cmpid=DA_INAD200785B")</f>
        <v/>
      </c>
      <c r="G177" t="inlineStr">
        <is>
          <t>New York, NY, US</t>
        </is>
      </c>
      <c r="H177" s="2" t="n">
        <v>45881</v>
      </c>
      <c r="I1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in-956435d6999ff1ac</t>
        </is>
      </c>
      <c r="B178" t="inlineStr">
        <is>
          <t>Applied Scientist II, Prime Video - Personalization and Discovery Science</t>
        </is>
      </c>
      <c r="C178" t="inlineStr">
        <is>
          <t>Amazon.com</t>
        </is>
      </c>
      <c r="D178" t="inlineStr">
        <is>
          <t>indeed</t>
        </is>
      </c>
      <c r="E178">
        <f>HYPERLINK("https://www.indeed.com/viewjob?jk=956435d6999ff1ac", "https://www.indeed.com/viewjob?jk=956435d6999ff1ac")</f>
        <v/>
      </c>
      <c r="F178">
        <f>HYPERLINK("https://www.amazon.jobs/jobs/3059253/applied-scientist-ii-prime-video--personalization-and-discovery-science?cmpid=DA_INAD200785B", "https://www.amazon.jobs/jobs/3059253/applied-scientist-ii-prime-video--personalization-and-discovery-science?cmpid=DA_INAD200785B")</f>
        <v/>
      </c>
      <c r="G178" t="inlineStr">
        <is>
          <t>Sunnyvale, CA, US</t>
        </is>
      </c>
      <c r="H178" s="2" t="n">
        <v>45881</v>
      </c>
      <c r="I1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in-32b8970badac5eb1</t>
        </is>
      </c>
      <c r="B179" t="inlineStr">
        <is>
          <t>Sr. Applied Scientist, Prime Video - Personalization and Discovery Science</t>
        </is>
      </c>
      <c r="C179" t="inlineStr">
        <is>
          <t>Amazon.com</t>
        </is>
      </c>
      <c r="D179" t="inlineStr">
        <is>
          <t>indeed</t>
        </is>
      </c>
      <c r="E179">
        <f>HYPERLINK("https://www.indeed.com/viewjob?jk=32b8970badac5eb1", "https://www.indeed.com/viewjob?jk=32b8970badac5eb1")</f>
        <v/>
      </c>
      <c r="F179">
        <f>HYPERLINK("https://www.amazon.jobs/jobs/3059256/sr-applied-scientist-prime-video--personalization-and-discovery-science?cmpid=DA_INAD200785B", "https://www.amazon.jobs/jobs/3059256/sr-applied-scientist-prime-video--personalization-and-discovery-science?cmpid=DA_INAD200785B")</f>
        <v/>
      </c>
      <c r="G179" t="inlineStr">
        <is>
          <t>Seattle, WA, US</t>
        </is>
      </c>
      <c r="H179" s="2" t="n">
        <v>45881</v>
      </c>
      <c r="I1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in-92745dccb2fea014</t>
        </is>
      </c>
      <c r="B180" t="inlineStr">
        <is>
          <t>Applied Scientist III, StoreGen</t>
        </is>
      </c>
      <c r="C180" t="inlineStr">
        <is>
          <t>Amazon.com</t>
        </is>
      </c>
      <c r="D180" t="inlineStr">
        <is>
          <t>indeed</t>
        </is>
      </c>
      <c r="E180">
        <f>HYPERLINK("https://www.indeed.com/viewjob?jk=92745dccb2fea014", "https://www.indeed.com/viewjob?jk=92745dccb2fea014")</f>
        <v/>
      </c>
      <c r="F180">
        <f>HYPERLINK("https://www.amazon.jobs/jobs/3065534/applied-scientist-iii-storegen?cmpid=DA_INAD200785B", "https://www.amazon.jobs/jobs/3065534/applied-scientist-iii-storegen?cmpid=DA_INAD200785B")</f>
        <v/>
      </c>
      <c r="G180" t="inlineStr">
        <is>
          <t>Seattle, WA, US</t>
        </is>
      </c>
      <c r="H180" s="2" t="n">
        <v>45868</v>
      </c>
      <c r="I180"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in-2123b133f9085034</t>
        </is>
      </c>
      <c r="B181" t="inlineStr">
        <is>
          <t>Applied Scientist III, StoreGen</t>
        </is>
      </c>
      <c r="C181" t="inlineStr">
        <is>
          <t>Amazon.com</t>
        </is>
      </c>
      <c r="D181" t="inlineStr">
        <is>
          <t>indeed</t>
        </is>
      </c>
      <c r="E181">
        <f>HYPERLINK("https://www.indeed.com/viewjob?jk=2123b133f9085034", "https://www.indeed.com/viewjob?jk=2123b133f9085034")</f>
        <v/>
      </c>
      <c r="F181">
        <f>HYPERLINK("https://www.amazon.jobs/jobs/3065534/applied-scientist-iii-storegen?cmpid=DA_INAD200785B", "https://www.amazon.jobs/jobs/3065534/applied-scientist-iii-storegen?cmpid=DA_INAD200785B")</f>
        <v/>
      </c>
      <c r="G181" t="inlineStr">
        <is>
          <t>Sunnyvale, CA, US</t>
        </is>
      </c>
      <c r="H181" s="2" t="n">
        <v>45868</v>
      </c>
      <c r="I181"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in-4d97c82eceddcbec</t>
        </is>
      </c>
      <c r="B182" t="inlineStr">
        <is>
          <t>Sr. Applied Scientist, Amazon Advertising</t>
        </is>
      </c>
      <c r="C182" t="inlineStr">
        <is>
          <t>Amazon.com</t>
        </is>
      </c>
      <c r="D182" t="inlineStr">
        <is>
          <t>indeed</t>
        </is>
      </c>
      <c r="E182">
        <f>HYPERLINK("https://www.indeed.com/viewjob?jk=4d97c82eceddcbec", "https://www.indeed.com/viewjob?jk=4d97c82eceddcbec")</f>
        <v/>
      </c>
      <c r="F182">
        <f>HYPERLINK("https://www.amazon.jobs/jobs/3035686/sr-applied-scientist-amazon-advertising?cmpid=DA_INAD200785B", "https://www.amazon.jobs/jobs/3035686/sr-applied-scientist-amazon-advertising?cmpid=DA_INAD200785B")</f>
        <v/>
      </c>
      <c r="G182" t="inlineStr">
        <is>
          <t>West Hollywood, CA, US</t>
        </is>
      </c>
      <c r="H182" s="2" t="n">
        <v>45851</v>
      </c>
      <c r="I18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in-79f1fc79855b0e7b</t>
        </is>
      </c>
      <c r="B183" t="inlineStr">
        <is>
          <t>Sr. Applied Scientist, Amazon Advertising</t>
        </is>
      </c>
      <c r="C183" t="inlineStr">
        <is>
          <t>Amazon.com</t>
        </is>
      </c>
      <c r="D183" t="inlineStr">
        <is>
          <t>indeed</t>
        </is>
      </c>
      <c r="E183">
        <f>HYPERLINK("https://www.indeed.com/viewjob?jk=79f1fc79855b0e7b", "https://www.indeed.com/viewjob?jk=79f1fc79855b0e7b")</f>
        <v/>
      </c>
      <c r="F183">
        <f>HYPERLINK("https://www.amazon.jobs/jobs/3035686/sr-applied-scientist-amazon-advertising?cmpid=DA_INAD200785B", "https://www.amazon.jobs/jobs/3035686/sr-applied-scientist-amazon-advertising?cmpid=DA_INAD200785B")</f>
        <v/>
      </c>
      <c r="G183" t="inlineStr">
        <is>
          <t>New York, NY, US</t>
        </is>
      </c>
      <c r="H183" s="2" t="n">
        <v>45851</v>
      </c>
      <c r="I18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in-365f702d4c6502f8</t>
        </is>
      </c>
      <c r="B184" t="inlineStr">
        <is>
          <t>Sr. Applied Scientist, Amazon Advertising</t>
        </is>
      </c>
      <c r="C184" t="inlineStr">
        <is>
          <t>Amazon.com</t>
        </is>
      </c>
      <c r="D184" t="inlineStr">
        <is>
          <t>indeed</t>
        </is>
      </c>
      <c r="E184">
        <f>HYPERLINK("https://www.indeed.com/viewjob?jk=365f702d4c6502f8", "https://www.indeed.com/viewjob?jk=365f702d4c6502f8")</f>
        <v/>
      </c>
      <c r="F184">
        <f>HYPERLINK("https://www.amazon.jobs/jobs/3035686/sr-applied-scientist-amazon-advertising?cmpid=DA_INAD200785B", "https://www.amazon.jobs/jobs/3035686/sr-applied-scientist-amazon-advertising?cmpid=DA_INAD200785B")</f>
        <v/>
      </c>
      <c r="G184" t="inlineStr">
        <is>
          <t>Palo Alto, CA, US</t>
        </is>
      </c>
      <c r="H184" s="2" t="n">
        <v>45851</v>
      </c>
      <c r="I18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in-b2a56d60c7b7b3d6</t>
        </is>
      </c>
      <c r="B185" t="inlineStr">
        <is>
          <t>Sr. Applied Scientist, Amazon Advertising</t>
        </is>
      </c>
      <c r="C185" t="inlineStr">
        <is>
          <t>Amazon.com</t>
        </is>
      </c>
      <c r="D185" t="inlineStr">
        <is>
          <t>indeed</t>
        </is>
      </c>
      <c r="E185">
        <f>HYPERLINK("https://www.indeed.com/viewjob?jk=b2a56d60c7b7b3d6", "https://www.indeed.com/viewjob?jk=b2a56d60c7b7b3d6")</f>
        <v/>
      </c>
      <c r="F185">
        <f>HYPERLINK("https://www.amazon.jobs/jobs/3035686/sr-applied-scientist-amazon-advertising?cmpid=DA_INAD200785B", "https://www.amazon.jobs/jobs/3035686/sr-applied-scientist-amazon-advertising?cmpid=DA_INAD200785B")</f>
        <v/>
      </c>
      <c r="G185" t="inlineStr">
        <is>
          <t>Los Angeles, CA, US</t>
        </is>
      </c>
      <c r="H185" s="2" t="n">
        <v>45851</v>
      </c>
      <c r="I18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in-4d5f77b9d591ac8d</t>
        </is>
      </c>
      <c r="B186" t="inlineStr">
        <is>
          <t>Sr. Applied Scientist, Amazon Advertising</t>
        </is>
      </c>
      <c r="C186" t="inlineStr">
        <is>
          <t>Amazon.com</t>
        </is>
      </c>
      <c r="D186" t="inlineStr">
        <is>
          <t>indeed</t>
        </is>
      </c>
      <c r="E186">
        <f>HYPERLINK("https://www.indeed.com/viewjob?jk=4d5f77b9d591ac8d", "https://www.indeed.com/viewjob?jk=4d5f77b9d591ac8d")</f>
        <v/>
      </c>
      <c r="F186">
        <f>HYPERLINK("https://www.amazon.jobs/jobs/3035686/sr-applied-scientist-amazon-advertising?cmpid=DA_INAD200785B", "https://www.amazon.jobs/jobs/3035686/sr-applied-scientist-amazon-advertising?cmpid=DA_INAD200785B")</f>
        <v/>
      </c>
      <c r="G186" t="inlineStr">
        <is>
          <t>Seattle, WA, US</t>
        </is>
      </c>
      <c r="H186" s="2" t="n">
        <v>45851</v>
      </c>
      <c r="I18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in-1c17754586e3b505</t>
        </is>
      </c>
      <c r="B187" t="inlineStr">
        <is>
          <t>Sr. Applied Scientist, Amazon Advertising</t>
        </is>
      </c>
      <c r="C187" t="inlineStr">
        <is>
          <t>Amazon.com</t>
        </is>
      </c>
      <c r="D187" t="inlineStr">
        <is>
          <t>indeed</t>
        </is>
      </c>
      <c r="E187">
        <f>HYPERLINK("https://www.indeed.com/viewjob?jk=1c17754586e3b505", "https://www.indeed.com/viewjob?jk=1c17754586e3b505")</f>
        <v/>
      </c>
      <c r="F187">
        <f>HYPERLINK("https://www.amazon.jobs/jobs/3035686/sr-applied-scientist-amazon-advertising?cmpid=DA_INAD200785B", "https://www.amazon.jobs/jobs/3035686/sr-applied-scientist-amazon-advertising?cmpid=DA_INAD200785B")</f>
        <v/>
      </c>
      <c r="G187" t="inlineStr">
        <is>
          <t>Arlington, VA, US</t>
        </is>
      </c>
      <c r="H187" s="2" t="n">
        <v>45851</v>
      </c>
      <c r="I18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in-62f8db63f2f00c23</t>
        </is>
      </c>
      <c r="B188" t="inlineStr">
        <is>
          <t>Sr. Applied Scientist, Amazon Advertising</t>
        </is>
      </c>
      <c r="C188" t="inlineStr">
        <is>
          <t>Amazon.com</t>
        </is>
      </c>
      <c r="D188" t="inlineStr">
        <is>
          <t>indeed</t>
        </is>
      </c>
      <c r="E188">
        <f>HYPERLINK("https://www.indeed.com/viewjob?jk=62f8db63f2f00c23", "https://www.indeed.com/viewjob?jk=62f8db63f2f00c23")</f>
        <v/>
      </c>
      <c r="F188">
        <f>HYPERLINK("https://www.amazon.jobs/jobs/3035686/sr-applied-scientist-amazon-advertising?cmpid=DA_INAD200785B", "https://www.amazon.jobs/jobs/3035686/sr-applied-scientist-amazon-advertising?cmpid=DA_INAD200785B")</f>
        <v/>
      </c>
      <c r="G188" t="inlineStr">
        <is>
          <t>Simi Valley, CA, US</t>
        </is>
      </c>
      <c r="H188" s="2" t="n">
        <v>45851</v>
      </c>
      <c r="I18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in-6836675d1f49f6eb</t>
        </is>
      </c>
      <c r="B189" t="inlineStr">
        <is>
          <t>Sr. Applied Scientist, Amazon Advertising</t>
        </is>
      </c>
      <c r="C189" t="inlineStr">
        <is>
          <t>Amazon.com</t>
        </is>
      </c>
      <c r="D189" t="inlineStr">
        <is>
          <t>indeed</t>
        </is>
      </c>
      <c r="E189">
        <f>HYPERLINK("https://www.indeed.com/viewjob?jk=6836675d1f49f6eb", "https://www.indeed.com/viewjob?jk=6836675d1f49f6eb")</f>
        <v/>
      </c>
      <c r="F189">
        <f>HYPERLINK("https://www.amazon.jobs/jobs/3035686/sr-applied-scientist-amazon-advertising?cmpid=DA_INAD200785B", "https://www.amazon.jobs/jobs/3035686/sr-applied-scientist-amazon-advertising?cmpid=DA_INAD200785B")</f>
        <v/>
      </c>
      <c r="G189" t="inlineStr">
        <is>
          <t>Austin, TX, US</t>
        </is>
      </c>
      <c r="H189" s="2" t="n">
        <v>45851</v>
      </c>
      <c r="I18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in-8cb81e52dff3c511</t>
        </is>
      </c>
      <c r="B190" t="inlineStr">
        <is>
          <t>Senior Applied Scientist, Delivery Foundation Model</t>
        </is>
      </c>
      <c r="C190" t="inlineStr">
        <is>
          <t>Amazon.com</t>
        </is>
      </c>
      <c r="D190" t="inlineStr">
        <is>
          <t>indeed</t>
        </is>
      </c>
      <c r="E190">
        <f>HYPERLINK("https://www.indeed.com/viewjob?jk=8cb81e52dff3c511", "https://www.indeed.com/viewjob?jk=8cb81e52dff3c511")</f>
        <v/>
      </c>
      <c r="F190">
        <f>HYPERLINK("https://www.amazon.jobs/jobs/2998435/senior-applied-scientist-delivery-foundation-model-?cmpid=DA_INAD200785B", "https://www.amazon.jobs/jobs/2998435/senior-applied-scientist-delivery-foundation-model-?cmpid=DA_INAD200785B")</f>
        <v/>
      </c>
      <c r="G190" t="inlineStr">
        <is>
          <t>Santa Clara, CA, US</t>
        </is>
      </c>
      <c r="H190" s="2" t="n">
        <v>45806</v>
      </c>
      <c r="I19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in-e0556118b775f04c</t>
        </is>
      </c>
      <c r="B191" t="inlineStr">
        <is>
          <t>Senior Applied Scientist, Delivery Foundation Model</t>
        </is>
      </c>
      <c r="C191" t="inlineStr">
        <is>
          <t>Amazon.com</t>
        </is>
      </c>
      <c r="D191" t="inlineStr">
        <is>
          <t>indeed</t>
        </is>
      </c>
      <c r="E191">
        <f>HYPERLINK("https://www.indeed.com/viewjob?jk=e0556118b775f04c", "https://www.indeed.com/viewjob?jk=e0556118b775f04c")</f>
        <v/>
      </c>
      <c r="F191">
        <f>HYPERLINK("https://www.amazon.jobs/jobs/2998435/senior-applied-scientist-delivery-foundation-model-?cmpid=DA_INAD200785B", "https://www.amazon.jobs/jobs/2998435/senior-applied-scientist-delivery-foundation-model-?cmpid=DA_INAD200785B")</f>
        <v/>
      </c>
      <c r="G191" t="inlineStr">
        <is>
          <t>New York, NY, US</t>
        </is>
      </c>
      <c r="H191" s="2" t="n">
        <v>45806</v>
      </c>
      <c r="I19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in-ea50648da7e7f141</t>
        </is>
      </c>
      <c r="B192" t="inlineStr">
        <is>
          <t>Senior Applied Scientist, Delivery Foundation Model</t>
        </is>
      </c>
      <c r="C192" t="inlineStr">
        <is>
          <t>Amazon.com</t>
        </is>
      </c>
      <c r="D192" t="inlineStr">
        <is>
          <t>indeed</t>
        </is>
      </c>
      <c r="E192">
        <f>HYPERLINK("https://www.indeed.com/viewjob?jk=ea50648da7e7f141", "https://www.indeed.com/viewjob?jk=ea50648da7e7f141")</f>
        <v/>
      </c>
      <c r="F192">
        <f>HYPERLINK("https://www.amazon.jobs/jobs/2998435/senior-applied-scientist-delivery-foundation-model-?cmpid=DA_INAD200785B", "https://www.amazon.jobs/jobs/2998435/senior-applied-scientist-delivery-foundation-model-?cmpid=DA_INAD200785B")</f>
        <v/>
      </c>
      <c r="G192" t="inlineStr">
        <is>
          <t>Bellevue, WA, US</t>
        </is>
      </c>
      <c r="H192" s="2" t="n">
        <v>45806</v>
      </c>
      <c r="I19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in-7d9e35512fed55ed</t>
        </is>
      </c>
      <c r="B193" t="inlineStr">
        <is>
          <t>Sr. Applied Scientist - Privacy, Privacy Engineering</t>
        </is>
      </c>
      <c r="C193" t="inlineStr">
        <is>
          <t>Amazon.com</t>
        </is>
      </c>
      <c r="D193" t="inlineStr">
        <is>
          <t>indeed</t>
        </is>
      </c>
      <c r="E193">
        <f>HYPERLINK("https://www.indeed.com/viewjob?jk=7d9e35512fed55ed", "https://www.indeed.com/viewjob?jk=7d9e35512fed55ed")</f>
        <v/>
      </c>
      <c r="F193">
        <f>HYPERLINK("https://www.amazon.jobs/jobs/2997657/sr-applied-scientist--privacy-privacy-engineering?cmpid=DA_INAD200785B", "https://www.amazon.jobs/jobs/2997657/sr-applied-scientist--privacy-privacy-engineering?cmpid=DA_INAD200785B")</f>
        <v/>
      </c>
      <c r="G193" t="inlineStr">
        <is>
          <t>San Francisco, CA, US</t>
        </is>
      </c>
      <c r="H193" s="2" t="n">
        <v>45787</v>
      </c>
      <c r="I19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in-311f2193b86bb4d1</t>
        </is>
      </c>
      <c r="B194" t="inlineStr">
        <is>
          <t>Sr. Applied Scientist - Privacy, Privacy Engineering</t>
        </is>
      </c>
      <c r="C194" t="inlineStr">
        <is>
          <t>Amazon.com</t>
        </is>
      </c>
      <c r="D194" t="inlineStr">
        <is>
          <t>indeed</t>
        </is>
      </c>
      <c r="E194">
        <f>HYPERLINK("https://www.indeed.com/viewjob?jk=311f2193b86bb4d1", "https://www.indeed.com/viewjob?jk=311f2193b86bb4d1")</f>
        <v/>
      </c>
      <c r="F194">
        <f>HYPERLINK("https://www.amazon.jobs/jobs/2997657/sr-applied-scientist--privacy-privacy-engineering?cmpid=DA_INAD200785B", "https://www.amazon.jobs/jobs/2997657/sr-applied-scientist--privacy-privacy-engineering?cmpid=DA_INAD200785B")</f>
        <v/>
      </c>
      <c r="G194" t="inlineStr">
        <is>
          <t>Sunnyvale, CA, US</t>
        </is>
      </c>
      <c r="H194" s="2" t="n">
        <v>45787</v>
      </c>
      <c r="I19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in-b6109d97c31bd374</t>
        </is>
      </c>
      <c r="B195" t="inlineStr">
        <is>
          <t>Sr. Applied Scientist - Privacy, Privacy Engineering</t>
        </is>
      </c>
      <c r="C195" t="inlineStr">
        <is>
          <t>Amazon.com</t>
        </is>
      </c>
      <c r="D195" t="inlineStr">
        <is>
          <t>indeed</t>
        </is>
      </c>
      <c r="E195">
        <f>HYPERLINK("https://www.indeed.com/viewjob?jk=b6109d97c31bd374", "https://www.indeed.com/viewjob?jk=b6109d97c31bd374")</f>
        <v/>
      </c>
      <c r="F195">
        <f>HYPERLINK("https://www.amazon.jobs/jobs/2997657/sr-applied-scientist--privacy-privacy-engineering?cmpid=DA_INAD200785B", "https://www.amazon.jobs/jobs/2997657/sr-applied-scientist--privacy-privacy-engineering?cmpid=DA_INAD200785B")</f>
        <v/>
      </c>
      <c r="G195" t="inlineStr">
        <is>
          <t>Santa Clara, CA, US</t>
        </is>
      </c>
      <c r="H195" s="2" t="n">
        <v>45787</v>
      </c>
      <c r="I19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in-a454fb8d5153e89c</t>
        </is>
      </c>
      <c r="B196" t="inlineStr">
        <is>
          <t>Sr. Applied Scientist - Privacy, Privacy Engineering</t>
        </is>
      </c>
      <c r="C196" t="inlineStr">
        <is>
          <t>Amazon.com</t>
        </is>
      </c>
      <c r="D196" t="inlineStr">
        <is>
          <t>indeed</t>
        </is>
      </c>
      <c r="E196">
        <f>HYPERLINK("https://www.indeed.com/viewjob?jk=a454fb8d5153e89c", "https://www.indeed.com/viewjob?jk=a454fb8d5153e89c")</f>
        <v/>
      </c>
      <c r="F196">
        <f>HYPERLINK("https://www.amazon.jobs/jobs/2997657/sr-applied-scientist--privacy-privacy-engineering?cmpid=DA_INAD200785B", "https://www.amazon.jobs/jobs/2997657/sr-applied-scientist--privacy-privacy-engineering?cmpid=DA_INAD200785B")</f>
        <v/>
      </c>
      <c r="G196" t="inlineStr">
        <is>
          <t>Seattle, WA, US</t>
        </is>
      </c>
      <c r="H196" s="2" t="n">
        <v>45787</v>
      </c>
      <c r="I196"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in-4afd17f2e3cc0297</t>
        </is>
      </c>
      <c r="B197" t="inlineStr">
        <is>
          <t>Principal Associate, Data Scientist - LLM Customization Team</t>
        </is>
      </c>
      <c r="C197" t="inlineStr">
        <is>
          <t>Capital One</t>
        </is>
      </c>
      <c r="D197" t="inlineStr">
        <is>
          <t>indeed</t>
        </is>
      </c>
      <c r="E197">
        <f>HYPERLINK("https://www.indeed.com/viewjob?jk=4afd17f2e3cc0297", "https://www.indeed.com/viewjob?jk=4afd17f2e3cc0297")</f>
        <v/>
      </c>
      <c r="F197">
        <f>HYPERLINK("https://www.capitalonecareers.com/job/-/-/1732/92083762528", "https://www.capitalonecareers.com/job/-/-/1732/92083762528")</f>
        <v/>
      </c>
      <c r="G197" t="inlineStr">
        <is>
          <t>New York, NY, US</t>
        </is>
      </c>
      <c r="H197" s="2" t="n">
        <v>46076</v>
      </c>
      <c r="I197" t="inlineStr">
        <is>
          <t>Principal Associate, Data Scientist \- LLM Customization Team
At Capital One, we think big and do big things. We are not just a nationally recognized credit card issuer, a top 10 bank by deposit, but a high\-tech company with products that reach tens of millions of consumers and have been recognized by numerous prestigious awards for their customer\-friendliness. Capital One was the first major bank to move to cloud computing and to publish APIs for the Open Banking future. AI is transforming every industry. At Capital One, you will help shape how it transforms financial services.
**Team Description**
AI Foundations LLM Customization team is at the center of bringing our vision for LLMs and GenAI at Capital One to life. Our work touches every aspect of the research life cycle, from research to building production systems. We work with product, technology and business leaders to apply the state of the art in AI to our business. You will be the driving force to experiment, innovate and create next generation experiences powered by the latest emerging generative AI technologies.
**In this role, you will:**
* Partner with a cross\-functional team of data scientists, applied researchers, software engineers, machine learning engineers and product managers to deliver AI powered products that change how customers interact with their money.
* Leverage a broad stack of technologies — Pytorch, Hugging Face, AWS Ultraclusters, LangChain, VectorDBs, and more — to reveal the insights hidden within huge volumes of numeric and textual data.
* Be the expert in Natural Language Processing (NLP) to harness the power of Large Language Models (LLMs), adapt and finetune them for business specific applications and features.
* Build NLP models through all phases of development, from design through training, evaluation, and validation; partnering with engineering teams to operationalize them in scalable and resilient production systems.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advanced ML and DL technologies including language models and are passionate about developing further. You have hands\-on experience working with LLMs and solutions using open\-source tools and cloud computing platforms.
* Influential. You are passionate about AI/ML and can bring along a cross functional team in breakthrough innovations. You communicate clearly and effectively to share your findings with non\-technical audiences.
* You are experienced in training language models or large computer vision models as well as have expertise in one or more key subdomains such as: training optimization, self\-supervised learning, explainability, RLHF.
* You have an engineering mindset as shown by a track record of delivering models at scale both in training data and inference volumes. You have experience in delivering libraries, platforms, or solution level code to existing products.
 **Basic Qualifications:**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Experience with Large Language Models (LLM), Finetuning, and Deep Learning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98">
      <c r="A198" t="inlineStr">
        <is>
          <t>in-dbbfd5a9b8d40bad</t>
        </is>
      </c>
      <c r="B198" t="inlineStr">
        <is>
          <t>Applied Scientist, Alexa Smart Home</t>
        </is>
      </c>
      <c r="C198" t="inlineStr">
        <is>
          <t>Amazon.com</t>
        </is>
      </c>
      <c r="D198" t="inlineStr">
        <is>
          <t>indeed</t>
        </is>
      </c>
      <c r="E198">
        <f>HYPERLINK("https://www.indeed.com/viewjob?jk=dbbfd5a9b8d40bad", "https://www.indeed.com/viewjob?jk=dbbfd5a9b8d40bad")</f>
        <v/>
      </c>
      <c r="F198">
        <f>HYPERLINK("https://www.amazon.jobs/jobs/3169205/applied-scientist-alexa-smart-home?cmpid=DA_INAD200785B", "https://www.amazon.jobs/jobs/3169205/applied-scientist-alexa-smart-home?cmpid=DA_INAD200785B")</f>
        <v/>
      </c>
      <c r="G198" t="inlineStr">
        <is>
          <t>Seattle, WA, US</t>
        </is>
      </c>
      <c r="H198" s="2" t="n">
        <v>46033</v>
      </c>
      <c r="I198"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99">
      <c r="A199" t="inlineStr">
        <is>
          <t>in-1248099aec5f8f63</t>
        </is>
      </c>
      <c r="B199" t="inlineStr">
        <is>
          <t>Applied Scientist, Alexa Smart Home</t>
        </is>
      </c>
      <c r="C199" t="inlineStr">
        <is>
          <t>Amazon.com</t>
        </is>
      </c>
      <c r="D199" t="inlineStr">
        <is>
          <t>indeed</t>
        </is>
      </c>
      <c r="E199">
        <f>HYPERLINK("https://www.indeed.com/viewjob?jk=1248099aec5f8f63", "https://www.indeed.com/viewjob?jk=1248099aec5f8f63")</f>
        <v/>
      </c>
      <c r="F199">
        <f>HYPERLINK("https://www.amazon.jobs/jobs/3169205/applied-scientist-alexa-smart-home?cmpid=DA_INAD200785B", "https://www.amazon.jobs/jobs/3169205/applied-scientist-alexa-smart-home?cmpid=DA_INAD200785B")</f>
        <v/>
      </c>
      <c r="G199" t="inlineStr">
        <is>
          <t>Sunnyvale, CA, US</t>
        </is>
      </c>
      <c r="H199" s="2" t="n">
        <v>46033</v>
      </c>
      <c r="I199"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li-4375229307</t>
        </is>
      </c>
      <c r="B2" t="inlineStr">
        <is>
          <t>Data Scientist, Product Analytics</t>
        </is>
      </c>
      <c r="C2" t="inlineStr">
        <is>
          <t>Meta</t>
        </is>
      </c>
      <c r="D2" t="inlineStr">
        <is>
          <t>linkedin</t>
        </is>
      </c>
      <c r="E2" t="inlineStr"/>
      <c r="F2" t="inlineStr"/>
      <c r="G2" t="inlineStr">
        <is>
          <t>New York, NY</t>
        </is>
      </c>
      <c r="H2" t="inlineStr"/>
      <c r="I2"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Currently has, or is in the process of obtaining a Bachelor's degree in Computer Science, Computer Engineering, relevant technical field, or equivalent practical experience. Degree must be completed prior to joining Meta
* Bachelor's degree in Mathematics, Statistics, a relevant technical field, or equivalent
* 2\+ years of work experience in analytics and data querying languages (e.g. SQL), scripting languages (e.g. Python), and/or statistical/mathematical software (e.g. R)
*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$119,000/year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
      <c r="A3" t="inlineStr">
        <is>
          <t>li-4368822147</t>
        </is>
      </c>
      <c r="B3" t="inlineStr">
        <is>
          <t>Data Scientist, Algorithms</t>
        </is>
      </c>
      <c r="C3" t="inlineStr">
        <is>
          <t>Lyft</t>
        </is>
      </c>
      <c r="D3" t="inlineStr">
        <is>
          <t>linkedin</t>
        </is>
      </c>
      <c r="E3" t="inlineStr"/>
      <c r="F3" t="inlineStr"/>
      <c r="G3" t="inlineStr">
        <is>
          <t>San Francisco County, CA</t>
        </is>
      </c>
      <c r="H3" t="inlineStr"/>
      <c r="I3" t="inlineStr">
        <is>
          <t>At Lyft, our purpose is to serve and connect. We aim to achieve this by cultivating a work environment where all team members belong and have the opportunity to thrive.
 Data Science is at the heart of Lyft’s products and decision\-making. We are hiring a
 **Data Scientist \- Algorithms** 
 to join the Base Earnings team. This cross\-functional team is responsible for setting pay for every Lyft rideshare ride, as well as ensuring compliance with our regulatory and policy commitments regarding pay. We seek a passionate data scientist to help create and improve our production algorithms for determining driver pay.
 In this role, you will leverage your data, machine learning, optimization, experimentation, and/or inference skills to refine Lyft’s pay policies. You will also support operations and continuously monitor policy performance in production. Your technical impact will contribute directly to company\-level metrics, including profit, rides completed, driver sentiment, and pickup reliability.
**Responsibilities:**
* Partner with Engineers, Product Managers, and Business Partners to frame problems, both mathematically and within the business context.
* Perform exploratory data analysis to gain a deeper understanding of the problem
* Design and fit statistical, machine learning, or optimization models
* Collaborate with Software Engineers to implement algorithms in production
* Design and run both simulated and live traffic experiments
* Analyze experimental and observational data; communicate findings; facilitate launch decisions
**Experience:**
* M.S. or Ph.D. in Statistics, Operations Research, Mathematics, Economics, Computer Science, Physics, Engineering, or a similar quantitative field
* 2\+ years professional experience OR a Ph.D.
+ Expertise in machine learning, optimization and/or causal inference
* Proficient at writing Python code
* End\-to\-end experience with data, including querying, ETL, monitoring, analysis, and visualization
**Benefits:**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$128,000 \- $160,000,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4">
      <c r="A4" t="inlineStr">
        <is>
          <t>li-4368535834</t>
        </is>
      </c>
      <c r="B4" t="inlineStr">
        <is>
          <t>Data Scientist</t>
        </is>
      </c>
      <c r="C4" t="inlineStr">
        <is>
          <t>Twitch</t>
        </is>
      </c>
      <c r="D4" t="inlineStr">
        <is>
          <t>linkedin</t>
        </is>
      </c>
      <c r="E4" t="inlineStr"/>
      <c r="F4" t="inlineStr"/>
      <c r="G4" t="inlineStr">
        <is>
          <t>San Francisco, CA</t>
        </is>
      </c>
      <c r="H4" t="inlineStr"/>
      <c r="I4"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an experienced Data Scientist to support our central analytics and finance disciplines at Twitch. Bringing to bear a mixture of data analysis, dashboarding, and SQL query skills, you will use data\-driven methods to answer business questions, and deliver insights that deepen understanding of our viewer behavior and monetization performance. Reporting to the VP of Finance, Analytics, and Business Operations, your team will be located in San Francisco.
 Our team is based in San Francisco, CA.
**You Will:**
* Create actionable insights from data related to Twitch viewers, creators, advertising revenue, commerce revenue, and content deals.
* Develop dashboards and visualizations to communicate points of view that inform business decision\-making.
* Create and maintain complex queries and data pipelines for ad\-hoc analyses.
* Author narratives and documentation that support conclusions.
* Collaborate effectively with business partners, product managers, and data team members to align data science efforts with strategic goals.
**You Have:**
* 3\+ years of data science experience with a Bachelor's degree in a quantitative field (e.g., Statistics, Business Analytics, Data Science, Mathematics, Economics, Engineering or Computer Science).
* Expertise in using SQL for data analysis, reporting, and dashboarding.
* Expertise with visualization tools like Tableau or Quicksight.
* Experience with a scripting language such as Python or R.
* Comfort with data warehouses and big data technologies at consumer scale such as Redshift, Snowflake, Big Query, etc.
**Bonus Points**
* Master’s or Doctorate degree in a quantitative field (e.g. Statistics, Business Analytics, Data Science, Mathematics, Economics, Engineering, or Computer Science)
* Experience in gaming or digital media
**Perks**
* Medical, Dental, Vision \&amp; Disability Insurance
* 401(k)
* Maternity \&amp; Parental Leave
* Flexible PTO
* Amazon Employee Discount
*Pursuant to the San Francisco Fair Chance Ordinance, we will consider for employment qualified applicants with arrest and conviction records.*
 Job ID: TW9095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 CA, San Francisco
 $157,300—$212,800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5">
      <c r="A5" t="inlineStr">
        <is>
          <t>li-4377862849</t>
        </is>
      </c>
      <c r="B5" t="inlineStr">
        <is>
          <t>Entry Level - Data Scientist- Gen Ai - ML</t>
        </is>
      </c>
      <c r="C5" t="inlineStr">
        <is>
          <t>Capgemini</t>
        </is>
      </c>
      <c r="D5" t="inlineStr">
        <is>
          <t>linkedin</t>
        </is>
      </c>
      <c r="E5" t="inlineStr"/>
      <c r="F5" t="inlineStr"/>
      <c r="G5" t="inlineStr">
        <is>
          <t>Seattle, WA</t>
        </is>
      </c>
      <c r="H5" t="inlineStr"/>
      <c r="I5"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**About The Job You’re Considering**
 The Data Scientist / ML Engineer will demonstrate excellent knowledge of ML algorithms (e.g., Linear Regression, Logistic Regression, Clustering/Segmentation, Decision Tree, Random Forest, GBM, DNN, Naive Bayes, Support Vector Machine, etc.) to lead efforts, teams, projects, and engage with customers.
**Your Role**
* Responsible for developing and implementing AI\-assisted marketing analytics solutions that address customer needs using data science and machine learning.
* Work closely with multi\-functional teams to deliver innovative solutions that drive business growth and improve customer engagement.
**Your Roles \&amp; Responsibilities**
* Design, implement, and optimize machine learning models (supervised, unsupervised, and reinforcement learning).
* Work on projects involving NLP, computer vision, recommendation systems, and predictive analytics.
* Perform feature engineering, data preprocessing, and model selection.
* Collaborate with Data Engineers to acquire and preprocess large datasets.
* Build and maintain data pipelines to support model training, testing, and deployment.
* Ensure data quality, consistency, and reliability.
* Deploy ML models into production environments using CI/CD and MLOps practices.
* Monitor model performance, retrain models, and manage model versioning.
* Optimize inference performance and resource utilization.
* Stay current with emerging ML/AI technologies, frameworks, and research.
* Evaluate new algorithms, tools, and libraries to improve model performance.
* Experiment with novel approaches to solve complex business problems.
* Work with software engineers, data scientists, and product managers to integrate ML solutions into applications.
* Mentor junior engineers and share best practices in ML development and deployment.
 The base compensation range for this role in the posted location is:$46,000 to $111,000\.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6">
      <c r="A6" t="inlineStr">
        <is>
          <t>li-4341225127</t>
        </is>
      </c>
      <c r="B6" t="inlineStr">
        <is>
          <t>Sr. Data Scientist - Business Data Team</t>
        </is>
      </c>
      <c r="C6" t="inlineStr">
        <is>
          <t>Zillow</t>
        </is>
      </c>
      <c r="D6" t="inlineStr">
        <is>
          <t>linkedin</t>
        </is>
      </c>
      <c r="E6" t="inlineStr"/>
      <c r="F6" t="inlineStr"/>
      <c r="G6" t="inlineStr"/>
      <c r="H6" t="inlineStr"/>
      <c r="I6" t="inlineStr">
        <is>
          <t>**About The Team**
 Zillow Group’s Business Data organization represents the next step forward in the company's dedication to integrate an improved set of B2B agent software \&amp; advertising products for customers and partners, their clients, and the real estate industry as a whole.
 Zillow has built and acquired a portfolio of market\-leading products for agent productivity, listing media, showing coordination, transaction management and analytics solutions. Our wide array of products and services are built on technological innovations crafted to bring efficiencies to all users.
**About The Role**
 The Business Data Science team within Zillow is hiring a Data Scientist to lead analytics to uncover insights to drive both better business decisions and customer experiences across our product portfolio.
**You Will Get To:**
* Collaborate with team members across product, engineering, marketing, sales, operations, and more to develop evidence\-based approaches to finding gaps \&amp; optimizing the customer experience.
* Use advanced analytics, including clustering, propensity modeling, statistical knowledge, and other explanatory and causal inference techniques to gain a clearer picture of customer behavior.
* Build compelling data stories and visualizations to inform and influence decision\-makers.
* Serve as a mentor and resource to other data scientists on the team.
* Design and implement A/B tests, perform regression modeling, and provide recommendations for the product roadmap.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$148,600\.00 \- $237,400\.00 annually. This base pay range is specific to these locations and may not be applicable to other locations. In Colorado, Hawaii, Illinois, Minnesota, Nevada, Ohio, Rhode Island, and Vermont the standard base pay range for this role is $141,200\.00 \- $225,600\.00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You are ready to bring your data and analytics expertise to transform what it means for the real estate industry to unlock the ability for consumers to dream, search, and find a home. You have an appreciation of the unique challenges posed by business to business product development and go\-to\-market.
**Additionally, we expect you to have:**
* An undergraduate or Master’s degree in a quantitative field (e.g. mathematics, engineering, statistics, finance, or similar)
* 5\+ years of work experience involving quantitative data analysis and complex problem\-solving. Experience working with product teams strongly preferred.
* A strong understanding of statistical concepts, measurement issues, and inference techniques.
* Proficiency in SQL, Excel, and either Python or R, along with some experience with Tableau, Mode, or other visualization software.
* Extensive experience querying multi\-terabyte\-sized noisy data sets such as clickstream data.
* Experience with ETL pipelines, scheduling and productionalizing is a plus.
* Experience with A/B Testing, Experimentation, or Casual Inference
* Strong written, verbal, and visual communication skills with the ability to work cross\-functionally.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7">
      <c r="A7" t="inlineStr">
        <is>
          <t>li-4343232450</t>
        </is>
      </c>
      <c r="B7" t="inlineStr">
        <is>
          <t>Lead Data Scientist</t>
        </is>
      </c>
      <c r="C7" t="inlineStr">
        <is>
          <t>Bread Financial</t>
        </is>
      </c>
      <c r="D7" t="inlineStr">
        <is>
          <t>linkedin</t>
        </is>
      </c>
      <c r="E7" t="inlineStr"/>
      <c r="F7" t="inlineStr"/>
      <c r="G7" t="inlineStr">
        <is>
          <t>Columbus, OH</t>
        </is>
      </c>
      <c r="H7" t="inlineStr"/>
      <c r="I7" t="inlineStr">
        <is>
          <t>****Every career journey is personal. That's why we empower you with the tools and support to create your own success story.****
**Be challenged. Be heard. Be valued. Be you ... be here.**
**Job Summary**
 The Data Scientist role at Bread Financial is responsible for generating data\-driven insights to support enterprise data science needs within the organization. The Lead Data Scientist is pivotal in generating insights and supporting the enterprise's data science needs, as well as enhancing the team's industry competence through research in Artificial Intelligence (AI).
 The Data Science team, through this role, supports Marketing by developing predictive and prescriptive models that optimize campaign performance, enable targeted and personalized marketing, and provide actionable insights for acquisition, engagement, and retention strategies. They leverage advanced analytics, AI/ML tools, and secure data\-sharing environments to enhance decision\-making and drive measurable business outcomes.
**Essential Job Functions**
* Lead the design, build, deployment, and periodic maintenance of AI solutions. \- (30%)
* Build strong relationships with internal business partners to drive the delivery of enterprise solutions. \- (20%)
* Establishing and executing the framework for engaging enterprise partners to plan new AI solutions. \- (15%)
* Assisting with documentation, compliance, model governance, and maintenance of AI solutions. \- (15%)
* Research advanced modeling and AI techniques to improve predictive modeling and maintain business acumen in relevant industries. \- (10%)
* Training and mentoring to junior Data Scientists. Lead projects as needed or required \- (10%)
**Minimum Qualifications**
* Bachelor’s Degree in Statistics, Mathematics, Engineering, Data Science, Computer Science, or Economics
* 8\+ years experience in building sophisticated models using machine learning, segmentation, time series, and other advanced analytics methodologies.
**Preferred Qualifications**
* Master’s Degree or PhD in Statistics, Mathematics, Computer Science, Data Science, Engineering, Economics, or other quantitative fields
* Advanced machine learning modeling and/or technical expertise in developing market differentiation data science products.
* Experience in bank card/credit card business, consulting, retail, marketing, loyalty, and/or financial services.
**Skills**
* Data Manipulation
* Machine Learning
* Python (Programming Language)
* R Statistics
* Statistical Analysis
* Statistics
* Time Series Analysis
* Cloud Environment
* Agentic AI
* GenAI
* Presentation to Small and Large Groups
* Financial Analysis
* Choice\-Based Conjoint Design and survey techniques
**Reports To** 
 : Senior Manager and above
**Direct Reports** 
 : 0
**Work Environment**
* Normal office environment. (Remote or Hybrid), 3 to 4 days per month are required in office if within 60 miles of a posted Bread Financial location.
**Travel**
* Ability to travel up to 5% annually
**Physical And Mental Requirements**
 To perform this job successfully, an individual must be able to perform each essential job function satisfactorily and meet the physical, mental and work environment requirements. Reasonable accommodations may be made to enable qualified individuals with disabilities to perform essential job functions, absent undue hardship.
* Communicate/Hearing
* Communicate/Talking
* Stationary Position/Seated
* Typing/Writing
* Focus and complete tasks in situations that have a speed or productivity metric
* Maintain focus in high pressure or fast\-paced work environment
**Other Duties**
 This job description is illustrative of the types of duties typically performed by this job. It is not intended to be an exhaustive listing of each and every essential function of the job. Because job content may change from time to time, the Company reserves the right to add and/or delete essential functions from this job at any time.
**Salary Range (unless Otherwise Noted Below)**
 $120,500\.00 \- $218,300\.00
**Full Salary Range For Position**
 California: $138,600\.00 \- $272,900\.00
 Colorado: $120,500\.00 \- $229,200\.00
 New York: $132,500\.00 \- $272,900\.00
 Washington: $126,500\.00 \- $251,100\.00
 Maryland: $126,500\.00 \- $240,200\.00
 Washington DC: $138,600\.00 \- $251,100\.00
 Illinois: $120,500\.00 \- $240,200\.00
 New Jersey: $138,600\.00 \- $251,100\.00
 Vermont: $120,500\.00 \- $218,300\.00
 Ohio: $120,500\.00 \- $218,300\.00
*The actual base pay within this range may be dependent upon many factors, which may include, but are not limited to, work location, education, experience, and skills.*
 Bread Financial offers medical, prescription drug, dental, vision, and other voluntary benefits (including basic and optional life insurance, supplemental medical plans, and short and long\-term disability) to eligible associates (regular full\-time associates scheduled to work 30 hours per week or more) and their spouses/domestic partners, and child(ren) under the age of 26\. New associate elected coverage begins on date of hire (with the exception of disability coverage which has a 6\-month waiting period). Six weeks of 100% paid parental leave for eligible parents is available after a 180\-day waiting period. Hired associates can immediately enroll in Bread Financial’s 401(k) plan.
 All associates receive 11 paid holidays. Associates have discretion in managing their time away from work through the Flexible Time Off (FTO) program and may need to notify and receive approval from their manager prior to taking the time off. Associates (except those located in Illinois) receive 80 hours of Paid Sick and Safe Time (“PSST”) upon hire and at the beginning of each subsequent calendar year. Illinois associates receive 40 hours of Illinois PSST upon hire and at the beginning of each subsequent calendar year and 40 hours of Illinois Paid Leave upon hire and at the beginning of each subsequent calendar year. Illinois Paid Leave must be used before associates in Illinois will be approved to take FTO.
 Hired associates will be able to elect the purchase company stock during offering periods in June and December. You will be eligible for an annual incentive bonus based on individual and company performance.
 Click here for more Benefits information.
**About Bread Financial®**
 At Bread Financial, you’ll have the opportunity to grow your career, give back to your community, and be part of our award\-winning culture. We’ve been consistently recognized as a best place to work nationally and in many markets and we’re proud to promote an environment where you feel appreciated, accepted, valued, and fulfilled—both personally and professionally. Bread Financial supports the overall wellness of our associates with a diverse suite of benefits and offers boundless opportunities for career development and non\-traditional career progression.
 Bread Financial® (NYSE: BFH) is a tech\-forward financial services company that provides simple, personalized payment, lending and saving solutions to millions of U.S. consumers. Our payment solutions, including Bread Financial general purpose credit cards and savings products, empower our customers and their passions for a better life. Additionally, we deliver growth for some of the most recognized brands in travel \&amp; entertainment, health \&amp; beauty, jewelry and specialty apparel through our private label and co\-brand credit cards and pay\-over\-time products providing choice and value to our shared customers.
 Bread Financial proudly marks 30 years of success in 2026\. To learn more about our global associates, our performance and our sustainability progress, visit breadfinancial.com or follow us on Instagram and LinkedIn.
* Bread Financial offers competitive pay, a comprehensive selection of benefit options including 401(k).
* The Company is an Equal Opportunity Employer.
* Any applicant offered employment will be required to establish that they are legally authorized to work in the United States for the Company.
* The Company participates in E\-Verify.
* The Company will consider for employment all qualified applicants, including those with a criminal history, in a manner consistent with the requirements of all applicable federal, state, and local laws, including the Los Angeles Fair Chance Initiative for Hiring Ordinance, the San Francisco Fair Chance Ordinance, and the New York City Fair Chance Act. Applicants with criminal histories are encouraged to apply.
* The Company complies with the Americans with Disabilities Act (ADA), as amended, and all applicable state/local laws. The Company will provide accommodations to applicants needing accommodations to complete the application process. Applicants with disabilities may contact the Company to request and arrange for accommodations. If you need assistance to accommodate a disability, you may request an accommodation at any time. Please contact the Recruiting Team at TaOps@breadfinancial.com.
**Job Family**
 Data and Analytics
**Job Type**
 Regular</t>
        </is>
      </c>
    </row>
    <row r="8">
      <c r="A8" t="inlineStr">
        <is>
          <t>li-4377855740</t>
        </is>
      </c>
      <c r="B8" t="inlineStr">
        <is>
          <t>Data Scientist I</t>
        </is>
      </c>
      <c r="C8" t="inlineStr">
        <is>
          <t>Bank of America</t>
        </is>
      </c>
      <c r="D8" t="inlineStr">
        <is>
          <t>linkedin</t>
        </is>
      </c>
      <c r="E8" t="inlineStr"/>
      <c r="F8" t="inlineStr"/>
      <c r="G8" t="inlineStr">
        <is>
          <t>New York, NY</t>
        </is>
      </c>
      <c r="H8" t="inlineStr"/>
      <c r="I8"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**The Data and AI team within Global Payment Solutions (GPS) at Bank of America** 
 is looking for a highly technical Research Engineer that is a self\-starter who can translate complex concepts and generate actionable insights.
**Who we are:**
 The GPS Data and AI team drives and powers innovation within the one of the largest payment businesses in the world. We are the core data scientists building end\-to\-end production level solutions at scale. The team is a collection of individuals that welcomes challenging problems because that is where the learning begins. Many of our projects begin with “think tank” sessions with business teams that is later translated to tangible solutions and products.
**Representative Projects:**
* Develop advanced statistical methods to determine the optimal interest\-rate or product pricing strategies for clients
* Build a Generative AI\-powered search platform that enables sales and product teams to access high quality answers to product, servicing, and client related questions
* Develop AI models that shift foreign currency conversion “up the payment stream,” reducing reliability on beneficiary banks
* Apply advanced NLP techniques to generate near real\-time insights into what clients are reaching out to servicing teams about, helping servicing teams anticipate client needs and improve service quality
**Who we’re looking for:**
 As a Research Engineer on the GPS team, you will tackle one of our most import challenges: building models that transform data into revenue\-driving insights and products. This role blends research, engineering, and product responsibilities, requiring you to design statistical models, build scalable ML pipelines, and deploy algorithms directly into our production systems. You will work across teams to solve problems in recommendation, stochastic optimization, and time\-series forecasting; while running large A/B tests on new methods we design to push the boundaries of what data can achieve.
 If you are passionate about working in cross\-functional teams and utilizing your skills for technical product management, statistical analytics, predictive modeling, and generating revenue, consider applying to this role.
**Responsibilities:**
* Frame abstract business problems using advanced data science and machine learning algorithms
* Work with stakeholders throughout the organization to identify opportunities for leveraging internal and external data to drive business solutions
* Own critical research and application development, strengthening the firm's competitive advantage
* Shape cross\-team collaboration to advance the firm's data science capabilities
**Required Skills:**
* Minimum Bachelor’s degree in a quantitative field such as computer science, math, statistics, and physics
* Minimum 3 years of experience with translating mathematical models and algorithms into code (Python and/or C\+\+)
* Strong foundation in probability, statistics, and applied machine learning (NLP, time\-series analysis, Generative AI)
* Prior experience working in a highly technical data driven research environment
* Ability to communicate complex topics in a concise and coherent manner
**Desired Skills:**
* Graduate level degree in a quantitative field such as, computer science, math, statistics, and physics
* Demonstrated prior experience through work, research or passion projects in RAG, Agentic Frameworks, LLMs, Reinforcement Learning
* Are energized by the high stakes and intensity of dynamic environments and ready to dive in whenever
* Are excited to dive into new technical areas on a regular basis
**Shift:**
 1st shift (United States of America)
**Hours Per Week:**
 40</t>
        </is>
      </c>
    </row>
    <row r="9">
      <c r="A9" t="inlineStr">
        <is>
          <t>li-4376775134</t>
        </is>
      </c>
      <c r="B9" t="inlineStr">
        <is>
          <t>Junior Data Scientist</t>
        </is>
      </c>
      <c r="C9" t="inlineStr">
        <is>
          <t>Flexon Technologies Talent360.ai</t>
        </is>
      </c>
      <c r="D9" t="inlineStr">
        <is>
          <t>linkedin</t>
        </is>
      </c>
      <c r="E9" t="inlineStr"/>
      <c r="F9" t="inlineStr"/>
      <c r="G9" t="inlineStr">
        <is>
          <t>Sunnyvale, CA</t>
        </is>
      </c>
      <c r="H9" t="inlineStr"/>
      <c r="I9" t="inlineStr">
        <is>
          <t>**Job Description:** 
 Experience in Machine Learning and Deep Learning, including regression, classification, neural network, and Natural Language Processing (NLP).
 Extensive experience on Natural Language Processing (NLP) libraries such as Spacy, NLTK, flair, and sklearn\-crfsuite.
 Strong background in DNN, CNN, RNN(LSTM), GAN, and libraries to deploy these models, such as Sklearn, Keras, Pandas, and TensorFlow.
 Experience in Text Analytics, developing different Statistical Machine Learning, Data Mining solutions to various business problems, and generating data visualizations using R, Python.
 Experience with common data science toolkits and libraries, such as Pandas, NumPy, SciPy, Scikit\-learn.
 Experience with data exploration to find actionable insights and make Product Recommendations through Funnel Analyses, A/B testing, Churn analysis, User Segmentation, Retention Rate, and business KPIs.
 Python, Time Series, LLM, Data Minning</t>
        </is>
      </c>
    </row>
    <row r="10">
      <c r="A10" t="inlineStr">
        <is>
          <t>li-4361526345</t>
        </is>
      </c>
      <c r="B10" t="inlineStr">
        <is>
          <t>Data Scientist II, Product Analytics</t>
        </is>
      </c>
      <c r="C10" t="inlineStr">
        <is>
          <t>Moloco</t>
        </is>
      </c>
      <c r="D10" t="inlineStr">
        <is>
          <t>linkedin</t>
        </is>
      </c>
      <c r="E10" t="inlineStr"/>
      <c r="F10" t="inlineStr"/>
      <c r="G10" t="inlineStr">
        <is>
          <t>Menlo Park, CA</t>
        </is>
      </c>
      <c r="H10" t="inlineStr"/>
      <c r="I10" t="inlineStr">
        <is>
          <t>**About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**The impact you'll be contributing to Moloco:**
 Product Analytics Data Science (PDS) is the data science team that works closely with the R\&amp;D team on our core Ads product. As a
 **Data Scientist II** 
 , you will drive performance improvement in our product through a deep understanding of the ads ecosystem (supply, demand, bidding, ML) and customer needs, and provide the data driven insight and scientific solutions.
**Here’s what you’ll be working on:**
 Our team is responsible for:
* Conducting deep\-dive analysis to influence R\&amp;D decisions and strategies: analyzing large datasets with queries and scripts, extracting valuable signals out of noise, and producing actionable insights into how we could improve Moloco’s complex ML and bidding system to drive outcomes for customers.
* Building the right metrics to measure campaign health: improving campaign performance monitoring by establishing the right metric framework, and understanding cause\-and\-effect relationships across drivers
* Evaluating ads system health: understanding changes and drivers of our complex systems, and diagnosing issues through a set of input/output metrics of each component.
**Basic Qualifications**
* Distinctive problem\-solving skills, ability to articulate product questions, pulling data from large datasets and using statistics to arrive at a recommendation; ability to manage multiple projects at the same time.
* Proven ability to own complex projects end\-to\-end, even when you have to get creative: you do more than completing delegated tasks and always pay attention to detail to translate analysis results into business recommendations.
* Provide strategic thought partnership to cross\-functional teams, leveraging data\-driven insights to influence and guide product decisions, roadmap prioritization, and overall business strategy.
* Excellent verbal and written communication skills, with ability to present information and analysis results effectively.
* Statistics: strong knowledge and experience in experimental design, hypothesis testing, and various statistical analysis techniques such as regression or linear models.
* Programming: experience with Python, R or other scripting language, and database language (e.g. SQL) or data manipulation (e.g. Pandas, Dplyr).
* Ability to build positive relationships within the DS team and with Product Management, Engineering stakeholders ;work effectively with cross\-functional partners in a global company.
* 3\+ years of work experience (industry or postgraduate) in data science related fields or an advanced degree such as Master’s or PhD in a quantitative discipline with 4\+ years of experience.
* Bachelor’s, Master’s and/or PhD in a quantitative discipline (e.g. Statistics, Operations Research, Bioinformatics, Economics, Computational Biology, Computer Science, Mathematics, Physics, Electrical Engineering, Industrial Engineering).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$131,000—$165,000 USD
**Moloco Thrive: Benefits and Well\-Being:**
 We take care of you and create the conditions for you to do the best work of your career. Through a lens of inclusion,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
**Candidate Privacy Notice:**
 Your privacy matters to us. By applying, you acknowledge that you’ve reviewed our Candidate Privacy Notice.</t>
        </is>
      </c>
    </row>
    <row r="11">
      <c r="A11" t="inlineStr">
        <is>
          <t>li-4376757508</t>
        </is>
      </c>
      <c r="B11" t="inlineStr">
        <is>
          <t>Data Scientist</t>
        </is>
      </c>
      <c r="C11" t="inlineStr">
        <is>
          <t>Haystack</t>
        </is>
      </c>
      <c r="D11" t="inlineStr">
        <is>
          <t>linkedin</t>
        </is>
      </c>
      <c r="E11" t="inlineStr"/>
      <c r="F11" t="inlineStr"/>
      <c r="G11" t="inlineStr"/>
      <c r="H11" t="inlineStr"/>
      <c r="I11" t="inlineStr">
        <is>
          <t>**Data Scientist \| San Diego, CA \| Hybrid \| $77,600 \- $176,000** 
 We're working with a premier global consultancy driving innovation at the intersection of national intelligence and cutting\-edge tech on this exciting opportunity.
 In this role, you will tackle some of the world’s most pressing challenges—from fraud detection to cancer research—using the power of Machine Learning and AI. You’ll transform massive, complex datasets into actionable intelligence using Python, R, and cloud\-native frameworks to enable high\-stakes decision\-making across the public and private sectors.
**The Role** 
 • Lead the end\-to\-end data science lifecycle, from initial data discovery and cleaning to deploying sophisticated predictive models in production environments.
 • Develop and implement advanced algorithms using supervised and unsupervised learning, including Neural Networks, Decision Trees, and Logistic Regression.
 • Build and optimize data pipelines using tools like Databricks, Apache NiFi, and SQL (PL/pgSQL) to handle disparate structured and unstructured data sources.
 • Design compelling data visualizations and dashboards in Tableau, PowerBI, or Qlik to translate complex analytical findings for non\-technical stakeholders.
 • Collaborate within an Agile environment to operationalize models using modern MLOps and DevSecOps workflows, including Docker, Jenkins, and Git.
**What You'll Need** 
 • 3\+ years of professional experience in Data Science, Machine Learning, or Advanced Statistics.
 • High proficiency in programming with Python, R, C\+\+, or Java for data analysis and software development.
 • Hands\-on experience with major Cloud platforms (AWS, Azure, or GCP) and identifying/preparing customer datasets for model ingestion.
 • Bachelor’s degree in a STEM field (Master’s preferred) and the ability to obtain a U.S. Secret clearance.
 • Bonus points for experience with DoD information systems, Palantir (AIP/Foundry), or Elasticsearch.
**What's On Offer** 
 • Highly competitive salary ($77,600 \- $176,000\) with performance\-based recognition awards.
 • Comprehensive wellness coverage including health, dental, vision, life, and disability insurance.
 • Robust professional growth support through tuition assistance, specialized training, and career development programs.
 • Flexible hybrid work model prioritising work\-life balance and collaborative innovation.
**Apply via Haystack today!**</t>
        </is>
      </c>
    </row>
    <row r="12">
      <c r="A12" t="inlineStr">
        <is>
          <t>li-4361365924</t>
        </is>
      </c>
      <c r="B12" t="inlineStr">
        <is>
          <t>Data Scientist, Devices and Services FinTech</t>
        </is>
      </c>
      <c r="C12" t="inlineStr">
        <is>
          <t>Amazon</t>
        </is>
      </c>
      <c r="D12" t="inlineStr">
        <is>
          <t>linkedin</t>
        </is>
      </c>
      <c r="E12" t="inlineStr"/>
      <c r="F12" t="inlineStr"/>
      <c r="G12" t="inlineStr">
        <is>
          <t>Seattle, WA</t>
        </is>
      </c>
      <c r="H12" t="inlineStr"/>
      <c r="I12" t="inlineStr">
        <is>
          <t>**Description**
 Are you looking for an opportunity to own a large\-scale technology problem? Do you enjoy finding patterns and pushing the boundaries of current possibilities? Are you interested in building reliable and scalable systems that support Amazon's growth? If so, Amazon Devices and Services Finance Technology (FinTech) is the perfect place for you!
**About This Role**
 The Amazon Devices and Services FinTech team is expanding our data science team that is building forecasting solutions and advanced analytics platforms for the Amazon Devices and Services Finance organization, and we are looking for a Data Scientist to join us. As a data scientist, you will dive deep into data from across Amazon's finance organization, extract new insights, drive investigations and algorithm development, and interface with technical and non\-technical customers. You will leverage your data science expertise and communication skills to pivot between delivering science solutions, translating knowledge of finance and operational processes into forecasting models, building product analytics for our AI systems, and communicating insights and recommendations to audiences of varying levels of technical sophistication in support of specific business questions, root cause analysis, planning, and innovation for the future.
 Key job responsibilities
* Create various forecasts, including but not limited to Operational Expenses, and drive adoption of these forecasts by various teams within Amazon for financial and operations planning
* Build product metrics, monitoring pipelines, and analytics tools for our AI assistant to track performance, user engagement, and system reliability
* Continuously innovate through research and the application of the latest machine learning techniques to drive forecasting accuracy improvement and AI system optimization
* Perform exploratory data analysis to identify business opportunities and develop plans to address them across both financial forecasting and AI product development
* Communicate verbally and in writing to business customers with various levels of technical knowledge, educating them about our systems, as well as sharing insights and recommendations
* Build customer\-facing reporting tools and dashboards to provide insights and metrics which track forecast performance, AI assistant effectiveness, and explain variance
* Utilize code (Python, R, Scala, SQL, etc.) for analyzing data and building statistical and machine/deep learning models for both financial forecasting and AI product analytics
 A day in the life
 As a data scientist at Amazon Devices and Services FinTech, you'll dive into complex datasets using advanced analytics and machine learning to build accurate forecasting models for problems like Operational Expense forecasting. You'll also develop product metrics and monitoring pipelines for our AI assistant, analyzing user engagement and system performance. Collaboration with business and engineering teams is essential as you translate insights into actionable recommendations. Throughout the day, you'll innovate by adapting new forecasting methods and AI analytics approaches, ensuring solutions are scalable and reliable. Your communication skills help you solve unstructured problems in our fast\-paced, dynamic environment.
**About The Team**
 Amazon Devices and Services FinTech is the global team that designs and builds the financial planning and analysis tools for a wide variety of Devices' new and established organizations. From Kindle to Ring and even new and exciting companies like Kuiper (our new interstellar satellite play), this team enjoys a wide variety of complex and interesting problem spaces. We also own and operate the organization's AI assistant, making us true FinTech innovators embedded within Amazon.
**Basic Qualifications**
* Bachelor's degree in a quantitative field such as statistics, mathematics, data science, business analytics, economics, finance, engineering, or computer science
* 3\+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**Preferred Qualifications**
* Master's degree in a quantitative field such as statistics, mathematics, data science, business analytics, economics, finance, engineering, or computer science
* Experience in Python, Perl, or another scripting language
* Experience in a ML or data scientist role with a large technology company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\- 136,000\.00 \- 184,000\.00 USD annually
**Company** 
 \- Amazon.com Services LLC
 Job ID: A3130794</t>
        </is>
      </c>
    </row>
    <row r="13">
      <c r="A13" t="inlineStr">
        <is>
          <t>li-4375217573</t>
        </is>
      </c>
      <c r="B13" t="inlineStr">
        <is>
          <t>Data Scientist – Entry Level – Artificial Intelligence Focus (Hybrid)</t>
        </is>
      </c>
      <c r="C13" t="inlineStr">
        <is>
          <t>Barr Engineering Co.</t>
        </is>
      </c>
      <c r="D13" t="inlineStr">
        <is>
          <t>linkedin</t>
        </is>
      </c>
      <c r="E13" t="inlineStr"/>
      <c r="F13" t="inlineStr"/>
      <c r="G13" t="inlineStr">
        <is>
          <t>Minneapolis, MN</t>
        </is>
      </c>
      <c r="H13" t="inlineStr"/>
      <c r="I13" t="inlineStr">
        <is>
          <t>**The Role – What You’ll Do**
 The individual in this role will join a talented and collaborative team of digital solutions professionals. This person will support teams and work with various clients on data engineering, data science, artificial intelligence, and agentic systems. Work may also involve working with digital twins, management information systems, and bolstering internal digital technology capabilities.
 The ideal candidate for this position will meet internal and external client needs with exceptional client service and professionalism. They are adaptable, have strong problem\-solving skills and have a desire to learn. They also have a strong team mentality with a willingness to assist where needed to contribute to the group’s success.
**Your Impact – Key Responsibilities**
* Create, deploy, and maintain artificial intelligence workflows.
* Implement agent scaffolding to optimize instructions, skills, tools, and context retrieval.
* Orchestrate teams of agents and subagents.
* Design, test, and deploy machine learning models.
* Perform data analysis, including data cleansing, data quality reviews, data visualization, statistical analysis, and model development and deployment
* Integrate data sources and support building of data pipelines
* Perform reviews to improve the accuracy of the data warehouse and reporting.
* Participate in Barr’s Data Resource Group and support technology for a wide variety of engineering, environmental, and scientific project work.
* Participate in process improvements and special projects as assigned by data scientists and engineers.
**About The Opportunity**
* Hybrid: a hybrid work arrangement may be considered for this position. A hybrid work arrangement refers to splitting time worked between a Barr office and a home office. This position is based out of Barr's Minneapolis, Minnesota, office.
* Travel expectation: this role may require up to 5% of time spent travelling; may vary depending on client needs and project commitments.
**About You – Required Core Competencies**
* Education: bachelor’s degree or relevant equivalent experience in computer science, data science, artificial intelligence, or a related program, such as engineering with an emphasis on data science.
* Software: experience with Azure or similar cloud computing platforms. Experience with Python.
* Experience building and implementing artificial intelligence workflows.
* Experience with processing unstructured data via large language models.
* Excellent oral and written communication skills.
* Excellent attention to detail, accuracy, time management, and follow\-through.
* Driver’s license: possession of a current, valid driver’s license and acceptable driving record.
* Must be legally authorized to work in the United States without the need for sponsorship by Barr, now or in the future.
**Compensation:** 
 Anticipated range of $75,000–$90,000 annually. Compensation will vary based on relevant experience, education, skill level, and other compensable factors. Employees in this position may also be eligible for a discretionary cash bonus based on team and individual performance. This position is classified as exempt (salaried) under the Fair Labor Standards Act.
 \#Handshake
**Benefits \- What We Offer**
 We are committed to providing an employee experience that attracts and retains top talent. That's why we offer a competitive package of employee benefits \- including some unique offerings not found at other companies. At Barr, we also believe that learning doesn't stop when you get your degree, which is why we provide coaching, mentoring, and support for ongoing educational opportunities to foster professional development at every stage of your career.
* Competitive, affordable insurance plans: Medical, dental, vision, life, disability, accidental death insurance, and flexible spending accounts for medical and dependent care
* Retirement benefits: 401(k) retirement savings plan with company contribution and an Employee Stock Ownership Plan (ESOP) with company contribution in Barr stock
* Profit distribution: Barr has a "no retained earnings" model and distributes all profit to our employees through our annual bonus distribution plan, ESOP, and dividends to shareholders
* Professional development benefits: Annual time and expense allowances, mentorship program, and many internal training opportunities
* Work/life balance: Paid time off, holidays, overtime for non\-exempt/hourly staff, and compensatory time for exempt/salaried staff (time off or pay for extra time worked), paid family leave
* Wellness focus: Ergonomic analysis and equipment, Personal Protective Equipment allowance, wellbeing\-focused educational opportunities
 Please note that benefits eligibility is determined and may change based on part\-time, reduced\-time, or full\-time status.
**About Us \- Why Choose Barr**
 At Barr, you'll join a community of engineers, scientists, and professionals who will help you achieve your ambitions and build a meaningful, rewarding career. You'll serve as a trusted advisor to clients who value Barr's tailored solutions and commitment to exceptional service.
 As part of our employee\-owned firm, you'll contribute to a culture of commitment and camaraderie where staff can thrive as professionals. We value diverse perspectives and experiences and believe an inclusive workplace is critical to our success.
 To learn more about Barr's culture and values, visit: https://www.barr.com/Careers/Our\-culture
*Open positions at Barr Engineering Co. do not have application deadlines. Barr Engineering Co. is an equal opportunity employer, and all applicants will receive consideration for employment without regard to race, color, religion, sex, sexual orientation, gender identity, national origin, disability, or status as a protected veteran.*</t>
        </is>
      </c>
    </row>
    <row r="14">
      <c r="A14" t="inlineStr">
        <is>
          <t>li-4376749306</t>
        </is>
      </c>
      <c r="B14" t="inlineStr">
        <is>
          <t>Data Scientist</t>
        </is>
      </c>
      <c r="C14" t="inlineStr">
        <is>
          <t>Precision Technologies</t>
        </is>
      </c>
      <c r="D14" t="inlineStr">
        <is>
          <t>linkedin</t>
        </is>
      </c>
      <c r="E14" t="inlineStr"/>
      <c r="F14" t="inlineStr"/>
      <c r="G14" t="inlineStr"/>
      <c r="H14" t="inlineStr"/>
      <c r="I14" t="inlineStr">
        <is>
          <t>**Job Title: Data Scientist – Generative AI / Machine Learning** 
**Location: United States — Onsite / Hybrid / Remote** 
**Employment Type: W2 · Full\-time · All immigration statuses accepted** 
**Key Responsibilities:**
* Design, build, and deploy Generative AI and Machine Learning solutions for enterprise use cases.
* Develop and fine\-tune Large Language Models (LLMs) using frameworks such as TensorFlow and PyTorch.
* Build AI\-powered applications leveraging OpenAI GPT, Azure OpenAI Service, or other foundation models.
* Implement Retrieval\-Augmented Generation (RAG) pipelines using LangChain or similar frameworks.
* Fine\-tune and optimize transformer\-based models using Hugging Face Transformers.
* Develop scalable ML pipelines and implement MLOps best practices.
* Build and manage vector databases and semantic search solutions using Pinecone, FAISS, or equivalent technologies.
* Perform model training, validation, hyperparameter tuning, and performance optimization.
* Apply prompt engineering techniques and implement responsible AI and model guardrails.
* Deploy models using Docker and Kubernetes in cloud or hybrid environments.
* Integrate AI/ML models into REST APIs and microservices architectures.
* Monitor model performance, detect data drift, and implement continuous improvement strategies.
* Ensure adherence to data governance, privacy, and security standards.
* Collaborate cross\-functionally with Data Scientists, Software Engineers, Product Managers, and stakeholders in Agile/Scrum environments.
* Maintain documentation for model architecture, experiments, deployment workflows, and production systems.
**Contact:**
**Mohana, Talent Management Team** 
**📧 mohana.g@precisiontechcorp.com**</t>
        </is>
      </c>
    </row>
    <row r="15">
      <c r="A15" t="inlineStr">
        <is>
          <t>li-4376782096</t>
        </is>
      </c>
      <c r="B15" t="inlineStr">
        <is>
          <t>Data Scientist</t>
        </is>
      </c>
      <c r="C15" t="inlineStr">
        <is>
          <t>Open Systems Technologies</t>
        </is>
      </c>
      <c r="D15" t="inlineStr">
        <is>
          <t>linkedin</t>
        </is>
      </c>
      <c r="E15" t="inlineStr"/>
      <c r="F15" t="inlineStr"/>
      <c r="G15" t="inlineStr"/>
      <c r="H15" t="inlineStr"/>
      <c r="I15" t="inlineStr">
        <is>
          <t>Key responsibilities for this role include (but are not limited to) the following:
* Build, maintain, and optimize reliable data pipelines using SQL, dbt, and Python.
* Build, maintain, and optimize an ontology graph database using CosmosDB and Gremlin.
* Utilize agentic AI to automate pipeline development.
* Collaborate with Analytics Engineers, Data Scientists, Analysts and Software Engineers to move, transform, and structure data to meet business needs.
* Implement data testing, observability, and documentation to ensure data reliability and transparency.
* Participate in sprint planning and project estimation by breaking down work and communicating blockers.
* Support scalable data model development in the lakehouse, balancing performance, flexibility, and usability.
* Maintain and improve our data infrastructure, including orchestration and CI/CD pipelines.
* Identify opportunities to automate manual data workflows and reduce data\-related tech debt.
* Monitor data quality and partner with engineering and product teams to fix upstream issues.
* Contribute to dbt model development and refactoring, following best practices and company conventions.
* Manage cloud data environments (e.g., Azure) and optimizing resource usage.
* Provide thoughtful code reviews and mentor junior teammates on data engineering concepts and tooling.
**Qualifications** 
 In order to qualify for this role, candidates must meet the following criteria:
* 5\+ years of industry experience in a data engineering, analytics engineering role, or ontology engineering role.
* 1\+ years of industry experience building medical ontologies in a graph database (e.g. CosmosDB or Neo4j)
* Strong Python skills for ETL and automation tasks.
* Expert in SQL
* Proficiency in Gremlin
* Proficiency with dbt
* Proficiency with Git
* Experience working in cloud platforms (Azure, AWS, GCP)
* Exposure to event\-based data systems (e.g., Kafka, Pub/Sub) or streaming architectures.
* Understanding of data architecture, dimensional modeling, and performance tuning.
* Experience writing CI tests, monitoring pipelines, and debugging data issues independently.
* Experience working in agile, cross\-functional teams
* Bonus: Prior exposure to HIPAA or healthcare data
* Ability to multitask, prioritize, and adhere to deadlines while maintaining attention to detail and quality
* Comfortable in a fast\-paced, frequently changing environment
* Creative problem\-solving skills with a results\-driven mindset
* Can quickly learn new technology systems and communication tools
* Ability to work autonomously and collaboratively</t>
        </is>
      </c>
    </row>
    <row r="16">
      <c r="A16" t="inlineStr">
        <is>
          <t>li-4376757744</t>
        </is>
      </c>
      <c r="B16" t="inlineStr">
        <is>
          <t>Data Scientist</t>
        </is>
      </c>
      <c r="C16" t="inlineStr">
        <is>
          <t>Precision Technologies</t>
        </is>
      </c>
      <c r="D16" t="inlineStr">
        <is>
          <t>linkedin</t>
        </is>
      </c>
      <c r="E16" t="inlineStr"/>
      <c r="F16" t="inlineStr"/>
      <c r="G16" t="inlineStr">
        <is>
          <t>Texas, United States</t>
        </is>
      </c>
      <c r="H16" t="inlineStr"/>
      <c r="I16" t="inlineStr">
        <is>
          <t>**Job title: Data Scientist** 
**Experience:** 
**10\+ Years (Overall IT Experience)** 
**Employment Type:** 
**Full\-Time, Permanent (W2 Only)** 
**Location:** 
**Remote** 
**Position Overview** 
 We are seeking a highly experienced
 **Senior Data Scientist** 
 to lead advanced analytics initiatives and develop scalable machine learning solutions that drive strategic business outcomes. The ideal candidate will combine strong technical expertise with the ability to translate complex data into actionable insights for stakeholders.
 This role requires deep experience in machine learning, statistical modeling, and cloud\-based data environments.
**Key Responsibilities** 
* Design, develop, and deploy advanced machine learning and predictive models
* Lead end\-to\-end data science projects from problem definition to production deployment
* Perform complex statistical analysis and exploratory data analysis (EDA)
* Work with large\-scale structured and unstructured datasets
* Collaborate with Data Engineers to optimize data pipelines and model integration
* Communicate insights and recommendations to executive and business stakeholders
* Implement best practices for model validation, monitoring, and governance
* Mentor junior data scientists and provide technical leadership
**Required Qualifications** 
* 10–12\+ years of experience in Data Science, Machine Learning, or related field
* Strong proficiency in
 **Python (Pandas, NumPy, Scikit\-learn)**
* Hands\-on experience with
 **Machine Learning algorithms** 
 (Regression, Classification, Clustering, Ensemble Methods)
* Strong background in
 **Statistics, Probability, and Mathematical Modeling**
* Experience with
 **Deep Learning frameworks (TensorFlow, PyTorch)**
* Strong SQL skills and experience with relational databases
* Experience working with cloud platforms (
 **AWS, Azure, or GCP** 
 )
* Experience deploying models into production environments
**Preferred Qualifications** 
* Experience with NLP, Computer Vision, or Time Series Forecasting
* Experience with Big Data tools (Spark, Databricks)
* Knowledge of MLOps and CI/CD for ML workflows
* Experience working in Agile environments
**Eligibility \&amp; Compliance** 
 W2 Full\-Time only
 No C2C / No consultancy profiles
**How to Apply** 
 Share your updated resume at:
 📧
 **Karthik.n@precisiontechcorp.com**</t>
        </is>
      </c>
    </row>
    <row r="17">
      <c r="A17" t="inlineStr">
        <is>
          <t>li-4368800328</t>
        </is>
      </c>
      <c r="B17" t="inlineStr">
        <is>
          <t>Data Scientist, Creative Excellence</t>
        </is>
      </c>
      <c r="C17" t="inlineStr">
        <is>
          <t>Ipsos in US</t>
        </is>
      </c>
      <c r="D17" t="inlineStr">
        <is>
          <t>linkedin</t>
        </is>
      </c>
      <c r="E17" t="inlineStr"/>
      <c r="F17" t="inlineStr"/>
      <c r="G17" t="inlineStr">
        <is>
          <t>San Francisco, CA</t>
        </is>
      </c>
      <c r="H17" t="inlineStr"/>
      <c r="I17" t="inlineStr">
        <is>
          <t>**Job Description**
**What you can expect to be doing:**
* Support a diverse portfolio of projects across Ipsos NA including predictive modeling, text analytics, data mining, exploration, regression, and time series analyses.
* Design, train, and utilize machine learning algorithms and data processing pipelines.
* Work with stakeholders to identify key metrics and opportunities for improving business processes, products, and services.
* Research and develop new solutions and deployable tools to facilitate market research.
* Communicate with and provide consulting for internal teams and external clients on data models, analysis findings, process efficiency, and marketing science best practices.
* Create data visualizations, reports, and sometimes dashboards.
* Stay abreast of the latest data science techniques and tools available.
**This might be the job for you if you have:**
* Bachelor’s degree (or equivalent) in statistics, computer science, or related field
* Proficiency in Python and SQL
* Strong technical communication skills
* Proficiency in data mining, statistical analysis, time series analysis, and machine learning
* Proficiency with data science toolkits (e.g., NumPy, Pandas, SciKit Learn, SciPy, etc.)
* Experience with data visualization tools (e.g., MatPlotLib, Plotly, Tableau, D3\.js, etc.)
* Good time management, collaboration, and self\-sufficiency skills
**Nice To Haves**
* Proficiency in R, JavaScript
* Experience with natural language processing, large language models, geospatial analysis, and neural networks
* Experience with cloud computing platforms (AWS, GCP)
* Experience with big data technologies (Spark, Hadoop, etc.)
* Project management experience
*If you don’t meet 100% of the requirements, we encourage all who feel they might be a fit for the opportunity to apply. We may consider a variety of backgrounds for a particular role and are also committed to considering candidates for available positions throughout our organization, not just the one you’re applying to!*
*In accordance with NY/CO/CA/WA law, the estimated base salary range for this role is $80,000 to $100,000\. Your final base salary will be determined based on several non\-discriminatory factors which may include but are not limited to location, work experience, skills, knowledge, education and/or certifications.*
**What’s In It For You**
*At Ipsos you’ll experience opportunities for Career Development, an exceptional benefits package (including generous PTO, healthcare plans, wellness benefits), a flexible workplace policy, and a strong collaborative culture.*
*To find out more about all the great reasons to work at Ipsos, how we’re making an impact around the world, and more about our benefits and employee programs, please visit:* 
 Why Work at Ipsos \| US
**Commitment to Diversity**
 Ipsos recognizes the necessity of building an inclusive culture that values each employee’s individuality and diverse perspectives. For more than 40 years, our mission has been to generate and analyze data about society, markets, brands, and behaviors to provide our clients with the insights that elevate their understanding of the world. This could not be fulfilled without Ipsos’ diverse employees who compile and analyze this data—they are the essence of who we are and what we do.
 We are committed to providing equal opportunity to all employees, creating an environment that promotes inclusion, and enabling employees from all walks of life to flourish. Ipsos encourages our employees to act in a respectful and responsible manner, in line with code of best practices concerning diversity and inclusion, human rights, equality, and civility for every individual.
 Ipsos is An Equal Opportunity Employer. All qualified applicants will receive consideration for employment without regard to age, race, color, religion, sex, sexual orientation, gender identity, national origin, protected veteran status, or any other protected class and will not be discriminated against on the basis of disability.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Creative Excellence Service Line helps our clients attain best\-in\-class advertising that drives business results.We do this by aiding Creative Development (help with creating advertising), Creative Assessment (help with assessing advertising and providing guidance to improve it) and Creative In\-Market (ad tracking once the advertising is launched).</t>
        </is>
      </c>
    </row>
    <row r="18">
      <c r="A18" t="inlineStr">
        <is>
          <t>li-4321781612</t>
        </is>
      </c>
      <c r="B18" t="inlineStr">
        <is>
          <t>Data Scientist</t>
        </is>
      </c>
      <c r="C18" t="inlineStr">
        <is>
          <t>Bevi</t>
        </is>
      </c>
      <c r="D18" t="inlineStr">
        <is>
          <t>linkedin</t>
        </is>
      </c>
      <c r="E18" t="inlineStr"/>
      <c r="F18" t="inlineStr"/>
      <c r="G18" t="inlineStr">
        <is>
          <t>Boston, MA</t>
        </is>
      </c>
      <c r="H18" t="inlineStr"/>
      <c r="I18" t="inlineStr">
        <is>
          <t>Bevi is on a mission to transform how beverages are delivered and consumed. Our connected beverage platform eliminates the need for single\-use bottles and cans—making it easy, fun, and sustainable to stay hydrated. As the category leader in IoT\-enabled beverage technology, we're building a future where Bevi machines are everywhere people live, work, and connect. We've raised over $160M in venture capital, serve thousands of customers across the US, Canada, UK and Ireland, and we've been rapidly growing year over year—saving over 1 billion bottles from waste. In addition to driving hypergrowth with our current product line, Bevi is heavily investing in new product development.
 We are seeking a Data Scientist to join our high\-performing Data \&amp; Data Science team. This new role is pivotal in transforming our rich datasets into actionable insights that optimize the customer experience and accelerate Bevi’s exponential growth curve. The Data Scientist will partner directly with stakeholders across the business including Operations, Engineering, Sales, and Product to drive data\-backed recommendations and decisions. The right candidate is naturally curious and thrives in solving unique and challenging analytical problems, applying a rigorous foundation in machine learning.
**Your Day To Day**
 Operations \- Machine Learning
* Develop and productionalize machine learning models using large\-scale real\-time IOT sensor data to predict machine and component failures. Raise warning flags early to enable proactive (vs reactive) machine maintenance to deliver an exceptional customer experience.
* Partner with Data Engineering, Software, Hardware, and Quality teams to ensure data integrity, and understand appropriate operational and mechanical context to inform your ML design.
 Customer \- Applied Data Science
* Spearhead the development and productionalization of a cutting\-edge suite of predictive models including Churn Prediction, Lifetime Value, and Look\-a\-Like to unlock actionable customer insights and drive strategic revenue growth.
* Translate advanced analytics into high\-impact business action by partnering directly with Revenue Operations and Sales Enablement to ensure model outputs are seamlessly integrated and adopted by the Sales organization for exceptional customer relationship management.
* Proactively identify opportunities within our customer data to improve the customer experience and drive business value.
 Product \- Advanced Experimentation
* Develop a testing framework to balance analytical rigor with speed to insight, accounting for data challenges including indirect sales, long decision cycles, and intra\-week variability.
* Be the go\-to expert for Product, Design, and Engineering to identify success metrics, define decision criteria, and effectively measure new flavors, features, and experiences.
 Overall
* Translate data and analytics into clear insights and recommendations.
* Build clear, informative dashboards and drive adoption to democratize data.
**Who You Are**
* Bachelors degree in Statistics, Mathematics, Computer Science, or similar quantitative field; Masters degree preferred
* 2\-5 years of professional experience in machine learning, advanced analytics, or data science.
* Proven hands\-on experience with Machine Learning (ML) such as unsupervised anomaly detection (isolation forest, SVM, autoencoders), supervised failure classification (XGBoost, LSTM), and RUL regression models (Weibull).
* Proven hands\-on experience building applied data science models such as XGBoost, Logistic Regression, or Survival Analysis for churn prediction; Negative Binomial \+ Gamma Gamma for predictive lifetime value; and Collaborative Filtering, Content Based Filter, or Clustering for flavor profile modeling.
* Proven hands\-on experience in designing and analyzing experiments including different types of A/B testing methodologies, multivariate, hold out, difference in differences, propensity score matching, etc.
* Strong proficiency in SQL and R/Python for data querying, manipulation, and analysis.
* Experience with data visualization tools (eg Looker, PowerBI, Hex, Grafana, DataDog).
* Experience with cloud data platforms (eg Snowflake).
* Ability to effectively manage multiple priorities, context\-switch, and thrive in a fast\-paced environment.
* Excellent communication and presentation skills with the ability to explain complex findings to non\-technical audiences.
* Demonstrated ability to anticipate second order questions and proactively communicate to ensure alignment for continuous progress.
 At Bevi, We Believe Compensation Is a Powerful Tool To Attract, Retain, And Grow Talent. Our Compensation Philosophy Centers On 5 Principles
* Market\-driven \- We anchor pay decisions in real\-time market data
* Performance\-based \- We reward individual impact, not just tenure
* Equitable \- We ensure fairness across teams, roles, and demographics
* Growth\-focused \- We invest in talent that scales with Bevi
* Total Rewards approach \- We strategically balance base pay, bonuses, benefits, and equity
 The posted compensation range reflects the salary\* for this position. Some roles may be eligible for a commission plan or a bonus incentive. All Bevi employees receive equity in the form of stock options. All full\-time employees are invited to participate in our Total Rewards plan, which includes health \&amp; medical benefits, flexible spending accounts, flexible PTO, and more. Offers to join Bevi are based on a few criteria, including the scope of the role, the candidate's work experience, targeted skills, internal equity of the team, and external market data.
* For Sales roles: The posted range reflects base salary plus commission which is the total potential on target earnings (OTE) for the position.
 Pay Range
 $114,963—$142,013 USD
**Benefits**
* Comprehensive medical, dental and vision insurance plans with BlueCross BlueShield, 95% paid by employer
* 401(k) with company match
* Flexible PTO plus 12 company holidays, and additional paid days for sick leave, etc
* Generous fully paid parental leave for both birth parents and non\-birth parents
* Fully employer paid disability and life insurances
* Wellness and fitness reimbursements
* Monthly stipends for cell phone use and commuting costs
* Onsite snacks, weekly catered lunch, and (of course) unlimited Bevi ... plus composting and terra\-cycling, too
* Happy hours, team\-building events, bagel breakfasts, Values awards \- and more.
**We’re supercharging our workflows:** 
 Bevi is currently in an exciting "build phase" of our 2026 roadmap to become a truly AI\-powered business. We aren't just looking for tool\-users; we’re looking for change\-makers who are as passionate about driving AI adoption as they are about sustainability. Join us as we build the future of hydration together.
*We're excited about supporting career growth and would love to be part of your professional journey. We know that talent comes in many forms, and we value individual accomplishments, specialized knowledge, and genuine passion over just checking boxes on a requirements list. If any of our positions interest you, please apply! Our recruiting team will contact you about next steps if we'd like to move forward together.*
*A member of the Bevi Talent team 'recruiting@bevi.co' will be reaching out about next steps if we would like to move forward.*
**Accommodations**
 Bevi is committed to an inclusive hiring process and we aim to provide accommodations for persons with disabilities. If you need any accommodations for the application or throughout the interview process please contact recruiting@bevi.co.</t>
        </is>
      </c>
    </row>
    <row r="19">
      <c r="A19" t="inlineStr">
        <is>
          <t>li-4368810703</t>
        </is>
      </c>
      <c r="B19" t="inlineStr">
        <is>
          <t>Senior Data Scientist- Pricing &amp; Underwriting</t>
        </is>
      </c>
      <c r="C19" t="inlineStr">
        <is>
          <t>Alt</t>
        </is>
      </c>
      <c r="D19" t="inlineStr">
        <is>
          <t>linkedin</t>
        </is>
      </c>
      <c r="E19" t="inlineStr"/>
      <c r="F19" t="inlineStr"/>
      <c r="G19" t="inlineStr"/>
      <c r="H19" t="inlineStr"/>
      <c r="I19" t="inlineStr">
        <is>
          <t>Alt is unlocking the value of alternative assets, starting with the $5 B trading\-card market. We let collectors buy, sell, vault, and finance their cards in one place and we are backed by leaders at Stripe, Coinbase, Seven Seven Six, and pro athletes like Tom Brady and Giannis Antetokounmpo. Our next frontier is real\-time pricing at scale—the Alt Value that powers every trade, loan, and product on the platform.
**The Role**
 As a Pricing Data Scientist, you will be the architect of the logic behind the Alt Value, Alt’s core pricing model. You will research, design, and validate the science and models that will price millions of alternative assets in real\-time. This role is highly collaborative; you will work alongside Expert Pricers to translate human intuition into mathematical features and partner with Data and ML Engineers to bring those models to life at scale.
**What You'll Do Here**
* Research, develop, and ship sophisticated pricing models (e.g. Tree\-based, Gradient\-based, Deep Learning, ensemble methods) to improve valuation accuracy for high\-value assets.
* Identify new data signals — emanating from data such as auction results to social sentiment — and validate their predictive power through rigorous backtesting and experimentation.
* Partner with the Product Engineering team to refine our Risk \&amp; Underwriting models, balancing the goal of maximizing cash advances with the need to maintain a balanced lending portfolio.
* Collaborate with the Expert Pricing team and domain experts to encode market nuances into automated features and inferences, ensuring our models respect the qualitative factors collectors care about.
* Define, monitor, and lift model performance metrics and communicate the "why" behind price coverage, movements, and freshness toward becoming the ultimate liquidity platform.
**This is a perfect fit if you...**
* Are deeply curious about how value is assigned to unique, non\-traditional, and conventionally “illiquid” asset classes.
* Are a hands\-on individual contributor who thrives in a zero\-to\-one startup environment.
* Are a product\-minded builder who wants to see their work deployed in a user\-facing production application.
**What You Bring To The Table**
* 5\+ years of experience in Data Science, with a focus on feature engineering and algorithm/model\-building in the pricing, financial modeling, or marketplace dynamics domains.
* Expert\-level proficiency in SQL, Python, and populate Python libraries (Pandas, Scikit\-Learn, XGBoost/LightGBM, PyTorch/Tensforflow).
* Statistical rigor and deep understanding of experimental design, backtesting methodologies, and dealing with "noisy" or sparse data environments.
* Collaborative experience working in a sprint\-based environment alongside Data and ML Engineers; you understand enough about model hand\-offs and quality code to ensure your models are efficient and readily "production\-capable".
* Proficient in developing in cloud environments (AWS, GCP) and familiarity with ML Ops infrastructure (e.g. MLFlow, workflow and container orchestration, deployment and telemetry patterns).
* Advanced degree (Master’s or PhD) in a quantitative field such as Statistics, Economics, Mathematics, or Computer Science is preferred.
**Compensation: $200,000**
**What You’ll Get From Us**
* A seat at the table to help shape the future of Alt and the alternative asset space
* Autonomy and ownership on projects that matter
* $100/month work\-from\-home stipend
* $200/month wellness stipend
* WeWork office stipend
* 401(k) retirement benefits
* Flexible vacation policy
* Generous paid parental leave
* Competitive healthcare benefits, including HSA, for you and your dependent(s)</t>
        </is>
      </c>
    </row>
    <row r="20">
      <c r="A20" t="inlineStr">
        <is>
          <t>li-4377848694</t>
        </is>
      </c>
      <c r="B20" t="inlineStr">
        <is>
          <t>Data Scientist</t>
        </is>
      </c>
      <c r="C20" t="inlineStr">
        <is>
          <t>Michigan Medicine</t>
        </is>
      </c>
      <c r="D20" t="inlineStr">
        <is>
          <t>linkedin</t>
        </is>
      </c>
      <c r="E20" t="inlineStr"/>
      <c r="F20" t="inlineStr"/>
      <c r="G20" t="inlineStr">
        <is>
          <t>Ann Arbor, MI</t>
        </is>
      </c>
      <c r="H20" t="inlineStr"/>
      <c r="I20" t="inlineStr">
        <is>
          <t>How to Apply
 A cover letter is required for consideration for this position and should be attached as the first page of your resume. The cover letter should address your specific interest in the position and outline skills and experience that directly relate to this position.
**Job Summary**
 BMC2 is a collaborative consortium dedicated to improving the quality of care and outcomes in patients who undergo cardiovascular procedures across the State of Michigan. BMC2 is developing a new heart failure registry, which will take a population health\-based approach to measuring outcomes and improving quality of care for patients with heart failure. The new registry will bring together diverse stakeholders including patients, specialists, primary care physicians, and pharmacists. Support for BMC2 is provided by Blue Cross and Blue Shield of Michigan and Blue Care Network as part of the BCBSM Value Partnerships Program.
 We seek a Data Architect Lead (Data Scientist) to drive the design and optimization of our registrys data infrastructure, analytics, and reporting capabilities. This is a unique opportunity to blend data science, architecture, and biomedical expertise in a collaborative and mission\-driven environment.
 Under limited direction, the Data Scientist will design and construct relational databases for data warehousing of the new BMC2 Heart Failure Registry. This role will develop data modeling and is responsible for data acquisition; access analysis and design; and archive, recovery, and load strategy design. Working with the BMC2 senior programming team, the Data Scientist will be responsible for designing and deploying a new model for data flow and ensuring its alignment with overarching quality goals.
 Mission Statement
 Michigan Medicine improves the health of patients, populations and communities through excellence in education, patient care, community service, research and technology development, and through leadership activities in Michigan, nationally and internationally. Our mission is guided by our Strategic Principles and has three critical components; patient care, education and research that together enhance our contribution to society.
 Why Join Michigan Medicine?
 Michigan Medicine is one of the largest health care complexes in the world and has been the site of many groundbreaking medical and technological advancements since the opening of the U\-M Medical School in 1850\. Michigan Medicine is comprised of over 30,000 employees and our vision is to attract, inspire, and develop outstanding people in medicine, sciences, and healthcare to become one of the world?s most distinguished academic health systems. In some way, great or small, every person here helps to advance this world\-class institution. Work at Michigan Medicine and become a victor for the greater good.
**What Benefits can you Look Forward to?**
* Excellent medical, dental and vision coverage effective on your very first day
* 2:1 Match on retirement savings
 Responsibilities\*
* Designs and leads development of the data model and infrastructure, with a focus on scalable, secure, and interoperable solutions.
* Designs advanced workflows for extracting, transforming, and loading (ETL) clinical data utilizing FHIR protocols?to capture core clinical variables across heterogeneous EHR systems.
* Ensures seamless integration of new data sources with existing warehouse structures and optimizes data pipelines for high performance and functionality.
* Establishes rigorous processes for data acquisition, validation, integration, and storage from multiple sites, ensuring data harmonization across varied clinical systems.
* Applies sophisticated machine learning and predictive analytics methods to generate actionable insights and support population health management.
* Plan, conduct and supervise assignments involving multiple or one project.
* Review progress and evaluate results. Schedule and supervise project work. Evaluate progress and results and recommend changes in procedures as needed.
* Exercise authority to make independent decisions on matters of significance, free from immediate direction, within the scope of their responsibilities.
 Required Qualifications\*
* Masters or PhD in Computer Science, Data Science, Statistics, or related field or equivalent professional experience.
* 5\-8 experience in managing data from complex, relational databases, preferably within the healthcare environment.
* Proven expertise in extracting, transforming, and harmonizing EHR data using APIs specifically utilizing FHIR standards and other healthcare interoperability protocols.
* Significant familiarity with healthcare data standards (HL7, FHIR, ICD/LOINC codes, REDCap, Epic/Clarity preferred).
* Demonstrated knowledge of HIPAA, security, and regulatory requirements.
* Experience with Git\-based version control workflows.
* Familiarity with Linux\-based server environments.
* Ability to work independently, prioritize work effectively, and make sound technical decisions.
* Effective written and verbal communication skills that bridge various stakeholders to establish trusting relationships.
* Balance long\-term architectural thinking with practical, delivery\-focused execution.
* Demonstrated growth mindset to actively seek opportunities to learn, adapt, and apply new skills and knowledge to enhance team and personal performance.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Additional Information
**Why Work at BMC2**
* Mission\-driven Impact: Contribute to improving cardiovascular care and outcomes for thousands of patients across Michigan, making a real difference in patients lives.
* Collaborative Environment: BMC2 brings together multidisciplinary healthcare professionals physicians, nurses, coordinators, administrators, payers, and quality leaders from across the state to share ideas, best practices, and innovative solutions.
* Statewide Impact: Play a part in projects that drive change not just locally, but at a statewide level, working with patients, hospitals, and partners from many communities.
* Commitment to Integrity and Quality: The BMC2 Coordinating Center emphasizes transparency, trust, and quality improvement, making it a great environment for those who value integrity and high standards.
* Supportive Culture: Work within a supportive team that values lived experiences in all forms and the professional growth of its members.
* Reputation: Be affiliated with an established and respected organization, known nationally \&amp; internationally for advancing patient care.
 Background Screening
 Michigan Medicine conducts background screening and pre\-employment drug testing on job candidates upon acceptance of a contingent job offer and may use a third party administrator to conduct background screenings. Background screenings are performed in compliance with the Fair Credit Report Act. Pre\-employment drug testing applies to all selected candidates, including new or additional faculty and staff appointments, as well as transfers from other U\-M campuses.
 Application Deadline
 Job openings are posted for a minimum of seven calendar days. The review and selection process may begin as early as the eighth day after posting. This opening may be removed from posting boards and filled anytime after the minimum posting period has ended.
 U\-M EEO Statement
 The University of Michigan is an equal employment opportunity employer.</t>
        </is>
      </c>
    </row>
    <row r="21">
      <c r="A21" t="inlineStr">
        <is>
          <t>li-4376728816</t>
        </is>
      </c>
      <c r="B21" t="inlineStr">
        <is>
          <t>Data Scientist I – Applied AI</t>
        </is>
      </c>
      <c r="C21" t="inlineStr">
        <is>
          <t>RemoteHunter</t>
        </is>
      </c>
      <c r="D21" t="inlineStr">
        <is>
          <t>linkedin</t>
        </is>
      </c>
      <c r="E21" t="inlineStr"/>
      <c r="F21" t="inlineStr"/>
      <c r="G21" t="inlineStr"/>
      <c r="H21" t="inlineStr"/>
      <c r="I21" t="inlineStr">
        <is>
          <t>About the Opportunity:
 The organization provides services and software for standards\-based health\-information exchange, focusing on improving public health and quality of care. The role supports data\-informed decision\-making by designing and building AI\-powered applications and tools using existing AI models and Cloud infrastructure to enhance public health and health data interoperability.
 Responsibilities:
 • Use analytic and visualization techniques to provide actionable insights
 • Design, prototype, build, and maintain AI\-powered tools using Python and existing models such as LLMs and embeddings
 • Iterate on prompts and workflows based on testing and feedback; support deployment and operation
 • Stay updated with emerging data\-science and AI/machine learning tools and best practices
 • Access, combine, and analyze large, complex datasets; clean and wrangle data with guidance
 • Ensure quality, integrity, and security of data
 • Create visualizations and perform analyses using statistical and machine learning techniques
 • Present findings to technical and non\-technical audiences with support as needed
 • Work independently on most tasks; seek guidance for complex responsibilities
 • Communicate results effectively to clients, management, and staff
 • Translate client and business needs into formal requirements
 Requirements:
 • Associate''s degree and at least three years of relevant experience, or bachelor’s degree and at least one year of relevant experience in data science, computer science, statistics, applied mathematics, or related field
 • Proficiency in Python
 • Familiarity with analytic software (e.g., R, Databricks), Cloud platforms (Azure, AWS), and big\-data technologies (e.g., Spark)
 • Basic Cloud literacy including understanding containers and serverless; proficiency with APIs and SDKs (e.g., OpenAI, Azure, AWS)
 • Familiarity with AI concepts related to data applications (e.g., RAG, LangChain/LangGraph, Vector DBs)
 • Ability to work independently on general tasks
 • Competence in applying various data\-analytics approaches
 • Ability to complete a Level 5 Position of Public Trust background investigation if required
 Preferred qualifications:
 • Bachelor’s degree with at least five years of relevant experience, or master’s degree with three years of relevant experience
 • Experience with large\-dataset analysis for public health entities such as CDC or CMS
 Benefits \&amp; Perks:
 • Flexible remote work with in\-person collaboration during key events such as annual meetings
 • Equal opportunity employer, providing fair consideration regardless of protected status
 • Must reside in the United States
 Compensation:
 • $75,000 to $95,000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2">
      <c r="A22" t="inlineStr">
        <is>
          <t>li-4372528373</t>
        </is>
      </c>
      <c r="B22" t="inlineStr">
        <is>
          <t>Data Scientist 3</t>
        </is>
      </c>
      <c r="C22" t="inlineStr">
        <is>
          <t>WebstaurantStore</t>
        </is>
      </c>
      <c r="D22" t="inlineStr">
        <is>
          <t>linkedin</t>
        </is>
      </c>
      <c r="E22" t="inlineStr"/>
      <c r="F22" t="inlineStr"/>
      <c r="G22" t="inlineStr">
        <is>
          <t>Lititz, PA</t>
        </is>
      </c>
      <c r="H22" t="inlineStr"/>
      <c r="I22" t="inlineStr">
        <is>
          <t>**Job Summary**
 Webstaurant Store, the world’s largest online restaurant supply company, is looking for a full\-time Data Scientist to join the Data Science team. The Data Scientists are responsible for supplying statistical rigor to the organization’s analytics projects, aimed at discovering actionable insights and opportunities for growth and optimization.
 This role can be remote in some US states (See below for remote work requirements) or based in one of our offices (Lititz, PA or Tampa, FL).
**Responsibilities**
 Responsibilities include, but are not limited to:
* Advising on analysis and modeling techniques, selecting the best fit for structured \&amp; unstructured, complex data, and developing custom analytics models to generate insights that drive value for our customers and unlock competitive advantage for our organization.
* Collaborating with our analytics engineers to gather the right information from various sources so that you can implement advanced statistical methodologies and design interventions to optimize our business performance.
* Conducting exploratory analysis including hypothesis testing, statistical inference, and statistical analysis (predictive and/or prescriptive).
* Partnering with business and technical stakeholders to translate challenging retail business problems into state\-of\-the\-art data science solutions.
* Developing processes and tools that monitor, analyze and continuously improve model performance and data accuracy.
* Work with other data scientists to design and implement experiments and glean actionable insights from experimental analyses.
* Defend and explain the validity of predictive/ML models to those without a background in data science or statistics.
* Actively research new tools and technologies, staying on top of analytics news and best practices.
 Physical Requirements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Minimum 2 years of work experience in Data Science, or a PhD in math, statistics, economics, or a modeling\-related field.
* Advanced Python and SQL skills.
* You have a proven ability with statistical methods and advanced modelling techniques; extra points if you have experience with one or more of the following: ecommerce search, recommendation engines, dynamic pricing, or user matching/data cleanrooms.
 Education
 This role does not require a degree. We value relevant skills and experience and alignment with our core values above all else.
 Desired Traits \&amp; Skills
 The ideal candidate will possess the following qualities:
* You Communicate Effectively: Ability to explain ideas simply and confidently to team members both written and verbally.
* You have an Entrepreneurial Spirit: Takes it upon themselves to find ways to add value to the team and business. They are self\-motivated and creative in their quest to find actionable insights and new solutions. They can often be found saying “What if we tried this?” or “Maybe this is a better way to do it?” They have a knack for overcoming obstacles.
* You Desire to Grow: Constantly seek to improve themselves and expand their professional knowledge and skill set.
* You’re an inquisitive, out\-of\-the box thinker who’s continually on the lookout for opportunities to improve and innovate data science solutions.
* You have consistently high standards; your passion for quality is inherent in everything that you do.
* Familiarity with a variety of supervised/unsupervised/reinforcement learning methods.
* Demonstrable portfolio (git repos, kaggle competitions, etc) of machine learning projects.
* You have proven ability as a full stack data scientist who develops, experiments, optimizes, and scales models for the production environment.
* You connect the how and why, using your knowledge of data science theories and methodologies to derive the best approach that is fit\-for\-purpose.
**Company Overview**
 The foodservice professional’s premier source for restaurant equipment, supplies, and knowledge online. Our purpose is to empower and equip people to run their businesses more profitably and efficiently.
**Benefits**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Available at HQ Locations Only
* On\-Site Fitness Centers
* Dog\-friendly Offices</t>
        </is>
      </c>
    </row>
    <row r="23">
      <c r="A23" t="inlineStr">
        <is>
          <t>li-4208904078</t>
        </is>
      </c>
      <c r="B23" t="inlineStr">
        <is>
          <t>Data Scientist / AI Engineer</t>
        </is>
      </c>
      <c r="C23" t="inlineStr">
        <is>
          <t>Innovative Defense Technologies (IDT)</t>
        </is>
      </c>
      <c r="D23" t="inlineStr">
        <is>
          <t>linkedin</t>
        </is>
      </c>
      <c r="E23" t="inlineStr"/>
      <c r="F23" t="inlineStr"/>
      <c r="G23" t="inlineStr">
        <is>
          <t>Arlington, VA</t>
        </is>
      </c>
      <c r="H23" t="inlineStr"/>
      <c r="I23" t="inlineStr">
        <is>
          <t>**Description**
 Background Information:
 Innovative Defense Technologies(IDT), provider of cutting\-edge cloud\-based integration, automated testing and data analysis for complex, mission\-critical systems in the US Department of Defense (DOD), is seeking a Data Scientist/AI Engineer to be based in our Arlington, VA or Mount Laurel, NJ office. Leveraging advanced software automation, model\-based systems engineering (MBSE), and AI\-driven capabilities, IDT accelerates capability development, enhances operational readiness, and reduces lifecycle costs for the Department of Defense. The company is dedicated to transforming defense systems through innovation, efficiency, and mission\-critical results.
 Overview:
 The Data Scientist position offers an engineer the opportunity to showcase their knowledge and talents as part of a collaborative team developing innovative AI and Data Analysis solutions for Innovative Defense Technologies. The responsibilities of this role include leading and supporting feasibility studies, building capabilities to discover explanatory features in high\-dimensionality datasets, and developing and integrating state\-of\-the\-art AI/ML solutions to support mission\-critical software capabilities.
 All applicants must be able to obtain/maintain an active U.S. Security Clearance.
 Responsibilities Include:
* Develop solutions to deliver analytical and AI/ML capabilities from problem formulation to a productized, deployable, maintainable capability
* Leverage state\-of\-the\-art theory and technologies to solve complex problems
* Establish and leverage Big Data frameworks to store, extract and analyze relevant data
* Develop software solutions by understanding customer requirements and program intent
* Determine operational feasibility by evaluating analysis, problem definition, requirements, solution development, and proposed solutions
* Be responsible for solutions that meet software design, quality, and performance requirements
* Work with minimal supervision in a collaborative work environment to implement best\-in\-class solutions
 Minimum Required Qualifications:
* Bachelor’s Degree in Statistics, Data Science, Computer Science, Math, or a quantitative field or equivalent full\-time professional experience required; Master’s Degree in Data Science or other technical field highly preferred
* 3\+ years of experience in predictive modeling, data science and analysis
 Required Skills:
* Previous experience in a ML or data scientist role and a track record of building ML and Data Science capabilities
* Experience working with data mining and ML algorithms including decision trees, probability networks, association rules, clustering, and neural networks
* Experience in and knowledge of mathematical optimization techniques, non\-linear programming, evolutionary and biologically\-inspired optimization algorithms
* In\-depth understanding and knowledge of statistical analysis, sampling, statistical learning theory, and Design of Experiments (DOE)
* Strong proficiency in Python
* Experience using ML libraries, such as scikit\-learn, PyTorch, Keras, etc.
* Knowledge of data and information visualization principles and experience using related tools
 Preferred Skills:
* Strong software engineering background
* Skills with other programming languages, such as Julia, Java or C/C\+\+
* Demonstrated ability to develop experimental and analytic plans for data modeling processes, use of strong baselines, ability to accurately determine cause and effect relations
* Experience with application container platforms
* Familiarity with continuous integration/delivery tools (e.g. Jenkins)
* Familiarity with version control tools (e.g. Subversion, Git, etc.)
* Familiarity with VMware or other virtualization software
* Experience developing applications for DOD command and control systems
* Familiarity with Large Language Models (LLM) and LLM parameter tuning
* Familiarity with network science and graph theory
 Competencies:
* Solid analytical abilities, coupled with a strong sense of ownership, urgency, and drive
* Attention to detail
* Strong sense of intellectual curiosity and desire to learn
* Initiative, creativity, reliability, teamwork
* Ability to deal well with ambiguity, prioritize needs, and deliver results in a dynamic environment
 Price range: $90,000 \- $150,000 or $114,000 \- $184,000
* Pursuant to New Jersey Senate Bill 2310, IDT is required to disclose the “pay scale” or “pay range” associated with a job posting. Notably, however, this amount may not be reflective of actual compensation that may be earned as pay is dependent on a candidate’s experience, skills, and education. The posted range does not include bonuses, commissions, tips, or other benefits. Click here for additional information about New Jersey Senate Bill 2310\. IDT is often looking to place multiple candidates at various levels. Therefore, more than one pay range has been included, commensurate with experience.
 EEO Statement:
 IDT is an Equal Opportunity employer.</t>
        </is>
      </c>
    </row>
    <row r="24">
      <c r="A24" t="inlineStr">
        <is>
          <t>li-4377883373</t>
        </is>
      </c>
      <c r="B24" t="inlineStr">
        <is>
          <t>Data Scientist (Python, LLMs, Agents)</t>
        </is>
      </c>
      <c r="C24" t="inlineStr">
        <is>
          <t>Phaxis</t>
        </is>
      </c>
      <c r="D24" t="inlineStr">
        <is>
          <t>linkedin</t>
        </is>
      </c>
      <c r="E24" t="inlineStr"/>
      <c r="F24" t="inlineStr"/>
      <c r="G24" t="inlineStr">
        <is>
          <t>Nashville, TN</t>
        </is>
      </c>
      <c r="H24" t="inlineStr"/>
      <c r="I24" t="inlineStr">
        <is>
          <t>Salary is 140k to 170k \+ bonus
 We are seeking a Data Scientist with strong Python skills and hands\-on experience designing, building, and deploying LLM\-based agents that can plan, reason, and interact with tools and APIs.
**What You'll Do** 
* Design and implement LLM\-driven agent workflows
* Build and evaluate prompt\-based and tool\-augmented systems
* Develop data pipelines to support AI model training and evaluation
* Deploy production\-ready AI systems
* Collaborate on experimentation and model performance optimization
**Requirements** 
* Strong Python programming experience
* Experience with large language models (Hugging Face, OpenAI, etc.)
* Experience with agent frameworks (LangChain, ReAct, etc.)
* Experience building and deploying ML/AI systems
* Familiarity with embeddings and vector databases
* Solid understanding of machine learning fundamentals
**Nice to Have** 
* Reinforcement learning experience
* Production deployment experience (AWS, GCP, Azure)
* Experience working with structured and unstructured data pipelines</t>
        </is>
      </c>
    </row>
    <row r="25">
      <c r="A25" t="inlineStr">
        <is>
          <t>li-4377017821</t>
        </is>
      </c>
      <c r="B25" t="inlineStr">
        <is>
          <t>Data Analyst/Data Scientist M/F/D</t>
        </is>
      </c>
      <c r="C25" t="inlineStr">
        <is>
          <t>Agilent Technologies</t>
        </is>
      </c>
      <c r="D25" t="inlineStr">
        <is>
          <t>linkedin</t>
        </is>
      </c>
      <c r="E25" t="inlineStr"/>
      <c r="F25" t="inlineStr"/>
      <c r="G25" t="inlineStr">
        <is>
          <t>Jackson, NE</t>
        </is>
      </c>
      <c r="H25" t="inlineStr"/>
      <c r="I25"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26">
      <c r="A26" t="inlineStr">
        <is>
          <t>li-4329023419</t>
        </is>
      </c>
      <c r="B26" t="inlineStr">
        <is>
          <t>Principal Data Scientist - Rentals Marketplace Ads Team</t>
        </is>
      </c>
      <c r="C26" t="inlineStr">
        <is>
          <t>Zillow</t>
        </is>
      </c>
      <c r="D26" t="inlineStr">
        <is>
          <t>linkedin</t>
        </is>
      </c>
      <c r="E26" t="inlineStr"/>
      <c r="F26" t="inlineStr"/>
      <c r="G26" t="inlineStr"/>
      <c r="H26" t="inlineStr"/>
      <c r="I26" t="inlineStr">
        <is>
          <t>**About The Team**
 Zillow Group’s mission is to give people the power to unlock life's next chapter. We're currently seeking a Principal Data Scientist to join the Rentals Marketplace Ads team! On the Marketplace team, we’re passionate about understanding Rentals Product performance through meticulous analysis and measurement. Our team works closely with Zillow’s Leadership on the Rentals team to uncover opportunities through data to deliver on the Zillow promise to customers \- revolutionary and intuitive tools to find your dream home.
 The Rentals Marketplace Ads Team sits within the larger Marketplace Ads \&amp; Sales Analytics (MASA) team. This role will focus on Zillow’s Rentals business and will work closely with product, strategy, engineering, sales, and marketing teams to deliver the data and insights necessary to grow the rentals marketplace. We work cross functionally with our data engineering and sales analytics counterparts who comprise the rest of MASA. Zillow Rentals has strong competitors in the space, but has been growing at an incredible rate for the last two years. As we continue to grow, the demands for higher quality and more targeted analysis will only increase. This role will be focused on supporting our multifamily products as well as digging into geo\-specific market insights to enhance the overall partner and consumer experience for Zillow Rentals.
**About The Role**
 As a principal data scientist you’ll work closely with Zillow's Rentals data and product leadership teams to discover deep insights about the Zillow Rentals marketplace, while directly supporting product initiatives that affect our multifamily products. More specifically, this role will:
* Analyze and interpret large, complex datasets to identify trends, patterns, and insights that support Zillow’s burgeoning rentals ecosystem.
* Collaborate with product stakeholders to define key metrics, goals, and objectives, and develop data\-driven strategies to achieve them.
* Utilize causal inference techniques and novel experimental designs to evaluate the launches of pilot programs.
* Mentor and coach junior team members on executing analytic requests and help unblocking through code reviews \&amp; best practice sharing.
* Work closely with cross\-functional teams, such as product, marketing, engineering, and corporate strategy, to ensure relevant insights are surfaced for decision making.
* Collaborate with data engineering teams to design and optimize data pipelines and workflows to support efficient data collection, storage, and processing.
* Effectively communicate complex analytical findings to diverse stakeholders, translating technical concepts into actionable insights and recommendations.
* Dive into Zillow's internal and third party data (think Databricks, Snowflake, Big Data) to develop solutions that will help move the business forward and enable better decisions at a rapid speed.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$178,300\.00 \- $284,700\.00 annually. This base pay range is specific to these locations and may not be applicable to other locations. In Colorado, Hawaii, Illinois, Minnesota, Nevada, Ohio, Rhode Island, and Vermont the standard base pay range for this role is $169,300\.00 \- $270,500\.00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You are a curious and passionate problem\-solver who will not shy away from complexity or uncertainty! Come join us and use your expertise to help us find opportunities and guide our business into the future with powerful insights and recommendations. We're searching for a Data Scientist who has:
* A Ph.D or Master's degree in a quantitative field (e.g. science, engineering, economics, quantitative finance, operations research, statistics, or similar)
* 8\+ years of work experience involving quantitative data analysis, experimentation and complex problem\-solving
* A strong understanding of statistical concepts, measurement methods, A/B testing, causal inference techniques, and time series analysis
* Mastery of SQL, Excel, Python, along with some experience with Tableau, Databricks, or other visualization software.
* Superb verbal and written communication skills with the ability to distill sophisticated issues and detailed analysis into simple, structured frameworks with concrete action plans
* Able to work cross\-functionally and influence business partners to set realistic goals and focus on data\-driven solutions
* Keen understanding and experience with online products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27">
      <c r="A27" t="inlineStr">
        <is>
          <t>li-4377846016</t>
        </is>
      </c>
      <c r="B27" t="inlineStr">
        <is>
          <t>Data Scientist - Social Analytics</t>
        </is>
      </c>
      <c r="C27" t="inlineStr">
        <is>
          <t>Microsoft</t>
        </is>
      </c>
      <c r="D27" t="inlineStr">
        <is>
          <t>linkedin</t>
        </is>
      </c>
      <c r="E27" t="inlineStr"/>
      <c r="F27" t="inlineStr"/>
      <c r="G27" t="inlineStr">
        <is>
          <t>Redmond, WA</t>
        </is>
      </c>
      <c r="H27" t="inlineStr"/>
      <c r="I27" t="inlineStr">
        <is>
          <t>**Overview**
 We’re building a
 **Frontier Marketing** 
 organization that learns fast and executes with precision and agility through AI\-powered insights. Our
 **Marketing Analytics** 
 team builds AI and advanced analytics models that enable us to create intelligent tools that empower marketers with the data\-driven insights they need to optimize marketing impact and deliver rich recommendations for sellers to drive opportunities in their accounts. To accelerate this transformation to Frontier marketing, we are looking for a
 **Data Scientist – Social Analytics** 
 who is excited to work with largescale social and behavioral data and apply analytical and social network techniques to real business problems. This role is designed for an individual contributor who can independently execute well\-scoped analytical problems, apply established methods, and deliver insights that inform marketing and communications decisions, with guidance from senior data scientists.
 You are a curious data scientist who enjoys working with complex, noisy data and uncovering patterns in how people and communities interact. You are comfortable applying analytical techniques to social and behavioral datasets and are eager to deepen your skills in social network analysis, experimentation, and storytelling with data.
 You thrive in a collaborative, matrixed environment and enjoy partnering with analysts, data scientists, and business stakeholders. While you benefit from guidance on problem framing and approach, you can take ownership of execution, manage your work, and deliver high\-quality analyses that drive impact.
 You care about rigor and clarity, and you’re motivated by turning fast moving social data into insights that help teams make better decisions.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Execute well\-defined social analytics projects, translating business questions into analytical approaches with guidance from senior data scientists
* Apply social analytics and social network analysis techniques (e.g., graph analytics, community detection, centrality analysis, influence or diffusion concepts) to understand engagement and behavioral patterns
* Analyze large\-scale, noisy, and unstructured social media data, contributing to incremental improvements in data quality, feature engineering, and analytical relevance
* Develop analytical outputs, metrics, and visualizations that support marketing, public relations, and product decision\-making
* Collaborate with analysts and senior data scientists to contribute to scalable and self\-serve analytics solutions
* Communicate findings clearly through written summaries, presentations, and visualizations, translating technical results into business\-friendly insights
* Follow established best practices for data science quality, documentation, and reproducibility, and contribute to shared team standards and learnings
* Embody our culture and values.
**Qualifications**
**Required/minimum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**Additional Or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1\+ years of experience ingesting, cleaning, and analyzing large\-scale social media data, including unstructured and semi\-structured signals (e.g., posts, comments, engagement metadata), with attention to data quality, bias, and analytical fitness for use
* 1\+ years of experience with social network analysis algorithms including community detection, centrality metrics, influence propagation models, graph\-based clustering methods
* 1\+ years of experience applying statistical or machine learning techniques to social or behavioral analytics problems
* 1\+ years of experience with advanced visualization techniques for social analytics and tools such as PowerBI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8">
      <c r="A28" t="inlineStr">
        <is>
          <t>li-4377852162</t>
        </is>
      </c>
      <c r="B28" t="inlineStr">
        <is>
          <t>Data Scientist</t>
        </is>
      </c>
      <c r="C28" t="inlineStr">
        <is>
          <t>Best Job Tool</t>
        </is>
      </c>
      <c r="D28" t="inlineStr">
        <is>
          <t>linkedin</t>
        </is>
      </c>
      <c r="E28" t="inlineStr"/>
      <c r="F28" t="inlineStr"/>
      <c r="G28" t="inlineStr"/>
      <c r="H28" t="inlineStr"/>
      <c r="I28" t="inlineStr">
        <is>
          <t>**About The Company**
 Jobot is a leading organization committed to fostering innovation and excellence within the technology and data sectors. With a strong emphasis on building a diverse and inclusive work environment, Jobot strives to attract talented professionals who are passionate about leveraging data to drive strategic decision\-making and operational efficiency. The company prides itself on its collaborative culture, cutting\-edge technological stack, and dedication to employee development. As a recognized employer, Jobot offers competitive compensation packages, comprehensive benefits, and opportunities for career growth across various domains. Its mission is to empower organizations with robust data solutions while maintaining a focus on integrity, diversity, and social responsibility.
**About The Role**
 We are seeking an experienced Senior Data Scientist to join our dynamic team. This role is pivotal in architecting, building, and maintaining the data infrastructure that underpins our analytics, machine learning, and operational reporting capabilities. The ideal candidate will possess a blend of engineering expertise, data modeling skills, and a strategic mindset to develop scalable, reliable, and high\-performance data systems. You will work closely with cross\-functional teams, including analytics, product, and platform engineering, to translate business needs into innovative data solutions. Your contributions will directly impact our ability to deliver timely insights, optimize operations, and support our company's growth trajectory. This is a hands\-on role that requires a proactive approach, strong technical skills, and a passion for leveraging data to solve complex problems.
**Qualifications**
 The ideal candidate will have a minimum of 8 years of experience in data science or data engineering, with a proven track record of designing and implementing large\-scale data solutions. Expertise in Python and SQL is essential, along with working knowledge of Scala or Java, particularly in Spark environments. Candidates should have 3\-5\+ years of experience working with Apache Spark and Databricks, including performance tuning and Delta Lake management. Strong cloud platform experience is required, preferably with AWS (S3, EMR, Glue, Kinesis) and/or Azure (ADLS Gen2, Synapse, Data Factory, Event Hubs). Familiarity with data orchestration tools such as Airflow and transformation frameworks like dbt is highly desirable. A solid understanding of data warehousing solutions like Snowflake, Redshift, or Databricks SQL, along with a history of cost and performance optimization, is necessary. Candidates should also possess knowledge of data modeling, CI/CD pipelines, Docker/Linux environments, and version control systems like Git. The ability to translate complex business requirements into scalable data products and lead projects end\-to\-end is crucial.
**Responsibilities**
* Design and evolve the company's lakehouse architecture, including storage layout, compute strategies, and performance SLAs, utilizing platforms such as Delta Lake on AWS or Azure.
* Build and maintain robust batch and streaming data pipelines employing Apache Spark (PySpark/Scala), Databricks Workflows, Azure Data Factory, and event\-driven integrations like Kinesis, Event Hubs, or Kafka.
* Develop and maintain analytical and machine learning\-ready data models, semantic layers, and dimensional schemas to support business intelligence and production use cases.
* Implement observability and reliability features, including custom Spark metrics, anomaly detection, logging, and automated data quality checks to ensure high data integrity.
* Optimize compute and storage performance through cluster tuning, caching, partitioning, and format selection, achieving measurable cost savings.
* Enforce data governance policies such as role\-based access control (RBAC), row\-level security, cataloging, lineage tracking, and ensure compliance with regulations like GDPR, HIPAA, and CCPA.
* Collaborate with analytics, product, and platform teams to define service level agreements (SLAs), manage incident response, and establish data contract best practices.
* Mentor junior engineers, lead design reviews, and set standards for scalable, maintainable data systems to foster team growth and best practices.
**Benefits**
 At Jobot, we prioritize our employees' well\-being and professional growth by offering a comprehensive benefits package. This includes competitive salary ranges, paid vacation, sick leave, holidays, and parental leave. Our health, dental, and vision insurance plans are designed to support your health needs. Employees also have access to an Employee Assistance Program (EAP) for personal support. We offer a 401(k) plan with a generous employer match to help secure your financial future, along with life insurance coverage. Paid training and employee discounts on our products and services are additional perks. We are committed to creating an inclusive environment that encourages diversity, innovation, and work\-life balance, ensuring our team members feel valued and supported throughout their careers with us.
 Equal Opportunity
 Jobot is an Equal Opportunity Employer. We are dedicated to fostering an inclusive work environment that celebrates diversity and ensures all qualified candidates receive fair consideration for employment regardless of race, color, sex, sexual orientation, gender identity, religion, national origin, age (40 and over), disability, military status, genetic information, or any other protected characteristic under applicable federal, state, or local laws. We prohibit harassment and discrimination of any kind and are committed to compliance with all relevant laws and regulations. We also perform background checks as necessary, respecting all legal requirements. By applying, you acknowledge and agree to our privacy policies and consent to communication from our recruitment team through various channels. We welcome applicants from diverse backgrounds and are committed to creating a welcoming and equitable workplace for all.</t>
        </is>
      </c>
    </row>
    <row r="29">
      <c r="A29" t="inlineStr">
        <is>
          <t>li-4374826998</t>
        </is>
      </c>
      <c r="B29" t="inlineStr">
        <is>
          <t>Data Scientist</t>
        </is>
      </c>
      <c r="C29" t="inlineStr">
        <is>
          <t>Ztek Consulting</t>
        </is>
      </c>
      <c r="D29" t="inlineStr">
        <is>
          <t>linkedin</t>
        </is>
      </c>
      <c r="E29" t="inlineStr"/>
      <c r="F29" t="inlineStr"/>
      <c r="G29" t="inlineStr">
        <is>
          <t>Las Vegas, NV</t>
        </is>
      </c>
      <c r="H29" t="inlineStr"/>
      <c r="I29" t="inlineStr">
        <is>
          <t>**Job Title: Data Scientist** 
**Job Location: Las Vegas, NV** 
**Job Type: Fulltime** 
**Job Description** 
**Must Have Technical/Functional Skills** 
 • Experience is developing Risk models using Supervised ML techniques.
 • Exposure to Model performance metrics.
 • Model Development experience in Python/PySpark is preferred.
 • An experienced Data Scientist to lead end\-to\-end AI/ML solution design and implementation across a range of business domains in financial services.
 • You will be responsible for architecting robust, scalable, and secure data science solutions that drive
 • innovation and competitive advantage in the BFSI sector.
 • This includes selecting appropriate technologies, defining solution blueprints, ensuring production readiness,
 and mentoring cross\-functional teams.
 • You will work closely with stakeholders to identify high\-value use cases and ensure seamless integration of
 models into business applications.
 • Your deep expertise in machine learning, cloud\-native architectures, MLOps practices, and financial
 domain knowledge will be essential to influence strategy and deliver transformative business impact.
 • Proficient in Python, scikit\-learn, TensorFlow, PyTorch, HuggingFace.
 • Strong BFSI domain knowledge.
 • Experience with NLP, LLMs (GPT), and deep learning.
 • Hands\-on with MLOps pipelines and tools.
 • Experience with graph analytics tools (Neo4j, TigerGraph, NetworkX).
**Roles \&amp; Responsibilities** 
 • Experience is developing Risk models using Supervised ML techniques.
 • Exposure to Model performance metrics.
 • Model Development experience in Python/PySpark is preferred.
 • Lead data science teams through complete project lifecycles – from ideation to production.
 • Define standards, best practices, and governance for AI/ML solutioning and model management.
 • Collaborate with data engineering, MLOps, product, and business teams.
 • Oversee integration of data science models into production systems.
 • Evaluate and recommend ML tools, frameworks, and cloud\-native solutions.
 • Guide feature engineering, data strategy, and feature store design.
 • Promote innovation with generative AI, reinforcement learning, and graph\-based learning.
 • Knowledge of Spark, PySpark, Scala.
 • Experience leading CoEs or data sc ience accelerators.</t>
        </is>
      </c>
    </row>
    <row r="30">
      <c r="A30" t="inlineStr">
        <is>
          <t>li-4325419340</t>
        </is>
      </c>
      <c r="B30" t="inlineStr">
        <is>
          <t>Senior Data Scientist - Ecosystem and Learning Platform</t>
        </is>
      </c>
      <c r="C30" t="inlineStr">
        <is>
          <t>Roblox</t>
        </is>
      </c>
      <c r="D30" t="inlineStr">
        <is>
          <t>linkedin</t>
        </is>
      </c>
      <c r="E30" t="inlineStr"/>
      <c r="F30" t="inlineStr"/>
      <c r="G30" t="inlineStr">
        <is>
          <t>San Mateo, CA</t>
        </is>
      </c>
      <c r="H30" t="inlineStr"/>
      <c r="I30"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**WHY DATA SCIENCE \&amp; ANALYTICS?**
 The Data Science \&amp; Analytics organization's mission is to increase our speed, frequency, and acumen in making decisions at scale by instilling a data\-influenced approach to building products. We cover a wide area of the data spectrum, including analytical data engineering, product analytics, experimentation, causal inference, statistical modeling, and machine learning. Aligned and partnered with product verticals, we use this extensive tool belt to discover new opportunities and unmet use cases, influence and craft the product roadmap, and prioritize, build data products, and measure impact on our community of players and developers.
**WHY ECOSYSTEM AND LEARNING PLATFORM?**
 The mission of the Ecosystem and Learning Platform Data Science team is to empower vertical data science teams and drive data\-informed decision\-making at scale. We do so by collaborating with vertical data science and cross\-functional partners to solve complex business problems that span multiple areas of the Roblox ecosystem, develop scalable data science solutions and tools, and advance data science methodologies.
 Central to our mission are platformized tools that provide comprehensive solutions for company\-wide experimentation, forecasting and anomaly detection needs, integrate diverse data sources, and offer scalable, accessible data science products that yield actionable insights for product areas across Roblox. As a member of this team, you will collaborate with product data science partners to develop and support core data science and machine learning models, and build platform solutions that streamline the model development and deployment process.
 You will also collaborate with product data science and cross\-functional partners to bring structure and innovative solutions to complex business problems. In the process, you will help build cutting\-edge methodologies and tools that advance data science within our company and set industry standards. If you are a self\-starter who is curious and passionate about leveraging big data to create tangible business value and thrive in a dynamic, collaborative, and innovative environment, this is the place for you.
**You Will**
* Develop and support core data science models and production pipelines used across the business.
* Support the development and operations of a centralized platform for time series forecasting and anomaly detection.
* Collaborate with data science and product partners to develop innovative and scalable solutions to measure ecosystem health, forecast business performance, and identify and quantify complex cause\-and\-effect relationships within the Roblox ecosystem.
* Promote and uphold a high bar of technical excellence and enable the adoption of technical advances in data science.
* Work closely with engineering and product partners to build scalable data science systems and tools.
* Own the implementation and maintenance of DS self\-serve tools and proactively identify opportunities to scale experimentation, causal modeling, and analytics insights through tooling and methodology.
* Communicate effectively with technical and non\-technical stakeholders to solve problems and influence decisions.
* Cultivate strong partnerships with vertical data science teams, engineering, and product partners.
**You Have**
* An Advanced Degree (MSc or PhD) in Statistics, Economics, Operations Research, Computer Science, Applied Math, Physics, Engineering, or other quantitative fields.
* 4\+ years in developing and applying statistical methods, causal inference techniques, experiment design and analysis, time series modeling, or machine learning.
* 4\+ years of experience building scalable ETL data pipelines and dashboards.
* 4\+ years of experience in data science, machine learning, data engineering, analytics engineering or related fields.
* 4\+ years of experience in one or more scripting languages, such as Python.
* Demonstrated ability to lead or build project areas from scratch.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$262,380—$321,230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31">
      <c r="A31" t="inlineStr">
        <is>
          <t>li-4325440028</t>
        </is>
      </c>
      <c r="B31" t="inlineStr">
        <is>
          <t>Lead Data Scientist - AI Implementation</t>
        </is>
      </c>
      <c r="C31" t="inlineStr">
        <is>
          <t>GM Financial</t>
        </is>
      </c>
      <c r="D31" t="inlineStr">
        <is>
          <t>linkedin</t>
        </is>
      </c>
      <c r="E31" t="inlineStr"/>
      <c r="F31" t="inlineStr"/>
      <c r="G31" t="inlineStr">
        <is>
          <t>Fort Worth, TX</t>
        </is>
      </c>
      <c r="H31" t="inlineStr"/>
      <c r="I31" t="inlineStr">
        <is>
          <t>**Job Description**
**Why GM Financial Technology**
 Innovation isn’t just a talking point at GM Financial, it’s how we operate. From generative AI and cloud\-native technologies to peer\-led learning and hackathons, our tech teams are building real solutions that make a difference. We’re committed to AI\-powered transformation, using advanced machine learning and automation to help us reimagine customer interactions and modernize operations, positioning GM Financial as a leader in digital innovation within a dynamic industry. Join us and discover a workplace where your ideas matter, your development is prioritized, and you can truly make a global impact.
**Responsibilities**
**About the role:**
 The Lead Data Scientist – AI Focused role is responsible for designing, developing, and deploying advanced AI solutions, including Generative and Agentic AI Agents, to support key business functions. This position emphasizes hands\-on technical leadership in AI and machine learning, ensuring scalable and secure implementations. The role collaborates closely with cross\-functional teams to drive AI adoption and innovation, while maintaining alignment with organizational priorities and compliance standards.
**In This Role, You Will**
* Lead the development and deployment of AI\-driven solutions, with a strong emphasis on Generative and Agentic AI technologies.
* Collaborate with Data Science, IT, and business teams to implement scalable AI solutions.
* Support enterprise AI initiatives under the guidance of senior leadership, focusing on operationalization and adoption.
* Conduct research and experimentation on emerging AI technologies to enhance organizational capabilities.
* Mentor and coach junior data scientists in AI methodologies and best practices.
* Ensure compliance with data privacy, security, and regulatory standards in all AI implementations.
* Monitor and optimize AI model performance; develop dashboards and reporting tools for stakeholders.
* Participate in automation and process improvement initiatives leveraging AI technologies.
**What makes you an ideal candidate?**
* Deep understanding of AI/ML concepts, including Generative AI and Agentic AI
* Knowledge of advanced statistical modeling, predictive analytics, and machine learning algorithms
* Familiarity with AI frameworks and platforms such as OpenAI, Claude, LLaMA, LangChain, and AutoGPT
* Understanding of data governance, privacy standards, and compliance requirements
* Solid understanding of IT architectural patterns, system integration, and enterprise technology stacks
* Familiarity with RESTful APIs, microservices, and best practices for secure and scalable API design
* Awareness of data flow, security, and compliance considerations in system implementations
* Hands\-on experience with machine learning and AI platforms (Python, R, SAS) and modern AI frameworks
* Proficiency in programming languages and tools for AI development and integration
* Strong problem\-solving and analytical skills; able to translate business problems into AI\-driven solutions
* Effective communication and presentation skills; able to explain complex AI concepts to non\-technical audiences
* Ability to design and implement API\-driven solutions for seamless integration with enterprise systems
* Experience collaborating with IT and engineering teams to ensure AI/ML solutions align with existing infrastructure
* Proficient in troubleshooting and optimizing data pipelines and system interfaces for robust performance
**Experience**
**QUALIFICATIONS**
* Master’s Degree or PhD in Computer Science, Data Science, Artificial Intelligence, Machine Learning, Applied Mathematics, Computational Science or Engineering Required
* 5\-7 years in related field or function required
* 5\-7 years leading through mentorship in related field preferred
* 5\-7 years leading projects and initiatives through influence preferred
**What We Offer:** 
 Generous benefits package available on day one to include: 401K matching, bonding leave for new parents (12 weeks, 100% paid), tuition assistance, training, GM employee auto discount, community service pay and nine company holidays.
**Our Culture:**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2 days a week in the office.</t>
        </is>
      </c>
    </row>
    <row r="32">
      <c r="A32" t="inlineStr">
        <is>
          <t>li-4341244265</t>
        </is>
      </c>
      <c r="B32" t="inlineStr">
        <is>
          <t>Data Scientist</t>
        </is>
      </c>
      <c r="C32" t="inlineStr">
        <is>
          <t>Leidos</t>
        </is>
      </c>
      <c r="D32" t="inlineStr">
        <is>
          <t>linkedin</t>
        </is>
      </c>
      <c r="E32" t="inlineStr"/>
      <c r="F32" t="inlineStr"/>
      <c r="G32" t="inlineStr">
        <is>
          <t>Bethesda, MD</t>
        </is>
      </c>
      <c r="H32" t="inlineStr"/>
      <c r="I32" t="inlineStr">
        <is>
          <t>**Description**
 Are you ready to join Leidos all\-star team? Through training, teamwork, and exposure to challenging technical work, let Leidos show how to accelerate your career path.
 Are you a TS/SCI cleared
 **Data Scientist** 
 that likes to perform research\-level data science/analytics?
 Come support a major program advancing the state of the art in mission\-focused big data and predictive analytics. You will be delivering cutting edge data science capabilities to advance national security objectives, swiftly produce and analyze results, disseminate findings, and contribute to publications and presentations with actionable intelligence insights. Our work is conducted primarily on\-site at our client location in Bethesda, MD.
**Fun Stuff You Will Do**
* Work closely with a tight\-knit team of data scientists, as well as a larger team of software developers, network engineers, senior investigators, program managers, researchers, and data analysts to design, build, and optimize a Data Science platform to produce and analyze results, disseminate findings, and contribute to publications and presentations.
* Work on small projects analyzing a variety of big data covering national security, cyber security, business intelligence, online social media, human behavior and more.
* Support multiple simultaneous projects and take open\-ended or high\-level guidance, independently and collaboratively make discoveries that are mission\-relevant, and package and deliver the findings to a non\-technical audience.
* Bring your mix of intellectual curiosity, quantitative acumen, and customer\-focus to identify novel sources of data across a range of fields, to improve the performance of predictive algorithms, and to encourage user adoption of high\-end data analytics platforms in partnership with a highly qualified, highly motivated team.
* Leverage your strong background in research design, exploratory analysis, quantitative methods, user interface application design, and experience with customer outreach and engagement
**To be successful in this role you need the following (required):**
* B.S. Degree in a quantitative or analytical field such as Computer Science, Mathematics, Economics, Statistics, Engineering, Physics, or Computational Social Science; or Master’s degree or equivalent graduate degree including certificate\-based advanced training courses
* 4\+ years of experience in data science, analytics, or quantitative intelligence analysis, and demonstrating progressive technical development and outcomes. 2\+ years of experience required with a Master’s
* Must have an active TS/SCI clearance and must be able to obtain and maintain a Polygraph
* Proficiency in one or more scripting languages such as Python
* Deployment of data science applications (e.g. Streamlit) using Docker, Kubernetes, and/or OpenShift.
* Experience with information retrieval and search, e.g. Elastic Stack (Elasticsearch and Kibana) and/or Structured Query Language (SQL)
* Experience working with a hybrid team of analyst, engineers, and developers to conduct research, and build and deploy complex, but easy\-to\-use algorithms and analytical platforms
* Previous experience performing Data Science or Research in data analytics or big data, i.e. data that won’t fit in memory.
* Track record of active learning and creative problem solving
* Ability to analyze and assess software development or data acquisition requirements and determine optimum, cost\-effective solutions.
* Familiarity using git or other version control technologies
* Our Data Scientists have opportunities to own their work and complete tasks on time with little/no supervision
**You will wow us even more if you have some of these skills:**
* A significant share of your data analytics experience in direct support of military or intelligence community customers, demonstrating progressive technical development and mission\-focused outcomes.
* Significant experience dealing with at least two of the following data classes: forensic media (i.e. DOMEX); open source, publicly available information (PAI); measurement and signatures intelligence (MASINT); or cybersecurity and cyber forensics
* Experience with Knowledge Graphs and KG tech such as neo4j or graph ML.
* Experience developing predictive algorithms, image classifiers, object detectors, and others.
* Familiarity with social network analysis, supply chain analysis, forensic accounting, pattern of life, natural language processing, social media analysis, classification algorithms, and/or image processing.
* Experience blending analytical methodologies and leveraging existing COTS/GOTS/OS tools in an unconventional manner.
* Experience with an on\-prem, air gapped environment and/or Amazon Web Services (AWS/C2S)
* Familiarity with hardware platforms, e.g., CPUs, GPUs, FPGAs, etc.
 \#NMECDTP\-Leidos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December 1,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3">
      <c r="A33" t="inlineStr">
        <is>
          <t>li-4374060496</t>
        </is>
      </c>
      <c r="B33" t="inlineStr">
        <is>
          <t>Data Scientist, Lead</t>
        </is>
      </c>
      <c r="C33" t="inlineStr">
        <is>
          <t>BigBear.ai</t>
        </is>
      </c>
      <c r="D33" t="inlineStr">
        <is>
          <t>linkedin</t>
        </is>
      </c>
      <c r="E33" t="inlineStr"/>
      <c r="F33" t="inlineStr"/>
      <c r="G33" t="inlineStr">
        <is>
          <t>Washington, DC</t>
        </is>
      </c>
      <c r="H33" t="inlineStr"/>
      <c r="I33" t="inlineStr">
        <is>
          <t>**Overview** 
 BigBear.ai is seeking a
 **Data Scientist** 
 to conduct data analytics, data engineering, data mining, exploratory analysis, predictive analysis, and statistical analysis using scientific techniques to correlate data into graphical, written, visual, and verbal narrative products to enable more informed analytic decisions. The successful candidate will proactively retrieve information from various sources, analyze it for better understanding, and assist with building AI tools that automate key processes. This position will be based out of Washington, D.C. or the greater National Capital Region (NCR). This is an opportunity to get in on the “ground level” of a new and exciting program with a critical Department of War (DoW) customer.
**What You Will Do** 
 Duties typically include: creating various ML\-based tools or processes, such as recommendation engines or automated lead scoring systems. Perform statistical analysis, apply data mining techniques, and build high quality prediction systems. The successful candidate should be skilled in data visualization and use of graphical applications, including Microsoft Office (Power BI) and Tableau; major data science languages, such as R and Python; managing and merging of disparate data sources, preferably through R, Python, or SQL; statistical analysis; and data mining algorithms. Additionally, the candidate should have prior experience with large data Multi\-INT analytics, ML, and automated predictive analytics.
**What You Need To Have** 
* Must possess a
 **TS/SCI clearance with a CI poly** 
 (or ability to obtain)
* Bachelor’s degree in data science, data engineering, mathematics, or another related field
* Minimum of 3 years of experience conducting analysis using data science or engineering (an additional 4 years of experience may be substituted for the above education requirements)
* Deep understanding and experience using Python and/or R
* Prior experience with large data, multi\-INT analytics, machine learning, and automated predictive analytics
**What We'd Like You To Have** 
* Current CI poly
* Master’s degree in data science, data engineering, mathematics, or another related field
* At least 8 years of experience conducting analysis using data science or engineering, with at least a portion of experience within the last 2 years
* Experience working creating products for Object Based Intelligence purposes
* Experience within the DoW and/or US Intelligence Community
**About BigBear.ai** 
 BigBear.ai is a leading provider of AI\-powered decision intelligence solutions for national security, supply chain management, and digital identity. Customers and partners rely on Bigbear.ai’s predictive analytics capabilities in highly complex, distributed, mission\-based operating environments. Headquartered in McLean, Virginia, BigBear.ai is a public company traded on the NYSE under the symbol BBAI. For more information, visit https://bigbear.ai/ and follow BigBear.ai on LinkedIn: @BigBear.ai and X: @BigBearai.
 BigBear.ai is an Equal opportunity employer all protected groups, including protected veterans and individuals with disabilities.
 \#defense</t>
        </is>
      </c>
    </row>
    <row r="34">
      <c r="A34" t="inlineStr">
        <is>
          <t>li-4357716181</t>
        </is>
      </c>
      <c r="B34" t="inlineStr">
        <is>
          <t>Senior Data Scientist, AI Studio</t>
        </is>
      </c>
      <c r="C34" t="inlineStr">
        <is>
          <t>Guardian Life</t>
        </is>
      </c>
      <c r="D34" t="inlineStr">
        <is>
          <t>linkedin</t>
        </is>
      </c>
      <c r="E34" t="inlineStr"/>
      <c r="F34" t="inlineStr"/>
      <c r="G34" t="inlineStr">
        <is>
          <t>Boston, MA</t>
        </is>
      </c>
      <c r="H34" t="inlineStr"/>
      <c r="I34"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is seeking experienced individual contributor with a strong background in production ready AI/ML solutions. In this role as Senior Data Scientist, you'll be working in a team of Data Scientists led by Lead Data Scientist to develop advanced data science solutions, leveraging machine learning and artificial intelligence, to drive enterprise\-wide innovation across various business lines and Guardian products.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 Lead use case/workstream with junior data scientists
* Support use case development that includes initial data exploration, project/sample design, reception and processing of data, performing analysis and modeling to creation of final report/presentation
* Data wrangling/data matching/ETL to explore a variety of data sources, gain data expertise, perform summary analyses and prepare modeling datasets
* Utilizing advanced statistical and AI/ML techniques to create high\-performing predictive models and creative analyses to address business objectives and partner needs
* Identification of source data and data quality checks both in model/solution development and in production
* Packaging of model/solution and deployment in cooperation with Data Engineers and MLOps
* Implement new statistical or other mathematical methodologies as needed for specific models or analysis.
* Propose innovative ways to look at problems through using data mining and data visualization
* Work with stakeholders throughout the organization to identify opportunities for leveraging company data to drive business solutions.
* Present information using data visualization techniques; communicate results and ideas to key decision makers.
* Ensure data accuracy and consistent reporting by performing regular data quality control, prepare and maintain reports, and troubleshoot data anomalies
* Consistent accuracy and thoroughness in performing work assignments
* Attend industry conferences to stay current on industry trends, challenges, and potential market opportunities
* Contribute to standardization of Data Science tools, processes, and best practices
 You are:
* You are passionate about cutting\-edge technology and keen on applying new AI/ML algorithms and approaches.
* You are analytically driven, intellectually curious, and experienced leading the development and implementation of data and analytic solutions to solve challenging business problems.
* You enjoy collaborating with other data scientists to crack hard to solve problems with AI/ML and seeing it deployed in\-market and generating value for Guardian.
* You enjoy collaborating with a multi\-disciplinary team including data engineers, business analysts, software developers and functional business experts and business leaders.
 You have:
* PhD with 2\+ years of experience, Master's degree with 4\+ years of experience in Statistics, Computer Science, Engineering, Applied mathematics or related field
* 3\+ years of hands\-on ML modeling/development experience
* Solid understanding of data analysis and statistical modeling.
* Knowledge of a variety of machine learning techniques (clustering, decision tree, bagging/boosting artificial neural networks, etc.) and their real\-world advantages/drawbacks.
* Demonstrated track records in experimental design and executions
* Hands\-on experience with data wrangling including fuzzy matching and regular expression, distributed computing and applying parallelism to ML solutions
* Strong programming skills in Python
* Solid background in algorithms and a range of ML models
* Excellent communication skills and ability to work and collaborating cross\-functionally with Product, Engineering, and other disciplines at both the leadership and hands\-on level
* Excellent analytical and problem\-solving abilities with superb attention to detail
* Proven leadership in providing technical leadership and mentoring to data scientists and strong management skills with ability to monitor/track performance for enterprise success
**Location:**
* Three days a week at a Guardian office in Boston, MA, New York, NY, Holmdel, NJ, Stamford, CT and Bethlehem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row>
    <row r="35">
      <c r="A35" t="inlineStr">
        <is>
          <t>li-4369054073</t>
        </is>
      </c>
      <c r="B35" t="inlineStr">
        <is>
          <t>Applied Scientist, Device Ad Products &amp; Personalization</t>
        </is>
      </c>
      <c r="C35" t="inlineStr">
        <is>
          <t>Amazon</t>
        </is>
      </c>
      <c r="D35" t="inlineStr">
        <is>
          <t>linkedin</t>
        </is>
      </c>
      <c r="E35" t="inlineStr"/>
      <c r="F35" t="inlineStr"/>
      <c r="G35" t="inlineStr">
        <is>
          <t>New York, NY</t>
        </is>
      </c>
      <c r="H35" t="inlineStr"/>
      <c r="I35" t="inlineStr">
        <is>
          <t>**Description**
 We are seeking an Applied Scientist for our Device Ad Products science team. This team addresses challenging optimization problems related to how advertisements are priced, selected, allocated and shown to customers on Amazon devices including Fire TV, Alexa and Fire Tablet. As Applied Scientist, you will be responsible for improving advertising performance and delivering innovative advertising experiences for display and video ads on Amazon Devices. This team leads initiatives to improve advertising fundamentals such as relevance, coverage, CTR, and CPSU (cost per sign up for streaming services) which in turn increase advertising revenue across Amazon's devices worldwide. You will own the scoping, implementation, and launch of science based ad solutions and experiences specifically for these entertainment focused environments.
 Key job responsibilities
* Gain a comprehensive understanding of the customer lifecycle journey with Amazon Ads, and develop sophisticated models to optimize various conversion KPIs for enhanced marketing effectiveness.
* Develop scalable data processing pipelines and architectures to ingest, transform, and enrich Customer data from various sources (Retail, Prime Video, FireTV and AppStore).
* Build machine learning models, perform proof\-of\-concept, experiment, optimize, and deploy your models into production; work closely with product managers and engineers to launch your models to customers.
* Drive innovation within your team and partner closely with other scientists, engineers and Product Managers to build science roadmaps
* Establish scalable, efficient, automated processes for large\-scale data analysis, machine\-learning model development, model validation and serving.
* Stay up\-to\-date with the latest advancements in machine learning, natural language processing, knowledge representation, multi\-modal learning and related fields, and identify opportunities to apply them to Advertising Use Cases.
* We are looking for world class researchers with experience in one or more of the following areas of Agentic AI for ads targeting \- autonomous agents, multi agent orchestration, Planning, large multimodal models (especially vision\-language models), reinforcement learning (RL) and sequential decision making.
* Effectively communicate complex science problems and solutions to both technical and non\-technical audiences.
 A day in the life
 In this role, you will regularly work with scientists and technical leaders across the advertising organization, including other science teams, product management, and senior leadership. You will also collaborate with science leaders across Amazon Devices and Prime Video organizations to build company\-wide alignment. You will manage and work closely alongside your team of applied and data scientists to guide them through high\-ambiguity problems and deliver robust, scalable solutions.
**About The Team**
 This role is on Device Ads and Personalization (DAPP) team, which is under Amazon Publisher Monetization (APM). This team has a vision to create innovative Ad experiences on Amazon Devices, providing customers better convenience and more selection.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 PhD
* 3\+ years of deep learning, computer vision, human robotic interaction, algorithms implementation experience
* Experience in building speech recognition, machine translation and natural language processing systems (e.g., commercial speech products or government speech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**Company** 
 \- Amazon.com Services LLC
 Job ID: A3173331</t>
        </is>
      </c>
    </row>
    <row r="36">
      <c r="A36" t="inlineStr">
        <is>
          <t>li-4329190427</t>
        </is>
      </c>
      <c r="B36" t="inlineStr">
        <is>
          <t>Senior Applied Scientist</t>
        </is>
      </c>
      <c r="C36" t="inlineStr">
        <is>
          <t>Microsoft</t>
        </is>
      </c>
      <c r="D36" t="inlineStr">
        <is>
          <t>linkedin</t>
        </is>
      </c>
      <c r="E36" t="inlineStr"/>
      <c r="F36" t="inlineStr"/>
      <c r="G36" t="inlineStr">
        <is>
          <t>Redmond, WA</t>
        </is>
      </c>
      <c r="H36" t="inlineStr"/>
      <c r="I36" t="inlineStr">
        <is>
          <t>**Overview**
 We seek a Senior Applied Scientist with expertise in Machine Learning, Generative AI, Agentic Modeling, Data Science, or related areas. The ideal candidate should be passionate about generative modeling, experimental prompt tuning, and large\-scale modeling optimization. The candidate should have hands\-on experience on working with LLMs, or SLMs such as Qwen, Llama or its variants. Microsoft AI unites product, engineering, and science teams to advance Bing and Consumer Copilot, aiming to provide the best generative search experience through advanced AI/ML technologies and innovative AI features.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Building and owning production machine learning models to improve results.
* Working hands on with SOTA generative models like Qwen, Llama, Mistral, GPT and others, to deliver big impact.
* Finding insights and forming hypothesis on large\-scale data with various machine learning, feature engineering, statistical, and data mining techniques: e.g. regression, classification, NLP, optimization.
* Professional working experience on prompt engineering with large LLMs like GPT, Gemini, Claude etc.
* Designing experiments, understanding the resulting data, and producing actionable, trustworthy conclusions from them.
* Wrangling large amounts of data (think petabytes) using various tools, including open\-source ones and your own. All programming languages are welcome, especially Python, C\#, R, C\+\+, Java, and SQL.
* Taking complex problems and the associated data and giving the answers in a concise form to assist senior executives in making key business decisions.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Proficient oral and writing skills.
 \#MicrosoftAI \#ML \#GenAI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7">
      <c r="A37" t="inlineStr">
        <is>
          <t>li-4202085097</t>
        </is>
      </c>
      <c r="B37" t="inlineStr">
        <is>
          <t>Principal Applied Scientist- AI</t>
        </is>
      </c>
      <c r="C37" t="inlineStr">
        <is>
          <t>UiPath</t>
        </is>
      </c>
      <c r="D37" t="inlineStr">
        <is>
          <t>linkedin</t>
        </is>
      </c>
      <c r="E37" t="inlineStr"/>
      <c r="F37" t="inlineStr"/>
      <c r="G37" t="inlineStr">
        <is>
          <t>Bellevue, WA</t>
        </is>
      </c>
      <c r="H37" t="inlineStr"/>
      <c r="I37" t="inlineStr">
        <is>
          <t>**Life at UiPath**
 The people at UiPath believe in the transformative power of automation to change how the world works. We’re committed to creating category\-leading enterprise software that unleashes that power.
 To make that happen, we need people who are curious, self\-propelled, generous, and genuine. People who love being part of a fast\-moving, fast\-thinking growth company. And people who care—about each other, about UiPath, and about our larger purpose.
 Could that be you?
 As a
 **Principal Applied Scientist** 
 at UiPath, you’ll drive the frontier of machine learning research and development, crafting the foundation for transformative product innovations. This is a hands\-on, leadership role at the intersection of applied research, engineering, and strategy—where you'll influence the technical direction of our most advanced ML initiatives.
 We are seeking a scientist with a proven track record of leading high\-impact research and deploying cutting\-edge machine learning systems at scale. You should be deeply curious about AI and ML, committed to pushing boundaries, and motivated to solve real\-world automation problems in scalable and innovative ways.
 The ideal candidate has substantial experience designing and executing complex experiments, building high\-performance ML systems, and mentoring teams. Above all, we value collaboration, humility, technical excellence, and a bias for action.
**Background**
 This role is with the
 **UiPath advanced machine learning research group** 
 , which builds large multi\-modal models designed to act and operate software like humans. Our mission is to push the boundaries of AI in pursuit of useful general intelligence for enterprise automation.
**What You’ll Do At UiPath**
* Lead the design and development of state\-of\-the\-art machine learning and deep learning systems for real\-world production environments.
* Innovate in NLP, NLU, NLG, computer vision, and multi\-modal learning to drive breakthroughs in software automation.
* Define and drive the roadmap for scalable ML infrastructure and research\-to\-production pipelines.
* Architect experiments, conduct in\-depth benchmarking, and analyze large\-scale datasets to evaluate and improve model performance.
* Collaborate cross\-functionally with engineering, product, and research teams to integrate ML systems into UiPath products.
* Mentor and guide other scientists and engineers, providing technical leadership and fostering a culture of innovation and rigor.
* Stay ahead of industry and academic advancements, influencing the company’s research strategy and sharing insights across the organization.
**What You’ll Bring To The Team**
* PhD or MS in Computer Science, Machine Learning, Statistics, or a related field.
* 5\+ years of experience in machine learning research and large\-scale system deployment.
* Deep expertise in areas such as natural language processing, computer vision, multimodal learning, or reinforcement learning.
* Demonstrated success leading ML projects from research to production.
* Strong programming skills in Python and proficiency with ML frameworks such as TensorFlow, PyTorch, or JAX.
* Experience working with large\-scale datasets and cloud\-based ML infrastructure.
* Excellent communication skills with a collaborative and mentoring mindset.
* Prior experience in automation, RPA, or related enterprise AI applications is a plus.
* Candidates must be authorized to work in the United States for this role.
 Maybe you don’t tick all the boxes above—but still think you’d be great for the job? Go ahead, apply anyway. Please. Because we know that experience comes in all shapes and sizes—and passion can’t be learned.
 Many of our roles allow for flexibility in when and where work gets done. Depending on the needs of the business and the role, the number of hybrid, office\-based, and remote workers will vary from team to team. Applications are assessed on a rolling basis and there is no fixed deadline for this requisition. The application window may change depending on the volume of applications received or may close immediately if a qualified candidate is selected.
 We value a range of diverse backgrounds, experiences and ideas. We pride ourselves on our diversity and inclusive workplace that provides equal opportunities to all persons regardless of age, race, color, religion, sex, sexual orientation, gender identity, and expression, national origin, disability, neurodiversity, military and/or veteran status, or any other protected classes. Additionally, UiPath provides reasonable accommodations for candidates on request and respects applicants' privacy rights. To review these and other legal disclosures, visit our privacy policy.
 Compensation Range: $200K \- $290K</t>
        </is>
      </c>
    </row>
    <row r="38">
      <c r="A38" t="inlineStr">
        <is>
          <t>li-4361368727</t>
        </is>
      </c>
      <c r="B38" t="inlineStr">
        <is>
          <t>Senior Data Scientist</t>
        </is>
      </c>
      <c r="C38" t="inlineStr">
        <is>
          <t>Domo</t>
        </is>
      </c>
      <c r="D38" t="inlineStr">
        <is>
          <t>linkedin</t>
        </is>
      </c>
      <c r="E38" t="inlineStr"/>
      <c r="F38" t="inlineStr"/>
      <c r="G38" t="inlineStr">
        <is>
          <t>American Fork, UT</t>
        </is>
      </c>
      <c r="H38" t="inlineStr"/>
      <c r="I38" t="inlineStr">
        <is>
          <t>**Company Overview**
 Domo's AI and Data Products Platform lets people channel AI and data into innovative uses that deliver a measurable impact. Anyone can use Domo to prepare, analyze, visualize, automate, and build data products that are amplified by AI.
**Position Summary**
**This role is required to be in office 5 days a week.**
 Sr. Data Scientists at Domo are client\-facing experts who work with Domo’s strategic clients to develop custom production data science solutions that address and improve business challenges. Domo Data Scientists also work closely with Domo’s Product Team to inform and develop data science products that accelerate Domo use and adoption. This role requires data scientists to understand and demonstrate competence in four knowledge domains: data engineering, model building, customer and initiative management, and problem solving. These four domains apply to all aspects of building production data science, machine learning, and AI pipelines in Domo—including use case discovery, ROI estimation and tracking, data ingestion, data preparation and cleaning, feature engineering, modeling, training, productionizing, and building out technical and end\-user dashboards.
 Time is balanced between calls and on\-site interactions with Domo clients, with independent time allocated to informing and building data science products and solutions. Furthermore, Sr. Data Scientists on this team are teachers and trainers, with a firm emphasis on evangelizing data science best practices and enabling customers to understand and own their Domo data science solutions.
 Sr. Data Scientists at Domo are encouraged to pursue projects that enhance clients’ user experience and move forward the vision of data science at Domo. This can include contributing to the building of Domo data science products, designing and architecting apps, writing knowledge base articles, developing sales and marketing solutions, or contributing to Domo\-sponsored published works.
 At the senior level, data scientists are expected to demonstrate expert knowledge and industry respect and longevity in at least two of the four knowledge domains (data engineering, model building, customer and initiative management, and problem solving). Thought leadership and expertise for Senior\-level data scientists can be evidenced through a cohesive body of work as is demonstrated in a portfolio of production DSML projects, publications, presentations, reports, patents, and other industry\-relevant accomplishments.
**Job Requirements**
* University degree and equivalent industry experience with an emphasis in data science, statistics, behavioral science, computer science, or related field
* Strong R and/or Python skills (5\+ years)
* Knowledge and demonstrated application of a breadth of statistical and data science approaches
* Portfolio of at least one completed data science and/or statistics project, including visualizations, presentations, reports, etc. (a relevant class project can be considered for junior\-level applicants)
* Experience in any type of customer\-facing role (2\+ years)
* Flexibility to travel for work as much as 20% of time
* Strong written and oral skills
* Detail oriented
* Exceptional time management skills
**Preferred Qualifications**
* Master’s Degree or PhD with an emphasis in data science, statistics, behavioral
* science, computer science, or related field
* Portfolio of independently completed data science and/or statistics projects, including visualizations, presentations, reports, etc. (industry\-specific portfolio preferred)
* Evidence of developing and deploying business\-relevant data science or machine learning solutions in production
* Experience teaching statistics and/or data science, with evidence of success (such as favorable course evaluations, etc.)
* Project management experience
* Experience using Domo (1\+ years)
**ITEMS TO INCLUDE IN YOUR APPLICATION**
 Upload the following to the Resume/CV field
* Current resume
* Current CV, if applicable
* Data Science Portfolio: Highlight at least one use\-case that showcases your work and the importance of it
* Evidence of teaching success, if available
* Customer evaluations, ratings, feedback, endorsements, etc., if available
* If selected for an interview, please prepare a 15\-minute presentation that showcases your data science work (preferably customer\-facing work) and the impact of it
**View Our Benefits**
**Domo is an equal opportunity employer**</t>
        </is>
      </c>
    </row>
    <row r="39">
      <c r="A39" t="inlineStr">
        <is>
          <t>li-4284320590</t>
        </is>
      </c>
      <c r="B39" t="inlineStr">
        <is>
          <t>Lead Data Scientist - Autonomous Goal Management</t>
        </is>
      </c>
      <c r="C39" t="inlineStr">
        <is>
          <t>Humana</t>
        </is>
      </c>
      <c r="D39" t="inlineStr">
        <is>
          <t>linkedin</t>
        </is>
      </c>
      <c r="E39" t="inlineStr"/>
      <c r="F39" t="inlineStr"/>
      <c r="G39" t="inlineStr"/>
      <c r="H39" t="inlineStr"/>
      <c r="I39" t="inlineStr">
        <is>
          <t>**Become a part of our caring community and help us put health first**
 The Enterprise AI organization at Humana is a pioneering force, driving AI innovation across our Insurance and CenterWell business segments. By collaborating with world\-leading experts, we are at the forefront of delivering cutting\-edge AI technologies for improving care quality and experience of millions of consumers. We are actively seeking top talent to develop robust and reusable AI modules and pipelines, ensuring adherence to best practices in accountable AI for effective risk management and measurement. Join us in shaping the future of healthcare through AI excellence.
 We are building advanced agentic systems capable of autonomously managing and decomposing complex goals. We are seeking an expert in agent design, planning, and control to develop and evaluate agents that can set, adapt, and execute goals in dynamic, real\-world environments. You’ll contribute to the scientific and engineering foundations that make AI agents reliable, interpretable, and robust across long\-horizon tasks.
**Key Responsibilities**
* Architect goal setting and goal decomposition mechanisms for autonomous agents operating in uncertain or open\-ended environments
* Design and implement dynamic planning systems (e.g., hierarchical planning, curriculum learning, scratchpad/self\-refinement loops)
* Collaborate on memory, tool\-use, and feedback\-loop designs enabling multi\-step, self\-directed agent behavior
* Develop evaluation frameworks for alignment with human intent, consistency, progress against long\-horizon objectives
* Prototype agents that interface with APIs, MCP servers, search engines, databases, or real\-world actuators to pursue goals safely and efficiency
* Explore mechanisms to detect and mitigate goal misalignment, looping behavior, or undesirable emergent strategies
* Work across teams to integrate goal alignment with safety, alignment, and operational reliability mechanisms
**Technical Skills**
* Proficiency in SQL, Python, and data analysis/data mining tools.
* Experience with machine learning frameworks like Pytorch, Jax, LangChain, LangGraph or AutoGen
* Experience with high performance, large\-scale ML systems
* Experience with language modeling with transformers
* Experience with symbolic planning, causal reasoning, and model\-based RL
* Experience with large\-scale ETL
**Required Qualifications**
**Use your skills to make an impact**
* Master's Degree and 4\+ years of experience in research/ML engineering or an applied research scientist position preferably with a focus on developing production\-ready AI solutions
* 2\+ years of experience leading development of AI/ML systems
**Preferred Qualifications**
* Ph.D. in Computer Science, Data Science, Machine Learning, or a related field
* Demonstrated experience shipping autonomous, or semi\-autonomous agents in production or simulation
* Experience with LLM\-based agents with scratchpad/self\-reflection or hierarchical task decomposition
* Understanding of autonomy risk mitigation strategies, including off\-switch protocols, or bounded rationality
**Additional Information**
**Location/Work Style:** 
 Remote US
**Why Humana?**
 At Humana, We Know Your Well\-being Is Important To You, And It’s Important To Us Too. That’s Why We’re Committed To Making Resources Available To You That Will Enable You To Become Happier, Healthier, And More Productive In All Areas Of Your Life. Just To Name a Few
* Work\-Life Balance
* Generous PTO package
* Health benefits effective day 1
* Annual Incentive Plan
* 401K \- Excellent company match
* Well\-being program
* Paid Volunteer Time Off
 If you share our passion for helping people, we likely have the right place for you at Humana.
**Work at Home Guidance**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**SSN Alert Statement**
 Humana values personal identity protection. Please be aware that applicants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$142,300 \- $195,700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02\-27\-2026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40">
      <c r="A40" t="inlineStr">
        <is>
          <t>li-4368289663</t>
        </is>
      </c>
      <c r="B40" t="inlineStr">
        <is>
          <t>Senior Data Scientist</t>
        </is>
      </c>
      <c r="C40" t="inlineStr">
        <is>
          <t>TransUnion</t>
        </is>
      </c>
      <c r="D40" t="inlineStr">
        <is>
          <t>linkedin</t>
        </is>
      </c>
      <c r="E40" t="inlineStr"/>
      <c r="F40" t="inlineStr"/>
      <c r="G40" t="inlineStr">
        <is>
          <t>Chicago, IL</t>
        </is>
      </c>
      <c r="H40" t="inlineStr"/>
      <c r="I40" t="inlineStr">
        <is>
          <t>TransUnion's Job Applicant Privacy Notice
 Personal Information We Collect
 Your Privacy Choices
**What We'll Bring**
 At TransUnion, we strive to build an environment where our associates are in the driver’s seat of their professional development, while having access to help along the way. We encourage everyone to pursue passions and take ownership of their careers. With the support of colleagues and mentors, our associates are given the tools needed to get where they want to go. Regardless of job titles, our associates have the opportunity to learn new things and be a leader every day.
 Come be a part of our team – you’ll work with great people, pioneering products and cutting\-edge technology.
**What You'll Bring**
* Master’s or PhD degree in business analytics, statistics, applied mathematics, financial mathematics, engineering, operations research, or another highly quantitative field. A track record of academic excellence
* At least three (3\) years of professional experience performing analytic work in Financial Services or related industries
* Multiple examples of demonstrated success in client\-facing roles over a period of at least three (3\) years
* Ability to travel 10\-20%
* Strong analytical, critical thinking, and creative problem solving skills
* Advanced programming skills; mastery of a statistical language such as R or Python; experience using other programming and data manipulation languages (SQL, Hive, Pig, C/C\+\+, Java); proficiency with Microsoft Office tools
* Versatile interpersonal and communication style with the ability to effectively communicate at multiple levels within and outside the organization; ability to work in a collaborative, fast\-paced environment
* Strong project management skills with the ability to manage multiple assignments effectively
* An understanding of current industry challenges and trends at the level needed to proactively identify customers’ analytical needs and related business opportunities
* Having experience of working in the Automotive industry is beneficial but not compuslory
**Impact You'll Make**
 This position is responsible for developing credit risk management and business intelligence analytic solutions through consulting engagements and research serving TransUnion’s automotive clients. This position requires an understanding of US consumer lending and credit risk management practices.
* You will partner with internal and external cross\-functional teams to drive new business initiatives and deliver long term value\-added product propositions for B2B customers in the US financial services segment at TransUnion. This includes but is not limited to the development of predictive risk management and business intelligence solutions for credit card issuers, auto \&amp; mortgage lenders, collections agencies and retail banks.
* You will lead analytic client engagements involving descriptive, predictive, and prescriptive analysis through the consumer lending portfolio lifecycle, leveraging a variety of techniques (e.g., segmentation, logistic regression, survival analysis, principal component analysis, Monte Carlo simulation, scenario and sensitivity analysis).
* You will design and write programs for data extraction, segmentation and statistical analysis on large population datasets using languages such as R, Python, SQL, Hive, and Pig on Linux, PC, and mainframe computing platforms.
* You will deliver analytic insights and recommendations in succinct and compelling presentations for internal and external customers and an executive audience.
* You will develop project proposals, sales presentations and promotional collateral to enable the adoption of integrated customer solutions supported by TransUnion.
* You will identify strategies and opportunities for customers to test and adopt TransUnion’s analytic products and services.
* You will provide mentorship and training to junior colleagues and maintain progress on all initiatives under limited direct supervision.
* You will foster a high performance culture and cultivate an environment that promotes excellence and reflects the TransUnion brand.
 Qualified applicants with arrest or conviction records will be considered for employment in accordance with applicable law, including the Los Angeles County Fair Chance Ordinance for Employers, the San Francisco Fair Chance Ordinance, Fair Chance Initiative for Hiring Ordinance, and the California Fair Chance Act.
 Adherence to Company policies, sound judgment and trustworthiness, working safely, communicating respectfully, and safeguarding business operations, confidential and proprietary information, and the Company’s reputation are also essential expectations of this position.
 This is a hybrid position and involves regular performance of job responsibilities virtually as well as in\-person at an assigned TU office location for a minimum of two days a week.
**Benefits**
 TransUnion provides flexible benefits including flexible time off for exempt associates, paid time off for non\-exempt associates, up to 12 paid holidays per year, health benefits (including medical, dental, and vision plan options and health spending accounts), mental health support, disability benefits, up to 12 weeks of paid parental leave, adoption assistance, fertility planning coverage, legal benefits, long\-term care insurance, commuter benefits, tuition reimbursement, charity gift matching, employee stock purchase plan, 401(k) retirement savings with employer match, and access to TransUnion’s Employee Resource Groups. Spousal, domestic partner, and other eligible dependent coverage is available on select health and welfare plans.
 We are committed to being a place where diversity is not only present, it is embraced. As an equal opportunity employer, all qualified applicants will receive consideration for employment without regard to race, color, religion, sex, national origin, age, disability status, veteran status, genetic information, marital status, citizenship status, sexual orientation, gender identity or any other characteristic protected by law. Additionally, in accordance with Section 503 of the Rehabilitation Act of 1973 and the Vietnam Era Veterans’ Readjustment Assistance Act of 1974, TransUnion takes affirmative action to employ and advance in employment qualified individuals with a disability and protected veterans in all levels of employment and develops annual affirmative action plans. Components of TransUnion’s Affirmative Action Program for individuals with disabilities and protected veterans are available for review to any associate or applicant for employment upon request by contacting ERCoE@transunion.com.
**Pay Scale Information**
 The U.S. base salary range for this position is $78,750\.00 \- $131,250 annually. \*The salary range for this position reflects a reasonable estimate of the range of compensation for this job. At TransUnion, actual compensation is based on careful consideration of additional factors such as (but not limited to) an individual’s education, training, work experience, job\-related skill set, location, and industry knowledge, as well as the scope and responsibilities of the position and market considerations.
 Regular, fulltime non\-sales positions may be eligible to participate in TransUnion’s annual bonus plan. Certain positions may be also eligible for long\-term incentives and other payments based on applicable company guidance and plan documents.
**TransUnion's Internal Job Title**
 Consultant, Data Science and Analytics
**Company**
 TransUnion LLC</t>
        </is>
      </c>
    </row>
    <row r="41">
      <c r="A41" t="inlineStr">
        <is>
          <t>li-4256826192</t>
        </is>
      </c>
      <c r="B41" t="inlineStr">
        <is>
          <t>Sr. Data Scientist, Amazon Leo Global Planning, Amazon Leo</t>
        </is>
      </c>
      <c r="C41" t="inlineStr">
        <is>
          <t>Amazon</t>
        </is>
      </c>
      <c r="D41" t="inlineStr">
        <is>
          <t>linkedin</t>
        </is>
      </c>
      <c r="E41" t="inlineStr"/>
      <c r="F41" t="inlineStr"/>
      <c r="G41" t="inlineStr">
        <is>
          <t>Redmond, WA</t>
        </is>
      </c>
      <c r="H41" t="inlineStr"/>
      <c r="I41" t="inlineStr">
        <is>
          <t>**Description**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(both internal and external) and develop Bandwidth Usage models at granular temporal and geographic grains, deployable to Leo traffic management systems.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\- 159,200\.00 \- 215,300\.00 USD annually
 USA, WA, Redmond \- 159,200\.00 \- 215,300\.00 USD annually
**Company** 
 \- Amazon Kuiper Commercial Services LLC
 Job ID: A3016062</t>
        </is>
      </c>
    </row>
    <row r="42">
      <c r="A42" t="inlineStr">
        <is>
          <t>li-4256823325</t>
        </is>
      </c>
      <c r="B42" t="inlineStr">
        <is>
          <t>Sr. Data Scientist, Amazon Leo Global Planning, Amazon Leo</t>
        </is>
      </c>
      <c r="C42" t="inlineStr">
        <is>
          <t>Amazon</t>
        </is>
      </c>
      <c r="D42" t="inlineStr">
        <is>
          <t>linkedin</t>
        </is>
      </c>
      <c r="E42" t="inlineStr"/>
      <c r="F42" t="inlineStr"/>
      <c r="G42" t="inlineStr">
        <is>
          <t>Bellevue, WA</t>
        </is>
      </c>
      <c r="H42" t="inlineStr"/>
      <c r="I42" t="inlineStr">
        <is>
          <t>**Description**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(both internal and external) and develop Bandwidth Usage models at granular temporal and geographic grains, deployable to Leo traffic management systems.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\- 159,200\.00 \- 215,300\.00 USD annually
 USA, WA, Redmond \- 159,200\.00 \- 215,300\.00 USD annually
**Company** 
 \- Amazon Kuiper Commercial Services LLC
 Job ID: A3016062</t>
        </is>
      </c>
    </row>
    <row r="43">
      <c r="A43" t="inlineStr">
        <is>
          <t>li-4377834825</t>
        </is>
      </c>
      <c r="B43" t="inlineStr">
        <is>
          <t>Senior Applied Scientist</t>
        </is>
      </c>
      <c r="C43" t="inlineStr">
        <is>
          <t>Microsoft</t>
        </is>
      </c>
      <c r="D43" t="inlineStr">
        <is>
          <t>linkedin</t>
        </is>
      </c>
      <c r="E43" t="inlineStr"/>
      <c r="F43" t="inlineStr"/>
      <c r="G43" t="inlineStr">
        <is>
          <t>Redmond, WA</t>
        </is>
      </c>
      <c r="H43" t="inlineStr"/>
      <c r="I43" t="inlineStr">
        <is>
          <t>**Overview**
 You’ll join the asset generation team in Microsoft AI focusing on image and video retrieval, recommendation and generation. You will build core generative AI solutions that power customer\-facing AI solutions and services for Microsoft Advertising at Bing platforms. In this role, you’ll combine solid computer vision skills with applied ML expertise to design, prototype, evaluate and ship production systems—using techniques like knowledge distillation, prompt engineering, reinforcement learning, image/video processing and rigorous evaluation/metrics to continuously improve image and video asset qualities. You’ll partner closely across product, research, and service engineering to deliver the innovative and robust solutions for enterprise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Research, develop, and build effective and innovative production\-grade generative AI and classical computer vision systems, with end\-to\-end ownership from concept through deployment and service operations.
* Lead technical design for core GenAI capabilities on image and video assets (e.g., image and video generation, super\-resolution and summarization) and make data\-driven tradeoffs across quality, latency, cost, and safety.
* Define and improve model and system quality using evaluation frameworks, experiment design, and metric evaluation; ensure robust testing and regression coverage.
* Collaborate with the partner teams to build solutions that meet enterprise requirements and align with customer needs and make business impact.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Demonstrated solid modelling skills in training and inferencing on online and offline computer vision models and related performance optimization for latency and artifact.
* Experience with prompt engineering, knowledge distillation and post\-training.
* Experience building and shipping generative AI systems (including image and video systems).
* Familiarity with compliance and security standards in enterprise AI solutions.
* Track record of delivering enterprise\-facing AI products at scale.
* Experience building and operating ML/AI systems in cloud environments; familiarity with MLOps practices (Azure a plus).
* Experience in publishing papers in top\-tier computer vision and machine learning conferences such as CVPR, ICML, ICCV, Neurips and ICLR.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4">
      <c r="A44" t="inlineStr">
        <is>
          <t>li-4341205463</t>
        </is>
      </c>
      <c r="B44" t="inlineStr">
        <is>
          <t>Principal Data Scientist</t>
        </is>
      </c>
      <c r="C44" t="inlineStr">
        <is>
          <t>Microsoft</t>
        </is>
      </c>
      <c r="D44" t="inlineStr">
        <is>
          <t>linkedin</t>
        </is>
      </c>
      <c r="E44" t="inlineStr"/>
      <c r="F44" t="inlineStr"/>
      <c r="G44" t="inlineStr"/>
      <c r="H44" t="inlineStr"/>
      <c r="I44" t="inlineStr">
        <is>
          <t>**Overview**
 Join Microsoft’s Azure Solutions and Ecosystem team as a Principal Applied Scientist and help shape the future of enterprise cloud solutions. In this role, you will design and build cutting\-edge AI models and architectures that power intelligent solutions for Oracle Database@Azure, VMware on Azure, SAP on Azure, and Nutanix on Azure. Your work will enable IT professionals and Systems Integrators to achieve unprecedented productivity and efficiency, while also enhancing knowledge worker experiences through integration with Microsoft 365\. If you are passionate about applying AI to solve complex enterprise challenges at scale, this is the opportunity to make a global impact. This role will directly influence the next generation of Azure solutions, enabling customers and partners to achieve higher productivity and operational efficiency through cutting\-edge AI technologies. By joining us, you will, shape the Future of Enterprise AI: Work on cutting\-edge AI models and architectures that redefine productivity for IT professionals, Systems Integrators, and knowledge workers. Impact Global Businesses: Your solutions will enhance operations for Oracle, VMware, SAP, and Nutanix workloads on Azure, influencing thousands of organizations worldwide. Collaborate with World\-Class Experts: Partner with top researchers, engineers, and product leaders in a culture that values curiosity, inclusion, and growth. Innovate at Scale: Solve complex challenges in distributed systems and AI integration across Microsoft 365 and Azure, delivering transformative customer experiences. Grow Your Career: Access unparalleled learning opportunities, mentorship, and the chance to publish, patent, and lead in the AI space. Join us to build intelligent solutions that make enterprise cloud smarter, faster, and more human\-centric.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train, and optimize AI/ML models for managed solutions across Azure workloads.
* Develop predictive and generative models to automate configuration, troubleshooting, and performance optimization.
* Define and implement scalable AI architectures integrated into Azure solutions.
* Ensure enterprise\-grade reliability, security, and compliance in AI\-driven components.
* Build AI capabilities that streamline IT operations and enhance Systems Integrator workflows.
* Contribute to solutions improving knowledge worker productivity alongside Microsoft 365\.
* Partner with research, engineering, and product teams to align AI initiatives with business goals.
* Mentor scientists and foster a culture of innovation and inclusion.
**Qualifications**
 Required/Minimum Qualifications: \-
* Doctorate in Data Science, Mathematics, Statistics, Econometrics, Economics, Operations Research, Computer Science, or related field AND 5\+ years data\-science experience (e.g., managing structured and unstructured data, applying statistical techniques and reporting results) OR Master's Degree in Data Science, Mathematics, Statistics, Econometrics, Economics, Operations Research, Computer Science, or related field AND 7\+ years data\-science experience (e.g., managing structured and unstructured data, applying statistical techniques and reporting results) OR Bachelor's Degree in Data Science, Mathematics, Statistics, Econometrics, Economics, Operations Research, Computer Science, or related field AND 10\+ years data science experience (e.g., managing structured and unstructured data, applying statistical techniques and reporting results) OR equivalent experience.
* 5\+ years customer\-facing, project\-delivery experience, professional services, and/or consulting experience.
* 3\+ years of experience in applied AI/ML research and development.
* Expertise in deep learning, NLP, and large\-scale model deployment.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Doctorate in Data Science, Mathematics, Statistics, Econometrics, Economics, Operations Research, Computer Science, or related field AND 8\+ years data\-science experience (e.g., managing structured and unstructured data, applying statistical techniques and reporting results) OR Master's Degree in Data Science, Mathematics, Statistics, Econometrics, Economics, Operations Research, Computer Science, or related field AND 10\+ years data\-science experience (e.g., managing structured and unstructured data, applying statistical techniques and reporting results) OR Bachelor's Degree in Data Science, Mathematics, Statistics, Econometrics, Economics, Operations Research, Computer Science, or related field AND 12\+ years data\-science experience (e.g., managing structured and unstructured data, applying statistical techniques and reporting results) OR equivalent experience.
* Proficient architectural thinking for AI systems in distributed environments.
* Ability to translate complex technical concepts into actionable strategies for product teams.
* Excellent communication and collaboration skills across diverse teams.
* Growth mindset and commitment to fostering an inclusive work environment.
 Data Science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5">
      <c r="A45" t="inlineStr">
        <is>
          <t>li-4352910909</t>
        </is>
      </c>
      <c r="B45" t="inlineStr">
        <is>
          <t>Sr Data Scientist</t>
        </is>
      </c>
      <c r="C45" t="inlineStr">
        <is>
          <t>Infosys</t>
        </is>
      </c>
      <c r="D45" t="inlineStr">
        <is>
          <t>linkedin</t>
        </is>
      </c>
      <c r="E45" t="inlineStr"/>
      <c r="F45" t="inlineStr"/>
      <c r="G45" t="inlineStr">
        <is>
          <t>Alpharetta, GA</t>
        </is>
      </c>
      <c r="H45" t="inlineStr"/>
      <c r="I45" t="inlineStr">
        <is>
          <t>Infosys is seeking a
 **Data Scientist / Gen AI Lead Consultant** 
 with ZGenerative AI, Agentic AI, Machine Learning (ML), AI and Python experience. Ideal candidate is expected to have prior experience in end\-to\-end implementation of Gen AI and Agentic AI based solution, fine tuning large language models, Machine Learning models that includes identification of ‘right’ problem, designing ‘optimum’ solution, implementing using ‘best in class’ practices and deploying the models to production. Will work in alignment with data strategy at various clients, using multiple technologies and platforms.
**Required Qualifications**
* Bachelor’s Degree or foreign equivalent will also consider three years of progressive experience in the specialty in lieu of every year of education.
* At least 7 years of Information Technology experience
* At least 4 years of hands\-on GenAI / Agentic AI and data science with machine learning
* Strong proficiency in Python programming.
* Experience of deploying the Gen AI applications with one of the Agent Frameworks like Langgraph, Autogen, Crew AI.
* Experience in deploying the Gen AI stack/services provided by various platforms such as AWS, GCP, Azure, IBM Watson
* Experience in Generative AI and working with multiple Large Language Models and implementing Advanced RAG based solutions.
* Experience in processing/ingesting unstructured data from PDFs, HTML, Image files, audio to text etc.
* Experience with data gathering, data quality, system architecture, coding best practices
* Hands\-on experience with Vector Databases (such as FAISS, Pinecone, Weaviate, or Azure AI Search).
* Experience with Lean / Agile development methodologies
* This position may require travel, will involve close co\-ordination with offshore teams
* This position is located in Bridgewater, NJ; Sunnyvale, CA; Austin, TX; Raleigh, NC; Richardson, TX; Tempe, AZ; Phoenix, AZ; Charlotte, NC; Houston, TX; Denver, CO; Hartford, CT; New York, NY, Palm Beach, FL; Tampa, FL or Alpharetta, GA, or is willing to relocate.
* Candidates authorized to work for any employer in the United States without employer\-based visa sponsorship are welcome to apply. Infosys is unable to provide immigration sponsorship for this role at this time
**Preferred Data Scientist Qualifications**
* 4 years of hands\-on experience with more than one programming language; Python, R, Scala, Java, SQL
* Hands\-on experience with CI/CD pipelines and DevOps tools like Jenkins, GitHub Actions, or Terraform.
* Proficiency in NoSQL and SQL databases (PostgreSQL, MongoDB, CosmosDB, DynamoDB).
* Deep Learning experience with CNNs, RNN, LSTMs and the latest research trends
* Experience in Python AI/ML frameworks such as TensorFlow, PyTorch, or LangChain.
* Strong understanding and experience of LLM fine\-tuning, local deployment of open\-source models
* Proficiency in building RESTful APIs using FastAPI, Flask, or Django.
* Experience in Model evaluation tools like DeepEval, FMeval, RAGAS , Bedrock model evaluation.
* Experience with perception (e.g. computer vision), time series data (e.g. text analysis)
* Big Data Experience strongly preferred, HDFS, Hive, Spark, Scala
* Data visualization tools such as Tableau, Query languages such as SQL, Hive
* Good applied statistics skills, such as distributions, statistical testing, regression, etc.
 The job entails sitting as well as working at a computer for extended periods of time. Should be able to communicate by telephone, email or face to face. Travel may be required as per the job requirements.
 The estimated annual compensation range for candidates in the below locations will be\-
 Sunnyvale, CA; Bridgewater, NJ; New York, NY, Denver, CO: $103500 to $188888
 Along with competitive pay, as a full\-time Infosys employee, you are also eligible for the following benefits :
* Medical/Dental/Vision/Life Insurance
* Long\-term/Short\-term Disability
* Health and Dependent Care Reimbursement Accounts
* Insurance (Accident, Critical Illness, Hospital Indemnity, Legal)
* 401(k) plan and contributions dependent on salary level
* Paid holidays plus Paid Time Off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**EEO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row>
    <row r="46">
      <c r="A46" t="inlineStr">
        <is>
          <t>li-4361608165</t>
        </is>
      </c>
      <c r="B46" t="inlineStr">
        <is>
          <t>Data Scientist</t>
        </is>
      </c>
      <c r="C46" t="inlineStr">
        <is>
          <t>SAIC</t>
        </is>
      </c>
      <c r="D46" t="inlineStr">
        <is>
          <t>linkedin</t>
        </is>
      </c>
      <c r="E46" t="inlineStr"/>
      <c r="F46" t="inlineStr"/>
      <c r="G46" t="inlineStr">
        <is>
          <t>McLean, VA</t>
        </is>
      </c>
      <c r="H46" t="inlineStr"/>
      <c r="I46" t="inlineStr">
        <is>
          <t>Job ID 2600315
**Location** 
 MCLEAN, VA, US
**Date Posted** 
 2026\-01\-13
**Category** 
 Information Technology
**Subcategory** 
 Data Scientist
**Schedule** 
 Full\-time
**Shift** 
 Day Job
**Travel** 
 No
**Minimum Clearance Required TS/SCI With Poly**
**Clearance Level Must Be Able to Obtain** 
 None
**Potential for Remote Work** 
 No
**Description**
 SAIC is seeking a
 **Data Scientist** 
 to provide specialized support across multiple projects from a Team of Systems Integrators and Data Scientists. In this role you would work on an IT Resource management and operations integration component that is responsible for leading all aspects of budget formulations and execution, the IT portfolio management program and managing business transformation activities.
 This position is located in
 **McLean, VA** 
 and requires an a
 **ctive TS/SCI clearance with Polygraph** 
 .
 Job responsibilities include, but are not limited to
* Providing system and requirements integration with the components that perform the IT development/engineering of capabilities in support of an enterprise portfolio and project management tool.
* Support the overall financial and business efforts including a new initiative related to cost recovery model.
* Assessing and analyzing data through conversations with IT and finance Subject Matter Experts (SMEs), as well as documenting and briefing data related to subject.
* Support a startup integrated security initiative with a focus on analyzing current processes, approvals and training while formulating a plan. The work will include communications with security SMEs and developing a roadmap.
* Integrate different requirements and capabilities from other offices across the broader Sponsor community into a centralized system.
* Design, test, and integrate new security products.
* Provide technical oversight and direction to designated boards for integrating new technology or major new mission capabilities into an existing environment.
* Engage with customers to determine the nature of requirement/analytic problem, evaluate options, and offer Information Technology (IT)\-based recommendations.
* Resolve complex IT problems efficiently and accurately while adhering to standards and procedures.
* Plan, test, and integrate new and upgraded versions of the relevant IT components, systems, applications, tools.
* Identify opportunities to integrate and improve resources to accomplish customer needs. Review existing Information Technology (IT) programs and assist in making refinements, reducing operating time, and improve current techniques.
* Strategically plan new designs for integration into a budget reconciliation database structure, using knowledge of the characteristics of the systems being added to the structure and the specifications for database interfaces to ensure effective integration and optimal database performance.
* Review and acquire data from primary or secondary cost recovery data sources and maintain databases/data systems.
* Identify, analyze, and interpret trends or patterns in complex data sets to include expenditure plan requirements, and business process analysis.
* Provide insight into industry trends and make recommendations on future direction; identify new technologies and assess their technical and performance characteristics.
* Analyze current processes, available tools to enhance the change management processes.
* Be responsible for the development of all types of documents and reports by creating and updating graphics presentations to improve the quality and enhance the usability of these documents.
**Qualifications**
* Active TS/SCI with Polygraph.
* Bachelors and 9 years or more experience; Masters 7 years or more experience.
* 5 years of experience tracking budgetary funds.
* 5 years of experience with portfolio \&amp; resource management.
* Experience developing use cases that improve the ability to find information in a more timely fashion.
* Demonstrated experience in data analysis, requirements gathering, translations, and visualizing information in a clear way to explain the data at hand.
* Demonstrated experience developing and managing project schedules, utilizing MS Project to identify critical tasks, and EVM for overall project status.
* Experience with resource allocation and optimizing resource assignments by identifying key resources and the right set of skill sets required for a project.
* Experience developing Minimum Viable Increments (MVIs) based on requirements gathered.
* Background in Business/Financial areas.
* Experience working on both development and integration projects.
* Experience with Service Now.</t>
        </is>
      </c>
    </row>
    <row r="47">
      <c r="A47" t="inlineStr">
        <is>
          <t>li-4369041188</t>
        </is>
      </c>
      <c r="B47" t="inlineStr">
        <is>
          <t>Applied Scientist, Personalization</t>
        </is>
      </c>
      <c r="C47" t="inlineStr">
        <is>
          <t>Amazon</t>
        </is>
      </c>
      <c r="D47" t="inlineStr">
        <is>
          <t>linkedin</t>
        </is>
      </c>
      <c r="E47" t="inlineStr"/>
      <c r="F47" t="inlineStr"/>
      <c r="G47" t="inlineStr">
        <is>
          <t>Will County, IL</t>
        </is>
      </c>
      <c r="H47" t="inlineStr"/>
      <c r="I47" t="inlineStr">
        <is>
          <t>**Description**
 Are you a scientist interested in pushing the state of the art in Information Retrieval, Large Language Models and Recommendation Systems? Are you interested in innovating on behalf of millions of customers, helping them accomplish their every day goals? Do you wish you had access to large datasets and tremendous computational resources? Do you want to join a team of capable scientist and engineers, building the future of e\-commerce? Answer yes to any of these questions, and you will be a great fit for our team at Amazon.
 Our team is part of Amazon’s Personalization organization, a high\-performing group that leverages Amazon’s expertise in machine learning, generative AI, large\-scale data systems, and user experience design to deliver the best shopping experiences for our customers. Our team builds large\-scale machine\-learning solutions that delight customers with personalized and up\-to\-date recommendations that are related to their interests. We are a team uniquely placed within Amazon, to have a direct window of opportunity to influence how customers will think about their shopping journey in the future.
 As an Applied Scientist in our team, you will be responsible for the research, design, and development of new AI technologies for personalization. You will adopt or invent new machine learning and analytical techniques in the realm of recommendations, information retrieval and large language models. You will collaborate with scientists, engineers, and product partners locally and abroad. Your work will include inventing, experimenting with, and launching new features, products and systems.
 Please visit https://www.amazon.science for more information.
**Basic Qualifications**
* MSc in CS/EE or related field and 2\+ years of applied research experience
* Strong CS foundations (data structures and algorithms)
* Excellent coding and design skills, proficiency with Python
* Publication at top\-tier peer\-reviewed research conferences or journals
* Strong communication and collaboration skills
**Preferred Qualifications**
* Hands\-on Experience with bringing LLM systems to production
* Experience in building and launching deep learning and machine learning models for business applications
* Solid knowledge of big data and cloud technologies (e.g., Spark, AWS, etc.)
* Experience with information retrieval, recommender systems, natural language processing, and/or personalization algorithms
* Publications at top Web, Machine Learning, Natural Language Processing conferences such as KDD, ICML, NeurIPS, ACL, EMNLP, etc.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Development Center (Tel Aviv)
 Job ID: A3173321</t>
        </is>
      </c>
    </row>
    <row r="48">
      <c r="A48" t="inlineStr">
        <is>
          <t>li-4377841889</t>
        </is>
      </c>
      <c r="B48" t="inlineStr">
        <is>
          <t>Data Scientist II - Client Protection</t>
        </is>
      </c>
      <c r="C48" t="inlineStr">
        <is>
          <t>Bank of America</t>
        </is>
      </c>
      <c r="D48" t="inlineStr">
        <is>
          <t>linkedin</t>
        </is>
      </c>
      <c r="E48" t="inlineStr"/>
      <c r="F48" t="inlineStr"/>
      <c r="G48" t="inlineStr">
        <is>
          <t>Charlotte, NC</t>
        </is>
      </c>
      <c r="H48" t="inlineStr"/>
      <c r="I48"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Summary:**
 This job is responsible for reviewing and interpretating large datasets to uncover revenue generation opportunities and ensuring the development of effective risk management strategies. Key responsibilities include working with lines of business to comprehend problems, utilizing sophisticated analytics and deploying advanced techniques to devise solutions, and presenting recommendations based on findings. Job expectations include demonstrating leadership, resilience, accountability, a disciplined approach, and a commitment to fostering responsible growth for the enterprise.
 Client Protection Shared Services – Advanced Analytics is looking for an energetic and inquisitive data scientist to join our team and help us combat financial crime. In this role, you will be expected to work on large and complex data science projects that entail working with both relational and graph databases. In these projects, it is expected to collaborate with internal strategy, technology, product, and policy partners to deploy advanced analytical solutions with the goal of reducing fraud losses, lowering false positive impacts, improving client experience, and ensuring the Bank minimizes its total cost of fraud. Key responsibilities include applying knowledge of multiple business and technical\-related topics and independently driving strategic initiatives, large\-scale projects, and overall improvements.
**Responsibilities:**
* Perform graph analytics to find and mitigate densely connected fraud networks
* Assist with the generation, prioritization, and investigation of fraud rings
* Enable business analytics, including data analysis, trend identification, and pattern recognition, using advanced techniques to drive decision making and data driven insights
* Understanding of end\-to\-end model development work, ranging from supervised, unsupervised, and graph\-based machine learning solutions, to maximize detection of fraud or capture anomalous behavior
* Manage multiple priorities and ensures quality and timeliness of work deliverables such as data science products, data analysis reports, or data visualizations, while exhibiting the ability to work independently and in a team environment
* Manage relationships with multiple technology teams, development team, and line of business leaders, including alignment of roadmaps, managing projects, and managing risks
* Oversee development, delivery and quality assurance for data science use cases delivered to the production environment and other areas of the line of business
* Support the identification of potential issues and development of controls
* Support execution of large\-scale projects, such as platform conversions or new project integrations by conducting advanced reporting and drawing analytical\-based insights
* Manages a roadmap of data science use cases to answer business trends based on economic and portfolio conditions and communicate findings to senior management, while diligently working and leading peers to solve for these use cases
* Coach and mentor peers to improve proficiency in a variety of systems and serve as a subject matter expert on multiple business and technical\-related topics
* Apply agile practices for project management, solution development, deployment, and maintenance
* Deliver presentations in an engaging and effective manner through in\-person and virtual conversations that communicates technical concepts and analysis results to a diverse set of internal stakeholders, and develops professional relationships to foster collaboration on work deliverables
* Maintain knowledge of the latest advances in the fields of data science and artificial intelligence to support business analytics
* Engage business and technology senior leaders on reporting of project/deliverable statuses, opportunity identification, and planning efforts
**Required Qualifications:**
* 4\+ years of experience in data and analytics
* 4\+ years of experience in data analytics within fraud prevention
* Must be proficient with SQL and one of SAS, Python, or Java
* Must have familiarity with Graph databases (e.g. TigerGraph, Neo4J) and graph query languages
* Problem\-solving skills including selection of data and deployment of solutions
* Proven ability to manage projects, exercise thought leadership and work with limited direction on complex problems to achieve project goals while also leading a broader team
* Excellent communication and influencing skills
* Thrives in fast\-paced and highly dynamic environment
* Intellectual curiosity and strong urge to figure out the “whys” of a problem and produce creative solutions
* Exposure to model development leveraging supervised and unsupervised machine learning (regression, tree\-based algorithms, etc.)
* Expertise in data analytics and technical development lifecycles including having coached junior staff
* Expertise handling and manipulating data across its lifecycle in a variety of formats, sizes, and storage technologies to solve a problem (e.g., structured, semi\-structured, unstructured; graph; hadoop; kafka)
**Desired Qualifications**
* Advanced Quantitative degree (Master’s or PhD)
* 7\+ years of experience; work in financial services is very helpful, with preference to fraud, credit, cybersecurity, or other heavily quantitative areas
* Understanding of advanced machine learning methodologies including neural networks, graph algorithms, ensemble learning like XGB, and other techniques
* Proficient with SPARK, H2O, or similar advanced analytical tools
* Analytical and Innovating Thinking
* Problem Solving and Business Acumen
* Risk and Issue Management, interpreting relevant laws, rules, and regulations
* Data Visualization, Oral and Written Communication, and Presentation Skills
* Experience managing multi\-year roadmaps, engaging technical and non\-technical stakeholders, and leading large cross\-functional formal projects
* Experience influencing mid to senior (executive) level leaders
* Experience managing risk and issue remediation
* Understanding of computer science topics like automation, code versioning, computational complexity, parallel processing, requirements gathering, testing methodologies, and development lifecycle models like Agile
**Skills:**
* Agile Practices
* Application Development
* DevOps Practices
* Technical Documentation
* Written Communications
* Artificial Intelligence/Machine Learning
* Business Analytics
* Data Visualization
* Presentation Skills
* Risk Management
* Adaptability
* Collaboration
* Consulting
* Networking
* Policies, Procedures, and Guidelines Management
*It is unlawful in Massachusetts to require or administer a lie detector test as a condition of employment or continued employment. An employer who violates this law shall be subject to criminal penalties and civil liability.*
**Shift:**
 1st shift (United States of America)
**Hours Per Week:**
 40</t>
        </is>
      </c>
    </row>
    <row r="49">
      <c r="A49" t="inlineStr">
        <is>
          <t>li-4244509790</t>
        </is>
      </c>
      <c r="B49" t="inlineStr">
        <is>
          <t>Sr. Applied Scientist, AGI Info</t>
        </is>
      </c>
      <c r="C49" t="inlineStr">
        <is>
          <t>Amazon</t>
        </is>
      </c>
      <c r="D49" t="inlineStr">
        <is>
          <t>linkedin</t>
        </is>
      </c>
      <c r="E49" t="inlineStr"/>
      <c r="F49" t="inlineStr"/>
      <c r="G49" t="inlineStr">
        <is>
          <t>Sunnyvale, CA</t>
        </is>
      </c>
      <c r="H49" t="inlineStr"/>
      <c r="I49" t="inlineStr">
        <is>
          <t>**Description**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WA, BELLEVUE \- 167,100\.00 \- 226,100\.00 USD annually
**Company** 
 \- Amazon.com Services LLC
 Job ID: A2999351</t>
        </is>
      </c>
    </row>
    <row r="50">
      <c r="A50" t="inlineStr">
        <is>
          <t>li-4194476443</t>
        </is>
      </c>
      <c r="B50" t="inlineStr">
        <is>
          <t>Principal Applied Scientist, FAR (Frontier AI &amp; Robotics)</t>
        </is>
      </c>
      <c r="C50" t="inlineStr">
        <is>
          <t>Amazon</t>
        </is>
      </c>
      <c r="D50" t="inlineStr">
        <is>
          <t>linkedin</t>
        </is>
      </c>
      <c r="E50" t="inlineStr"/>
      <c r="F50" t="inlineStr"/>
      <c r="G50" t="inlineStr">
        <is>
          <t>San Francisco, CA</t>
        </is>
      </c>
      <c r="H50" t="inlineStr"/>
      <c r="I50" t="inlineStr">
        <is>
          <t>**Description**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 Medical, Dental, and Vision Coverage
* Maternity and Parental Leave Options
* Paid Time Off (PTO)
*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
**Basic Qualifications**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\- 228,700\.00 \- 309,400\.00 USD annually
 USA, WA, Seattle \- 198,900\.00 \- 269,000\.00 USD annually
**Company** 
 \- Amazon.com Services LLC
 Job ID: A2938625</t>
        </is>
      </c>
    </row>
    <row r="51">
      <c r="A51" t="inlineStr">
        <is>
          <t>li-4271079890</t>
        </is>
      </c>
      <c r="B51" t="inlineStr">
        <is>
          <t>Principal Applied Scientist, Console Science</t>
        </is>
      </c>
      <c r="C51" t="inlineStr">
        <is>
          <t>Amazon Web Services (AWS)</t>
        </is>
      </c>
      <c r="D51" t="inlineStr">
        <is>
          <t>linkedin</t>
        </is>
      </c>
      <c r="E51" t="inlineStr"/>
      <c r="F51" t="inlineStr"/>
      <c r="G51" t="inlineStr">
        <is>
          <t>Santa Clara, CA</t>
        </is>
      </c>
      <c r="H51" t="inlineStr"/>
      <c r="I51" t="inlineStr">
        <is>
          <t>**Description**
 We are looking for passionate, talented, and inventive Principal Applied Scientist with a strong machine learning background to help build industry\-leading Conversational AI Systems. Our mission is to provide a delightful experience to Amazon’s customers by pushing the envelope in Natural Language Understanding (NLU), Dialog Systems including Generative AI with Large Language Models (LLMs) and Applied Machine Learning (ML).
 As part of our team, you will work alongside internationally recognized experts to develop novel algorithms and modeling techniques to advance the state\-of\-the\-art in human language technology. Your work will directly impact millions of our customers in the form of products and services that make use language technology. You will gain hands on experience with Amazon’s heterogeneous text, structured data sources, and large\-scale computing resources to accelerate advances in language understanding.
 We are hiring in all areas of human language technology: NLU, Dialog Management, Conversational AI, LLMs and Generative AI.
 A day in the life
 The team uses generative AI and foundation models to reimagine the experience of all customers on AWS.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
**Basic Qualifications**
* PhD and 8\+ years of CS, CE, ML or related field experience
* 8\+ years of building models for business application experience
* Experience in patents or publications at top\-tier peer\-reviewed conferences or journals in NLP and Applied Machine Learning.
* Experience programming in Java, C\+\+, Python or related language
* Experience in any of the following areas: algorithms and data structures, parsing, numerical optimization, data mining, parallel and distributed computing, high\-performance computing
**Preferred Qualifications**
* PhD and 8\+ years of CS, CE, ML or related field experience
* 8\+ years of building models for business application experience
* Experience in patents or publications at top\-tier peer\-reviewed conferences or journals in NLP and Applied Machine Learning.
* Experience programming in Java, C\+\+, Python or related language
* Experience in any of the following areas: algorithms and data structures, parsing, numerical optimization, data mining, parallel and distributed computing, high\-performance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**Company** 
 \- Amazon Development Center U.S., Inc.
 Job ID: A3039349</t>
        </is>
      </c>
    </row>
    <row r="52">
      <c r="A52" t="inlineStr">
        <is>
          <t>li-4256829010</t>
        </is>
      </c>
      <c r="B52" t="inlineStr">
        <is>
          <t>Principal Applied Scientist, Delivery Foundation Model</t>
        </is>
      </c>
      <c r="C52" t="inlineStr">
        <is>
          <t>Amazon</t>
        </is>
      </c>
      <c r="D52" t="inlineStr">
        <is>
          <t>linkedin</t>
        </is>
      </c>
      <c r="E52" t="inlineStr"/>
      <c r="F52" t="inlineStr"/>
      <c r="G52" t="inlineStr">
        <is>
          <t>New York, United States</t>
        </is>
      </c>
      <c r="H52" t="inlineStr"/>
      <c r="I52"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
**Company** 
 \- Amazon.com Services LLC
 Job ID: A2998635</t>
        </is>
      </c>
    </row>
    <row r="53">
      <c r="A53" t="inlineStr">
        <is>
          <t>li-4368888758</t>
        </is>
      </c>
      <c r="B53" t="inlineStr">
        <is>
          <t>Principal, Applied Scientist, Just Walk Out</t>
        </is>
      </c>
      <c r="C53" t="inlineStr">
        <is>
          <t>Amazon</t>
        </is>
      </c>
      <c r="D53" t="inlineStr">
        <is>
          <t>linkedin</t>
        </is>
      </c>
      <c r="E53" t="inlineStr"/>
      <c r="F53" t="inlineStr"/>
      <c r="G53" t="inlineStr">
        <is>
          <t>Seattle, WA</t>
        </is>
      </c>
      <c r="H53" t="inlineStr"/>
      <c r="I53" t="inlineStr">
        <is>
          <t>**Description**
 We are looking for a Principal Applied Scientist to drive technical innovation in visual reasoning systems across multiple domains. You will be a technical leader who sets the research direction, architects novel solutions, and delivers breakthrough results that advance the state of the art while solving real\-world business problems.
 You will be leading the efforts of building a next\-generation visual reasoning engine powered by frontier Large Video Models (LVMs). Your mission is to build a system that rivals human understanding of the physical world — moving far beyond the static perception of detection and tracking into the realm of deep spatial\-temporal reasoning. This is not a passive computer vision tool; it is an agentic collaborator capable of interpreting natural language instructions, navigating unstructured environments, and executing complex tasks.
 You will sit at the high\-stakes intersection of LVMs, LLMs, and Agentic AI, engineering systems that don't just 'see' but reason and act within the physical world. You will own end\-to\-end technical solutions from research to production deployment, driving innovation through hands\-on research, prototyping, and deployment while delivering production impact.
 Key job responsibilities
* Direct the technical vision for next\-gen visual reasoning, pioneering the use of LVMs to solve high\-dimensional spatial\-temporal problems
* Designing and implementing novel algorithms that push the boundaries of what's possible with generative AI
* Architecting scalable solutions that deliver real\-time insights across diverse environments
* Building agentic AI systems that autonomously execute end\-to\-end workflows, transforming visual data into actionable business intelligence
* Leading cross\-functional collaboration to translate research breakthroughs into production systems
* Publishing research at top\-tier conferences (CVPR, NeurIPS, ICML) and establishing technical thought leadership in visual reasoning and multi\-modal AI
* Mentoring scientists and engineers to elevate technical excellence across the organization
* Influencing product roadmaps through deep technical expertise and business acumen
**About The Team**
 Just Walk Out (JWO) is a checkout\-free shopping experience where customers simply enter the store, take what they want, and leave—no lines, no scanning, no checkout. Our Just Walk Out Technology automatically detects when products are taken from or returned to the shelves, keeps track of them in a virtual cart, and charges customers' accounts after they leave. Check it out at https://www.justwalkout.com/.
 Designed and custom\-built by Amazonians, our Just Walk Out Technology uses cutting\-edge visual reasoning systems powered by vision\-language\-reasoning models to understand complex shopping behaviors in real\-time. Our algorithms process multi\-camera video streams to track customers throughout their shopping journey and determine exactly what items customers take—all without requiring them to scan or checkout. Innovation is part of our DNA!
 We are now applying our visual reasoning expertise to solve critical challenges in new domains beyond retail. We need people who want to join an ambitious program to expand beyond retail, building state\-of\-the\-art visual reasoning systems that work across domains in physical AI. This expansion represents a significant opportunity to apply cutting\-edge vision\-language models, multi\-modal AI, and generative AI technologies to enterprise applications with massive business impact, enabling automated decision\-making capabilities.
**Basic Qualifications**
* PhD in computer science, machine learning, engineering, or related fields
* 8\+ years of applied research experience
* Strong publication record in top\-tier conferences/journals (CVPR, NeurIPS, ICML, ICCV, ECCV, etc.)
* Deep expertise in architecting and training frontier Vision\-Language Models (VLMs) or Large Video Models (LVMs), with proven ability to design novel algorithms that advance the state of the art in spatiotemporal understanding
* Experience translating research into production systems at scale
* Excellent programming skills in Python and deep learning frameworks (PyTorch, TensorFlow)
**Preferred Qualifications**
* Deep expertise in World Models, Neural Radiance Fields (NeRFs/Gaussian Splatting), and long\-horizon spatiotemporal reasoning
* Demonstrated leadership in building and scaling agentic AI applications in production
* A history of building and scaling world\-class teams and mentoring senior ICs to achieve career breakthroughs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\- 198,900\.00 \- 269,000\.00 USD annually
**Company** 
 \- Amazon.com Services LLC
 Job ID: A3173173</t>
        </is>
      </c>
    </row>
    <row r="54">
      <c r="A54" t="inlineStr">
        <is>
          <t>li-4368822147</t>
        </is>
      </c>
      <c r="B54" t="inlineStr">
        <is>
          <t>Data Scientist, Algorithms</t>
        </is>
      </c>
      <c r="C54" t="inlineStr">
        <is>
          <t>Lyft</t>
        </is>
      </c>
      <c r="D54" t="inlineStr">
        <is>
          <t>linkedin</t>
        </is>
      </c>
      <c r="E54">
        <f>HYPERLINK("https://www.linkedin.com/jobs/view/4368822147", "https://www.linkedin.com/jobs/view/4368822147")</f>
        <v/>
      </c>
      <c r="F54" t="inlineStr"/>
      <c r="G54" t="inlineStr">
        <is>
          <t>San Francisco County, CA</t>
        </is>
      </c>
      <c r="H54" t="inlineStr"/>
      <c r="I54" t="inlineStr">
        <is>
          <t>At Lyft, our purpose is to serve and connect. We aim to achieve this by cultivating a work environment where all team members belong and have the opportunity to thrive.
 Data Science is at the heart of Lyft’s products and decision\-making. We are hiring a
 **Data Scientist \- Algorithms** 
 to join the Base Earnings team. This cross\-functional team is responsible for setting pay for every Lyft rideshare ride, as well as ensuring compliance with our regulatory and policy commitments regarding pay. We seek a passionate data scientist to help create and improve our production algorithms for determining driver pay.
 In this role, you will leverage your data, machine learning, optimization, experimentation, and/or inference skills to refine Lyft’s pay policies. You will also support operations and continuously monitor policy performance in production. Your technical impact will contribute directly to company\-level metrics, including profit, rides completed, driver sentiment, and pickup reliability.
**Responsibilities:**
* Partner with Engineers, Product Managers, and Business Partners to frame problems, both mathematically and within the business context.
* Perform exploratory data analysis to gain a deeper understanding of the problem
* Design and fit statistical, machine learning, or optimization models
* Collaborate with Software Engineers to implement algorithms in production
* Design and run both simulated and live traffic experiments
* Analyze experimental and observational data; communicate findings; facilitate launch decisions
**Experience:**
* M.S. or Ph.D. in Statistics, Operations Research, Mathematics, Economics, Computer Science, Physics, Engineering, or a similar quantitative field
* 2\+ years professional experience OR a Ph.D.
+ Expertise in machine learning, optimization and/or causal inference
* Proficient at writing Python code
* End\-to\-end experience with data, including querying, ETL, monitoring, analysis, and visualization
**Benefits:**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$128,000 \- $160,000,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55">
      <c r="A55" t="inlineStr">
        <is>
          <t>li-4368535834</t>
        </is>
      </c>
      <c r="B55" t="inlineStr">
        <is>
          <t>Data Scientist</t>
        </is>
      </c>
      <c r="C55" t="inlineStr">
        <is>
          <t>Twitch</t>
        </is>
      </c>
      <c r="D55" t="inlineStr">
        <is>
          <t>linkedin</t>
        </is>
      </c>
      <c r="E55">
        <f>HYPERLINK("https://www.linkedin.com/jobs/view/4368535834", "https://www.linkedin.com/jobs/view/4368535834")</f>
        <v/>
      </c>
      <c r="F55" t="inlineStr"/>
      <c r="G55" t="inlineStr">
        <is>
          <t>San Francisco, CA</t>
        </is>
      </c>
      <c r="H55" t="inlineStr"/>
      <c r="I55"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an experienced Data Scientist to support our central analytics and finance disciplines at Twitch. Bringing to bear a mixture of data analysis, dashboarding, and SQL query skills, you will use data\-driven methods to answer business questions, and deliver insights that deepen understanding of our viewer behavior and monetization performance. Reporting to the VP of Finance, Analytics, and Business Operations, your team will be located in San Francisco.
 Our team is based in San Francisco, CA.
**You Will:**
* Create actionable insights from data related to Twitch viewers, creators, advertising revenue, commerce revenue, and content deals.
* Develop dashboards and visualizations to communicate points of view that inform business decision\-making.
* Create and maintain complex queries and data pipelines for ad\-hoc analyses.
* Author narratives and documentation that support conclusions.
* Collaborate effectively with business partners, product managers, and data team members to align data science efforts with strategic goals.
**You Have:**
* 3\+ years of data science experience with a Bachelor's degree in a quantitative field (e.g., Statistics, Business Analytics, Data Science, Mathematics, Economics, Engineering or Computer Science).
* Expertise in using SQL for data analysis, reporting, and dashboarding.
* Expertise with visualization tools like Tableau or Quicksight.
* Experience with a scripting language such as Python or R.
* Comfort with data warehouses and big data technologies at consumer scale such as Redshift, Snowflake, Big Query, etc.
**Bonus Points**
* Master’s or Doctorate degree in a quantitative field (e.g. Statistics, Business Analytics, Data Science, Mathematics, Economics, Engineering, or Computer Science)
* Experience in gaming or digital media
**Perks**
* Medical, Dental, Vision \&amp; Disability Insurance
* 401(k)
* Maternity \&amp; Parental Leave
* Flexible PTO
* Amazon Employee Discount
*Pursuant to the San Francisco Fair Chance Ordinance, we will consider for employment qualified applicants with arrest and conviction records.*
 Job ID: TW9095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 CA, San Francisco
 $157,300—$212,800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56">
      <c r="A56" t="inlineStr">
        <is>
          <t>li-4377862849</t>
        </is>
      </c>
      <c r="B56" t="inlineStr">
        <is>
          <t>Entry Level - Data Scientist- Gen Ai - ML</t>
        </is>
      </c>
      <c r="C56" t="inlineStr">
        <is>
          <t>Capgemini</t>
        </is>
      </c>
      <c r="D56" t="inlineStr">
        <is>
          <t>linkedin</t>
        </is>
      </c>
      <c r="E56">
        <f>HYPERLINK("https://www.linkedin.com/jobs/view/4377862849", "https://www.linkedin.com/jobs/view/4377862849")</f>
        <v/>
      </c>
      <c r="F56">
        <f>HYPERLINK("https://www.capgemini.com/jobs/396217-en_GB_SAPBTP/Entry-Level\u002d\u002d-Data-Scientist\u002d\u002dGen-Ai\u002d\u002d-ML&amp;urlHash=24EH", "https://www.capgemini.com/jobs/396217-en_GB_SAPBTP/Entry-Level\u002d\u002d-Data-Scientist\u002d\u002dGen-Ai\u002d\u002d-ML&amp;urlHash=24EH")</f>
        <v/>
      </c>
      <c r="G56" t="inlineStr">
        <is>
          <t>Seattle, WA</t>
        </is>
      </c>
      <c r="H56" t="inlineStr"/>
      <c r="I56"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**About The Job You’re Considering**
 The Data Scientist / ML Engineer will demonstrate excellent knowledge of ML algorithms (e.g., Linear Regression, Logistic Regression, Clustering/Segmentation, Decision Tree, Random Forest, GBM, DNN, Naive Bayes, Support Vector Machine, etc.) to lead efforts, teams, projects, and engage with customers.
**Your Role**
* Responsible for developing and implementing AI\-assisted marketing analytics solutions that address customer needs using data science and machine learning.
* Work closely with multi\-functional teams to deliver innovative solutions that drive business growth and improve customer engagement.
**Your Roles \&amp; Responsibilities**
* Design, implement, and optimize machine learning models (supervised, unsupervised, and reinforcement learning).
* Work on projects involving NLP, computer vision, recommendation systems, and predictive analytics.
* Perform feature engineering, data preprocessing, and model selection.
* Collaborate with Data Engineers to acquire and preprocess large datasets.
* Build and maintain data pipelines to support model training, testing, and deployment.
* Ensure data quality, consistency, and reliability.
* Deploy ML models into production environments using CI/CD and MLOps practices.
* Monitor model performance, retrain models, and manage model versioning.
* Optimize inference performance and resource utilization.
* Stay current with emerging ML/AI technologies, frameworks, and research.
* Evaluate new algorithms, tools, and libraries to improve model performance.
* Experiment with novel approaches to solve complex business problems.
* Work with software engineers, data scientists, and product managers to integrate ML solutions into applications.
* Mentor junior engineers and share best practices in ML development and deployment.
 The base compensation range for this role in the posted location is:$46,000 to $111,000\.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57">
      <c r="A57" t="inlineStr">
        <is>
          <t>li-4341225127</t>
        </is>
      </c>
      <c r="B57" t="inlineStr">
        <is>
          <t>Sr. Data Scientist - Business Data Team</t>
        </is>
      </c>
      <c r="C57" t="inlineStr">
        <is>
          <t>Zillow</t>
        </is>
      </c>
      <c r="D57" t="inlineStr">
        <is>
          <t>linkedin</t>
        </is>
      </c>
      <c r="E57">
        <f>HYPERLINK("https://www.linkedin.com/jobs/view/4341225127", "https://www.linkedin.com/jobs/view/4341225127")</f>
        <v/>
      </c>
      <c r="F57">
        <f>HYPERLINK("https://zillow.wd5.myworkdayjobs.com/Zillow_Group_External/job/Remote-USA/Sr-Data-Scientist\u002d\u002d-Business-Data-Team_P748462-1?source=LinkedIn&amp;urlHash=tYjN", "https://zillow.wd5.myworkdayjobs.com/Zillow_Group_External/job/Remote-USA/Sr-Data-Scientist\u002d\u002d-Business-Data-Team_P748462-1?source=LinkedIn&amp;urlHash=tYjN")</f>
        <v/>
      </c>
      <c r="G57" t="inlineStr"/>
      <c r="H57" t="inlineStr"/>
      <c r="I57" t="inlineStr">
        <is>
          <t>**About The Team**
 Zillow Group’s Business Data organization represents the next step forward in the company's dedication to integrate an improved set of B2B agent software \&amp; advertising products for customers and partners, their clients, and the real estate industry as a whole.
 Zillow has built and acquired a portfolio of market\-leading products for agent productivity, listing media, showing coordination, transaction management and analytics solutions. Our wide array of products and services are built on technological innovations crafted to bring efficiencies to all users.
**About The Role**
 The Business Data Science team within Zillow is hiring a Data Scientist to lead analytics to uncover insights to drive both better business decisions and customer experiences across our product portfolio.
**You Will Get To:**
* Collaborate with team members across product, engineering, marketing, sales, operations, and more to develop evidence\-based approaches to finding gaps \&amp; optimizing the customer experience.
* Use advanced analytics, including clustering, propensity modeling, statistical knowledge, and other explanatory and causal inference techniques to gain a clearer picture of customer behavior.
* Build compelling data stories and visualizations to inform and influence decision\-makers.
* Serve as a mentor and resource to other data scientists on the team.
* Design and implement A/B tests, perform regression modeling, and provide recommendations for the product roadmap.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$148,600\.00 \- $237,400\.00 annually. This base pay range is specific to these locations and may not be applicable to other locations. In Colorado, Hawaii, Illinois, Minnesota, Nevada, Ohio, Rhode Island, and Vermont the standard base pay range for this role is $141,200\.00 \- $225,600\.00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You are ready to bring your data and analytics expertise to transform what it means for the real estate industry to unlock the ability for consumers to dream, search, and find a home. You have an appreciation of the unique challenges posed by business to business product development and go\-to\-market.
**Additionally, we expect you to have:**
* An undergraduate or Master’s degree in a quantitative field (e.g. mathematics, engineering, statistics, finance, or similar)
* 5\+ years of work experience involving quantitative data analysis and complex problem\-solving. Experience working with product teams strongly preferred.
* A strong understanding of statistical concepts, measurement issues, and inference techniques.
* Proficiency in SQL, Excel, and either Python or R, along with some experience with Tableau, Mode, or other visualization software.
* Extensive experience querying multi\-terabyte\-sized noisy data sets such as clickstream data.
* Experience with ETL pipelines, scheduling and productionalizing is a plus.
* Experience with A/B Testing, Experimentation, or Casual Inference
* Strong written, verbal, and visual communication skills with the ability to work cross\-functionally.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58">
      <c r="A58" t="inlineStr">
        <is>
          <t>li-4343232450</t>
        </is>
      </c>
      <c r="B58" t="inlineStr">
        <is>
          <t>Lead Data Scientist</t>
        </is>
      </c>
      <c r="C58" t="inlineStr">
        <is>
          <t>Bread Financial</t>
        </is>
      </c>
      <c r="D58" t="inlineStr">
        <is>
          <t>linkedin</t>
        </is>
      </c>
      <c r="E58">
        <f>HYPERLINK("https://www.linkedin.com/jobs/view/4343232450", "https://www.linkedin.com/jobs/view/4343232450")</f>
        <v/>
      </c>
      <c r="F58" t="inlineStr"/>
      <c r="G58" t="inlineStr">
        <is>
          <t>Columbus, OH</t>
        </is>
      </c>
      <c r="H58" t="inlineStr"/>
      <c r="I58" t="inlineStr">
        <is>
          <t>****Every career journey is personal. That's why we empower you with the tools and support to create your own success story.****
**Be challenged. Be heard. Be valued. Be you ... be here.**
**Job Summary**
 The Data Scientist role at Bread Financial is responsible for generating data\-driven insights to support enterprise data science needs within the organization. The Lead Data Scientist is pivotal in generating insights and supporting the enterprise's data science needs, as well as enhancing the team's industry competence through research in Artificial Intelligence (AI).
 The Data Science team, through this role, supports Marketing by developing predictive and prescriptive models that optimize campaign performance, enable targeted and personalized marketing, and provide actionable insights for acquisition, engagement, and retention strategies. They leverage advanced analytics, AI/ML tools, and secure data\-sharing environments to enhance decision\-making and drive measurable business outcomes.
**Essential Job Functions**
* Lead the design, build, deployment, and periodic maintenance of AI solutions. \- (30%)
* Build strong relationships with internal business partners to drive the delivery of enterprise solutions. \- (20%)
* Establishing and executing the framework for engaging enterprise partners to plan new AI solutions. \- (15%)
* Assisting with documentation, compliance, model governance, and maintenance of AI solutions. \- (15%)
* Research advanced modeling and AI techniques to improve predictive modeling and maintain business acumen in relevant industries. \- (10%)
* Training and mentoring to junior Data Scientists. Lead projects as needed or required \- (10%)
**Minimum Qualifications**
* Bachelor’s Degree in Statistics, Mathematics, Engineering, Data Science, Computer Science, or Economics
* 8\+ years experience in building sophisticated models using machine learning, segmentation, time series, and other advanced analytics methodologies.
**Preferred Qualifications**
* Master’s Degree or PhD in Statistics, Mathematics, Computer Science, Data Science, Engineering, Economics, or other quantitative fields
* Advanced machine learning modeling and/or technical expertise in developing market differentiation data science products.
* Experience in bank card/credit card business, consulting, retail, marketing, loyalty, and/or financial services.
**Skills**
* Data Manipulation
* Machine Learning
* Python (Programming Language)
* R Statistics
* Statistical Analysis
* Statistics
* Time Series Analysis
* Cloud Environment
* Agentic AI
* GenAI
* Presentation to Small and Large Groups
* Financial Analysis
* Choice\-Based Conjoint Design and survey techniques
**Reports To** 
 : Senior Manager and above
**Direct Reports** 
 : 0
**Work Environment**
* Normal office environment. (Remote or Hybrid), 3 to 4 days per month are required in office if within 60 miles of a posted Bread Financial location.
**Travel**
* Ability to travel up to 5% annually
**Physical And Mental Requirements**
 To perform this job successfully, an individual must be able to perform each essential job function satisfactorily and meet the physical, mental and work environment requirements. Reasonable accommodations may be made to enable qualified individuals with disabilities to perform essential job functions, absent undue hardship.
* Communicate/Hearing
* Communicate/Talking
* Stationary Position/Seated
* Typing/Writing
* Focus and complete tasks in situations that have a speed or productivity metric
* Maintain focus in high pressure or fast\-paced work environment
**Other Duties**
 This job description is illustrative of the types of duties typically performed by this job. It is not intended to be an exhaustive listing of each and every essential function of the job. Because job content may change from time to time, the Company reserves the right to add and/or delete essential functions from this job at any time.
**Salary Range (unless Otherwise Noted Below)**
 $120,500\.00 \- $218,300\.00
**Full Salary Range For Position**
 California: $138,600\.00 \- $272,900\.00
 Colorado: $120,500\.00 \- $229,200\.00
 New York: $132,500\.00 \- $272,900\.00
 Washington: $126,500\.00 \- $251,100\.00
 Maryland: $126,500\.00 \- $240,200\.00
 Washington DC: $138,600\.00 \- $251,100\.00
 Illinois: $120,500\.00 \- $240,200\.00
 New Jersey: $138,600\.00 \- $251,100\.00
 Vermont: $120,500\.00 \- $218,300\.00
 Ohio: $120,500\.00 \- $218,300\.00
*The actual base pay within this range may be dependent upon many factors, which may include, but are not limited to, work location, education, experience, and skills.*
 Bread Financial offers medical, prescription drug, dental, vision, and other voluntary benefits (including basic and optional life insurance, supplemental medical plans, and short and long\-term disability) to eligible associates (regular full\-time associates scheduled to work 30 hours per week or more) and their spouses/domestic partners, and child(ren) under the age of 26\. New associate elected coverage begins on date of hire (with the exception of disability coverage which has a 6\-month waiting period). Six weeks of 100% paid parental leave for eligible parents is available after a 180\-day waiting period. Hired associates can immediately enroll in Bread Financial’s 401(k) plan.
 All associates receive 11 paid holidays. Associates have discretion in managing their time away from work through the Flexible Time Off (FTO) program and may need to notify and receive approval from their manager prior to taking the time off. Associates (except those located in Illinois) receive 80 hours of Paid Sick and Safe Time (“PSST”) upon hire and at the beginning of each subsequent calendar year. Illinois associates receive 40 hours of Illinois PSST upon hire and at the beginning of each subsequent calendar year and 40 hours of Illinois Paid Leave upon hire and at the beginning of each subsequent calendar year. Illinois Paid Leave must be used before associates in Illinois will be approved to take FTO.
 Hired associates will be able to elect the purchase company stock during offering periods in June and December. You will be eligible for an annual incentive bonus based on individual and company performance.
 Click here for more Benefits information.
**About Bread Financial®**
 At Bread Financial, you’ll have the opportunity to grow your career, give back to your community, and be part of our award\-winning culture. We’ve been consistently recognized as a best place to work nationally and in many markets and we’re proud to promote an environment where you feel appreciated, accepted, valued, and fulfilled—both personally and professionally. Bread Financial supports the overall wellness of our associates with a diverse suite of benefits and offers boundless opportunities for career development and non\-traditional career progression.
 Bread Financial® (NYSE: BFH) is a tech\-forward financial services company that provides simple, personalized payment, lending and saving solutions to millions of U.S. consumers. Our payment solutions, including Bread Financial general purpose credit cards and savings products, empower our customers and their passions for a better life. Additionally, we deliver growth for some of the most recognized brands in travel \&amp; entertainment, health \&amp; beauty, jewelry and specialty apparel through our private label and co\-brand credit cards and pay\-over\-time products providing choice and value to our shared customers.
 Bread Financial proudly marks 30 years of success in 2026\. To learn more about our global associates, our performance and our sustainability progress, visit breadfinancial.com or follow us on Instagram and LinkedIn.
* Bread Financial offers competitive pay, a comprehensive selection of benefit options including 401(k).
* The Company is an Equal Opportunity Employer.
* Any applicant offered employment will be required to establish that they are legally authorized to work in the United States for the Company.
* The Company participates in E\-Verify.
* The Company will consider for employment all qualified applicants, including those with a criminal history, in a manner consistent with the requirements of all applicable federal, state, and local laws, including the Los Angeles Fair Chance Initiative for Hiring Ordinance, the San Francisco Fair Chance Ordinance, and the New York City Fair Chance Act. Applicants with criminal histories are encouraged to apply.
* The Company complies with the Americans with Disabilities Act (ADA), as amended, and all applicable state/local laws. The Company will provide accommodations to applicants needing accommodations to complete the application process. Applicants with disabilities may contact the Company to request and arrange for accommodations. If you need assistance to accommodate a disability, you may request an accommodation at any time. Please contact the Recruiting Team at TaOps@breadfinancial.com.
**Job Family**
 Data and Analytics
**Job Type**
 Regular</t>
        </is>
      </c>
    </row>
    <row r="59">
      <c r="A59" t="inlineStr">
        <is>
          <t>li-4377855740</t>
        </is>
      </c>
      <c r="B59" t="inlineStr">
        <is>
          <t>Data Scientist I</t>
        </is>
      </c>
      <c r="C59" t="inlineStr">
        <is>
          <t>Bank of America</t>
        </is>
      </c>
      <c r="D59" t="inlineStr">
        <is>
          <t>linkedin</t>
        </is>
      </c>
      <c r="E59">
        <f>HYPERLINK("https://www.linkedin.com/jobs/view/4377855740", "https://www.linkedin.com/jobs/view/4377855740")</f>
        <v/>
      </c>
      <c r="F59">
        <f>HYPERLINK("https://careers.bankofamerica.com/en-us/job-detail/25030183/data-scientist-i-multiple-locations&amp;urlHash=iAz6", "https://careers.bankofamerica.com/en-us/job-detail/25030183/data-scientist-i-multiple-locations&amp;urlHash=iAz6")</f>
        <v/>
      </c>
      <c r="G59" t="inlineStr">
        <is>
          <t>New York, NY</t>
        </is>
      </c>
      <c r="H59" t="inlineStr"/>
      <c r="I59"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**The Data and AI team within Global Payment Solutions (GPS) at Bank of America** 
 is looking for a highly technical Research Engineer that is a self\-starter who can translate complex concepts and generate actionable insights.
**Who we are:**
 The GPS Data and AI team drives and powers innovation within the one of the largest payment businesses in the world. We are the core data scientists building end\-to\-end production level solutions at scale. The team is a collection of individuals that welcomes challenging problems because that is where the learning begins. Many of our projects begin with “think tank” sessions with business teams that is later translated to tangible solutions and products.
**Representative Projects:**
* Develop advanced statistical methods to determine the optimal interest\-rate or product pricing strategies for clients
* Build a Generative AI\-powered search platform that enables sales and product teams to access high quality answers to product, servicing, and client related questions
* Develop AI models that shift foreign currency conversion “up the payment stream,” reducing reliability on beneficiary banks
* Apply advanced NLP techniques to generate near real\-time insights into what clients are reaching out to servicing teams about, helping servicing teams anticipate client needs and improve service quality
**Who we’re looking for:**
 As a Research Engineer on the GPS team, you will tackle one of our most import challenges: building models that transform data into revenue\-driving insights and products. This role blends research, engineering, and product responsibilities, requiring you to design statistical models, build scalable ML pipelines, and deploy algorithms directly into our production systems. You will work across teams to solve problems in recommendation, stochastic optimization, and time\-series forecasting; while running large A/B tests on new methods we design to push the boundaries of what data can achieve.
 If you are passionate about working in cross\-functional teams and utilizing your skills for technical product management, statistical analytics, predictive modeling, and generating revenue, consider applying to this role.
**Responsibilities:**
* Frame abstract business problems using advanced data science and machine learning algorithms
* Work with stakeholders throughout the organization to identify opportunities for leveraging internal and external data to drive business solutions
* Own critical research and application development, strengthening the firm's competitive advantage
* Shape cross\-team collaboration to advance the firm's data science capabilities
**Required Skills:**
* Minimum Bachelor’s degree in a quantitative field such as computer science, math, statistics, and physics
* Minimum 3 years of experience with translating mathematical models and algorithms into code (Python and/or C\+\+)
* Strong foundation in probability, statistics, and applied machine learning (NLP, time\-series analysis, Generative AI)
* Prior experience working in a highly technical data driven research environment
* Ability to communicate complex topics in a concise and coherent manner
**Desired Skills:**
* Graduate level degree in a quantitative field such as, computer science, math, statistics, and physics
* Demonstrated prior experience through work, research or passion projects in RAG, Agentic Frameworks, LLMs, Reinforcement Learning
* Are energized by the high stakes and intensity of dynamic environments and ready to dive in whenever
* Are excited to dive into new technical areas on a regular basis
**Shift:**
 1st shift (United States of America)
**Hours Per Week:**
 40</t>
        </is>
      </c>
    </row>
    <row r="60">
      <c r="A60" t="inlineStr">
        <is>
          <t>li-4376775134</t>
        </is>
      </c>
      <c r="B60" t="inlineStr">
        <is>
          <t>Junior Data Scientist</t>
        </is>
      </c>
      <c r="C60" t="inlineStr">
        <is>
          <t>Flexon Technologies Talent360.ai</t>
        </is>
      </c>
      <c r="D60" t="inlineStr">
        <is>
          <t>linkedin</t>
        </is>
      </c>
      <c r="E60">
        <f>HYPERLINK("https://www.linkedin.com/jobs/view/4376775134", "https://www.linkedin.com/jobs/view/4376775134")</f>
        <v/>
      </c>
      <c r="F60" t="inlineStr"/>
      <c r="G60" t="inlineStr">
        <is>
          <t>Sunnyvale, CA</t>
        </is>
      </c>
      <c r="H60" t="inlineStr"/>
      <c r="I60" t="inlineStr">
        <is>
          <t>**Job Description:** 
 Experience in Machine Learning and Deep Learning, including regression, classification, neural network, and Natural Language Processing (NLP).
 Extensive experience on Natural Language Processing (NLP) libraries such as Spacy, NLTK, flair, and sklearn\-crfsuite.
 Strong background in DNN, CNN, RNN(LSTM), GAN, and libraries to deploy these models, such as Sklearn, Keras, Pandas, and TensorFlow.
 Experience in Text Analytics, developing different Statistical Machine Learning, Data Mining solutions to various business problems, and generating data visualizations using R, Python.
 Experience with common data science toolkits and libraries, such as Pandas, NumPy, SciPy, Scikit\-learn.
 Experience with data exploration to find actionable insights and make Product Recommendations through Funnel Analyses, A/B testing, Churn analysis, User Segmentation, Retention Rate, and business KPIs.
 Python, Time Series, LLM, Data Minning</t>
        </is>
      </c>
    </row>
    <row r="61">
      <c r="A61" t="inlineStr">
        <is>
          <t>li-4361526345</t>
        </is>
      </c>
      <c r="B61" t="inlineStr">
        <is>
          <t>Data Scientist II, Product Analytics</t>
        </is>
      </c>
      <c r="C61" t="inlineStr">
        <is>
          <t>Moloco</t>
        </is>
      </c>
      <c r="D61" t="inlineStr">
        <is>
          <t>linkedin</t>
        </is>
      </c>
      <c r="E61">
        <f>HYPERLINK("https://www.linkedin.com/jobs/view/4361526345", "https://www.linkedin.com/jobs/view/4361526345")</f>
        <v/>
      </c>
      <c r="F61">
        <f>HYPERLINK("https://job-boards.greenhouse.io/moloco/jobs/7588718003?gh_src=3276b55b3us&amp;urlHash=QSaz", "https://job-boards.greenhouse.io/moloco/jobs/7588718003?gh_src=3276b55b3us&amp;urlHash=QSaz")</f>
        <v/>
      </c>
      <c r="G61" t="inlineStr">
        <is>
          <t>Menlo Park, CA</t>
        </is>
      </c>
      <c r="H61" t="inlineStr"/>
      <c r="I61" t="inlineStr">
        <is>
          <t>**About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**The impact you'll be contributing to Moloco:**
 Product Analytics Data Science (PDS) is the data science team that works closely with the R\&amp;D team on our core Ads product. As a
 **Data Scientist II** 
 , you will drive performance improvement in our product through a deep understanding of the ads ecosystem (supply, demand, bidding, ML) and customer needs, and provide the data driven insight and scientific solutions.
**Here’s what you’ll be working on:**
 Our team is responsible for:
* Conducting deep\-dive analysis to influence R\&amp;D decisions and strategies: analyzing large datasets with queries and scripts, extracting valuable signals out of noise, and producing actionable insights into how we could improve Moloco’s complex ML and bidding system to drive outcomes for customers.
* Building the right metrics to measure campaign health: improving campaign performance monitoring by establishing the right metric framework, and understanding cause\-and\-effect relationships across drivers
* Evaluating ads system health: understanding changes and drivers of our complex systems, and diagnosing issues through a set of input/output metrics of each component.
**Basic Qualifications**
* Distinctive problem\-solving skills, ability to articulate product questions, pulling data from large datasets and using statistics to arrive at a recommendation; ability to manage multiple projects at the same time.
* Proven ability to own complex projects end\-to\-end, even when you have to get creative: you do more than completing delegated tasks and always pay attention to detail to translate analysis results into business recommendations.
* Provide strategic thought partnership to cross\-functional teams, leveraging data\-driven insights to influence and guide product decisions, roadmap prioritization, and overall business strategy.
* Excellent verbal and written communication skills, with ability to present information and analysis results effectively.
* Statistics: strong knowledge and experience in experimental design, hypothesis testing, and various statistical analysis techniques such as regression or linear models.
* Programming: experience with Python, R or other scripting language, and database language (e.g. SQL) or data manipulation (e.g. Pandas, Dplyr).
* Ability to build positive relationships within the DS team and with Product Management, Engineering stakeholders ;work effectively with cross\-functional partners in a global company.
* 3\+ years of work experience (industry or postgraduate) in data science related fields or an advanced degree such as Master’s or PhD in a quantitative discipline with 4\+ years of experience.
* Bachelor’s, Master’s and/or PhD in a quantitative discipline (e.g. Statistics, Operations Research, Bioinformatics, Economics, Computational Biology, Computer Science, Mathematics, Physics, Electrical Engineering, Industrial Engineering).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$131,000—$165,000 USD
**Moloco Thrive: Benefits and Well\-Being:**
 We take care of you and create the conditions for you to do the best work of your career. Through a lens of inclusion,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
**Candidate Privacy Notice:**
 Your privacy matters to us. By applying, you acknowledge that you’ve reviewed our Candidate Privacy Notice.</t>
        </is>
      </c>
    </row>
    <row r="62">
      <c r="A62" t="inlineStr">
        <is>
          <t>li-4376757508</t>
        </is>
      </c>
      <c r="B62" t="inlineStr">
        <is>
          <t>Data Scientist</t>
        </is>
      </c>
      <c r="C62" t="inlineStr">
        <is>
          <t>Haystack</t>
        </is>
      </c>
      <c r="D62" t="inlineStr">
        <is>
          <t>linkedin</t>
        </is>
      </c>
      <c r="E62">
        <f>HYPERLINK("https://www.linkedin.com/jobs/view/4376757508", "https://www.linkedin.com/jobs/view/4376757508")</f>
        <v/>
      </c>
      <c r="F62" t="inlineStr"/>
      <c r="G62" t="inlineStr"/>
      <c r="H62" t="inlineStr"/>
      <c r="I62" t="inlineStr">
        <is>
          <t>**Data Scientist \| San Diego, CA \| Hybrid \| $77,600 \- $176,000** 
 We're working with a premier global consultancy driving innovation at the intersection of national intelligence and cutting\-edge tech on this exciting opportunity.
 In this role, you will tackle some of the world’s most pressing challenges—from fraud detection to cancer research—using the power of Machine Learning and AI. You’ll transform massive, complex datasets into actionable intelligence using Python, R, and cloud\-native frameworks to enable high\-stakes decision\-making across the public and private sectors.
**The Role** 
 • Lead the end\-to\-end data science lifecycle, from initial data discovery and cleaning to deploying sophisticated predictive models in production environments.
 • Develop and implement advanced algorithms using supervised and unsupervised learning, including Neural Networks, Decision Trees, and Logistic Regression.
 • Build and optimize data pipelines using tools like Databricks, Apache NiFi, and SQL (PL/pgSQL) to handle disparate structured and unstructured data sources.
 • Design compelling data visualizations and dashboards in Tableau, PowerBI, or Qlik to translate complex analytical findings for non\-technical stakeholders.
 • Collaborate within an Agile environment to operationalize models using modern MLOps and DevSecOps workflows, including Docker, Jenkins, and Git.
**What You'll Need** 
 • 3\+ years of professional experience in Data Science, Machine Learning, or Advanced Statistics.
 • High proficiency in programming with Python, R, C\+\+, or Java for data analysis and software development.
 • Hands\-on experience with major Cloud platforms (AWS, Azure, or GCP) and identifying/preparing customer datasets for model ingestion.
 • Bachelor’s degree in a STEM field (Master’s preferred) and the ability to obtain a U.S. Secret clearance.
 • Bonus points for experience with DoD information systems, Palantir (AIP/Foundry), or Elasticsearch.
**What's On Offer** 
 • Highly competitive salary ($77,600 \- $176,000\) with performance\-based recognition awards.
 • Comprehensive wellness coverage including health, dental, vision, life, and disability insurance.
 • Robust professional growth support through tuition assistance, specialized training, and career development programs.
 • Flexible hybrid work model prioritising work\-life balance and collaborative innovation.
**Apply via Haystack today!**</t>
        </is>
      </c>
    </row>
    <row r="63">
      <c r="A63" t="inlineStr">
        <is>
          <t>li-4361365924</t>
        </is>
      </c>
      <c r="B63" t="inlineStr">
        <is>
          <t>Data Scientist, Devices and Services FinTech</t>
        </is>
      </c>
      <c r="C63" t="inlineStr">
        <is>
          <t>Amazon</t>
        </is>
      </c>
      <c r="D63" t="inlineStr">
        <is>
          <t>linkedin</t>
        </is>
      </c>
      <c r="E63">
        <f>HYPERLINK("https://www.linkedin.com/jobs/view/4361365924", "https://www.linkedin.com/jobs/view/4361365924")</f>
        <v/>
      </c>
      <c r="F63">
        <f>HYPERLINK("https://www.amazon.jobs/jobs/3130794/data-scientist-devices-and-services-fintech?cmpid=SPLICX0248M&amp;utm_source=linkedin.com&amp;utm_campaign=cxro&amp;utm_medium=social_media&amp;utm_content=job_posting&amp;ss=paid&amp;urlHash=RU_A", "https://www.amazon.jobs/jobs/3130794/data-scientist-devices-and-services-fintech?cmpid=SPLICX0248M&amp;utm_source=linkedin.com&amp;utm_campaign=cxro&amp;utm_medium=social_media&amp;utm_content=job_posting&amp;ss=paid&amp;urlHash=RU_A")</f>
        <v/>
      </c>
      <c r="G63" t="inlineStr">
        <is>
          <t>Seattle, WA</t>
        </is>
      </c>
      <c r="H63" t="inlineStr"/>
      <c r="I63" t="inlineStr">
        <is>
          <t>**Description**
 Are you looking for an opportunity to own a large\-scale technology problem? Do you enjoy finding patterns and pushing the boundaries of current possibilities? Are you interested in building reliable and scalable systems that support Amazon's growth? If so, Amazon Devices and Services Finance Technology (FinTech) is the perfect place for you!
**About This Role**
 The Amazon Devices and Services FinTech team is expanding our data science team that is building forecasting solutions and advanced analytics platforms for the Amazon Devices and Services Finance organization, and we are looking for a Data Scientist to join us. As a data scientist, you will dive deep into data from across Amazon's finance organization, extract new insights, drive investigations and algorithm development, and interface with technical and non\-technical customers. You will leverage your data science expertise and communication skills to pivot between delivering science solutions, translating knowledge of finance and operational processes into forecasting models, building product analytics for our AI systems, and communicating insights and recommendations to audiences of varying levels of technical sophistication in support of specific business questions, root cause analysis, planning, and innovation for the future.
 Key job responsibilities
* Create various forecasts, including but not limited to Operational Expenses, and drive adoption of these forecasts by various teams within Amazon for financial and operations planning
* Build product metrics, monitoring pipelines, and analytics tools for our AI assistant to track performance, user engagement, and system reliability
* Continuously innovate through research and the application of the latest machine learning techniques to drive forecasting accuracy improvement and AI system optimization
* Perform exploratory data analysis to identify business opportunities and develop plans to address them across both financial forecasting and AI product development
* Communicate verbally and in writing to business customers with various levels of technical knowledge, educating them about our systems, as well as sharing insights and recommendations
* Build customer\-facing reporting tools and dashboards to provide insights and metrics which track forecast performance, AI assistant effectiveness, and explain variance
* Utilize code (Python, R, Scala, SQL, etc.) for analyzing data and building statistical and machine/deep learning models for both financial forecasting and AI product analytics
 A day in the life
 As a data scientist at Amazon Devices and Services FinTech, you'll dive into complex datasets using advanced analytics and machine learning to build accurate forecasting models for problems like Operational Expense forecasting. You'll also develop product metrics and monitoring pipelines for our AI assistant, analyzing user engagement and system performance. Collaboration with business and engineering teams is essential as you translate insights into actionable recommendations. Throughout the day, you'll innovate by adapting new forecasting methods and AI analytics approaches, ensuring solutions are scalable and reliable. Your communication skills help you solve unstructured problems in our fast\-paced, dynamic environment.
**About The Team**
 Amazon Devices and Services FinTech is the global team that designs and builds the financial planning and analysis tools for a wide variety of Devices' new and established organizations. From Kindle to Ring and even new and exciting companies like Kuiper (our new interstellar satellite play), this team enjoys a wide variety of complex and interesting problem spaces. We also own and operate the organization's AI assistant, making us true FinTech innovators embedded within Amazon.
**Basic Qualifications**
* Bachelor's degree in a quantitative field such as statistics, mathematics, data science, business analytics, economics, finance, engineering, or computer science
* 3\+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**Preferred Qualifications**
* Master's degree in a quantitative field such as statistics, mathematics, data science, business analytics, economics, finance, engineering, or computer science
* Experience in Python, Perl, or another scripting language
* Experience in a ML or data scientist role with a large technology company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\- 136,000\.00 \- 184,000\.00 USD annually
**Company** 
 \- Amazon.com Services LLC
 Job ID: A3130794</t>
        </is>
      </c>
    </row>
    <row r="64">
      <c r="A64" t="inlineStr">
        <is>
          <t>li-4375217573</t>
        </is>
      </c>
      <c r="B64" t="inlineStr">
        <is>
          <t>Data Scientist – Entry Level – Artificial Intelligence Focus (Hybrid)</t>
        </is>
      </c>
      <c r="C64" t="inlineStr">
        <is>
          <t>Barr Engineering Co.</t>
        </is>
      </c>
      <c r="D64" t="inlineStr">
        <is>
          <t>linkedin</t>
        </is>
      </c>
      <c r="E64">
        <f>HYPERLINK("https://www.linkedin.com/jobs/view/4375217573", "https://www.linkedin.com/jobs/view/4375217573")</f>
        <v/>
      </c>
      <c r="F64">
        <f>HYPERLINK("https://barr.wd1.myworkdayjobs.com/BarrCareers/job/Minneapolis-MN/Data-Scientist\u002d\u002d-Entry-Level\u002d\u002d-Artificial-Intelligence-Focus\u002d\u002dHybrid-_R-102031&amp;urlHash=N78N", "https://barr.wd1.myworkdayjobs.com/BarrCareers/job/Minneapolis-MN/Data-Scientist\u002d\u002d-Entry-Level\u002d\u002d-Artificial-Intelligence-Focus\u002d\u002dHybrid-_R-102031&amp;urlHash=N78N")</f>
        <v/>
      </c>
      <c r="G64" t="inlineStr">
        <is>
          <t>Minneapolis, MN</t>
        </is>
      </c>
      <c r="H64" t="inlineStr"/>
      <c r="I64" t="inlineStr">
        <is>
          <t>**The Role – What You’ll Do**
 The individual in this role will join a talented and collaborative team of digital solutions professionals. This person will support teams and work with various clients on data engineering, data science, artificial intelligence, and agentic systems. Work may also involve working with digital twins, management information systems, and bolstering internal digital technology capabilities.
 The ideal candidate for this position will meet internal and external client needs with exceptional client service and professionalism. They are adaptable, have strong problem\-solving skills and have a desire to learn. They also have a strong team mentality with a willingness to assist where needed to contribute to the group’s success.
**Your Impact – Key Responsibilities**
* Create, deploy, and maintain artificial intelligence workflows.
* Implement agent scaffolding to optimize instructions, skills, tools, and context retrieval.
* Orchestrate teams of agents and subagents.
* Design, test, and deploy machine learning models.
* Perform data analysis, including data cleansing, data quality reviews, data visualization, statistical analysis, and model development and deployment
* Integrate data sources and support building of data pipelines
* Perform reviews to improve the accuracy of the data warehouse and reporting.
* Participate in Barr’s Data Resource Group and support technology for a wide variety of engineering, environmental, and scientific project work.
* Participate in process improvements and special projects as assigned by data scientists and engineers.
**About The Opportunity**
* Hybrid: a hybrid work arrangement may be considered for this position. A hybrid work arrangement refers to splitting time worked between a Barr office and a home office. This position is based out of Barr's Minneapolis, Minnesota, office.
* Travel expectation: this role may require up to 5% of time spent travelling; may vary depending on client needs and project commitments.
**About You – Required Core Competencies**
* Education: bachelor’s degree or relevant equivalent experience in computer science, data science, artificial intelligence, or a related program, such as engineering with an emphasis on data science.
* Software: experience with Azure or similar cloud computing platforms. Experience with Python.
* Experience building and implementing artificial intelligence workflows.
* Experience with processing unstructured data via large language models.
* Excellent oral and written communication skills.
* Excellent attention to detail, accuracy, time management, and follow\-through.
* Driver’s license: possession of a current, valid driver’s license and acceptable driving record.
* Must be legally authorized to work in the United States without the need for sponsorship by Barr, now or in the future.
**Compensation:** 
 Anticipated range of $75,000–$90,000 annually. Compensation will vary based on relevant experience, education, skill level, and other compensable factors. Employees in this position may also be eligible for a discretionary cash bonus based on team and individual performance. This position is classified as exempt (salaried) under the Fair Labor Standards Act.
 \#Handshake
**Benefits \- What We Offer**
 We are committed to providing an employee experience that attracts and retains top talent. That's why we offer a competitive package of employee benefits \- including some unique offerings not found at other companies. At Barr, we also believe that learning doesn't stop when you get your degree, which is why we provide coaching, mentoring, and support for ongoing educational opportunities to foster professional development at every stage of your career.
* Competitive, affordable insurance plans: Medical, dental, vision, life, disability, accidental death insurance, and flexible spending accounts for medical and dependent care
* Retirement benefits: 401(k) retirement savings plan with company contribution and an Employee Stock Ownership Plan (ESOP) with company contribution in Barr stock
* Profit distribution: Barr has a "no retained earnings" model and distributes all profit to our employees through our annual bonus distribution plan, ESOP, and dividends to shareholders
* Professional development benefits: Annual time and expense allowances, mentorship program, and many internal training opportunities
* Work/life balance: Paid time off, holidays, overtime for non\-exempt/hourly staff, and compensatory time for exempt/salaried staff (time off or pay for extra time worked), paid family leave
* Wellness focus: Ergonomic analysis and equipment, Personal Protective Equipment allowance, wellbeing\-focused educational opportunities
 Please note that benefits eligibility is determined and may change based on part\-time, reduced\-time, or full\-time status.
**About Us \- Why Choose Barr**
 At Barr, you'll join a community of engineers, scientists, and professionals who will help you achieve your ambitions and build a meaningful, rewarding career. You'll serve as a trusted advisor to clients who value Barr's tailored solutions and commitment to exceptional service.
 As part of our employee\-owned firm, you'll contribute to a culture of commitment and camaraderie where staff can thrive as professionals. We value diverse perspectives and experiences and believe an inclusive workplace is critical to our success.
 To learn more about Barr's culture and values, visit: https://www.barr.com/Careers/Our\-culture
*Open positions at Barr Engineering Co. do not have application deadlines. Barr Engineering Co. is an equal opportunity employer, and all applicants will receive consideration for employment without regard to race, color, religion, sex, sexual orientation, gender identity, national origin, disability, or status as a protected veteran.*</t>
        </is>
      </c>
    </row>
    <row r="65">
      <c r="A65" t="inlineStr">
        <is>
          <t>li-4376749306</t>
        </is>
      </c>
      <c r="B65" t="inlineStr">
        <is>
          <t>Data Scientist</t>
        </is>
      </c>
      <c r="C65" t="inlineStr">
        <is>
          <t>Precision Technologies</t>
        </is>
      </c>
      <c r="D65" t="inlineStr">
        <is>
          <t>linkedin</t>
        </is>
      </c>
      <c r="E65">
        <f>HYPERLINK("https://www.linkedin.com/jobs/view/4376749306", "https://www.linkedin.com/jobs/view/4376749306")</f>
        <v/>
      </c>
      <c r="F65" t="inlineStr"/>
      <c r="G65" t="inlineStr"/>
      <c r="H65" t="inlineStr"/>
      <c r="I65" t="inlineStr">
        <is>
          <t>**Job Title: Data Scientist – Generative AI / Machine Learning** 
**Location: United States — Onsite / Hybrid / Remote** 
**Employment Type: W2 · Full\-time · All immigration statuses accepted** 
**Key Responsibilities:**
* Design, build, and deploy Generative AI and Machine Learning solutions for enterprise use cases.
* Develop and fine\-tune Large Language Models (LLMs) using frameworks such as TensorFlow and PyTorch.
* Build AI\-powered applications leveraging OpenAI GPT, Azure OpenAI Service, or other foundation models.
* Implement Retrieval\-Augmented Generation (RAG) pipelines using LangChain or similar frameworks.
* Fine\-tune and optimize transformer\-based models using Hugging Face Transformers.
* Develop scalable ML pipelines and implement MLOps best practices.
* Build and manage vector databases and semantic search solutions using Pinecone, FAISS, or equivalent technologies.
* Perform model training, validation, hyperparameter tuning, and performance optimization.
* Apply prompt engineering techniques and implement responsible AI and model guardrails.
* Deploy models using Docker and Kubernetes in cloud or hybrid environments.
* Integrate AI/ML models into REST APIs and microservices architectures.
* Monitor model performance, detect data drift, and implement continuous improvement strategies.
* Ensure adherence to data governance, privacy, and security standards.
* Collaborate cross\-functionally with Data Scientists, Software Engineers, Product Managers, and stakeholders in Agile/Scrum environments.
* Maintain documentation for model architecture, experiments, deployment workflows, and production systems.
**Contact:**
**Mohana, Talent Management Team** 
**📧 mohana.g@precisiontechcorp.com**</t>
        </is>
      </c>
    </row>
    <row r="66">
      <c r="A66" t="inlineStr">
        <is>
          <t>li-4376782096</t>
        </is>
      </c>
      <c r="B66" t="inlineStr">
        <is>
          <t>Data Scientist</t>
        </is>
      </c>
      <c r="C66" t="inlineStr">
        <is>
          <t>Open Systems Technologies</t>
        </is>
      </c>
      <c r="D66" t="inlineStr">
        <is>
          <t>linkedin</t>
        </is>
      </c>
      <c r="E66">
        <f>HYPERLINK("https://www.linkedin.com/jobs/view/4376782096", "https://www.linkedin.com/jobs/view/4376782096")</f>
        <v/>
      </c>
      <c r="F66" t="inlineStr"/>
      <c r="G66" t="inlineStr"/>
      <c r="H66" t="inlineStr"/>
      <c r="I66" t="inlineStr">
        <is>
          <t>Key responsibilities for this role include (but are not limited to) the following:
* Build, maintain, and optimize reliable data pipelines using SQL, dbt, and Python.
* Build, maintain, and optimize an ontology graph database using CosmosDB and Gremlin.
* Utilize agentic AI to automate pipeline development.
* Collaborate with Analytics Engineers, Data Scientists, Analysts and Software Engineers to move, transform, and structure data to meet business needs.
* Implement data testing, observability, and documentation to ensure data reliability and transparency.
* Participate in sprint planning and project estimation by breaking down work and communicating blockers.
* Support scalable data model development in the lakehouse, balancing performance, flexibility, and usability.
* Maintain and improve our data infrastructure, including orchestration and CI/CD pipelines.
* Identify opportunities to automate manual data workflows and reduce data\-related tech debt.
* Monitor data quality and partner with engineering and product teams to fix upstream issues.
* Contribute to dbt model development and refactoring, following best practices and company conventions.
* Manage cloud data environments (e.g., Azure) and optimizing resource usage.
* Provide thoughtful code reviews and mentor junior teammates on data engineering concepts and tooling.
**Qualifications** 
 In order to qualify for this role, candidates must meet the following criteria:
* 5\+ years of industry experience in a data engineering, analytics engineering role, or ontology engineering role.
* 1\+ years of industry experience building medical ontologies in a graph database (e.g. CosmosDB or Neo4j)
* Strong Python skills for ETL and automation tasks.
* Expert in SQL
* Proficiency in Gremlin
* Proficiency with dbt
* Proficiency with Git
* Experience working in cloud platforms (Azure, AWS, GCP)
* Exposure to event\-based data systems (e.g., Kafka, Pub/Sub) or streaming architectures.
* Understanding of data architecture, dimensional modeling, and performance tuning.
* Experience writing CI tests, monitoring pipelines, and debugging data issues independently.
* Experience working in agile, cross\-functional teams
* Bonus: Prior exposure to HIPAA or healthcare data
* Ability to multitask, prioritize, and adhere to deadlines while maintaining attention to detail and quality
* Comfortable in a fast\-paced, frequently changing environment
* Creative problem\-solving skills with a results\-driven mindset
* Can quickly learn new technology systems and communication tools
* Ability to work autonomously and collaboratively</t>
        </is>
      </c>
    </row>
    <row r="67">
      <c r="A67" t="inlineStr">
        <is>
          <t>li-4376757744</t>
        </is>
      </c>
      <c r="B67" t="inlineStr">
        <is>
          <t>Data Scientist</t>
        </is>
      </c>
      <c r="C67" t="inlineStr">
        <is>
          <t>Precision Technologies</t>
        </is>
      </c>
      <c r="D67" t="inlineStr">
        <is>
          <t>linkedin</t>
        </is>
      </c>
      <c r="E67">
        <f>HYPERLINK("https://www.linkedin.com/jobs/view/4376757744", "https://www.linkedin.com/jobs/view/4376757744")</f>
        <v/>
      </c>
      <c r="F67" t="inlineStr"/>
      <c r="G67" t="inlineStr">
        <is>
          <t>Texas, United States</t>
        </is>
      </c>
      <c r="H67" t="inlineStr"/>
      <c r="I67" t="inlineStr">
        <is>
          <t>**Job title: Data Scientist** 
**Experience:** 
**10\+ Years (Overall IT Experience)** 
**Employment Type:** 
**Full\-Time, Permanent (W2 Only)** 
**Location:** 
**Remote** 
**Position Overview** 
 We are seeking a highly experienced
 **Senior Data Scientist** 
 to lead advanced analytics initiatives and develop scalable machine learning solutions that drive strategic business outcomes. The ideal candidate will combine strong technical expertise with the ability to translate complex data into actionable insights for stakeholders.
 This role requires deep experience in machine learning, statistical modeling, and cloud\-based data environments.
**Key Responsibilities** 
* Design, develop, and deploy advanced machine learning and predictive models
* Lead end\-to\-end data science projects from problem definition to production deployment
* Perform complex statistical analysis and exploratory data analysis (EDA)
* Work with large\-scale structured and unstructured datasets
* Collaborate with Data Engineers to optimize data pipelines and model integration
* Communicate insights and recommendations to executive and business stakeholders
* Implement best practices for model validation, monitoring, and governance
* Mentor junior data scientists and provide technical leadership
**Required Qualifications** 
* 10–12\+ years of experience in Data Science, Machine Learning, or related field
* Strong proficiency in
 **Python (Pandas, NumPy, Scikit\-learn)**
* Hands\-on experience with
 **Machine Learning algorithms** 
 (Regression, Classification, Clustering, Ensemble Methods)
* Strong background in
 **Statistics, Probability, and Mathematical Modeling**
* Experience with
 **Deep Learning frameworks (TensorFlow, PyTorch)**
* Strong SQL skills and experience with relational databases
* Experience working with cloud platforms (
 **AWS, Azure, or GCP** 
 )
* Experience deploying models into production environments
**Preferred Qualifications** 
* Experience with NLP, Computer Vision, or Time Series Forecasting
* Experience with Big Data tools (Spark, Databricks)
* Knowledge of MLOps and CI/CD for ML workflows
* Experience working in Agile environments
**Eligibility \&amp; Compliance** 
 W2 Full\-Time only
 No C2C / No consultancy profiles
**How to Apply** 
 Share your updated resume at:
 📧
 **Karthik.n@precisiontechcorp.com**</t>
        </is>
      </c>
    </row>
    <row r="68">
      <c r="A68" t="inlineStr">
        <is>
          <t>li-4368800328</t>
        </is>
      </c>
      <c r="B68" t="inlineStr">
        <is>
          <t>Data Scientist, Creative Excellence</t>
        </is>
      </c>
      <c r="C68" t="inlineStr">
        <is>
          <t>Ipsos in US</t>
        </is>
      </c>
      <c r="D68" t="inlineStr">
        <is>
          <t>linkedin</t>
        </is>
      </c>
      <c r="E68">
        <f>HYPERLINK("https://www.linkedin.com/jobs/view/4368800328", "https://www.linkedin.com/jobs/view/4368800328")</f>
        <v/>
      </c>
      <c r="F68" t="inlineStr"/>
      <c r="G68" t="inlineStr">
        <is>
          <t>San Francisco, CA</t>
        </is>
      </c>
      <c r="H68" t="inlineStr"/>
      <c r="I68" t="inlineStr">
        <is>
          <t>**Job Description**
**What you can expect to be doing:**
* Support a diverse portfolio of projects across Ipsos NA including predictive modeling, text analytics, data mining, exploration, regression, and time series analyses.
* Design, train, and utilize machine learning algorithms and data processing pipelines.
* Work with stakeholders to identify key metrics and opportunities for improving business processes, products, and services.
* Research and develop new solutions and deployable tools to facilitate market research.
* Communicate with and provide consulting for internal teams and external clients on data models, analysis findings, process efficiency, and marketing science best practices.
* Create data visualizations, reports, and sometimes dashboards.
* Stay abreast of the latest data science techniques and tools available.
**This might be the job for you if you have:**
* Bachelor’s degree (or equivalent) in statistics, computer science, or related field
* Proficiency in Python and SQL
* Strong technical communication skills
* Proficiency in data mining, statistical analysis, time series analysis, and machine learning
* Proficiency with data science toolkits (e.g., NumPy, Pandas, SciKit Learn, SciPy, etc.)
* Experience with data visualization tools (e.g., MatPlotLib, Plotly, Tableau, D3\.js, etc.)
* Good time management, collaboration, and self\-sufficiency skills
**Nice To Haves**
* Proficiency in R, JavaScript
* Experience with natural language processing, large language models, geospatial analysis, and neural networks
* Experience with cloud computing platforms (AWS, GCP)
* Experience with big data technologies (Spark, Hadoop, etc.)
* Project management experience
*If you don’t meet 100% of the requirements, we encourage all who feel they might be a fit for the opportunity to apply. We may consider a variety of backgrounds for a particular role and are also committed to considering candidates for available positions throughout our organization, not just the one you’re applying to!*
*In accordance with NY/CO/CA/WA law, the estimated base salary range for this role is $80,000 to $100,000\. Your final base salary will be determined based on several non\-discriminatory factors which may include but are not limited to location, work experience, skills, knowledge, education and/or certifications.*
**What’s In It For You**
*At Ipsos you’ll experience opportunities for Career Development, an exceptional benefits package (including generous PTO, healthcare plans, wellness benefits), a flexible workplace policy, and a strong collaborative culture.*
*To find out more about all the great reasons to work at Ipsos, how we’re making an impact around the world, and more about our benefits and employee programs, please visit:* 
 Why Work at Ipsos \| US
**Commitment to Diversity**
 Ipsos recognizes the necessity of building an inclusive culture that values each employee’s individuality and diverse perspectives. For more than 40 years, our mission has been to generate and analyze data about society, markets, brands, and behaviors to provide our clients with the insights that elevate their understanding of the world. This could not be fulfilled without Ipsos’ diverse employees who compile and analyze this data—they are the essence of who we are and what we do.
 We are committed to providing equal opportunity to all employees, creating an environment that promotes inclusion, and enabling employees from all walks of life to flourish. Ipsos encourages our employees to act in a respectful and responsible manner, in line with code of best practices concerning diversity and inclusion, human rights, equality, and civility for every individual.
 Ipsos is An Equal Opportunity Employer. All qualified applicants will receive consideration for employment without regard to age, race, color, religion, sex, sexual orientation, gender identity, national origin, protected veteran status, or any other protected class and will not be discriminated against on the basis of disability.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Creative Excellence Service Line helps our clients attain best\-in\-class advertising that drives business results.We do this by aiding Creative Development (help with creating advertising), Creative Assessment (help with assessing advertising and providing guidance to improve it) and Creative In\-Market (ad tracking once the advertising is launched).</t>
        </is>
      </c>
    </row>
    <row r="69">
      <c r="A69" t="inlineStr">
        <is>
          <t>li-4321781612</t>
        </is>
      </c>
      <c r="B69" t="inlineStr">
        <is>
          <t>Data Scientist</t>
        </is>
      </c>
      <c r="C69" t="inlineStr">
        <is>
          <t>Bevi</t>
        </is>
      </c>
      <c r="D69" t="inlineStr">
        <is>
          <t>linkedin</t>
        </is>
      </c>
      <c r="E69">
        <f>HYPERLINK("https://www.linkedin.com/jobs/view/4321781612", "https://www.linkedin.com/jobs/view/4321781612")</f>
        <v/>
      </c>
      <c r="F69" t="inlineStr"/>
      <c r="G69" t="inlineStr">
        <is>
          <t>Boston, MA</t>
        </is>
      </c>
      <c r="H69" t="inlineStr"/>
      <c r="I69" t="inlineStr">
        <is>
          <t>Bevi is on a mission to transform how beverages are delivered and consumed. Our connected beverage platform eliminates the need for single\-use bottles and cans—making it easy, fun, and sustainable to stay hydrated. As the category leader in IoT\-enabled beverage technology, we're building a future where Bevi machines are everywhere people live, work, and connect. We've raised over $160M in venture capital, serve thousands of customers across the US, Canada, UK and Ireland, and we've been rapidly growing year over year—saving over 1 billion bottles from waste. In addition to driving hypergrowth with our current product line, Bevi is heavily investing in new product development.
 We are seeking a Data Scientist to join our high\-performing Data \&amp; Data Science team. This new role is pivotal in transforming our rich datasets into actionable insights that optimize the customer experience and accelerate Bevi’s exponential growth curve. The Data Scientist will partner directly with stakeholders across the business including Operations, Engineering, Sales, and Product to drive data\-backed recommendations and decisions. The right candidate is naturally curious and thrives in solving unique and challenging analytical problems, applying a rigorous foundation in machine learning.
**Your Day To Day**
 Operations \- Machine Learning
* Develop and productionalize machine learning models using large\-scale real\-time IOT sensor data to predict machine and component failures. Raise warning flags early to enable proactive (vs reactive) machine maintenance to deliver an exceptional customer experience.
* Partner with Data Engineering, Software, Hardware, and Quality teams to ensure data integrity, and understand appropriate operational and mechanical context to inform your ML design.
 Customer \- Applied Data Science
* Spearhead the development and productionalization of a cutting\-edge suite of predictive models including Churn Prediction, Lifetime Value, and Look\-a\-Like to unlock actionable customer insights and drive strategic revenue growth.
* Translate advanced analytics into high\-impact business action by partnering directly with Revenue Operations and Sales Enablement to ensure model outputs are seamlessly integrated and adopted by the Sales organization for exceptional customer relationship management.
* Proactively identify opportunities within our customer data to improve the customer experience and drive business value.
 Product \- Advanced Experimentation
* Develop a testing framework to balance analytical rigor with speed to insight, accounting for data challenges including indirect sales, long decision cycles, and intra\-week variability.
* Be the go\-to expert for Product, Design, and Engineering to identify success metrics, define decision criteria, and effectively measure new flavors, features, and experiences.
 Overall
* Translate data and analytics into clear insights and recommendations.
* Build clear, informative dashboards and drive adoption to democratize data.
**Who You Are**
* Bachelors degree in Statistics, Mathematics, Computer Science, or similar quantitative field; Masters degree preferred
* 2\-5 years of professional experience in machine learning, advanced analytics, or data science.
* Proven hands\-on experience with Machine Learning (ML) such as unsupervised anomaly detection (isolation forest, SVM, autoencoders), supervised failure classification (XGBoost, LSTM), and RUL regression models (Weibull).
* Proven hands\-on experience building applied data science models such as XGBoost, Logistic Regression, or Survival Analysis for churn prediction; Negative Binomial \+ Gamma Gamma for predictive lifetime value; and Collaborative Filtering, Content Based Filter, or Clustering for flavor profile modeling.
* Proven hands\-on experience in designing and analyzing experiments including different types of A/B testing methodologies, multivariate, hold out, difference in differences, propensity score matching, etc.
* Strong proficiency in SQL and R/Python for data querying, manipulation, and analysis.
* Experience with data visualization tools (eg Looker, PowerBI, Hex, Grafana, DataDog).
* Experience with cloud data platforms (eg Snowflake).
* Ability to effectively manage multiple priorities, context\-switch, and thrive in a fast\-paced environment.
* Excellent communication and presentation skills with the ability to explain complex findings to non\-technical audiences.
* Demonstrated ability to anticipate second order questions and proactively communicate to ensure alignment for continuous progress.
 At Bevi, We Believe Compensation Is a Powerful Tool To Attract, Retain, And Grow Talent. Our Compensation Philosophy Centers On 5 Principles
* Market\-driven \- We anchor pay decisions in real\-time market data
* Performance\-based \- We reward individual impact, not just tenure
* Equitable \- We ensure fairness across teams, roles, and demographics
* Growth\-focused \- We invest in talent that scales with Bevi
* Total Rewards approach \- We strategically balance base pay, bonuses, benefits, and equity
 The posted compensation range reflects the salary\* for this position. Some roles may be eligible for a commission plan or a bonus incentive. All Bevi employees receive equity in the form of stock options. All full\-time employees are invited to participate in our Total Rewards plan, which includes health \&amp; medical benefits, flexible spending accounts, flexible PTO, and more. Offers to join Bevi are based on a few criteria, including the scope of the role, the candidate's work experience, targeted skills, internal equity of the team, and external market data.
* For Sales roles: The posted range reflects base salary plus commission which is the total potential on target earnings (OTE) for the position.
 Pay Range
 $114,963—$142,013 USD
**Benefits**
* Comprehensive medical, dental and vision insurance plans with BlueCross BlueShield, 95% paid by employer
* 401(k) with company match
* Flexible PTO plus 12 company holidays, and additional paid days for sick leave, etc
* Generous fully paid parental leave for both birth parents and non\-birth parents
* Fully employer paid disability and life insurances
* Wellness and fitness reimbursements
* Monthly stipends for cell phone use and commuting costs
* Onsite snacks, weekly catered lunch, and (of course) unlimited Bevi ... plus composting and terra\-cycling, too
* Happy hours, team\-building events, bagel breakfasts, Values awards \- and more.
**We’re supercharging our workflows:** 
 Bevi is currently in an exciting "build phase" of our 2026 roadmap to become a truly AI\-powered business. We aren't just looking for tool\-users; we’re looking for change\-makers who are as passionate about driving AI adoption as they are about sustainability. Join us as we build the future of hydration together.
*We're excited about supporting career growth and would love to be part of your professional journey. We know that talent comes in many forms, and we value individual accomplishments, specialized knowledge, and genuine passion over just checking boxes on a requirements list. If any of our positions interest you, please apply! Our recruiting team will contact you about next steps if we'd like to move forward together.*
*A member of the Bevi Talent team 'recruiting@bevi.co' will be reaching out about next steps if we would like to move forward.*
**Accommodations**
 Bevi is committed to an inclusive hiring process and we aim to provide accommodations for persons with disabilities. If you need any accommodations for the application or throughout the interview process please contact recruiting@bevi.co.</t>
        </is>
      </c>
    </row>
    <row r="70">
      <c r="A70" t="inlineStr">
        <is>
          <t>li-4368810703</t>
        </is>
      </c>
      <c r="B70" t="inlineStr">
        <is>
          <t>Senior Data Scientist- Pricing &amp; Underwriting</t>
        </is>
      </c>
      <c r="C70" t="inlineStr">
        <is>
          <t>Alt</t>
        </is>
      </c>
      <c r="D70" t="inlineStr">
        <is>
          <t>linkedin</t>
        </is>
      </c>
      <c r="E70">
        <f>HYPERLINK("https://www.linkedin.com/jobs/view/4368810703", "https://www.linkedin.com/jobs/view/4368810703")</f>
        <v/>
      </c>
      <c r="F70" t="inlineStr"/>
      <c r="G70" t="inlineStr"/>
      <c r="H70" t="inlineStr"/>
      <c r="I70" t="inlineStr">
        <is>
          <t>Alt is unlocking the value of alternative assets, starting with the $5 B trading\-card market. We let collectors buy, sell, vault, and finance their cards in one place and we are backed by leaders at Stripe, Coinbase, Seven Seven Six, and pro athletes like Tom Brady and Giannis Antetokounmpo. Our next frontier is real\-time pricing at scale—the Alt Value that powers every trade, loan, and product on the platform.
**The Role**
 As a Pricing Data Scientist, you will be the architect of the logic behind the Alt Value, Alt’s core pricing model. You will research, design, and validate the science and models that will price millions of alternative assets in real\-time. This role is highly collaborative; you will work alongside Expert Pricers to translate human intuition into mathematical features and partner with Data and ML Engineers to bring those models to life at scale.
**What You'll Do Here**
* Research, develop, and ship sophisticated pricing models (e.g. Tree\-based, Gradient\-based, Deep Learning, ensemble methods) to improve valuation accuracy for high\-value assets.
* Identify new data signals — emanating from data such as auction results to social sentiment — and validate their predictive power through rigorous backtesting and experimentation.
* Partner with the Product Engineering team to refine our Risk \&amp; Underwriting models, balancing the goal of maximizing cash advances with the need to maintain a balanced lending portfolio.
* Collaborate with the Expert Pricing team and domain experts to encode market nuances into automated features and inferences, ensuring our models respect the qualitative factors collectors care about.
* Define, monitor, and lift model performance metrics and communicate the "why" behind price coverage, movements, and freshness toward becoming the ultimate liquidity platform.
**This is a perfect fit if you...**
* Are deeply curious about how value is assigned to unique, non\-traditional, and conventionally “illiquid” asset classes.
* Are a hands\-on individual contributor who thrives in a zero\-to\-one startup environment.
* Are a product\-minded builder who wants to see their work deployed in a user\-facing production application.
**What You Bring To The Table**
* 5\+ years of experience in Data Science, with a focus on feature engineering and algorithm/model\-building in the pricing, financial modeling, or marketplace dynamics domains.
* Expert\-level proficiency in SQL, Python, and populate Python libraries (Pandas, Scikit\-Learn, XGBoost/LightGBM, PyTorch/Tensforflow).
* Statistical rigor and deep understanding of experimental design, backtesting methodologies, and dealing with "noisy" or sparse data environments.
* Collaborative experience working in a sprint\-based environment alongside Data and ML Engineers; you understand enough about model hand\-offs and quality code to ensure your models are efficient and readily "production\-capable".
* Proficient in developing in cloud environments (AWS, GCP) and familiarity with ML Ops infrastructure (e.g. MLFlow, workflow and container orchestration, deployment and telemetry patterns).
* Advanced degree (Master’s or PhD) in a quantitative field such as Statistics, Economics, Mathematics, or Computer Science is preferred.
**Compensation: $200,000**
**What You’ll Get From Us**
* A seat at the table to help shape the future of Alt and the alternative asset space
* Autonomy and ownership on projects that matter
* $100/month work\-from\-home stipend
* $200/month wellness stipend
* WeWork office stipend
* 401(k) retirement benefits
* Flexible vacation policy
* Generous paid parental leave
* Competitive healthcare benefits, including HSA, for you and your dependent(s)</t>
        </is>
      </c>
    </row>
    <row r="71">
      <c r="A71" t="inlineStr">
        <is>
          <t>li-4377848694</t>
        </is>
      </c>
      <c r="B71" t="inlineStr">
        <is>
          <t>Data Scientist</t>
        </is>
      </c>
      <c r="C71" t="inlineStr">
        <is>
          <t>Michigan Medicine</t>
        </is>
      </c>
      <c r="D71" t="inlineStr">
        <is>
          <t>linkedin</t>
        </is>
      </c>
      <c r="E71">
        <f>HYPERLINK("https://www.linkedin.com/jobs/view/4377848694", "https://www.linkedin.com/jobs/view/4377848694")</f>
        <v/>
      </c>
      <c r="F71" t="inlineStr"/>
      <c r="G71" t="inlineStr">
        <is>
          <t>Ann Arbor, MI</t>
        </is>
      </c>
      <c r="H71" t="inlineStr"/>
      <c r="I71" t="inlineStr">
        <is>
          <t>How to Apply
 A cover letter is required for consideration for this position and should be attached as the first page of your resume. The cover letter should address your specific interest in the position and outline skills and experience that directly relate to this position.
**Job Summary**
 BMC2 is a collaborative consortium dedicated to improving the quality of care and outcomes in patients who undergo cardiovascular procedures across the State of Michigan. BMC2 is developing a new heart failure registry, which will take a population health\-based approach to measuring outcomes and improving quality of care for patients with heart failure. The new registry will bring together diverse stakeholders including patients, specialists, primary care physicians, and pharmacists. Support for BMC2 is provided by Blue Cross and Blue Shield of Michigan and Blue Care Network as part of the BCBSM Value Partnerships Program.
 We seek a Data Architect Lead (Data Scientist) to drive the design and optimization of our registrys data infrastructure, analytics, and reporting capabilities. This is a unique opportunity to blend data science, architecture, and biomedical expertise in a collaborative and mission\-driven environment.
 Under limited direction, the Data Scientist will design and construct relational databases for data warehousing of the new BMC2 Heart Failure Registry. This role will develop data modeling and is responsible for data acquisition; access analysis and design; and archive, recovery, and load strategy design. Working with the BMC2 senior programming team, the Data Scientist will be responsible for designing and deploying a new model for data flow and ensuring its alignment with overarching quality goals.
 Mission Statement
 Michigan Medicine improves the health of patients, populations and communities through excellence in education, patient care, community service, research and technology development, and through leadership activities in Michigan, nationally and internationally. Our mission is guided by our Strategic Principles and has three critical components; patient care, education and research that together enhance our contribution to society.
 Why Join Michigan Medicine?
 Michigan Medicine is one of the largest health care complexes in the world and has been the site of many groundbreaking medical and technological advancements since the opening of the U\-M Medical School in 1850\. Michigan Medicine is comprised of over 30,000 employees and our vision is to attract, inspire, and develop outstanding people in medicine, sciences, and healthcare to become one of the world?s most distinguished academic health systems. In some way, great or small, every person here helps to advance this world\-class institution. Work at Michigan Medicine and become a victor for the greater good.
**What Benefits can you Look Forward to?**
* Excellent medical, dental and vision coverage effective on your very first day
* 2:1 Match on retirement savings
 Responsibilities\*
* Designs and leads development of the data model and infrastructure, with a focus on scalable, secure, and interoperable solutions.
* Designs advanced workflows for extracting, transforming, and loading (ETL) clinical data utilizing FHIR protocols?to capture core clinical variables across heterogeneous EHR systems.
* Ensures seamless integration of new data sources with existing warehouse structures and optimizes data pipelines for high performance and functionality.
* Establishes rigorous processes for data acquisition, validation, integration, and storage from multiple sites, ensuring data harmonization across varied clinical systems.
* Applies sophisticated machine learning and predictive analytics methods to generate actionable insights and support population health management.
* Plan, conduct and supervise assignments involving multiple or one project.
* Review progress and evaluate results. Schedule and supervise project work. Evaluate progress and results and recommend changes in procedures as needed.
* Exercise authority to make independent decisions on matters of significance, free from immediate direction, within the scope of their responsibilities.
 Required Qualifications\*
* Masters or PhD in Computer Science, Data Science, Statistics, or related field or equivalent professional experience.
* 5\-8 experience in managing data from complex, relational databases, preferably within the healthcare environment.
* Proven expertise in extracting, transforming, and harmonizing EHR data using APIs specifically utilizing FHIR standards and other healthcare interoperability protocols.
* Significant familiarity with healthcare data standards (HL7, FHIR, ICD/LOINC codes, REDCap, Epic/Clarity preferred).
* Demonstrated knowledge of HIPAA, security, and regulatory requirements.
* Experience with Git\-based version control workflows.
* Familiarity with Linux\-based server environments.
* Ability to work independently, prioritize work effectively, and make sound technical decisions.
* Effective written and verbal communication skills that bridge various stakeholders to establish trusting relationships.
* Balance long\-term architectural thinking with practical, delivery\-focused execution.
* Demonstrated growth mindset to actively seek opportunities to learn, adapt, and apply new skills and knowledge to enhance team and personal performance.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Additional Information
**Why Work at BMC2**
* Mission\-driven Impact: Contribute to improving cardiovascular care and outcomes for thousands of patients across Michigan, making a real difference in patients lives.
* Collaborative Environment: BMC2 brings together multidisciplinary healthcare professionals physicians, nurses, coordinators, administrators, payers, and quality leaders from across the state to share ideas, best practices, and innovative solutions.
* Statewide Impact: Play a part in projects that drive change not just locally, but at a statewide level, working with patients, hospitals, and partners from many communities.
* Commitment to Integrity and Quality: The BMC2 Coordinating Center emphasizes transparency, trust, and quality improvement, making it a great environment for those who value integrity and high standards.
* Supportive Culture: Work within a supportive team that values lived experiences in all forms and the professional growth of its members.
* Reputation: Be affiliated with an established and respected organization, known nationally \&amp; internationally for advancing patient care.
 Background Screening
 Michigan Medicine conducts background screening and pre\-employment drug testing on job candidates upon acceptance of a contingent job offer and may use a third party administrator to conduct background screenings. Background screenings are performed in compliance with the Fair Credit Report Act. Pre\-employment drug testing applies to all selected candidates, including new or additional faculty and staff appointments, as well as transfers from other U\-M campuses.
 Application Deadline
 Job openings are posted for a minimum of seven calendar days. The review and selection process may begin as early as the eighth day after posting. This opening may be removed from posting boards and filled anytime after the minimum posting period has ended.
 U\-M EEO Statement
 The University of Michigan is an equal employment opportunity employer.</t>
        </is>
      </c>
    </row>
    <row r="72">
      <c r="A72" t="inlineStr">
        <is>
          <t>li-4376728816</t>
        </is>
      </c>
      <c r="B72" t="inlineStr">
        <is>
          <t>Data Scientist I – Applied AI</t>
        </is>
      </c>
      <c r="C72" t="inlineStr">
        <is>
          <t>RemoteHunter</t>
        </is>
      </c>
      <c r="D72" t="inlineStr">
        <is>
          <t>linkedin</t>
        </is>
      </c>
      <c r="E72">
        <f>HYPERLINK("https://www.linkedin.com/jobs/view/4376728816", "https://www.linkedin.com/jobs/view/4376728816")</f>
        <v/>
      </c>
      <c r="F72" t="inlineStr"/>
      <c r="G72" t="inlineStr"/>
      <c r="H72" t="inlineStr"/>
      <c r="I72" t="inlineStr">
        <is>
          <t>About the Opportunity:
 The organization provides services and software for standards\-based health\-information exchange, focusing on improving public health and quality of care. The role supports data\-informed decision\-making by designing and building AI\-powered applications and tools using existing AI models and Cloud infrastructure to enhance public health and health data interoperability.
 Responsibilities:
 • Use analytic and visualization techniques to provide actionable insights
 • Design, prototype, build, and maintain AI\-powered tools using Python and existing models such as LLMs and embeddings
 • Iterate on prompts and workflows based on testing and feedback; support deployment and operation
 • Stay updated with emerging data\-science and AI/machine learning tools and best practices
 • Access, combine, and analyze large, complex datasets; clean and wrangle data with guidance
 • Ensure quality, integrity, and security of data
 • Create visualizations and perform analyses using statistical and machine learning techniques
 • Present findings to technical and non\-technical audiences with support as needed
 • Work independently on most tasks; seek guidance for complex responsibilities
 • Communicate results effectively to clients, management, and staff
 • Translate client and business needs into formal requirements
 Requirements:
 • Associate''s degree and at least three years of relevant experience, or bachelor’s degree and at least one year of relevant experience in data science, computer science, statistics, applied mathematics, or related field
 • Proficiency in Python
 • Familiarity with analytic software (e.g., R, Databricks), Cloud platforms (Azure, AWS), and big\-data technologies (e.g., Spark)
 • Basic Cloud literacy including understanding containers and serverless; proficiency with APIs and SDKs (e.g., OpenAI, Azure, AWS)
 • Familiarity with AI concepts related to data applications (e.g., RAG, LangChain/LangGraph, Vector DBs)
 • Ability to work independently on general tasks
 • Competence in applying various data\-analytics approaches
 • Ability to complete a Level 5 Position of Public Trust background investigation if required
 Preferred qualifications:
 • Bachelor’s degree with at least five years of relevant experience, or master’s degree with three years of relevant experience
 • Experience with large\-dataset analysis for public health entities such as CDC or CMS
 Benefits \&amp; Perks:
 • Flexible remote work with in\-person collaboration during key events such as annual meetings
 • Equal opportunity employer, providing fair consideration regardless of protected status
 • Must reside in the United States
 Compensation:
 • $75,000 to $95,000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3">
      <c r="A73" t="inlineStr">
        <is>
          <t>li-4377819836</t>
        </is>
      </c>
      <c r="B73" t="inlineStr">
        <is>
          <t>Data Scientist</t>
        </is>
      </c>
      <c r="C73" t="inlineStr">
        <is>
          <t>TEKsystems</t>
        </is>
      </c>
      <c r="D73" t="inlineStr">
        <is>
          <t>linkedin</t>
        </is>
      </c>
      <c r="E73">
        <f>HYPERLINK("https://www.linkedin.com/jobs/view/4377819836", "https://www.linkedin.com/jobs/view/4377819836")</f>
        <v/>
      </c>
      <c r="F73">
        <f>HYPERLINK("https://jsv3.recruitics.com/redirect?rx_cid=3435&amp;rx_jobId=JP-005853662&amp;rx_url=https%3A%2F%2Fars2.equest.com%2F%3Ficid%3Dlinkedin_recruitics%26response_id%3Debbbe9c09534455c8ad412415b2feb06%26rx_campaign%3DLinkedin1%26rx_ch%3Dconnector%26rx_group%3D123600%26rx_id%3D58bf4e2f-11d3-11f1-b7c3-99124b0076a3%26rx_job%3DJP-005853662%26rx_medium%3Dpost%26rx_r%3Dnone%26rx_source%3DLinkedin%26rx_ts%3D20260225T061205Z%26rx_vp%3Dslots&amp;urlHash=bPlI", "https://jsv3.recruitics.com/redirect?rx_cid=3435&amp;rx_jobId=JP-005853662&amp;rx_url=https%3A%2F%2Fars2.equest.com%2F%3Ficid%3Dlinkedin_recruitics%26response_id%3Debbbe9c09534455c8ad412415b2feb06%26rx_campaign%3DLinkedin1%26rx_ch%3Dconnector%26rx_group%3D123600%26rx_id%3D58bf4e2f-11d3-11f1-b7c3-99124b0076a3%26rx_job%3DJP-005853662%26rx_medium%3Dpost%26rx_r%3Dnone%26rx_source%3DLinkedin%26rx_ts%3D20260225T061205Z%26rx_vp%3Dslots&amp;urlHash=bPlI")</f>
        <v/>
      </c>
      <c r="G73" t="inlineStr">
        <is>
          <t>Livonia, MI</t>
        </is>
      </c>
      <c r="H73" t="inlineStr"/>
      <c r="I73" t="inlineStr">
        <is>
          <t>Hiring a data scientist with Machine Learning and Python experience to join a collaborative team!
 Job Type \&amp; Location
 This is a Contract position based out of Livonia, MI.
 Pay And Benefits
 The pay range for this position is $67\.00 \- $67\.00/hr.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hybrid position in Livonia,MI. Application Deadline This position is anticipated to close on Mar 10, 2026\.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74">
      <c r="A74" t="inlineStr">
        <is>
          <t>li-4372528373</t>
        </is>
      </c>
      <c r="B74" t="inlineStr">
        <is>
          <t>Data Scientist 3</t>
        </is>
      </c>
      <c r="C74" t="inlineStr">
        <is>
          <t>WebstaurantStore</t>
        </is>
      </c>
      <c r="D74" t="inlineStr">
        <is>
          <t>linkedin</t>
        </is>
      </c>
      <c r="E74">
        <f>HYPERLINK("https://www.linkedin.com/jobs/view/4372528373", "https://www.linkedin.com/jobs/view/4372528373")</f>
        <v/>
      </c>
      <c r="F74" t="inlineStr"/>
      <c r="G74" t="inlineStr">
        <is>
          <t>Lititz, PA</t>
        </is>
      </c>
      <c r="H74" t="inlineStr"/>
      <c r="I74" t="inlineStr">
        <is>
          <t>**Job Summary**
 Webstaurant Store, the world’s largest online restaurant supply company, is looking for a full\-time Data Scientist to join the Data Science team. The Data Scientists are responsible for supplying statistical rigor to the organization’s analytics projects, aimed at discovering actionable insights and opportunities for growth and optimization.
 This role can be remote in some US states (See below for remote work requirements) or based in one of our offices (Lititz, PA or Tampa, FL).
**Responsibilities**
 Responsibilities include, but are not limited to:
* Advising on analysis and modeling techniques, selecting the best fit for structured \&amp; unstructured, complex data, and developing custom analytics models to generate insights that drive value for our customers and unlock competitive advantage for our organization.
* Collaborating with our analytics engineers to gather the right information from various sources so that you can implement advanced statistical methodologies and design interventions to optimize our business performance.
* Conducting exploratory analysis including hypothesis testing, statistical inference, and statistical analysis (predictive and/or prescriptive).
* Partnering with business and technical stakeholders to translate challenging retail business problems into state\-of\-the\-art data science solutions.
* Developing processes and tools that monitor, analyze and continuously improve model performance and data accuracy.
* Work with other data scientists to design and implement experiments and glean actionable insights from experimental analyses.
* Defend and explain the validity of predictive/ML models to those without a background in data science or statistics.
* Actively research new tools and technologies, staying on top of analytics news and best practices.
 Physical Requirements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Minimum 2 years of work experience in Data Science, or a PhD in math, statistics, economics, or a modeling\-related field.
* Advanced Python and SQL skills.
* You have a proven ability with statistical methods and advanced modelling techniques; extra points if you have experience with one or more of the following: ecommerce search, recommendation engines, dynamic pricing, or user matching/data cleanrooms.
 Education
 This role does not require a degree. We value relevant skills and experience and alignment with our core values above all else.
 Desired Traits \&amp; Skills
 The ideal candidate will possess the following qualities:
* You Communicate Effectively: Ability to explain ideas simply and confidently to team members both written and verbally.
* You have an Entrepreneurial Spirit: Takes it upon themselves to find ways to add value to the team and business. They are self\-motivated and creative in their quest to find actionable insights and new solutions. They can often be found saying “What if we tried this?” or “Maybe this is a better way to do it?” They have a knack for overcoming obstacles.
* You Desire to Grow: Constantly seek to improve themselves and expand their professional knowledge and skill set.
* You’re an inquisitive, out\-of\-the box thinker who’s continually on the lookout for opportunities to improve and innovate data science solutions.
* You have consistently high standards; your passion for quality is inherent in everything that you do.
* Familiarity with a variety of supervised/unsupervised/reinforcement learning methods.
* Demonstrable portfolio (git repos, kaggle competitions, etc) of machine learning projects.
* You have proven ability as a full stack data scientist who develops, experiments, optimizes, and scales models for the production environment.
* You connect the how and why, using your knowledge of data science theories and methodologies to derive the best approach that is fit\-for\-purpose.
**Company Overview**
 The foodservice professional’s premier source for restaurant equipment, supplies, and knowledge online. Our purpose is to empower and equip people to run their businesses more profitably and efficiently.
**Benefits**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Available at HQ Locations Only
* On\-Site Fitness Centers
* Dog\-friendly Offices</t>
        </is>
      </c>
    </row>
    <row r="75">
      <c r="A75" t="inlineStr">
        <is>
          <t>li-4208904078</t>
        </is>
      </c>
      <c r="B75" t="inlineStr">
        <is>
          <t>Data Scientist / AI Engineer</t>
        </is>
      </c>
      <c r="C75" t="inlineStr">
        <is>
          <t>Innovative Defense Technologies (IDT)</t>
        </is>
      </c>
      <c r="D75" t="inlineStr">
        <is>
          <t>linkedin</t>
        </is>
      </c>
      <c r="E75">
        <f>HYPERLINK("https://www.linkedin.com/jobs/view/4208904078", "https://www.linkedin.com/jobs/view/4208904078")</f>
        <v/>
      </c>
      <c r="F75" t="inlineStr"/>
      <c r="G75" t="inlineStr">
        <is>
          <t>Arlington, VA</t>
        </is>
      </c>
      <c r="H75" t="inlineStr"/>
      <c r="I75" t="inlineStr">
        <is>
          <t>**Description**
 Background Information:
 Innovative Defense Technologies(IDT), provider of cutting\-edge cloud\-based integration, automated testing and data analysis for complex, mission\-critical systems in the US Department of Defense (DOD), is seeking a Data Scientist/AI Engineer to be based in our Arlington, VA or Mount Laurel, NJ office. Leveraging advanced software automation, model\-based systems engineering (MBSE), and AI\-driven capabilities, IDT accelerates capability development, enhances operational readiness, and reduces lifecycle costs for the Department of Defense. The company is dedicated to transforming defense systems through innovation, efficiency, and mission\-critical results.
 Overview:
 The Data Scientist position offers an engineer the opportunity to showcase their knowledge and talents as part of a collaborative team developing innovative AI and Data Analysis solutions for Innovative Defense Technologies. The responsibilities of this role include leading and supporting feasibility studies, building capabilities to discover explanatory features in high\-dimensionality datasets, and developing and integrating state\-of\-the\-art AI/ML solutions to support mission\-critical software capabilities.
 All applicants must be able to obtain/maintain an active U.S. Security Clearance.
 Responsibilities Include:
* Develop solutions to deliver analytical and AI/ML capabilities from problem formulation to a productized, deployable, maintainable capability
* Leverage state\-of\-the\-art theory and technologies to solve complex problems
* Establish and leverage Big Data frameworks to store, extract and analyze relevant data
* Develop software solutions by understanding customer requirements and program intent
* Determine operational feasibility by evaluating analysis, problem definition, requirements, solution development, and proposed solutions
* Be responsible for solutions that meet software design, quality, and performance requirements
* Work with minimal supervision in a collaborative work environment to implement best\-in\-class solutions
 Minimum Required Qualifications:
* Bachelor’s Degree in Statistics, Data Science, Computer Science, Math, or a quantitative field or equivalent full\-time professional experience required; Master’s Degree in Data Science or other technical field highly preferred
* 3\+ years of experience in predictive modeling, data science and analysis
 Required Skills:
* Previous experience in a ML or data scientist role and a track record of building ML and Data Science capabilities
* Experience working with data mining and ML algorithms including decision trees, probability networks, association rules, clustering, and neural networks
* Experience in and knowledge of mathematical optimization techniques, non\-linear programming, evolutionary and biologically\-inspired optimization algorithms
* In\-depth understanding and knowledge of statistical analysis, sampling, statistical learning theory, and Design of Experiments (DOE)
* Strong proficiency in Python
* Experience using ML libraries, such as scikit\-learn, PyTorch, Keras, etc.
* Knowledge of data and information visualization principles and experience using related tools
 Preferred Skills:
* Strong software engineering background
* Skills with other programming languages, such as Julia, Java or C/C\+\+
* Demonstrated ability to develop experimental and analytic plans for data modeling processes, use of strong baselines, ability to accurately determine cause and effect relations
* Experience with application container platforms
* Familiarity with continuous integration/delivery tools (e.g. Jenkins)
* Familiarity with version control tools (e.g. Subversion, Git, etc.)
* Familiarity with VMware or other virtualization software
* Experience developing applications for DOD command and control systems
* Familiarity with Large Language Models (LLM) and LLM parameter tuning
* Familiarity with network science and graph theory
 Competencies:
* Solid analytical abilities, coupled with a strong sense of ownership, urgency, and drive
* Attention to detail
* Strong sense of intellectual curiosity and desire to learn
* Initiative, creativity, reliability, teamwork
* Ability to deal well with ambiguity, prioritize needs, and deliver results in a dynamic environment
 Price range: $90,000 \- $150,000 or $114,000 \- $184,000
* Pursuant to New Jersey Senate Bill 2310, IDT is required to disclose the “pay scale” or “pay range” associated with a job posting. Notably, however, this amount may not be reflective of actual compensation that may be earned as pay is dependent on a candidate’s experience, skills, and education. The posted range does not include bonuses, commissions, tips, or other benefits. Click here for additional information about New Jersey Senate Bill 2310\. IDT is often looking to place multiple candidates at various levels. Therefore, more than one pay range has been included, commensurate with experience.
 EEO Statement:
 IDT is an Equal Opportunity employer.</t>
        </is>
      </c>
    </row>
    <row r="76">
      <c r="A76" t="inlineStr">
        <is>
          <t>li-4377883373</t>
        </is>
      </c>
      <c r="B76" t="inlineStr">
        <is>
          <t>Data Scientist (Python, LLMs, Agents)</t>
        </is>
      </c>
      <c r="C76" t="inlineStr">
        <is>
          <t>Phaxis</t>
        </is>
      </c>
      <c r="D76" t="inlineStr">
        <is>
          <t>linkedin</t>
        </is>
      </c>
      <c r="E76">
        <f>HYPERLINK("https://www.linkedin.com/jobs/view/4377883373", "https://www.linkedin.com/jobs/view/4377883373")</f>
        <v/>
      </c>
      <c r="F76" t="inlineStr"/>
      <c r="G76" t="inlineStr">
        <is>
          <t>Nashville, TN</t>
        </is>
      </c>
      <c r="H76" t="inlineStr"/>
      <c r="I76" t="inlineStr">
        <is>
          <t>Salary is 140k to 170k \+ bonus
 We are seeking a Data Scientist with strong Python skills and hands\-on experience designing, building, and deploying LLM\-based agents that can plan, reason, and interact with tools and APIs.
**What You'll Do** 
* Design and implement LLM\-driven agent workflows
* Build and evaluate prompt\-based and tool\-augmented systems
* Develop data pipelines to support AI model training and evaluation
* Deploy production\-ready AI systems
* Collaborate on experimentation and model performance optimization
**Requirements** 
* Strong Python programming experience
* Experience with large language models (Hugging Face, OpenAI, etc.)
* Experience with agent frameworks (LangChain, ReAct, etc.)
* Experience building and deploying ML/AI systems
* Familiarity with embeddings and vector databases
* Solid understanding of machine learning fundamentals
**Nice to Have** 
* Reinforcement learning experience
* Production deployment experience (AWS, GCP, Azure)
* Experience working with structured and unstructured data pipelines</t>
        </is>
      </c>
    </row>
    <row r="77">
      <c r="A77" t="inlineStr">
        <is>
          <t>li-4377017821</t>
        </is>
      </c>
      <c r="B77" t="inlineStr">
        <is>
          <t>Data Analyst/Data Scientist M/F/D</t>
        </is>
      </c>
      <c r="C77" t="inlineStr">
        <is>
          <t>Agilent Technologies</t>
        </is>
      </c>
      <c r="D77" t="inlineStr">
        <is>
          <t>linkedin</t>
        </is>
      </c>
      <c r="E77">
        <f>HYPERLINK("https://www.linkedin.com/jobs/view/4377017821", "https://www.linkedin.com/jobs/view/4377017821")</f>
        <v/>
      </c>
      <c r="F77" t="inlineStr"/>
      <c r="G77" t="inlineStr">
        <is>
          <t>Jackson, NE</t>
        </is>
      </c>
      <c r="H77" t="inlineStr"/>
      <c r="I77"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78">
      <c r="A78" t="inlineStr">
        <is>
          <t>li-4329023419</t>
        </is>
      </c>
      <c r="B78" t="inlineStr">
        <is>
          <t>Principal Data Scientist - Rentals Marketplace Ads Team</t>
        </is>
      </c>
      <c r="C78" t="inlineStr">
        <is>
          <t>Zillow</t>
        </is>
      </c>
      <c r="D78" t="inlineStr">
        <is>
          <t>linkedin</t>
        </is>
      </c>
      <c r="E78">
        <f>HYPERLINK("https://www.linkedin.com/jobs/view/4329023419", "https://www.linkedin.com/jobs/view/4329023419")</f>
        <v/>
      </c>
      <c r="F78">
        <f>HYPERLINK("https://zillow.wd5.myworkdayjobs.com/Zillow_Group_External/job/Remote-USA/Principal-Data-Scientist\u002d\u002d-Rentals-Marketplace-Ads-Team_P748345-1?source=LinkedIn&amp;urlHash=XrWk", "https://zillow.wd5.myworkdayjobs.com/Zillow_Group_External/job/Remote-USA/Principal-Data-Scientist\u002d\u002d-Rentals-Marketplace-Ads-Team_P748345-1?source=LinkedIn&amp;urlHash=XrWk")</f>
        <v/>
      </c>
      <c r="G78" t="inlineStr"/>
      <c r="H78" t="inlineStr"/>
      <c r="I78" t="inlineStr">
        <is>
          <t>**About The Team**
 Zillow Group’s mission is to give people the power to unlock life's next chapter. We're currently seeking a Principal Data Scientist to join the Rentals Marketplace Ads team! On the Marketplace team, we’re passionate about understanding Rentals Product performance through meticulous analysis and measurement. Our team works closely with Zillow’s Leadership on the Rentals team to uncover opportunities through data to deliver on the Zillow promise to customers \- revolutionary and intuitive tools to find your dream home.
 The Rentals Marketplace Ads Team sits within the larger Marketplace Ads \&amp; Sales Analytics (MASA) team. This role will focus on Zillow’s Rentals business and will work closely with product, strategy, engineering, sales, and marketing teams to deliver the data and insights necessary to grow the rentals marketplace. We work cross functionally with our data engineering and sales analytics counterparts who comprise the rest of MASA. Zillow Rentals has strong competitors in the space, but has been growing at an incredible rate for the last two years. As we continue to grow, the demands for higher quality and more targeted analysis will only increase. This role will be focused on supporting our multifamily products as well as digging into geo\-specific market insights to enhance the overall partner and consumer experience for Zillow Rentals.
**About The Role**
 As a principal data scientist you’ll work closely with Zillow's Rentals data and product leadership teams to discover deep insights about the Zillow Rentals marketplace, while directly supporting product initiatives that affect our multifamily products. More specifically, this role will:
* Analyze and interpret large, complex datasets to identify trends, patterns, and insights that support Zillow’s burgeoning rentals ecosystem.
* Collaborate with product stakeholders to define key metrics, goals, and objectives, and develop data\-driven strategies to achieve them.
* Utilize causal inference techniques and novel experimental designs to evaluate the launches of pilot programs.
* Mentor and coach junior team members on executing analytic requests and help unblocking through code reviews \&amp; best practice sharing.
* Work closely with cross\-functional teams, such as product, marketing, engineering, and corporate strategy, to ensure relevant insights are surfaced for decision making.
* Collaborate with data engineering teams to design and optimize data pipelines and workflows to support efficient data collection, storage, and processing.
* Effectively communicate complex analytical findings to diverse stakeholders, translating technical concepts into actionable insights and recommendations.
* Dive into Zillow's internal and third party data (think Databricks, Snowflake, Big Data) to develop solutions that will help move the business forward and enable better decisions at a rapid speed.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$178,300\.00 \- $284,700\.00 annually. This base pay range is specific to these locations and may not be applicable to other locations. In Colorado, Hawaii, Illinois, Minnesota, Nevada, Ohio, Rhode Island, and Vermont the standard base pay range for this role is $169,300\.00 \- $270,500\.00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You are a curious and passionate problem\-solver who will not shy away from complexity or uncertainty! Come join us and use your expertise to help us find opportunities and guide our business into the future with powerful insights and recommendations. We're searching for a Data Scientist who has:
* A Ph.D or Master's degree in a quantitative field (e.g. science, engineering, economics, quantitative finance, operations research, statistics, or similar)
* 8\+ years of work experience involving quantitative data analysis, experimentation and complex problem\-solving
* A strong understanding of statistical concepts, measurement methods, A/B testing, causal inference techniques, and time series analysis
* Mastery of SQL, Excel, Python, along with some experience with Tableau, Databricks, or other visualization software.
* Superb verbal and written communication skills with the ability to distill sophisticated issues and detailed analysis into simple, structured frameworks with concrete action plans
* Able to work cross\-functionally and influence business partners to set realistic goals and focus on data\-driven solutions
* Keen understanding and experience with online products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79">
      <c r="A79" t="inlineStr">
        <is>
          <t>li-4377846016</t>
        </is>
      </c>
      <c r="B79" t="inlineStr">
        <is>
          <t>Data Scientist - Social Analytics</t>
        </is>
      </c>
      <c r="C79" t="inlineStr">
        <is>
          <t>Microsoft</t>
        </is>
      </c>
      <c r="D79" t="inlineStr">
        <is>
          <t>linkedin</t>
        </is>
      </c>
      <c r="E79">
        <f>HYPERLINK("https://www.linkedin.com/jobs/view/4377846016", "https://www.linkedin.com/jobs/view/4377846016")</f>
        <v/>
      </c>
      <c r="F79" t="inlineStr"/>
      <c r="G79" t="inlineStr">
        <is>
          <t>Redmond, WA</t>
        </is>
      </c>
      <c r="H79" t="inlineStr"/>
      <c r="I79" t="inlineStr">
        <is>
          <t>**Overview**
 We’re building a
 **Frontier Marketing** 
 organization that learns fast and executes with precision and agility through AI\-powered insights. Our
 **Marketing Analytics** 
 team builds AI and advanced analytics models that enable us to create intelligent tools that empower marketers with the data\-driven insights they need to optimize marketing impact and deliver rich recommendations for sellers to drive opportunities in their accounts. To accelerate this transformation to Frontier marketing, we are looking for a
 **Data Scientist – Social Analytics** 
 who is excited to work with largescale social and behavioral data and apply analytical and social network techniques to real business problems. This role is designed for an individual contributor who can independently execute well\-scoped analytical problems, apply established methods, and deliver insights that inform marketing and communications decisions, with guidance from senior data scientists.
 You are a curious data scientist who enjoys working with complex, noisy data and uncovering patterns in how people and communities interact. You are comfortable applying analytical techniques to social and behavioral datasets and are eager to deepen your skills in social network analysis, experimentation, and storytelling with data.
 You thrive in a collaborative, matrixed environment and enjoy partnering with analysts, data scientists, and business stakeholders. While you benefit from guidance on problem framing and approach, you can take ownership of execution, manage your work, and deliver high\-quality analyses that drive impact.
 You care about rigor and clarity, and you’re motivated by turning fast moving social data into insights that help teams make better decisions.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Execute well\-defined social analytics projects, translating business questions into analytical approaches with guidance from senior data scientists
* Apply social analytics and social network analysis techniques (e.g., graph analytics, community detection, centrality analysis, influence or diffusion concepts) to understand engagement and behavioral patterns
* Analyze large\-scale, noisy, and unstructured social media data, contributing to incremental improvements in data quality, feature engineering, and analytical relevance
* Develop analytical outputs, metrics, and visualizations that support marketing, public relations, and product decision\-making
* Collaborate with analysts and senior data scientists to contribute to scalable and self\-serve analytics solutions
* Communicate findings clearly through written summaries, presentations, and visualizations, translating technical results into business\-friendly insights
* Follow established best practices for data science quality, documentation, and reproducibility, and contribute to shared team standards and learnings
* Embody our culture and values.
**Qualifications**
**Required/minimum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**Additional Or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1\+ years of experience ingesting, cleaning, and analyzing large\-scale social media data, including unstructured and semi\-structured signals (e.g., posts, comments, engagement metadata), with attention to data quality, bias, and analytical fitness for use
* 1\+ years of experience with social network analysis algorithms including community detection, centrality metrics, influence propagation models, graph\-based clustering methods
* 1\+ years of experience applying statistical or machine learning techniques to social or behavioral analytics problems
* 1\+ years of experience with advanced visualization techniques for social analytics and tools such as PowerBI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0">
      <c r="A80" t="inlineStr">
        <is>
          <t>li-4377852162</t>
        </is>
      </c>
      <c r="B80" t="inlineStr">
        <is>
          <t>Data Scientist</t>
        </is>
      </c>
      <c r="C80" t="inlineStr">
        <is>
          <t>Best Job Tool</t>
        </is>
      </c>
      <c r="D80" t="inlineStr">
        <is>
          <t>linkedin</t>
        </is>
      </c>
      <c r="E80">
        <f>HYPERLINK("https://www.linkedin.com/jobs/view/4377852162", "https://www.linkedin.com/jobs/view/4377852162")</f>
        <v/>
      </c>
      <c r="F80" t="inlineStr"/>
      <c r="G80" t="inlineStr"/>
      <c r="H80" t="inlineStr"/>
      <c r="I80" t="inlineStr">
        <is>
          <t>**About The Company**
 Jobot is a leading organization committed to fostering innovation and excellence within the technology and data sectors. With a strong emphasis on building a diverse and inclusive work environment, Jobot strives to attract talented professionals who are passionate about leveraging data to drive strategic decision\-making and operational efficiency. The company prides itself on its collaborative culture, cutting\-edge technological stack, and dedication to employee development. As a recognized employer, Jobot offers competitive compensation packages, comprehensive benefits, and opportunities for career growth across various domains. Its mission is to empower organizations with robust data solutions while maintaining a focus on integrity, diversity, and social responsibility.
**About The Role**
 We are seeking an experienced Senior Data Scientist to join our dynamic team. This role is pivotal in architecting, building, and maintaining the data infrastructure that underpins our analytics, machine learning, and operational reporting capabilities. The ideal candidate will possess a blend of engineering expertise, data modeling skills, and a strategic mindset to develop scalable, reliable, and high\-performance data systems. You will work closely with cross\-functional teams, including analytics, product, and platform engineering, to translate business needs into innovative data solutions. Your contributions will directly impact our ability to deliver timely insights, optimize operations, and support our company's growth trajectory. This is a hands\-on role that requires a proactive approach, strong technical skills, and a passion for leveraging data to solve complex problems.
**Qualifications**
 The ideal candidate will have a minimum of 8 years of experience in data science or data engineering, with a proven track record of designing and implementing large\-scale data solutions. Expertise in Python and SQL is essential, along with working knowledge of Scala or Java, particularly in Spark environments. Candidates should have 3\-5\+ years of experience working with Apache Spark and Databricks, including performance tuning and Delta Lake management. Strong cloud platform experience is required, preferably with AWS (S3, EMR, Glue, Kinesis) and/or Azure (ADLS Gen2, Synapse, Data Factory, Event Hubs). Familiarity with data orchestration tools such as Airflow and transformation frameworks like dbt is highly desirable. A solid understanding of data warehousing solutions like Snowflake, Redshift, or Databricks SQL, along with a history of cost and performance optimization, is necessary. Candidates should also possess knowledge of data modeling, CI/CD pipelines, Docker/Linux environments, and version control systems like Git. The ability to translate complex business requirements into scalable data products and lead projects end\-to\-end is crucial.
**Responsibilities**
* Design and evolve the company's lakehouse architecture, including storage layout, compute strategies, and performance SLAs, utilizing platforms such as Delta Lake on AWS or Azure.
* Build and maintain robust batch and streaming data pipelines employing Apache Spark (PySpark/Scala), Databricks Workflows, Azure Data Factory, and event\-driven integrations like Kinesis, Event Hubs, or Kafka.
* Develop and maintain analytical and machine learning\-ready data models, semantic layers, and dimensional schemas to support business intelligence and production use cases.
* Implement observability and reliability features, including custom Spark metrics, anomaly detection, logging, and automated data quality checks to ensure high data integrity.
* Optimize compute and storage performance through cluster tuning, caching, partitioning, and format selection, achieving measurable cost savings.
* Enforce data governance policies such as role\-based access control (RBAC), row\-level security, cataloging, lineage tracking, and ensure compliance with regulations like GDPR, HIPAA, and CCPA.
* Collaborate with analytics, product, and platform teams to define service level agreements (SLAs), manage incident response, and establish data contract best practices.
* Mentor junior engineers, lead design reviews, and set standards for scalable, maintainable data systems to foster team growth and best practices.
**Benefits**
 At Jobot, we prioritize our employees' well\-being and professional growth by offering a comprehensive benefits package. This includes competitive salary ranges, paid vacation, sick leave, holidays, and parental leave. Our health, dental, and vision insurance plans are designed to support your health needs. Employees also have access to an Employee Assistance Program (EAP) for personal support. We offer a 401(k) plan with a generous employer match to help secure your financial future, along with life insurance coverage. Paid training and employee discounts on our products and services are additional perks. We are committed to creating an inclusive environment that encourages diversity, innovation, and work\-life balance, ensuring our team members feel valued and supported throughout their careers with us.
 Equal Opportunity
 Jobot is an Equal Opportunity Employer. We are dedicated to fostering an inclusive work environment that celebrates diversity and ensures all qualified candidates receive fair consideration for employment regardless of race, color, sex, sexual orientation, gender identity, religion, national origin, age (40 and over), disability, military status, genetic information, or any other protected characteristic under applicable federal, state, or local laws. We prohibit harassment and discrimination of any kind and are committed to compliance with all relevant laws and regulations. We also perform background checks as necessary, respecting all legal requirements. By applying, you acknowledge and agree to our privacy policies and consent to communication from our recruitment team through various channels. We welcome applicants from diverse backgrounds and are committed to creating a welcoming and equitable workplace for all.</t>
        </is>
      </c>
    </row>
    <row r="81">
      <c r="A81" t="inlineStr">
        <is>
          <t>li-4345908972</t>
        </is>
      </c>
      <c r="B81" t="inlineStr">
        <is>
          <t>Senior Data Scientist, Strategy- Weights &amp; Biases</t>
        </is>
      </c>
      <c r="C81" t="inlineStr">
        <is>
          <t>Weights &amp; Biases</t>
        </is>
      </c>
      <c r="D81" t="inlineStr">
        <is>
          <t>linkedin</t>
        </is>
      </c>
      <c r="E81">
        <f>HYPERLINK("https://www.linkedin.com/jobs/view/4345908972", "https://www.linkedin.com/jobs/view/4345908972")</f>
        <v/>
      </c>
      <c r="F81" t="inlineStr"/>
      <c r="G81" t="inlineStr">
        <is>
          <t>Livingston, NJ</t>
        </is>
      </c>
      <c r="H81" t="inlineStr"/>
      <c r="I81"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**Who You Are**
 You’re someone who loves exploring abstract questions and finding answers in imperfect data. You enjoy collaborating with senior executives, and you’re motivated by influencing high\-level company direction with data. You’re equally comfortable writing SQL, building causal models, or explaining your findings in plain English.
* Top 1% written and verbal communication skills, comfortable communicating with C\-level executives.
* Strong SQL and python skills; experience with large, event\-driven datasets.
* Strong working familiarity with analytical and statistical techniques for general analysis, time series modeling, forecasting and identifying casual relationships.
* Familiarity with common analytics concepts (funnels, retention, cohort analysis, experiment design).
* Ability to partner with business leaders, and turn questions into structured analysis.
* History of writing easy\-to\-follow code and effective documentation for your projects
* Experience with dbt, Hex, and experimentation platforms is a plus.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have worked in investment banking, private equity or top tier management consulting.
* You’re an expert in stakeholder management: You'll love this role if you enjoy connecting with real users day to day, helping them solve issues and understand good patterns for using our tools. Day to day you'll be answering questions and requests with a kind, thoughtful tone that makes users feel appreciated and connected to our team.
* You’re curious about machine learning: theoretical or practical knowledge of machine learning workflows and terminology.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$165,000 to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82">
      <c r="A82" t="inlineStr">
        <is>
          <t>li-4377827914</t>
        </is>
      </c>
      <c r="B82" t="inlineStr">
        <is>
          <t>Applied Scientist II</t>
        </is>
      </c>
      <c r="C82" t="inlineStr">
        <is>
          <t>Microsoft</t>
        </is>
      </c>
      <c r="D82" t="inlineStr">
        <is>
          <t>linkedin</t>
        </is>
      </c>
      <c r="E82">
        <f>HYPERLINK("https://www.linkedin.com/jobs/view/4377827914", "https://www.linkedin.com/jobs/view/4377827914")</f>
        <v/>
      </c>
      <c r="F82" t="inlineStr"/>
      <c r="G82" t="inlineStr"/>
      <c r="H82" t="inlineStr"/>
      <c r="I82" t="inlineStr">
        <is>
          <t>**Overview**
 AI has created an unprecedented opportunity to make work better for hundreds of millions of people. Microsoft’s productivity division is hiring
 **Applied Scientists II** 
 to help ensure we maximize this amazing opportunity. Our scientists collaborate closely with people across Microsoft’s product teams and Microsoft Research to see their ideas realized in products and services like M365, M365 Copilot, Office AI, and Office Products (Excel, PowerPoint, Word, etc.). They also contribute back to the scientific community through peer\-reviewed publications at top venues, scientific presentations, and beyond.
 We are looking for
 **Applied Scientists II** 
 who are creative, self\-driven, curious, people\-oriented and comfortable defining a path through ambiguity towards high\-level goals. Research areas of interest include but are certainly not limited to reinforcement learning, agentic systems multimodal modeling, post\-training techniques and their application, human\-centered artificial intelligence (AI), domain\-specific large language model (LLM) applications (e.g. long\-form writing assistance), personalization, computational social science, memory, agentic retrieval\-augmented generation (RAG), real\-time AI systems, collaborative AI, privacy\-preserving AI, trustworthy AI, data\-centric AI, AI flywheels, and multilingual 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Defining, leading, and helping to conduct research projects that simultaneously advance the state\-of\-the\-art and directly benefit Microsoft’s core productivity products.
* Shape product direction by integrating rigorous scientific methods into the product lifecycle.
* Collaborating and coordinating with people in a range of roles, including researchers, engineers, product managers, designers, and other key product stakeholders. Serving as a bridge between research and product.
* Teaching, guiding, and tutoring colleagues without research backgrounds in state\-of\-the\-art techniques and research best practices.
* Sharing your research with others via a range of means, including publication, to enable others to build on your work and to contribute to the understanding of our products as cutting\-edge and science driven.
* Effectively communicating with product leaders (and often Microsoft researchers (MSR)) throughout the planning and execution of applied research projects, which often involves learning and teaching complex concepts.
**Qualifications**
**Required Qualifications:**
* Bachelor's Degree in Statistics, Econometrics, Computer Science, Electrical or Computer Engineering, or related field AND 2\+ years related experience (e.g., statistics, predictive analytics, research) OR Master's Degree in Statistics, Econometrics, Computer Science, Electrical or Computer Engineering, or related field AND 1\+ year(s) related experience (e.g., statistics, predictive analytics, research) OR Doctorate in Statistics, Econometrics, Computer Science, Electrical or Computer Engineering, or related field OR equivalent experience.
**Preferred Qualifications**
* At least one internship or prior role at a leading technology company, or start\-up, or related organizations.
* A record of publications in top\-tier scientific venues (e.g., NeurIPS, ICML, ICLR, ACL, NAACL, KDD, WWW, CHI, PNAS, Nature, EMNLP, CVPR, ICCV, ECCV, CoRL).
* Proven real\-world impact from your research, demonstrated through shipped products, improved user experiences, or other measurable benefits for diverse stakeholders.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3">
      <c r="A83" t="inlineStr">
        <is>
          <t>li-4325419340</t>
        </is>
      </c>
      <c r="B83" t="inlineStr">
        <is>
          <t>Senior Data Scientist - Ecosystem and Learning Platform</t>
        </is>
      </c>
      <c r="C83" t="inlineStr">
        <is>
          <t>Roblox</t>
        </is>
      </c>
      <c r="D83" t="inlineStr">
        <is>
          <t>linkedin</t>
        </is>
      </c>
      <c r="E83">
        <f>HYPERLINK("https://www.linkedin.com/jobs/view/4325419340", "https://www.linkedin.com/jobs/view/4325419340")</f>
        <v/>
      </c>
      <c r="F83" t="inlineStr"/>
      <c r="G83" t="inlineStr">
        <is>
          <t>San Mateo, CA</t>
        </is>
      </c>
      <c r="H83" t="inlineStr"/>
      <c r="I83"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**WHY DATA SCIENCE \&amp; ANALYTICS?**
 The Data Science \&amp; Analytics organization's mission is to increase our speed, frequency, and acumen in making decisions at scale by instilling a data\-influenced approach to building products. We cover a wide area of the data spectrum, including analytical data engineering, product analytics, experimentation, causal inference, statistical modeling, and machine learning. Aligned and partnered with product verticals, we use this extensive tool belt to discover new opportunities and unmet use cases, influence and craft the product roadmap, and prioritize, build data products, and measure impact on our community of players and developers.
**WHY ECOSYSTEM AND LEARNING PLATFORM?**
 The mission of the Ecosystem and Learning Platform Data Science team is to empower vertical data science teams and drive data\-informed decision\-making at scale. We do so by collaborating with vertical data science and cross\-functional partners to solve complex business problems that span multiple areas of the Roblox ecosystem, develop scalable data science solutions and tools, and advance data science methodologies.
 Central to our mission are platformized tools that provide comprehensive solutions for company\-wide experimentation, forecasting and anomaly detection needs, integrate diverse data sources, and offer scalable, accessible data science products that yield actionable insights for product areas across Roblox. As a member of this team, you will collaborate with product data science partners to develop and support core data science and machine learning models, and build platform solutions that streamline the model development and deployment process.
 You will also collaborate with product data science and cross\-functional partners to bring structure and innovative solutions to complex business problems. In the process, you will help build cutting\-edge methodologies and tools that advance data science within our company and set industry standards. If you are a self\-starter who is curious and passionate about leveraging big data to create tangible business value and thrive in a dynamic, collaborative, and innovative environment, this is the place for you.
**You Will**
* Develop and support core data science models and production pipelines used across the business.
* Support the development and operations of a centralized platform for time series forecasting and anomaly detection.
* Collaborate with data science and product partners to develop innovative and scalable solutions to measure ecosystem health, forecast business performance, and identify and quantify complex cause\-and\-effect relationships within the Roblox ecosystem.
* Promote and uphold a high bar of technical excellence and enable the adoption of technical advances in data science.
* Work closely with engineering and product partners to build scalable data science systems and tools.
* Own the implementation and maintenance of DS self\-serve tools and proactively identify opportunities to scale experimentation, causal modeling, and analytics insights through tooling and methodology.
* Communicate effectively with technical and non\-technical stakeholders to solve problems and influence decisions.
* Cultivate strong partnerships with vertical data science teams, engineering, and product partners.
**You Have**
* An Advanced Degree (MSc or PhD) in Statistics, Economics, Operations Research, Computer Science, Applied Math, Physics, Engineering, or other quantitative fields.
* 4\+ years in developing and applying statistical methods, causal inference techniques, experiment design and analysis, time series modeling, or machine learning.
* 4\+ years of experience building scalable ETL data pipelines and dashboards.
* 4\+ years of experience in data science, machine learning, data engineering, analytics engineering or related fields.
* 4\+ years of experience in one or more scripting languages, such as Python.
* Demonstrated ability to lead or build project areas from scratch.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$262,380—$321,230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84">
      <c r="A84" t="inlineStr">
        <is>
          <t>li-4325440028</t>
        </is>
      </c>
      <c r="B84" t="inlineStr">
        <is>
          <t>Lead Data Scientist - AI Implementation</t>
        </is>
      </c>
      <c r="C84" t="inlineStr">
        <is>
          <t>GM Financial</t>
        </is>
      </c>
      <c r="D84" t="inlineStr">
        <is>
          <t>linkedin</t>
        </is>
      </c>
      <c r="E84">
        <f>HYPERLINK("https://www.linkedin.com/jobs/view/4325440028", "https://www.linkedin.com/jobs/view/4325440028")</f>
        <v/>
      </c>
      <c r="F84">
        <f>HYPERLINK("https://fa-exvu-saasfaprod1.fa.ocs.oraclecloud.com/hcmUI/CandidateExperience/en/job/1330/?utm_medium=jobboard&amp;utm_source=linkedin&amp;urlHash=0vt1", "https://fa-exvu-saasfaprod1.fa.ocs.oraclecloud.com/hcmUI/CandidateExperience/en/job/1330/?utm_medium=jobboard&amp;utm_source=linkedin&amp;urlHash=0vt1")</f>
        <v/>
      </c>
      <c r="G84" t="inlineStr">
        <is>
          <t>Fort Worth, TX</t>
        </is>
      </c>
      <c r="H84" t="inlineStr"/>
      <c r="I84" t="inlineStr">
        <is>
          <t>**Job Description**
**Why GM Financial Technology**
 Innovation isn’t just a talking point at GM Financial, it’s how we operate. From generative AI and cloud\-native technologies to peer\-led learning and hackathons, our tech teams are building real solutions that make a difference. We’re committed to AI\-powered transformation, using advanced machine learning and automation to help us reimagine customer interactions and modernize operations, positioning GM Financial as a leader in digital innovation within a dynamic industry. Join us and discover a workplace where your ideas matter, your development is prioritized, and you can truly make a global impact.
**Responsibilities**
**About the role:**
 The Lead Data Scientist – AI Focused role is responsible for designing, developing, and deploying advanced AI solutions, including Generative and Agentic AI Agents, to support key business functions. This position emphasizes hands\-on technical leadership in AI and machine learning, ensuring scalable and secure implementations. The role collaborates closely with cross\-functional teams to drive AI adoption and innovation, while maintaining alignment with organizational priorities and compliance standards.
**In This Role, You Will**
* Lead the development and deployment of AI\-driven solutions, with a strong emphasis on Generative and Agentic AI technologies.
* Collaborate with Data Science, IT, and business teams to implement scalable AI solutions.
* Support enterprise AI initiatives under the guidance of senior leadership, focusing on operationalization and adoption.
* Conduct research and experimentation on emerging AI technologies to enhance organizational capabilities.
* Mentor and coach junior data scientists in AI methodologies and best practices.
* Ensure compliance with data privacy, security, and regulatory standards in all AI implementations.
* Monitor and optimize AI model performance; develop dashboards and reporting tools for stakeholders.
* Participate in automation and process improvement initiatives leveraging AI technologies.
**What makes you an ideal candidate?**
* Deep understanding of AI/ML concepts, including Generative AI and Agentic AI
* Knowledge of advanced statistical modeling, predictive analytics, and machine learning algorithms
* Familiarity with AI frameworks and platforms such as OpenAI, Claude, LLaMA, LangChain, and AutoGPT
* Understanding of data governance, privacy standards, and compliance requirements
* Solid understanding of IT architectural patterns, system integration, and enterprise technology stacks
* Familiarity with RESTful APIs, microservices, and best practices for secure and scalable API design
* Awareness of data flow, security, and compliance considerations in system implementations
* Hands\-on experience with machine learning and AI platforms (Python, R, SAS) and modern AI frameworks
* Proficiency in programming languages and tools for AI development and integration
* Strong problem\-solving and analytical skills; able to translate business problems into AI\-driven solutions
* Effective communication and presentation skills; able to explain complex AI concepts to non\-technical audiences
* Ability to design and implement API\-driven solutions for seamless integration with enterprise systems
* Experience collaborating with IT and engineering teams to ensure AI/ML solutions align with existing infrastructure
* Proficient in troubleshooting and optimizing data pipelines and system interfaces for robust performance
**Experience**
**QUALIFICATIONS**
* Master’s Degree or PhD in Computer Science, Data Science, Artificial Intelligence, Machine Learning, Applied Mathematics, Computational Science or Engineering Required
* 5\-7 years in related field or function required
* 5\-7 years leading through mentorship in related field preferred
* 5\-7 years leading projects and initiatives through influence preferred
**What We Offer:** 
 Generous benefits package available on day one to include: 401K matching, bonding leave for new parents (12 weeks, 100% paid), tuition assistance, training, GM employee auto discount, community service pay and nine company holidays.
**Our Culture:**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2 days a week in the office.</t>
        </is>
      </c>
    </row>
    <row r="85">
      <c r="A85" t="inlineStr">
        <is>
          <t>li-4341244265</t>
        </is>
      </c>
      <c r="B85" t="inlineStr">
        <is>
          <t>Data Scientist</t>
        </is>
      </c>
      <c r="C85" t="inlineStr">
        <is>
          <t>Leidos</t>
        </is>
      </c>
      <c r="D85" t="inlineStr">
        <is>
          <t>linkedin</t>
        </is>
      </c>
      <c r="E85">
        <f>HYPERLINK("https://www.linkedin.com/jobs/view/4341244265", "https://www.linkedin.com/jobs/view/4341244265")</f>
        <v/>
      </c>
      <c r="F85">
        <f>HYPERLINK("https://careers.leidos.com/jobs/17094210-data-scientist?tm_job=R-00171255&amp;tm_event=view&amp;tm_company=2502&amp;bid=56&amp;urlHash=5OKs", "https://careers.leidos.com/jobs/17094210-data-scientist?tm_job=R-00171255&amp;tm_event=view&amp;tm_company=2502&amp;bid=56&amp;urlHash=5OKs")</f>
        <v/>
      </c>
      <c r="G85" t="inlineStr">
        <is>
          <t>Bethesda, MD</t>
        </is>
      </c>
      <c r="H85" t="inlineStr"/>
      <c r="I85" t="inlineStr">
        <is>
          <t>**Description**
 Are you ready to join Leidos all\-star team? Through training, teamwork, and exposure to challenging technical work, let Leidos show how to accelerate your career path.
 Are you a TS/SCI cleared
 **Data Scientist** 
 that likes to perform research\-level data science/analytics?
 Come support a major program advancing the state of the art in mission\-focused big data and predictive analytics. You will be delivering cutting edge data science capabilities to advance national security objectives, swiftly produce and analyze results, disseminate findings, and contribute to publications and presentations with actionable intelligence insights. Our work is conducted primarily on\-site at our client location in Bethesda, MD.
**Fun Stuff You Will Do**
* Work closely with a tight\-knit team of data scientists, as well as a larger team of software developers, network engineers, senior investigators, program managers, researchers, and data analysts to design, build, and optimize a Data Science platform to produce and analyze results, disseminate findings, and contribute to publications and presentations.
* Work on small projects analyzing a variety of big data covering national security, cyber security, business intelligence, online social media, human behavior and more.
* Support multiple simultaneous projects and take open\-ended or high\-level guidance, independently and collaboratively make discoveries that are mission\-relevant, and package and deliver the findings to a non\-technical audience.
* Bring your mix of intellectual curiosity, quantitative acumen, and customer\-focus to identify novel sources of data across a range of fields, to improve the performance of predictive algorithms, and to encourage user adoption of high\-end data analytics platforms in partnership with a highly qualified, highly motivated team.
* Leverage your strong background in research design, exploratory analysis, quantitative methods, user interface application design, and experience with customer outreach and engagement
**To be successful in this role you need the following (required):**
* B.S. Degree in a quantitative or analytical field such as Computer Science, Mathematics, Economics, Statistics, Engineering, Physics, or Computational Social Science; or Master’s degree or equivalent graduate degree including certificate\-based advanced training courses
* 4\+ years of experience in data science, analytics, or quantitative intelligence analysis, and demonstrating progressive technical development and outcomes. 2\+ years of experience required with a Master’s
* Must have an active TS/SCI clearance and must be able to obtain and maintain a Polygraph
* Proficiency in one or more scripting languages such as Python
* Deployment of data science applications (e.g. Streamlit) using Docker, Kubernetes, and/or OpenShift.
* Experience with information retrieval and search, e.g. Elastic Stack (Elasticsearch and Kibana) and/or Structured Query Language (SQL)
* Experience working with a hybrid team of analyst, engineers, and developers to conduct research, and build and deploy complex, but easy\-to\-use algorithms and analytical platforms
* Previous experience performing Data Science or Research in data analytics or big data, i.e. data that won’t fit in memory.
* Track record of active learning and creative problem solving
* Ability to analyze and assess software development or data acquisition requirements and determine optimum, cost\-effective solutions.
* Familiarity using git or other version control technologies
* Our Data Scientists have opportunities to own their work and complete tasks on time with little/no supervision
**You will wow us even more if you have some of these skills:**
* A significant share of your data analytics experience in direct support of military or intelligence community customers, demonstrating progressive technical development and mission\-focused outcomes.
* Significant experience dealing with at least two of the following data classes: forensic media (i.e. DOMEX); open source, publicly available information (PAI); measurement and signatures intelligence (MASINT); or cybersecurity and cyber forensics
* Experience with Knowledge Graphs and KG tech such as neo4j or graph ML.
* Experience developing predictive algorithms, image classifiers, object detectors, and others.
* Familiarity with social network analysis, supply chain analysis, forensic accounting, pattern of life, natural language processing, social media analysis, classification algorithms, and/or image processing.
* Experience blending analytical methodologies and leveraging existing COTS/GOTS/OS tools in an unconventional manner.
* Experience with an on\-prem, air gapped environment and/or Amazon Web Services (AWS/C2S)
* Familiarity with hardware platforms, e.g., CPUs, GPUs, FPGAs, etc.
 \#NMECDTP\-Leidos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December 1,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86">
      <c r="A86" t="inlineStr">
        <is>
          <t>li-4374060496</t>
        </is>
      </c>
      <c r="B86" t="inlineStr">
        <is>
          <t>Data Scientist, Lead</t>
        </is>
      </c>
      <c r="C86" t="inlineStr">
        <is>
          <t>BigBear.ai</t>
        </is>
      </c>
      <c r="D86" t="inlineStr">
        <is>
          <t>linkedin</t>
        </is>
      </c>
      <c r="E86">
        <f>HYPERLINK("https://www.linkedin.com/jobs/view/4374060496", "https://www.linkedin.com/jobs/view/4374060496")</f>
        <v/>
      </c>
      <c r="F86">
        <f>HYPERLINK("https://careers.bigbear.ai/jobs/4319/Data%20Scientist,%20Lead?lang=en-US&amp;mode=apply&amp;iis=LinkedIn&amp;urlHash=BRHl", "https://careers.bigbear.ai/jobs/4319/Data%20Scientist,%20Lead?lang=en-US&amp;mode=apply&amp;iis=LinkedIn&amp;urlHash=BRHl")</f>
        <v/>
      </c>
      <c r="G86" t="inlineStr">
        <is>
          <t>Washington, DC</t>
        </is>
      </c>
      <c r="H86" t="inlineStr"/>
      <c r="I86" t="inlineStr">
        <is>
          <t>**Overview** 
 BigBear.ai is seeking a
 **Data Scientist** 
 to conduct data analytics, data engineering, data mining, exploratory analysis, predictive analysis, and statistical analysis using scientific techniques to correlate data into graphical, written, visual, and verbal narrative products to enable more informed analytic decisions. The successful candidate will proactively retrieve information from various sources, analyze it for better understanding, and assist with building AI tools that automate key processes. This position will be based out of Washington, D.C. or the greater National Capital Region (NCR). This is an opportunity to get in on the “ground level” of a new and exciting program with a critical Department of War (DoW) customer.
**What You Will Do** 
 Duties typically include: creating various ML\-based tools or processes, such as recommendation engines or automated lead scoring systems. Perform statistical analysis, apply data mining techniques, and build high quality prediction systems. The successful candidate should be skilled in data visualization and use of graphical applications, including Microsoft Office (Power BI) and Tableau; major data science languages, such as R and Python; managing and merging of disparate data sources, preferably through R, Python, or SQL; statistical analysis; and data mining algorithms. Additionally, the candidate should have prior experience with large data Multi\-INT analytics, ML, and automated predictive analytics.
**What You Need To Have** 
* Must possess a
 **TS/SCI clearance with a CI poly** 
 (or ability to obtain)
* Bachelor’s degree in data science, data engineering, mathematics, or another related field
* Minimum of 3 years of experience conducting analysis using data science or engineering (an additional 4 years of experience may be substituted for the above education requirements)
* Deep understanding and experience using Python and/or R
* Prior experience with large data, multi\-INT analytics, machine learning, and automated predictive analytics
**What We'd Like You To Have** 
* Current CI poly
* Master’s degree in data science, data engineering, mathematics, or another related field
* At least 8 years of experience conducting analysis using data science or engineering, with at least a portion of experience within the last 2 years
* Experience working creating products for Object Based Intelligence purposes
* Experience within the DoW and/or US Intelligence Community
**About BigBear.ai** 
 BigBear.ai is a leading provider of AI\-powered decision intelligence solutions for national security, supply chain management, and digital identity. Customers and partners rely on Bigbear.ai’s predictive analytics capabilities in highly complex, distributed, mission\-based operating environments. Headquartered in McLean, Virginia, BigBear.ai is a public company traded on the NYSE under the symbol BBAI. For more information, visit https://bigbear.ai/ and follow BigBear.ai on LinkedIn: @BigBear.ai and X: @BigBearai.
 BigBear.ai is an Equal opportunity employer all protected groups, including protected veterans and individuals with disabilities.
 \#defense</t>
        </is>
      </c>
    </row>
    <row r="87">
      <c r="A87" t="inlineStr">
        <is>
          <t>li-4357716181</t>
        </is>
      </c>
      <c r="B87" t="inlineStr">
        <is>
          <t>Senior Data Scientist, AI Studio</t>
        </is>
      </c>
      <c r="C87" t="inlineStr">
        <is>
          <t>Guardian Life</t>
        </is>
      </c>
      <c r="D87" t="inlineStr">
        <is>
          <t>linkedin</t>
        </is>
      </c>
      <c r="E87">
        <f>HYPERLINK("https://www.linkedin.com/jobs/view/4357716181", "https://www.linkedin.com/jobs/view/4357716181")</f>
        <v/>
      </c>
      <c r="F87" t="inlineStr"/>
      <c r="G87" t="inlineStr">
        <is>
          <t>Boston, MA</t>
        </is>
      </c>
      <c r="H87" t="inlineStr"/>
      <c r="I87"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is seeking experienced individual contributor with a strong background in production ready AI/ML solutions. In this role as Senior Data Scientist, you'll be working in a team of Data Scientists led by Lead Data Scientist to develop advanced data science solutions, leveraging machine learning and artificial intelligence, to drive enterprise\-wide innovation across various business lines and Guardian products.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 Lead use case/workstream with junior data scientists
* Support use case development that includes initial data exploration, project/sample design, reception and processing of data, performing analysis and modeling to creation of final report/presentation
* Data wrangling/data matching/ETL to explore a variety of data sources, gain data expertise, perform summary analyses and prepare modeling datasets
* Utilizing advanced statistical and AI/ML techniques to create high\-performing predictive models and creative analyses to address business objectives and partner needs
* Identification of source data and data quality checks both in model/solution development and in production
* Packaging of model/solution and deployment in cooperation with Data Engineers and MLOps
* Implement new statistical or other mathematical methodologies as needed for specific models or analysis.
* Propose innovative ways to look at problems through using data mining and data visualization
* Work with stakeholders throughout the organization to identify opportunities for leveraging company data to drive business solutions.
* Present information using data visualization techniques; communicate results and ideas to key decision makers.
* Ensure data accuracy and consistent reporting by performing regular data quality control, prepare and maintain reports, and troubleshoot data anomalies
* Consistent accuracy and thoroughness in performing work assignments
* Attend industry conferences to stay current on industry trends, challenges, and potential market opportunities
* Contribute to standardization of Data Science tools, processes, and best practices
 You are:
* You are passionate about cutting\-edge technology and keen on applying new AI/ML algorithms and approaches.
* You are analytically driven, intellectually curious, and experienced leading the development and implementation of data and analytic solutions to solve challenging business problems.
* You enjoy collaborating with other data scientists to crack hard to solve problems with AI/ML and seeing it deployed in\-market and generating value for Guardian.
* You enjoy collaborating with a multi\-disciplinary team including data engineers, business analysts, software developers and functional business experts and business leaders.
 You have:
* PhD with 2\+ years of experience, Master's degree with 4\+ years of experience in Statistics, Computer Science, Engineering, Applied mathematics or related field
* 3\+ years of hands\-on ML modeling/development experience
* Solid understanding of data analysis and statistical modeling.
* Knowledge of a variety of machine learning techniques (clustering, decision tree, bagging/boosting artificial neural networks, etc.) and their real\-world advantages/drawbacks.
* Demonstrated track records in experimental design and executions
* Hands\-on experience with data wrangling including fuzzy matching and regular expression, distributed computing and applying parallelism to ML solutions
* Strong programming skills in Python
* Solid background in algorithms and a range of ML models
* Excellent communication skills and ability to work and collaborating cross\-functionally with Product, Engineering, and other disciplines at both the leadership and hands\-on level
* Excellent analytical and problem\-solving abilities with superb attention to detail
* Proven leadership in providing technical leadership and mentoring to data scientists and strong management skills with ability to monitor/track performance for enterprise success
**Location:**
* Three days a week at a Guardian office in Boston, MA, New York, NY, Holmdel, NJ, Stamford, CT and Bethlehem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row>
    <row r="88">
      <c r="A88" t="inlineStr">
        <is>
          <t>li-4369054073</t>
        </is>
      </c>
      <c r="B88" t="inlineStr">
        <is>
          <t>Applied Scientist, Device Ad Products &amp; Personalization</t>
        </is>
      </c>
      <c r="C88" t="inlineStr">
        <is>
          <t>Amazon</t>
        </is>
      </c>
      <c r="D88" t="inlineStr">
        <is>
          <t>linkedin</t>
        </is>
      </c>
      <c r="E88">
        <f>HYPERLINK("https://www.linkedin.com/jobs/view/4369054073", "https://www.linkedin.com/jobs/view/4369054073")</f>
        <v/>
      </c>
      <c r="F88">
        <f>HYPERLINK("https://www.amazon.jobs/jobs/3173331/applied-scientist-device-ad-products\u002d\u002dpersonalization?cmpid=SPLICX0248M&amp;utm_source=linkedin.com&amp;utm_campaign=cxro&amp;utm_medium=social_media&amp;utm_content=job_posting&amp;ss=paid&amp;urlHash=0XhR", "https://www.amazon.jobs/jobs/3173331/applied-scientist-device-ad-products\u002d\u002dpersonalization?cmpid=SPLICX0248M&amp;utm_source=linkedin.com&amp;utm_campaign=cxro&amp;utm_medium=social_media&amp;utm_content=job_posting&amp;ss=paid&amp;urlHash=0XhR")</f>
        <v/>
      </c>
      <c r="G88" t="inlineStr">
        <is>
          <t>New York, NY</t>
        </is>
      </c>
      <c r="H88" t="inlineStr"/>
      <c r="I88" t="inlineStr">
        <is>
          <t>**Description**
 We are seeking an Applied Scientist for our Device Ad Products science team. This team addresses challenging optimization problems related to how advertisements are priced, selected, allocated and shown to customers on Amazon devices including Fire TV, Alexa and Fire Tablet. As Applied Scientist, you will be responsible for improving advertising performance and delivering innovative advertising experiences for display and video ads on Amazon Devices. This team leads initiatives to improve advertising fundamentals such as relevance, coverage, CTR, and CPSU (cost per sign up for streaming services) which in turn increase advertising revenue across Amazon's devices worldwide. You will own the scoping, implementation, and launch of science based ad solutions and experiences specifically for these entertainment focused environments.
 Key job responsibilities
* Gain a comprehensive understanding of the customer lifecycle journey with Amazon Ads, and develop sophisticated models to optimize various conversion KPIs for enhanced marketing effectiveness.
* Develop scalable data processing pipelines and architectures to ingest, transform, and enrich Customer data from various sources (Retail, Prime Video, FireTV and AppStore).
* Build machine learning models, perform proof\-of\-concept, experiment, optimize, and deploy your models into production; work closely with product managers and engineers to launch your models to customers.
* Drive innovation within your team and partner closely with other scientists, engineers and Product Managers to build science roadmaps
* Establish scalable, efficient, automated processes for large\-scale data analysis, machine\-learning model development, model validation and serving.
* Stay up\-to\-date with the latest advancements in machine learning, natural language processing, knowledge representation, multi\-modal learning and related fields, and identify opportunities to apply them to Advertising Use Cases.
* We are looking for world class researchers with experience in one or more of the following areas of Agentic AI for ads targeting \- autonomous agents, multi agent orchestration, Planning, large multimodal models (especially vision\-language models), reinforcement learning (RL) and sequential decision making.
* Effectively communicate complex science problems and solutions to both technical and non\-technical audiences.
 A day in the life
 In this role, you will regularly work with scientists and technical leaders across the advertising organization, including other science teams, product management, and senior leadership. You will also collaborate with science leaders across Amazon Devices and Prime Video organizations to build company\-wide alignment. You will manage and work closely alongside your team of applied and data scientists to guide them through high\-ambiguity problems and deliver robust, scalable solutions.
**About The Team**
 This role is on Device Ads and Personalization (DAPP) team, which is under Amazon Publisher Monetization (APM). This team has a vision to create innovative Ad experiences on Amazon Devices, providing customers better convenience and more selection.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 PhD
* 3\+ years of deep learning, computer vision, human robotic interaction, algorithms implementation experience
* Experience in building speech recognition, machine translation and natural language processing systems (e.g., commercial speech products or government speech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**Company** 
 \- Amazon.com Services LLC
 Job ID: A3173331</t>
        </is>
      </c>
    </row>
    <row r="89">
      <c r="A89" t="inlineStr">
        <is>
          <t>li-4329190427</t>
        </is>
      </c>
      <c r="B89" t="inlineStr">
        <is>
          <t>Senior Applied Scientist</t>
        </is>
      </c>
      <c r="C89" t="inlineStr">
        <is>
          <t>Microsoft</t>
        </is>
      </c>
      <c r="D89" t="inlineStr">
        <is>
          <t>linkedin</t>
        </is>
      </c>
      <c r="E89">
        <f>HYPERLINK("https://www.linkedin.com/jobs/view/4329190427", "https://www.linkedin.com/jobs/view/4329190427")</f>
        <v/>
      </c>
      <c r="F89">
        <f>HYPERLINK("https://apply.careers.microsoft.com/careers/job/1970393556630600?utm_source=linkedin&amp;domain=microsoft.com&amp;src=LinkedIn&amp;urlHash=HmOv", "https://apply.careers.microsoft.com/careers/job/1970393556630600?utm_source=linkedin&amp;domain=microsoft.com&amp;src=LinkedIn&amp;urlHash=HmOv")</f>
        <v/>
      </c>
      <c r="G89" t="inlineStr">
        <is>
          <t>Redmond, WA</t>
        </is>
      </c>
      <c r="H89" t="inlineStr"/>
      <c r="I89" t="inlineStr">
        <is>
          <t>**Overview**
 We seek a Senior Applied Scientist with expertise in Machine Learning, Generative AI, Agentic Modeling, Data Science, or related areas. The ideal candidate should be passionate about generative modeling, experimental prompt tuning, and large\-scale modeling optimization. The candidate should have hands\-on experience on working with LLMs, or SLMs such as Qwen, Llama or its variants. Microsoft AI unites product, engineering, and science teams to advance Bing and Consumer Copilot, aiming to provide the best generative search experience through advanced AI/ML technologies and innovative AI features.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Building and owning production machine learning models to improve results.
* Working hands on with SOTA generative models like Qwen, Llama, Mistral, GPT and others, to deliver big impact.
* Finding insights and forming hypothesis on large\-scale data with various machine learning, feature engineering, statistical, and data mining techniques: e.g. regression, classification, NLP, optimization.
* Professional working experience on prompt engineering with large LLMs like GPT, Gemini, Claude etc.
* Designing experiments, understanding the resulting data, and producing actionable, trustworthy conclusions from them.
* Wrangling large amounts of data (think petabytes) using various tools, including open\-source ones and your own. All programming languages are welcome, especially Python, C\#, R, C\+\+, Java, and SQL.
* Taking complex problems and the associated data and giving the answers in a concise form to assist senior executives in making key business decisions.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Proficient oral and writing skills.
 \#MicrosoftAI \#ML \#GenAI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0">
      <c r="A90" t="inlineStr">
        <is>
          <t>li-4202085097</t>
        </is>
      </c>
      <c r="B90" t="inlineStr">
        <is>
          <t>Principal Applied Scientist- AI</t>
        </is>
      </c>
      <c r="C90" t="inlineStr">
        <is>
          <t>UiPath</t>
        </is>
      </c>
      <c r="D90" t="inlineStr">
        <is>
          <t>linkedin</t>
        </is>
      </c>
      <c r="E90">
        <f>HYPERLINK("https://www.linkedin.com/jobs/view/4202085097", "https://www.linkedin.com/jobs/view/4202085097")</f>
        <v/>
      </c>
      <c r="F90" t="inlineStr"/>
      <c r="G90" t="inlineStr">
        <is>
          <t>Bellevue, WA</t>
        </is>
      </c>
      <c r="H90" t="inlineStr"/>
      <c r="I90" t="inlineStr">
        <is>
          <t>**Life at UiPath**
 The people at UiPath believe in the transformative power of automation to change how the world works. We’re committed to creating category\-leading enterprise software that unleashes that power.
 To make that happen, we need people who are curious, self\-propelled, generous, and genuine. People who love being part of a fast\-moving, fast\-thinking growth company. And people who care—about each other, about UiPath, and about our larger purpose.
 Could that be you?
 As a
 **Principal Applied Scientist** 
 at UiPath, you’ll drive the frontier of machine learning research and development, crafting the foundation for transformative product innovations. This is a hands\-on, leadership role at the intersection of applied research, engineering, and strategy—where you'll influence the technical direction of our most advanced ML initiatives.
 We are seeking a scientist with a proven track record of leading high\-impact research and deploying cutting\-edge machine learning systems at scale. You should be deeply curious about AI and ML, committed to pushing boundaries, and motivated to solve real\-world automation problems in scalable and innovative ways.
 The ideal candidate has substantial experience designing and executing complex experiments, building high\-performance ML systems, and mentoring teams. Above all, we value collaboration, humility, technical excellence, and a bias for action.
**Background**
 This role is with the
 **UiPath advanced machine learning research group** 
 , which builds large multi\-modal models designed to act and operate software like humans. Our mission is to push the boundaries of AI in pursuit of useful general intelligence for enterprise automation.
**What You’ll Do At UiPath**
* Lead the design and development of state\-of\-the\-art machine learning and deep learning systems for real\-world production environments.
* Innovate in NLP, NLU, NLG, computer vision, and multi\-modal learning to drive breakthroughs in software automation.
* Define and drive the roadmap for scalable ML infrastructure and research\-to\-production pipelines.
* Architect experiments, conduct in\-depth benchmarking, and analyze large\-scale datasets to evaluate and improve model performance.
* Collaborate cross\-functionally with engineering, product, and research teams to integrate ML systems into UiPath products.
* Mentor and guide other scientists and engineers, providing technical leadership and fostering a culture of innovation and rigor.
* Stay ahead of industry and academic advancements, influencing the company’s research strategy and sharing insights across the organization.
**What You’ll Bring To The Team**
* PhD or MS in Computer Science, Machine Learning, Statistics, or a related field.
* 5\+ years of experience in machine learning research and large\-scale system deployment.
* Deep expertise in areas such as natural language processing, computer vision, multimodal learning, or reinforcement learning.
* Demonstrated success leading ML projects from research to production.
* Strong programming skills in Python and proficiency with ML frameworks such as TensorFlow, PyTorch, or JAX.
* Experience working with large\-scale datasets and cloud\-based ML infrastructure.
* Excellent communication skills with a collaborative and mentoring mindset.
* Prior experience in automation, RPA, or related enterprise AI applications is a plus.
* Candidates must be authorized to work in the United States for this role.
 Maybe you don’t tick all the boxes above—but still think you’d be great for the job? Go ahead, apply anyway. Please. Because we know that experience comes in all shapes and sizes—and passion can’t be learned.
 Many of our roles allow for flexibility in when and where work gets done. Depending on the needs of the business and the role, the number of hybrid, office\-based, and remote workers will vary from team to team. Applications are assessed on a rolling basis and there is no fixed deadline for this requisition. The application window may change depending on the volume of applications received or may close immediately if a qualified candidate is selected.
 We value a range of diverse backgrounds, experiences and ideas. We pride ourselves on our diversity and inclusive workplace that provides equal opportunities to all persons regardless of age, race, color, religion, sex, sexual orientation, gender identity, and expression, national origin, disability, neurodiversity, military and/or veteran status, or any other protected classes. Additionally, UiPath provides reasonable accommodations for candidates on request and respects applicants' privacy rights. To review these and other legal disclosures, visit our privacy policy.
 Compensation Range: $200K \- $290K</t>
        </is>
      </c>
    </row>
    <row r="91">
      <c r="A91" t="inlineStr">
        <is>
          <t>li-4368264271</t>
        </is>
      </c>
      <c r="B91" t="inlineStr">
        <is>
          <t>Senior Data Scientist (NLP and GenAI Specialist)</t>
        </is>
      </c>
      <c r="C91" t="inlineStr">
        <is>
          <t>Morgan Stanley</t>
        </is>
      </c>
      <c r="D91" t="inlineStr">
        <is>
          <t>linkedin</t>
        </is>
      </c>
      <c r="E91">
        <f>HYPERLINK("https://www.linkedin.com/jobs/view/4368264271", "https://www.linkedin.com/jobs/view/4368264271")</f>
        <v/>
      </c>
      <c r="F91" t="inlineStr"/>
      <c r="G91" t="inlineStr">
        <is>
          <t>Carrollton, TX</t>
        </is>
      </c>
      <c r="H91" t="inlineStr"/>
      <c r="I91" t="inlineStr">
        <is>
          <t>We're seeking someone to join our team as a Senior Data Scientist (NLP Specialist) in Non\-Financial Risk to develop and deploy advanced AI models using NLP, Machine Learning, and quantitative techniques to improve surveillance and compliance monitoring.
 In the Legal \&amp; Compliance division, we assist the Firm in achieving its business objectives by facilitating and overseeing the Firm's management of legal, regulatory, and franchise risk. This is a Vice President level position within the NFR Data \&amp; Analytics team, which is responsible for designing and optimizing surveillance models and tools using advanced analytical techniques to help identify suspicious and/or illegal behaviors like money laundering, market manipulation, insider trading, unfair sales or trading practices and other financial crimes.
 Since 1935, Morgan Stanley is known as a global leader in financial services, always evolving and innovating to better serve our clients and our communities in more than 40 countries around the world.
**What You'll Do In The Role**
 \&gt; Design high\-performance systems leveraging cutting\-edge techniques including Large Language Models (LLMs), Retrieval Augmented Generation (RAG), Agentic AI architecture, and knowledge graph analytics.
 \&gt; Create GenAI\-based solutions to automate manual tasks and drive cost efficiency.
 \&gt; Conduct research to identify novel methods for enhancing analytical solutions.
 \&gt; Lead and develop junior data scientists to achieve key business objectives
 \&gt; Collaborate with Compliance, Legal, Financial Crimes, and IT stakeholders to champion the adoption of new AI/ML/NLP approaches, techniques and capabilities
 \&gt; Champion innovative approaches to improve detection of suspicious activity.
**What You'll Bring To The Role**
 \&gt; Master's or PhD degree in Computer Science, Machine Learning, Intelligent Systems, Statistics, Mathematics, Engineering or other highly quantitative fields
 \&gt; 10\+ years of hands\-on industry experience in building AI/ML/NLP solutions and applied statistical analysis to solve complex business problems
 \&gt; Knowledge of software design and system principles and excellent skills in either Python (preferred) or Java
 \&gt; Experience with AI/ML/NLP software packages such as LangChain, LangGraph, Semantic Kernel, CrewAI, OpenAI SDK, PyTorch, HuggingFace, etc.
 \&gt; Experience in adhering to Software Development Life Cycle (SDLC) principles include GIT related operations
 \&gt; Strong problem solving and time management skills
 \&gt; Excellent written and oral communication skills
 \&gt; Familiarity with financial markets, especially in Compliance, Non\-Financial Risk, and Fraud analytics
 \&gt; Experience with benchmark creation and evaluation including LLM\-as\-a\-Judge based techniques
 \&gt; Knowledge of Vector Stores, Linux, SPARQL, and Graph Databases
 Typically, 9\-10\+ years' relevant experience would generally be expected to find the skills required for this role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92">
      <c r="A92" t="inlineStr">
        <is>
          <t>li-4328918475</t>
        </is>
      </c>
      <c r="B92" t="inlineStr">
        <is>
          <t>Senior Applied Scientist</t>
        </is>
      </c>
      <c r="C92" t="inlineStr">
        <is>
          <t>Microsoft</t>
        </is>
      </c>
      <c r="D92" t="inlineStr">
        <is>
          <t>linkedin</t>
        </is>
      </c>
      <c r="E92">
        <f>HYPERLINK("https://www.linkedin.com/jobs/view/4328918475", "https://www.linkedin.com/jobs/view/4328918475")</f>
        <v/>
      </c>
      <c r="F92" t="inlineStr"/>
      <c r="G92" t="inlineStr">
        <is>
          <t>Redmond, WA</t>
        </is>
      </c>
      <c r="H92" t="inlineStr"/>
      <c r="I92" t="inlineStr">
        <is>
          <t>**Overview**
 Be at the forefront of AI by joining M365 Copilot team and take part in shaping the future of AI\-powered user experiences across multiple Microsoft platforms. As an Senior Applied Scientist, you will transform how M365 users conduct Deep Research by finetuning LLMs, chain of thought techniques, intelligent information retrieval techniques or through agent orchestration. These innovations will enhance M365 Chat, Researcher agent, Windows Companions, or highly personalized search and recommendations systems in widely used office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master and gain expertise in broad areas of AI and ML, including trending research techniques.
* You’ll also gain deep knowledge of building enterprise intelligence on office user’s data.
* You will review business requirements and incorporate research to meet business goals.
* You ‘ll provide strategic direction for the kinds of data used to solve problems and apply deep subject matter knowledge to support business impact.
* You will participate in onboarding of junior team members and assist in developing academics to be members of multidiscipline teams.
* You’ll identify new research talent to join Microsoft and collaborate with the academic community to develop the recruiting pipeline.
* You will document work in progress and experimentation results and share findings to promote innovation.
* You’ll also use your deep understanding of fairness and bias to contribute to ethics and privacy policies related to research processes and data collection.
* You will collaborate with a multidisciplinary team to create scalable and ethical AI solutions.
**Qualifications**
**Required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**Preferred Qualifications**
* Doctorate in Data Science, Mathematics, Statistics, Econometrics, Economics, Operations Research, Computer Science, or related field AND 3\+ years data\-science experience (e.g., managing structured and unstructured data, applying statistical techniques and reporting results)
+ OR Master's Degree in Data Science, Mathematics, Statistics, Econometrics, Economics, Operations Research, Computer Science, or related field AND 5\+ years data\-science experience (e.g., managing structured and unstructured data, applying statistical techniques and reporting results)
+ OR Bachelor's Degree in Data Science, Mathematics, Statistics, Econometrics, Economics, Operations Research, Computer Science, or related field AND 7\+ years data\-science experience (e.g., managing structured and unstructured data, applying statistical techniques and reporting results)
+ OR equivalent experience. 3\+ years experience creating publications (e.g., patents, libraries, peer\-reviewed academic papers).
* 3\+ years experience conducting research as part of a research program (in academic or industry settings).
* 1\+ year(s) experience developing and deploying live production systems, as part of a product team.
* 1\+ year(s) experience developing and deploying live production systems, with LLM's (Large Language Models)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3">
      <c r="A93" t="inlineStr">
        <is>
          <t>li-4377888110</t>
        </is>
      </c>
      <c r="B93" t="inlineStr">
        <is>
          <t>Sr Applied ML Data Scientist (Actuary)</t>
        </is>
      </c>
      <c r="C93" t="inlineStr">
        <is>
          <t>Burtch Works</t>
        </is>
      </c>
      <c r="D93" t="inlineStr">
        <is>
          <t>linkedin</t>
        </is>
      </c>
      <c r="E93">
        <f>HYPERLINK("https://www.linkedin.com/jobs/view/4377888110", "https://www.linkedin.com/jobs/view/4377888110")</f>
        <v/>
      </c>
      <c r="F93" t="inlineStr"/>
      <c r="G93" t="inlineStr"/>
      <c r="H93" t="inlineStr"/>
      <c r="I93" t="inlineStr">
        <is>
          <t>**Job Title:** 
 Sr Data Scientist, Applied ML
**Location:** 
 Remote
**About The Company**
 We are a leading financial services organization committed to innovation, integrity, and shaping the future of data\-driven decision making. Our Data, Actuarial, and Finance teams partner to deliver scalable analytics, advanced modeling, and enterprise\-grade data solutions that power strategic transformation initiatives. We foster a collaborative, high\-performing culture where individuals are empowered to build impactful solutions that enhance operational efficiency, financial insight, and predictive capabilities.
**Job Summary**
 We are seeking a technically skilled and business\-savvy Senior Data Scientist for our Finance Transformation team to design, develop, and support advanced actuarial and financial applications. This role plays a critical part in transforming actuarial and finance functions by building scalable data pipelines, dashboards, and machine learning models that enhance decision\-making and operational efficiency. The ideal candidate will partner closely with
 **Actuarial** 
 , Finance, Data Science, and Technology teams to deliver solutions supporting reserving, pricing, predictive analytics, and financial reporting initiatives.
**Key Responsibilities**
* Machine Learning, Engineering \&amp; Analytics Development:
* Design and optimize large\-scale data pipelines using Python, PySpark, and SQL on cloud platforms such as Databricks and AWS. Develop, deploy, and support predictive models and actuarial tools for reserving, pricing, and financial planning \&amp; analysis. Automate manual actuarial and finance processes through structured data workflows and business logic integration.
* Advanced Modeling \&amp; Statistical Analysis:
* Apply statistical and AI/ML techniques including clustering, decision trees, ensemble methods, and neural networks. Perform data exploration, experimental design, feature engineering, and model validation to deliver production\-ready analytical solutions.
* Data Wrangling \&amp; ETL:
* Ingest, cleanse, and structure financial and actuarial data from multiple systems (e.g., claims, billing, commissions). Perform fuzzy matching, data reconciliation, and quality validation checks to ensure integrity and completeness of modeling datasets.
* Model Packaging \&amp; Deployment:
* Collaborate with Data Engineers and MLOps teams to package, deploy, and monitor models in production environments. Implement new statistical methodologies as required for evolving business use cases.
* Data Integration \&amp; Validation:
* Establish robust data quality controls and reconciliation processes to support financial reporting and actuarial modeling accuracy.
* Collaboration \&amp; Documentation:
* Translate complex actuarial and finance requirements into scalable technical solutions. Maintain comprehensive documentation of code, model logic, data flows, and user instructions.
**Requirements:**
* Education:
* Bachelor’s or Master’s degree in Computer Science, Actuarial Science, Mathematics, Engineering, Finance, or related quantitative discipline (or equivalent experience).
* Experience:
+ 6–8 years in data engineering, actuarial modeling, or analytics\-focused technical roles
+ 2\+ years of hands\-on machine learning modeling and development experience
+ Experience within financial services or insurance environments preferred
* Skills:
+ Strong programming skills in Python
+ Proficiency in PySpark and SQL
+ Experience with Databricks and/or AWS
+ Solid understanding of statistical modeling and machine learning methodologies
+ Experience with distributed computing and parallel ML processing
+ Data wrangling expertise including fuzzy matching and regex techniques
+ Business Intelligence tools experience (Tableau, Power BI, or similar)
+ Understanding of pricing, reserving, or actuarial processes
+ Knowledge of ML/AI libraries and frameworks
+ Strong analytical mindset and attention to detail
* Certifications: Not required.
* Other:
+ Comfortable working in agile or SAFe environments (Jira, Confluence a plus)
+ Strong collaboration and communication skills
+ Ability to operate effectively in evolving and ambiguous strategic environments
**Preferred Qualifications:**
* Experience building valuation, reserving, or pricing models for group insurance products
* Experience in agile or SAFe environments
* Experience partnering across matrixed organizations
* Strategic thinker with ability to translate business strategy into analytical execution
* Strong problem\-solving skills and stakeholder engagement capabilities
**Benefits:**
* Competitive Compensation: Market\-aligned salary and performance\-based incentives.
* Health and Wellness: Comprehensive medical, dental, and wellness programs.
* Work\-Life Balance: Hybrid work model with flexible collaboration.
* Professional Development: Opportunities to expand actuarial, ML, and cloud engineering expertise.
* Additional Perks: Exposure to enterprise transformation initiatives with high business impact.</t>
        </is>
      </c>
    </row>
    <row r="94">
      <c r="A94" t="inlineStr">
        <is>
          <t>li-4368289663</t>
        </is>
      </c>
      <c r="B94" t="inlineStr">
        <is>
          <t>Senior Data Scientist</t>
        </is>
      </c>
      <c r="C94" t="inlineStr">
        <is>
          <t>TransUnion</t>
        </is>
      </c>
      <c r="D94" t="inlineStr">
        <is>
          <t>linkedin</t>
        </is>
      </c>
      <c r="E94">
        <f>HYPERLINK("https://www.linkedin.com/jobs/view/4368289663", "https://www.linkedin.com/jobs/view/4368289663")</f>
        <v/>
      </c>
      <c r="F94">
        <f>HYPERLINK("https://transunion.wd5.myworkdayjobs.com/TransUnion/job/Chicago-Illinois/Senior-Data-Scientist_19038810?source=LinkedIn&amp;urlHash=bWuf", "https://transunion.wd5.myworkdayjobs.com/TransUnion/job/Chicago-Illinois/Senior-Data-Scientist_19038810?source=LinkedIn&amp;urlHash=bWuf")</f>
        <v/>
      </c>
      <c r="G94" t="inlineStr">
        <is>
          <t>Chicago, IL</t>
        </is>
      </c>
      <c r="H94" t="inlineStr"/>
      <c r="I94" t="inlineStr">
        <is>
          <t>TransUnion's Job Applicant Privacy Notice
 Personal Information We Collect
 Your Privacy Choices
**What We'll Bring**
 At TransUnion, we strive to build an environment where our associates are in the driver’s seat of their professional development, while having access to help along the way. We encourage everyone to pursue passions and take ownership of their careers. With the support of colleagues and mentors, our associates are given the tools needed to get where they want to go. Regardless of job titles, our associates have the opportunity to learn new things and be a leader every day.
 Come be a part of our team – you’ll work with great people, pioneering products and cutting\-edge technology.
**What You'll Bring**
* Master’s or PhD degree in business analytics, statistics, applied mathematics, financial mathematics, engineering, operations research, or another highly quantitative field. A track record of academic excellence
* At least three (3\) years of professional experience performing analytic work in Financial Services or related industries
* Multiple examples of demonstrated success in client\-facing roles over a period of at least three (3\) years
* Ability to travel 10\-20%
* Strong analytical, critical thinking, and creative problem solving skills
* Advanced programming skills; mastery of a statistical language such as R or Python; experience using other programming and data manipulation languages (SQL, Hive, Pig, C/C\+\+, Java); proficiency with Microsoft Office tools
* Versatile interpersonal and communication style with the ability to effectively communicate at multiple levels within and outside the organization; ability to work in a collaborative, fast\-paced environment
* Strong project management skills with the ability to manage multiple assignments effectively
* An understanding of current industry challenges and trends at the level needed to proactively identify customers’ analytical needs and related business opportunities
* Having experience of working in the Automotive industry is beneficial but not compuslory
**Impact You'll Make**
 This position is responsible for developing credit risk management and business intelligence analytic solutions through consulting engagements and research serving TransUnion’s automotive clients. This position requires an understanding of US consumer lending and credit risk management practices.
* You will partner with internal and external cross\-functional teams to drive new business initiatives and deliver long term value\-added product propositions for B2B customers in the US financial services segment at TransUnion. This includes but is not limited to the development of predictive risk management and business intelligence solutions for credit card issuers, auto \&amp; mortgage lenders, collections agencies and retail banks.
* You will lead analytic client engagements involving descriptive, predictive, and prescriptive analysis through the consumer lending portfolio lifecycle, leveraging a variety of techniques (e.g., segmentation, logistic regression, survival analysis, principal component analysis, Monte Carlo simulation, scenario and sensitivity analysis).
* You will design and write programs for data extraction, segmentation and statistical analysis on large population datasets using languages such as R, Python, SQL, Hive, and Pig on Linux, PC, and mainframe computing platforms.
* You will deliver analytic insights and recommendations in succinct and compelling presentations for internal and external customers and an executive audience.
* You will develop project proposals, sales presentations and promotional collateral to enable the adoption of integrated customer solutions supported by TransUnion.
* You will identify strategies and opportunities for customers to test and adopt TransUnion’s analytic products and services.
* You will provide mentorship and training to junior colleagues and maintain progress on all initiatives under limited direct supervision.
* You will foster a high performance culture and cultivate an environment that promotes excellence and reflects the TransUnion brand.
 Qualified applicants with arrest or conviction records will be considered for employment in accordance with applicable law, including the Los Angeles County Fair Chance Ordinance for Employers, the San Francisco Fair Chance Ordinance, Fair Chance Initiative for Hiring Ordinance, and the California Fair Chance Act.
 Adherence to Company policies, sound judgment and trustworthiness, working safely, communicating respectfully, and safeguarding business operations, confidential and proprietary information, and the Company’s reputation are also essential expectations of this position.
 This is a hybrid position and involves regular performance of job responsibilities virtually as well as in\-person at an assigned TU office location for a minimum of two days a week.
**Benefits**
 TransUnion provides flexible benefits including flexible time off for exempt associates, paid time off for non\-exempt associates, up to 12 paid holidays per year, health benefits (including medical, dental, and vision plan options and health spending accounts), mental health support, disability benefits, up to 12 weeks of paid parental leave, adoption assistance, fertility planning coverage, legal benefits, long\-term care insurance, commuter benefits, tuition reimbursement, charity gift matching, employee stock purchase plan, 401(k) retirement savings with employer match, and access to TransUnion’s Employee Resource Groups. Spousal, domestic partner, and other eligible dependent coverage is available on select health and welfare plans.
 We are committed to being a place where diversity is not only present, it is embraced. As an equal opportunity employer, all qualified applicants will receive consideration for employment without regard to race, color, religion, sex, national origin, age, disability status, veteran status, genetic information, marital status, citizenship status, sexual orientation, gender identity or any other characteristic protected by law. Additionally, in accordance with Section 503 of the Rehabilitation Act of 1973 and the Vietnam Era Veterans’ Readjustment Assistance Act of 1974, TransUnion takes affirmative action to employ and advance in employment qualified individuals with a disability and protected veterans in all levels of employment and develops annual affirmative action plans. Components of TransUnion’s Affirmative Action Program for individuals with disabilities and protected veterans are available for review to any associate or applicant for employment upon request by contacting ERCoE@transunion.com.
**Pay Scale Information**
 The U.S. base salary range for this position is $78,750\.00 \- $131,250 annually. \*The salary range for this position reflects a reasonable estimate of the range of compensation for this job. At TransUnion, actual compensation is based on careful consideration of additional factors such as (but not limited to) an individual’s education, training, work experience, job\-related skill set, location, and industry knowledge, as well as the scope and responsibilities of the position and market considerations.
 Regular, fulltime non\-sales positions may be eligible to participate in TransUnion’s annual bonus plan. Certain positions may be also eligible for long\-term incentives and other payments based on applicable company guidance and plan documents.
**TransUnion's Internal Job Title**
 Consultant, Data Science and Analytics
**Company**
 TransUnion LLC</t>
        </is>
      </c>
    </row>
    <row r="95">
      <c r="A95" t="inlineStr">
        <is>
          <t>li-4256826192</t>
        </is>
      </c>
      <c r="B95" t="inlineStr">
        <is>
          <t>Sr. Data Scientist, Amazon Leo Global Planning, Amazon Leo</t>
        </is>
      </c>
      <c r="C95" t="inlineStr">
        <is>
          <t>Amazon</t>
        </is>
      </c>
      <c r="D95" t="inlineStr">
        <is>
          <t>linkedin</t>
        </is>
      </c>
      <c r="E95">
        <f>HYPERLINK("https://www.linkedin.com/jobs/view/4256826192", "https://www.linkedin.com/jobs/view/4256826192")</f>
        <v/>
      </c>
      <c r="F95">
        <f>HYPERLINK("https://www.amazon.jobs/jobs/3016062/sr-data-scientist-amazon-leo-global-planning-amazon-leo?cmpid=SPLICX0248M&amp;utm_source=linkedin.com&amp;utm_campaign=cxro&amp;utm_medium=social_media&amp;utm_content=job_posting&amp;ss=paid&amp;urlHash=M78S", "https://www.amazon.jobs/jobs/3016062/sr-data-scientist-amazon-leo-global-planning-amazon-leo?cmpid=SPLICX0248M&amp;utm_source=linkedin.com&amp;utm_campaign=cxro&amp;utm_medium=social_media&amp;utm_content=job_posting&amp;ss=paid&amp;urlHash=M78S")</f>
        <v/>
      </c>
      <c r="G95" t="inlineStr">
        <is>
          <t>Redmond, WA</t>
        </is>
      </c>
      <c r="H95" t="inlineStr"/>
      <c r="I95" t="inlineStr">
        <is>
          <t>**Description**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(both internal and external) and develop Bandwidth Usage models at granular temporal and geographic grains, deployable to Leo traffic management systems.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\- 159,200\.00 \- 215,300\.00 USD annually
 USA, WA, Redmond \- 159,200\.00 \- 215,300\.00 USD annually
**Company** 
 \- Amazon Kuiper Commercial Services LLC
 Job ID: A3016062</t>
        </is>
      </c>
    </row>
    <row r="96">
      <c r="A96" t="inlineStr">
        <is>
          <t>li-4256823325</t>
        </is>
      </c>
      <c r="B96" t="inlineStr">
        <is>
          <t>Sr. Data Scientist, Amazon Leo Global Planning, Amazon Leo</t>
        </is>
      </c>
      <c r="C96" t="inlineStr">
        <is>
          <t>Amazon</t>
        </is>
      </c>
      <c r="D96" t="inlineStr">
        <is>
          <t>linkedin</t>
        </is>
      </c>
      <c r="E96">
        <f>HYPERLINK("https://www.linkedin.com/jobs/view/4256823325", "https://www.linkedin.com/jobs/view/4256823325")</f>
        <v/>
      </c>
      <c r="F96">
        <f>HYPERLINK("https://www.amazon.jobs/jobs/3016062/sr-data-scientist-amazon-leo-global-planning-amazon-leo?cmpid=SPLICX0248M&amp;utm_source=linkedin.com&amp;utm_campaign=cxro&amp;utm_medium=social_media&amp;utm_content=job_posting&amp;ss=paid&amp;urlHash=M78S", "https://www.amazon.jobs/jobs/3016062/sr-data-scientist-amazon-leo-global-planning-amazon-leo?cmpid=SPLICX0248M&amp;utm_source=linkedin.com&amp;utm_campaign=cxro&amp;utm_medium=social_media&amp;utm_content=job_posting&amp;ss=paid&amp;urlHash=M78S")</f>
        <v/>
      </c>
      <c r="G96" t="inlineStr">
        <is>
          <t>Bellevue, WA</t>
        </is>
      </c>
      <c r="H96" t="inlineStr"/>
      <c r="I96" t="inlineStr">
        <is>
          <t>**Description**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(both internal and external) and develop Bandwidth Usage models at granular temporal and geographic grains, deployable to Leo traffic management systems.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\- 159,200\.00 \- 215,300\.00 USD annually
 USA, WA, Redmond \- 159,200\.00 \- 215,300\.00 USD annually
**Company** 
 \- Amazon Kuiper Commercial Services LLC
 Job ID: A3016062</t>
        </is>
      </c>
    </row>
    <row r="97">
      <c r="A97" t="inlineStr">
        <is>
          <t>li-4377834825</t>
        </is>
      </c>
      <c r="B97" t="inlineStr">
        <is>
          <t>Senior Applied Scientist</t>
        </is>
      </c>
      <c r="C97" t="inlineStr">
        <is>
          <t>Microsoft</t>
        </is>
      </c>
      <c r="D97" t="inlineStr">
        <is>
          <t>linkedin</t>
        </is>
      </c>
      <c r="E97">
        <f>HYPERLINK("https://www.linkedin.com/jobs/view/4377834825", "https://www.linkedin.com/jobs/view/4377834825")</f>
        <v/>
      </c>
      <c r="F97" t="inlineStr"/>
      <c r="G97" t="inlineStr">
        <is>
          <t>Redmond, WA</t>
        </is>
      </c>
      <c r="H97" t="inlineStr"/>
      <c r="I97" t="inlineStr">
        <is>
          <t>**Overview**
 You’ll join the asset generation team in Microsoft AI focusing on image and video retrieval, recommendation and generation. You will build core generative AI solutions that power customer\-facing AI solutions and services for Microsoft Advertising at Bing platforms. In this role, you’ll combine solid computer vision skills with applied ML expertise to design, prototype, evaluate and ship production systems—using techniques like knowledge distillation, prompt engineering, reinforcement learning, image/video processing and rigorous evaluation/metrics to continuously improve image and video asset qualities. You’ll partner closely across product, research, and service engineering to deliver the innovative and robust solutions for enterprise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Research, develop, and build effective and innovative production\-grade generative AI and classical computer vision systems, with end\-to\-end ownership from concept through deployment and service operations.
* Lead technical design for core GenAI capabilities on image and video assets (e.g., image and video generation, super\-resolution and summarization) and make data\-driven tradeoffs across quality, latency, cost, and safety.
* Define and improve model and system quality using evaluation frameworks, experiment design, and metric evaluation; ensure robust testing and regression coverage.
* Collaborate with the partner teams to build solutions that meet enterprise requirements and align with customer needs and make business impact.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Demonstrated solid modelling skills in training and inferencing on online and offline computer vision models and related performance optimization for latency and artifact.
* Experience with prompt engineering, knowledge distillation and post\-training.
* Experience building and shipping generative AI systems (including image and video systems).
* Familiarity with compliance and security standards in enterprise AI solutions.
* Track record of delivering enterprise\-facing AI products at scale.
* Experience building and operating ML/AI systems in cloud environments; familiarity with MLOps practices (Azure a plus).
* Experience in publishing papers in top\-tier computer vision and machine learning conferences such as CVPR, ICML, ICCV, Neurips and ICLR.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8">
      <c r="A98" t="inlineStr">
        <is>
          <t>li-4341205463</t>
        </is>
      </c>
      <c r="B98" t="inlineStr">
        <is>
          <t>Principal Data Scientist</t>
        </is>
      </c>
      <c r="C98" t="inlineStr">
        <is>
          <t>Microsoft</t>
        </is>
      </c>
      <c r="D98" t="inlineStr">
        <is>
          <t>linkedin</t>
        </is>
      </c>
      <c r="E98">
        <f>HYPERLINK("https://www.linkedin.com/jobs/view/4341205463", "https://www.linkedin.com/jobs/view/4341205463")</f>
        <v/>
      </c>
      <c r="F98" t="inlineStr"/>
      <c r="G98" t="inlineStr"/>
      <c r="H98" t="inlineStr"/>
      <c r="I98" t="inlineStr">
        <is>
          <t>**Overview**
 Join Microsoft’s Azure Solutions and Ecosystem team as a Principal Applied Scientist and help shape the future of enterprise cloud solutions. In this role, you will design and build cutting\-edge AI models and architectures that power intelligent solutions for Oracle Database@Azure, VMware on Azure, SAP on Azure, and Nutanix on Azure. Your work will enable IT professionals and Systems Integrators to achieve unprecedented productivity and efficiency, while also enhancing knowledge worker experiences through integration with Microsoft 365\. If you are passionate about applying AI to solve complex enterprise challenges at scale, this is the opportunity to make a global impact. This role will directly influence the next generation of Azure solutions, enabling customers and partners to achieve higher productivity and operational efficiency through cutting\-edge AI technologies. By joining us, you will, shape the Future of Enterprise AI: Work on cutting\-edge AI models and architectures that redefine productivity for IT professionals, Systems Integrators, and knowledge workers. Impact Global Businesses: Your solutions will enhance operations for Oracle, VMware, SAP, and Nutanix workloads on Azure, influencing thousands of organizations worldwide. Collaborate with World\-Class Experts: Partner with top researchers, engineers, and product leaders in a culture that values curiosity, inclusion, and growth. Innovate at Scale: Solve complex challenges in distributed systems and AI integration across Microsoft 365 and Azure, delivering transformative customer experiences. Grow Your Career: Access unparalleled learning opportunities, mentorship, and the chance to publish, patent, and lead in the AI space. Join us to build intelligent solutions that make enterprise cloud smarter, faster, and more human\-centric.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train, and optimize AI/ML models for managed solutions across Azure workloads.
* Develop predictive and generative models to automate configuration, troubleshooting, and performance optimization.
* Define and implement scalable AI architectures integrated into Azure solutions.
* Ensure enterprise\-grade reliability, security, and compliance in AI\-driven components.
* Build AI capabilities that streamline IT operations and enhance Systems Integrator workflows.
* Contribute to solutions improving knowledge worker productivity alongside Microsoft 365\.
* Partner with research, engineering, and product teams to align AI initiatives with business goals.
* Mentor scientists and foster a culture of innovation and inclusion.
**Qualifications**
 Required/Minimum Qualifications: \-
* Doctorate in Data Science, Mathematics, Statistics, Econometrics, Economics, Operations Research, Computer Science, or related field AND 5\+ years data\-science experience (e.g., managing structured and unstructured data, applying statistical techniques and reporting results) OR Master's Degree in Data Science, Mathematics, Statistics, Econometrics, Economics, Operations Research, Computer Science, or related field AND 7\+ years data\-science experience (e.g., managing structured and unstructured data, applying statistical techniques and reporting results) OR Bachelor's Degree in Data Science, Mathematics, Statistics, Econometrics, Economics, Operations Research, Computer Science, or related field AND 10\+ years data science experience (e.g., managing structured and unstructured data, applying statistical techniques and reporting results) OR equivalent experience.
* 5\+ years customer\-facing, project\-delivery experience, professional services, and/or consulting experience.
* 3\+ years of experience in applied AI/ML research and development.
* Expertise in deep learning, NLP, and large\-scale model deployment.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Doctorate in Data Science, Mathematics, Statistics, Econometrics, Economics, Operations Research, Computer Science, or related field AND 8\+ years data\-science experience (e.g., managing structured and unstructured data, applying statistical techniques and reporting results) OR Master's Degree in Data Science, Mathematics, Statistics, Econometrics, Economics, Operations Research, Computer Science, or related field AND 10\+ years data\-science experience (e.g., managing structured and unstructured data, applying statistical techniques and reporting results) OR Bachelor's Degree in Data Science, Mathematics, Statistics, Econometrics, Economics, Operations Research, Computer Science, or related field AND 12\+ years data\-science experience (e.g., managing structured and unstructured data, applying statistical techniques and reporting results) OR equivalent experience.
* Proficient architectural thinking for AI systems in distributed environments.
* Ability to translate complex technical concepts into actionable strategies for product teams.
* Excellent communication and collaboration skills across diverse teams.
* Growth mindset and commitment to fostering an inclusive work environment.
 Data Science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9">
      <c r="A99" t="inlineStr">
        <is>
          <t>li-4352910909</t>
        </is>
      </c>
      <c r="B99" t="inlineStr">
        <is>
          <t>Sr Data Scientist</t>
        </is>
      </c>
      <c r="C99" t="inlineStr">
        <is>
          <t>Infosys</t>
        </is>
      </c>
      <c r="D99" t="inlineStr">
        <is>
          <t>linkedin</t>
        </is>
      </c>
      <c r="E99">
        <f>HYPERLINK("https://www.linkedin.com/jobs/view/4352910909", "https://www.linkedin.com/jobs/view/4352910909")</f>
        <v/>
      </c>
      <c r="F99">
        <f>HYPERLINK("https://digitalcareers.infosys.com/infosys/global-careers/apply-sr-data-scientist/515161?Codes=LinkedIn&amp;urlHash=1c0Z", "https://digitalcareers.infosys.com/infosys/global-careers/apply-sr-data-scientist/515161?Codes=LinkedIn&amp;urlHash=1c0Z")</f>
        <v/>
      </c>
      <c r="G99" t="inlineStr">
        <is>
          <t>Alpharetta, GA</t>
        </is>
      </c>
      <c r="H99" t="inlineStr"/>
      <c r="I99" t="inlineStr">
        <is>
          <t>Infosys is seeking a
 **Data Scientist / Gen AI Lead Consultant** 
 with ZGenerative AI, Agentic AI, Machine Learning (ML), AI and Python experience. Ideal candidate is expected to have prior experience in end\-to\-end implementation of Gen AI and Agentic AI based solution, fine tuning large language models, Machine Learning models that includes identification of ‘right’ problem, designing ‘optimum’ solution, implementing using ‘best in class’ practices and deploying the models to production. Will work in alignment with data strategy at various clients, using multiple technologies and platforms.
**Required Qualifications**
* Bachelor’s Degree or foreign equivalent will also consider three years of progressive experience in the specialty in lieu of every year of education.
* At least 7 years of Information Technology experience
* At least 4 years of hands\-on GenAI / Agentic AI and data science with machine learning
* Strong proficiency in Python programming.
* Experience of deploying the Gen AI applications with one of the Agent Frameworks like Langgraph, Autogen, Crew AI.
* Experience in deploying the Gen AI stack/services provided by various platforms such as AWS, GCP, Azure, IBM Watson
* Experience in Generative AI and working with multiple Large Language Models and implementing Advanced RAG based solutions.
* Experience in processing/ingesting unstructured data from PDFs, HTML, Image files, audio to text etc.
* Experience with data gathering, data quality, system architecture, coding best practices
* Hands\-on experience with Vector Databases (such as FAISS, Pinecone, Weaviate, or Azure AI Search).
* Experience with Lean / Agile development methodologies
* This position may require travel, will involve close co\-ordination with offshore teams
* This position is located in Bridgewater, NJ; Sunnyvale, CA; Austin, TX; Raleigh, NC; Richardson, TX; Tempe, AZ; Phoenix, AZ; Charlotte, NC; Houston, TX; Denver, CO; Hartford, CT; New York, NY, Palm Beach, FL; Tampa, FL or Alpharetta, GA, or is willing to relocate.
* Candidates authorized to work for any employer in the United States without employer\-based visa sponsorship are welcome to apply. Infosys is unable to provide immigration sponsorship for this role at this time
**Preferred Data Scientist Qualifications**
* 4 years of hands\-on experience with more than one programming language; Python, R, Scala, Java, SQL
* Hands\-on experience with CI/CD pipelines and DevOps tools like Jenkins, GitHub Actions, or Terraform.
* Proficiency in NoSQL and SQL databases (PostgreSQL, MongoDB, CosmosDB, DynamoDB).
* Deep Learning experience with CNNs, RNN, LSTMs and the latest research trends
* Experience in Python AI/ML frameworks such as TensorFlow, PyTorch, or LangChain.
* Strong understanding and experience of LLM fine\-tuning, local deployment of open\-source models
* Proficiency in building RESTful APIs using FastAPI, Flask, or Django.
* Experience in Model evaluation tools like DeepEval, FMeval, RAGAS , Bedrock model evaluation.
* Experience with perception (e.g. computer vision), time series data (e.g. text analysis)
* Big Data Experience strongly preferred, HDFS, Hive, Spark, Scala
* Data visualization tools such as Tableau, Query languages such as SQL, Hive
* Good applied statistics skills, such as distributions, statistical testing, regression, etc.
 The job entails sitting as well as working at a computer for extended periods of time. Should be able to communicate by telephone, email or face to face. Travel may be required as per the job requirements.
 The estimated annual compensation range for candidates in the below locations will be\-
 Sunnyvale, CA; Bridgewater, NJ; New York, NY, Denver, CO: $103500 to $188888
 Along with competitive pay, as a full\-time Infosys employee, you are also eligible for the following benefits :
* Medical/Dental/Vision/Life Insurance
* Long\-term/Short\-term Disability
* Health and Dependent Care Reimbursement Accounts
* Insurance (Accident, Critical Illness, Hospital Indemnity, Legal)
* 401(k) plan and contributions dependent on salary level
* Paid holidays plus Paid Time Off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**EEO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row>
    <row r="100">
      <c r="A100" t="inlineStr">
        <is>
          <t>li-4346123109</t>
        </is>
      </c>
      <c r="B100" t="inlineStr">
        <is>
          <t>Senior Applied Scientist, Distributed SQL</t>
        </is>
      </c>
      <c r="C100" t="inlineStr">
        <is>
          <t>Amazon Web Services (AWS)</t>
        </is>
      </c>
      <c r="D100" t="inlineStr">
        <is>
          <t>linkedin</t>
        </is>
      </c>
      <c r="E100">
        <f>HYPERLINK("https://www.linkedin.com/jobs/view/4346123109", "https://www.linkedin.com/jobs/view/4346123109")</f>
        <v/>
      </c>
      <c r="F100">
        <f>HYPERLINK("https://www.amazon.jobs/jobs/3148444/senior-applied-scientist-distributed-sql?cmpid=SPLICX0248M&amp;utm_source=linkedin.com&amp;utm_campaign=cxro&amp;utm_medium=social_media&amp;utm_content=job_posting&amp;ss=paid&amp;urlHash=4Zha", "https://www.amazon.jobs/jobs/3148444/senior-applied-scientist-distributed-sql?cmpid=SPLICX0248M&amp;utm_source=linkedin.com&amp;utm_campaign=cxro&amp;utm_medium=social_media&amp;utm_content=job_posting&amp;ss=paid&amp;urlHash=4Zha")</f>
        <v/>
      </c>
      <c r="G100" t="inlineStr">
        <is>
          <t>Seattle, WA</t>
        </is>
      </c>
      <c r="H100" t="inlineStr"/>
      <c r="I100" t="inlineStr">
        <is>
          <t>**Description**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
**Company** 
 \- Amazon Development Center U.S., Inc.
 Job ID: A3148444</t>
        </is>
      </c>
    </row>
    <row r="101">
      <c r="A101" t="inlineStr">
        <is>
          <t>li-4278366260</t>
        </is>
      </c>
      <c r="B101" t="inlineStr">
        <is>
          <t>Senior Algorithms Software Engineer (Data Scientist)</t>
        </is>
      </c>
      <c r="C101" t="inlineStr">
        <is>
          <t>Garmin</t>
        </is>
      </c>
      <c r="D101" t="inlineStr">
        <is>
          <t>linkedin</t>
        </is>
      </c>
      <c r="E101">
        <f>HYPERLINK("https://www.linkedin.com/jobs/view/4278366260", "https://www.linkedin.com/jobs/view/4278366260")</f>
        <v/>
      </c>
      <c r="F101" t="inlineStr"/>
      <c r="G101" t="inlineStr">
        <is>
          <t>Olathe, KS</t>
        </is>
      </c>
      <c r="H101" t="inlineStr"/>
      <c r="I101" t="inlineStr">
        <is>
          <t>**Overview**
 We are seeking a full\-time
 **Senior Algorithms Software Engineer** 
**(Data Scientist)** 
 at Garmin’s U.S. headquarters in the Greater Kansas City area to join our Core Platform Technology \- Sensor Algorithms Team. As a member of our sensor algorithms team you will create and implement cutting edge sensor\-based algorithms that help people beat yesterday. This team’s work spans across multiple Garmin products and includes features such as activity monitoring, sports metrics, elevation\-based features, and safety features.
**Essential Functions**
* Design, develop, and advance innovative algorithms that utilize sensors, including accelerometers, gyroscopes, magnetometers, and barometric pressure sensors.
* Explore novel and cutting\-edge sensors and algorithms technologies and applications.
* Collaborate with team members and other developers in algorithm development, technical assessments in areas of expertise, peer code reviews, and software design.
* Participate in project leadership and planning, including aligning with project stakeholders and providing technical input to development plans.
* Develop embedded software solutions, primarily in C\+\+ and C, to be used throughout Garmin’s extensive ecosystem of consumer electronics products, including smartwatches, cycling computers, and more.
* Coordinate closely with team members and product team engineers across Garmin to integrate and maintain algorithm solutions that serve our customers.
* Perform significant mathematical, statistical, and data analysis as part of the algorithm development process.
* Evaluate and understand various design tradeoffs including power consumption, cost, system constraints, reliability, and time to market.
* Offer process improvement suggestions and author new procedures as appropriate.
* Mentor less experienced Software Engineers, providing technical expertise and guidance.
**Basic Qualifications**
* Bachelor’s Degree in Computer Science, Electrical Engineering, Computer Engineering, Software Engineering, Aerospace Engineering, Math, Physics or related field AND a minimum of 5 years relevant experience OR an equivalent combination of education and experience
* Excellent academics (cumulative GPA greater than or equal to 3\.0 as a general rule)
* Experience with real\-time signal processing on sensor data.
* Proficiency in writing software in C and C\+\+ on embedded processors.
* Use of Python for signal processing, visualization, and statistical analysis.
* Experience with collaborative software development in a team environment
* Strong and effective verbal, written, and interpersonal communication skills.
* Strong quantitative, math, statistics, physics, and dynamics knowledge.
**Desired Qualifications**
* Outstanding academics (cumulative GPA greater than or equal to 3\.5\)
* Experience with inertial sensors, magnetic, and/or barometric pressure sensors.
* Experience with sensor fusion, time series analysis, Kalman filtering, and/or digital signal processing (DSP).
* Experience with data science, statistics, linear regression, deep learning, reinforcement learning, and/or other machine learning techniques.
* Experience with attitude and heading reference systems (AHRS), altimeter systems, GPS/GNSS positioning solutions, and/or inertial navigation systems (INS).
* Experience working on multiple simultaneous development projects.
* Experience debugging complex problems on embedded systems.
* Interest and ability to learn other coding languages and relevant algorithm development skills as needed.
* Excitement to create and deliver algorithms for runners, cyclists, hikers, golfers, athletes, fitness buffs, and any person seeking to beat yesterday.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is>
      </c>
    </row>
    <row r="102">
      <c r="A102" t="inlineStr">
        <is>
          <t>li-4292582083</t>
        </is>
      </c>
      <c r="B102" t="inlineStr">
        <is>
          <t>Sr. Applied Scientist - Privacy, Privacy Engineering</t>
        </is>
      </c>
      <c r="C102" t="inlineStr">
        <is>
          <t>Amazon</t>
        </is>
      </c>
      <c r="D102" t="inlineStr">
        <is>
          <t>linkedin</t>
        </is>
      </c>
      <c r="E102">
        <f>HYPERLINK("https://www.linkedin.com/jobs/view/4292582083", "https://www.linkedin.com/jobs/view/4292582083")</f>
        <v/>
      </c>
      <c r="F102">
        <f>HYPERLINK("https://www.amazon.jobs/jobs/2997657/sr-applied-scientist\u002d\u002dprivacy-privacy-engineering?cmpid=SPLICX0248M&amp;utm_source=linkedin.com&amp;utm_campaign=cxro&amp;utm_medium=social_media&amp;utm_content=job_posting&amp;ss=paid&amp;urlHash=P282", "https://www.amazon.jobs/jobs/2997657/sr-applied-scientist\u002d\u002dprivacy-privacy-engineering?cmpid=SPLICX0248M&amp;utm_source=linkedin.com&amp;utm_campaign=cxro&amp;utm_medium=social_media&amp;utm_content=job_posting&amp;ss=paid&amp;urlHash=P282")</f>
        <v/>
      </c>
      <c r="G102" t="inlineStr">
        <is>
          <t>Santa Clara, CA</t>
        </is>
      </c>
      <c r="H102" t="inlineStr"/>
      <c r="I102" t="inlineStr">
        <is>
          <t>**Description**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A2997657</t>
        </is>
      </c>
    </row>
    <row r="103">
      <c r="A103" t="inlineStr">
        <is>
          <t>li-4375231102</t>
        </is>
      </c>
      <c r="B103" t="inlineStr">
        <is>
          <t>Senior Data Scientist</t>
        </is>
      </c>
      <c r="C103" t="inlineStr">
        <is>
          <t>Jobs via eFinancialCareers</t>
        </is>
      </c>
      <c r="D103" t="inlineStr">
        <is>
          <t>linkedin</t>
        </is>
      </c>
      <c r="E103">
        <f>HYPERLINK("https://www.linkedin.com/jobs/view/4375231102", "https://www.linkedin.com/jobs/view/4375231102")</f>
        <v/>
      </c>
      <c r="F103" t="inlineStr"/>
      <c r="G103" t="inlineStr">
        <is>
          <t>New York, NY</t>
        </is>
      </c>
      <c r="H103" t="inlineStr"/>
      <c r="I103" t="inlineStr">
        <is>
          <t>**Job Summary**
 As a Senior Data Scientist, you will leverage cutting\-edge technologies and methodologies to deliver data\-driven insights and solutions for complex customer needs. You will work on end\-to\-end solutions, including building Proof of Concepts (POCs), professional services, and integrating third\-party technologies with client systems. This role is pivotal to ensuring the successful implementation of data science\-driven products and capabilities, with a key focus on AI, machine learning, and Natural Language Processing (NLP). You will collaborate closely with cross\-functional teams, delivering innovative solutions to customers in highly dynamic, data\-intensive environments.
**Role \&amp; Responsibilities**
* Lead and execute complex customer engagements, utilizing specialized expertise in AI, Machine Learning, and NLP, including building POCs, integrations, and deployments with customer workflows.
* Apply a combination of technical, product, and data science expertise to co\-create solutions that address specific customer needs, including ideation, clarification, technical design, and documentation.
* Lead detailed customer presentations for complex technical propositions, focusing on explaining advanced data science concepts and AI/ML solutions in an accessible way.
* Manage relationships with internal and external stakeholders, ensuring that project and customer\-specific technical requirements are captured, refined, and translated into actionable solutions.
* Oversee and contribute to the development of Proof of Concepts, ensuring integration with customer workflows and systems.
* Lead the technical design and implementation of AI and machine learning solutions that integrate with existing client infrastructure.
* Drive the adoption of advanced data science and AI technologies to deliver high\-value solutions.
* Develop and present strategies for scaling AI solutions, utilizing cloud platforms (Azure, AWS, GCP) for production\-ready deployments.
* Lead and mentor junior team members, fostering a collaborative environment for continuous learning and technical growth.
**Qualifications and Experience Required**
* 10\+ years of experiencein data science or a related field, with a focus on AI, machine learning, and NLP, preferably in a senior technical or leadership role.
* Bachelor's or Master's degreein Computer Science, Engineering, Data Science, or related field. A Ph.D. in a relevant field is a plus.
* Expertise in Natural Language Processing (NLP)with a deep understanding of the latest NLP stack, including transformer\-based architectures such as BERT, GPT, T5, and newer models like GPT\-4, PaLM, and other state\-of\-the\-art large language models (LLMs) that are driving the evolution of NLP applications.
* Extensive experiencewith advanced machine learning and deep learning frameworks such as TensorFlow 2\.x, PyTorch, Hugging Face, and JAX for NLP and other advanced AI tasks.
* Deep knowledge of cloud services (AWS, GCP, Azure)and their use in data science workflows, particularly for deploying machine learning models at scale.
* Expertise in Python, with advanced knowledge of modern data science and machine learning libraries such as Pandas, NumPy, SciPy, scikit\-learn, spaCy, as well as cutting\-edge NLP frameworks like Hugging Face Transformers, Datasets, and NLTKfor efficient model training, fine\-tuning, and data preprocessing.
* Strong programming skills in Python, R, and SQL, with advanced proficiency in handling large\-scale data using distributed data systemslike Apache Spark, cloud\-native NoSQL databasessuch as MongoDB, Cassandra, and DynamoDB, as well as search engines like Elasticsearchand vector databasesfor semantic search (e.g., Pinecone, Weaviate).
* Hands\-on experiencewith data ingestion, data wrangling, and data pipeline orchestration using tools like Apache Kafka, Apache Spark, Airflow, and distributed computing frameworks like Daskand Ray.
* Experience with advanced data science methodologies, including ensemble learning, deep reinforcement learning, transfer learning, and deploying large pre\-trained modelsfor real\-time inference and production.
* Ability to design, prototype, and deploy NLP modelsfor a range of applications, from information retrieval to sentiment analysis, chatbots, and question answering systems.
* Demonstrated success in delivering solutions in complex, fast\-paced environments with a focus on customer satisfaction and technical excellence.
* Strong communication skills, with the ability to explain complex technical concepts to both technical and non\-technical stakeholders.
* Proven experience in customer\-facing rolesis highly valued, particularly in the enterprise tech or financial sectors.
* Familiarity with AI\-powered product developmentin industries such as finance, healthcare, or e\-commerce.
* Experience with data visualization toolslike Tableau, Power BI, or Plotlyto present data science findings effectively.
* Knowledge of regulatory requirements in finance, including experience working with financial data feeds and APIs.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You will be part of a collaborative and creative culture where we encourage new ideas and are committed to sustainability across our global business. You will experience the critical role we have in helping to re\-engineer the financial ecosystem to support and drive sustainable economic growth. Together, we are aiming to achieve this growth by accelerating the just transition to net zero, enabling growth of the green economy and creating inclusive economic opportunity.
 LSEG offers a range of tailored benefits and support, including healthcare, retirement planning, paid volunteering days and wellbeing initiatives.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Please take a moment to read this privacy notice carefully, as it describes what personal information London Stock Exchange Group (LSEG) (we) may hold about you, what it's used for, and how it's obtained, your rights and how to contact us as a data subject .
 If you are submitting as a Recruitment Agency Partner, it is essential and your responsibility to ensure that candidates applying to LSEG are aware of this privacy notice.</t>
        </is>
      </c>
    </row>
    <row r="104">
      <c r="A104" t="inlineStr">
        <is>
          <t>li-4244509790</t>
        </is>
      </c>
      <c r="B104" t="inlineStr">
        <is>
          <t>Sr. Applied Scientist, AGI Info</t>
        </is>
      </c>
      <c r="C104" t="inlineStr">
        <is>
          <t>Amazon</t>
        </is>
      </c>
      <c r="D104" t="inlineStr">
        <is>
          <t>linkedin</t>
        </is>
      </c>
      <c r="E104">
        <f>HYPERLINK("https://www.linkedin.com/jobs/view/4244509790", "https://www.linkedin.com/jobs/view/4244509790")</f>
        <v/>
      </c>
      <c r="F104" t="inlineStr"/>
      <c r="G104" t="inlineStr">
        <is>
          <t>Sunnyvale, CA</t>
        </is>
      </c>
      <c r="H104" t="inlineStr"/>
      <c r="I104" t="inlineStr">
        <is>
          <t>**Description**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WA, BELLEVUE \- 167,100\.00 \- 226,100\.00 USD annually
**Company** 
 \- Amazon.com Services LLC
 Job ID: A2999351</t>
        </is>
      </c>
    </row>
    <row r="105">
      <c r="A105" t="inlineStr">
        <is>
          <t>li-4194476443</t>
        </is>
      </c>
      <c r="B105" t="inlineStr">
        <is>
          <t>Principal Applied Scientist, FAR (Frontier AI &amp; Robotics)</t>
        </is>
      </c>
      <c r="C105" t="inlineStr">
        <is>
          <t>Amazon</t>
        </is>
      </c>
      <c r="D105" t="inlineStr">
        <is>
          <t>linkedin</t>
        </is>
      </c>
      <c r="E105">
        <f>HYPERLINK("https://www.linkedin.com/jobs/view/4194476443", "https://www.linkedin.com/jobs/view/4194476443")</f>
        <v/>
      </c>
      <c r="F105" t="inlineStr"/>
      <c r="G105" t="inlineStr">
        <is>
          <t>San Francisco, CA</t>
        </is>
      </c>
      <c r="H105" t="inlineStr"/>
      <c r="I105" t="inlineStr">
        <is>
          <t>**Description**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 Medical, Dental, and Vision Coverage
* Maternity and Parental Leave Options
* Paid Time Off (PTO)
*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
**Basic Qualifications**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\- 228,700\.00 \- 309,400\.00 USD annually
 USA, WA, Seattle \- 198,900\.00 \- 269,000\.00 USD annually
**Company** 
 \- Amazon.com Services LLC
 Job ID: A2938625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2026-02-25T17:18:04Z</dcterms:created>
  <dcterms:modified xsi:type="dcterms:W3CDTF">2026-02-25T17:18:04Z</dcterms:modified>
</cp:coreProperties>
</file>