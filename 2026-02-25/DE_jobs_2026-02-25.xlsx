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in-619ee2b50d37daac</t>
        </is>
      </c>
      <c r="B2" t="inlineStr">
        <is>
          <t>Senior Data Engineer – Upstream Oil &amp; Gas</t>
        </is>
      </c>
      <c r="C2" t="inlineStr">
        <is>
          <t>Crescent Energy</t>
        </is>
      </c>
      <c r="D2" t="inlineStr">
        <is>
          <t>indeed</t>
        </is>
      </c>
      <c r="E2" t="inlineStr"/>
      <c r="F2" t="inlineStr"/>
      <c r="G2" t="inlineStr">
        <is>
          <t>Houston, TX, US</t>
        </is>
      </c>
      <c r="H2" s="1" t="n">
        <v>46077</v>
      </c>
      <c r="I2" t="inlineStr">
        <is>
          <t>Crescent is a differentiated U.S. energy company committed to delivering value through a disciplined, returns\-driven growth through acquisition strategy and consistent return of capital. Our long\-life, balanced portfolio combines stable cash flows from low\-decline production with a deep, high\-quality development inventory.
Crescent is a top three producer (by gross operated production) in the Eagle Ford basin. Crescent’s leadership is an experienced team of investment, financial and industry professionals that combines proven investment and operating expertise . For more than a decade, Crescent and our predecessors have executed on a consistent strategy focused on cash flow, risk management and returns. Through disciplined and accretive investments, we have successfully tripled the size of our company since going public in December 2021 while maintaining a strong balance sheet.
The **Sr. Data Engineer\- Upstream Oil \&amp; Gas** is responsible for designing, building, and operating scalable, reliable, and secure data pipelines that support enterprise analytics, reporting, and advanced data use cases. This role is critical to enabling data\-driven decision\-making by ensuring trusted, high\-quality data is available across operational, engineering, financial, and HSE domains.
This position requires hands\-on experience in upstream oil and gas and proven expertise working with enterprise\-scale cloud data platforms, with Snowflake (or comparable platforms) as a core prerequisite. The Data Engineer will play a key role in advancing the company’s cloud\-based data platform and accelerating its journey toward becoming a data\-driven, technology\-enabled enterprise.
**Key Responsibilities:**
* **Data Engineering \&amp; Pipeline Development**
	+ Design, build, and maintain scalable, fault\-tolerant ETL/ELT pipelines supporting structured and semi\-structured data across upstream operational, engineering, financial, and ESG domains.
	+ Develop and operate data ingestion pipelines using Fivetran (or similar tools), including connector configuration, schema management, and change data capture (CDC) patterns.
	+ Engineer and maintain data pipelines within the Snowflake environment, ensuring reliability, performance, and cost efficiency.
	+ Monitor, troubleshoot, and remediate data pipeline failures, latency issues, and data inconsistencies in production environments.
	+ Implement logging, alerting, and basic observability for data pipelines to support operational reliability.
* **Data Transformation \&amp; Medallion Architecture**
	+ Implement data transformations using dbt, applying modular, testable, and version\-controlled transformation logic.
	+ Develop and maintain datasets aligned to a medallion architecture ensuring clear separation between raw, refined, and analytics\-ready data layers.
	+ Apply data modeling best practices (dimensional, star schema, domain\-oriented models) to support analytics and reporting use cases.
	+ Maintain documentation and tests within dbt to improve data transparency, lineage, and maintainability.
* **Analytics \&amp; Reporting Enablement**
	+ Design and deliver standardized, production\-grade dashboards and reports using Power BI and Spotfire.
	+ Work with business users to define KPIs, metrics, and reporting requirements, translating them into governed, scalable data models.
	+ Transition ad\-hoc and spreadsheet\-based reporting into certified, reusable analytics assets.
	+ Support semantic models and curated datasets that enable consistent, performant reporting across teams.
* **Data Quality, Governance \&amp; Reliability**
	+ Implement automated data quality checks, validations, and reconciliation processes within data pipelines.
	+ Publish and maintain certified datasets and analytics\-ready tables to support self\-service consumption.
	+ Enforce metric consistency by aligning transformations and reporting logic to approved definitions and standards.
	+ Apply CI/CD, version control, and testing practices to data pipelines and dbt projects.
* **Business Partnership \&amp; Enablement**
	+ Work directly with business analysts, operations users, and reporting consumers to clarify data requirements and troubleshoot issues.
	+ Support day\-to\-day data needs by delivering reliable datasets and reports aligned to defined standards and priorities.
	+ Provide technical input into data solutions while following established architecture, governance, and platform guidelines.
	+ Assist in onboarding users to certified datasets and reports, helping reduce dependency on ad\-hoc data extracts.
**Qualifications \&amp; Experience:**
* **Education:**
	+ Bachelor’s degree in Computer Science, Engineering, Information Systems, or related field.
* **Technical Skills \&amp; Experience:**
	+ 5\+ years data engineering/analytics experience.
	+ Experience with Power BI and Spotfire.
	+ Advanced SQL, dbt, Snowflake. Familiarity with medallion architecture CI/CD, and Git.
	+ Industry experience in **upstream oil and gas** is required, ideally with exposure to drilling, production operations, reserves, and regulatory reporting is required.
	+ Proven experience deploying and managing cloud data platforms with Snowflake expertise is essential.
	+ **Willing to work on\-site in our downtown office Monday\-Friday**
* **Skills \&amp; Competencies:**
	+ Strong understanding of oil and gas data domains (e.g., wells, completions, SCADA, production volumes, reserves, HSE).
	+ Expertise in data modeling, data integration (ETL/ELT), cataloging, lineage tracking, and security best practices.
**Work Environment \&amp; Physical Requirements:**
* Primarily office\-based with occasional travel to field offices and operational sites as needed.
* Potential exposure to remote and high\-risk environments, requiring adherence to safety protocols.
* May involve walking, climbing, bending, or handling equipment during site visits.
* Possible exposure to varying weather conditions (heat, cold, rain) while on\-site at the field offices.
* Availability for emergency response and incident management, including after\-hours support when required.
*Crescent Energy is an equal opportunity employer. All qualified applicants will be considered for employment without regard to race, color, religion, gender/pregnancy, gender identity or expression, sexual orientation, national origin, genetics, disability, age, veteran status or any other legally protected status. Crescent Energy is also committed to compliance with all fair employment practices regarding citizenship and immigration status. If you require accommodation to complete the application process, please let us know by contacting* *recruitment@crescentenergyco.com* *.*</t>
        </is>
      </c>
    </row>
    <row r="3">
      <c r="A3" t="inlineStr">
        <is>
          <t>in-cc3aa38b4ad83261</t>
        </is>
      </c>
      <c r="B3" t="inlineStr">
        <is>
          <t>Data Engineer</t>
        </is>
      </c>
      <c r="C3" t="inlineStr">
        <is>
          <t>CVS Health</t>
        </is>
      </c>
      <c r="D3" t="inlineStr">
        <is>
          <t>indeed</t>
        </is>
      </c>
      <c r="E3" t="inlineStr"/>
      <c r="F3" t="inlineStr"/>
      <c r="G3" t="inlineStr">
        <is>
          <t>CA, US</t>
        </is>
      </c>
      <c r="H3" s="1" t="n">
        <v>46077</v>
      </c>
      <c r="I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Please replace this section with the Job Summary  
**Required Qualifications**  
Please replace this section with the Required Job Qualifications  
**Preferred Qualifications**  
Please replace this section with the Preferred Job Qualifications  
**Education**  
Please replace this section with the Education Requirements
**Anticipated Weekly Hours**
40**Time Type**
Full time**Pay Range**
The typical pay range for this role is:
$79,310\.00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03/02/2026
Qualified applicants with arrest or conviction records will be considered for employment in accordance with all federal, state and local laws.</t>
        </is>
      </c>
    </row>
    <row r="4">
      <c r="A4" t="inlineStr">
        <is>
          <t>in-bde8599b7458aa92</t>
        </is>
      </c>
      <c r="B4" t="inlineStr">
        <is>
          <t>Associate Data Engineer</t>
        </is>
      </c>
      <c r="C4" t="inlineStr">
        <is>
          <t>CVS Health</t>
        </is>
      </c>
      <c r="D4" t="inlineStr">
        <is>
          <t>indeed</t>
        </is>
      </c>
      <c r="E4" t="inlineStr"/>
      <c r="F4" t="inlineStr"/>
      <c r="G4" t="inlineStr">
        <is>
          <t>Richardson, TX, US</t>
        </is>
      </c>
      <c r="H4" s="1" t="n">
        <v>46077</v>
      </c>
      <c r="I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the Associate Data Engineer, you will be responsible for application development for the Pharmacy Benefits Management Enterprise Data Warehouse team. The position will be accountable for designing comprehensive solutions that meet business requirements and incrementally move the data warehouse to the future state. The position requires strong attention to detail, excellent communications skills and exceptional follow through.
You will be working in a hybrid role (3 days a week onsite) in one of the CVS Health or Aetna offices in Richardson, TX or Irving, TX.  
**Required Qualifications:**
* 6\+ months Data Engineering / Data Integration experience
* 6\+ months SQL
* 6\+ months ETL (i.e. Informatica/DataStage) experience
* 6\+ months Relational Database experience (Teradata, SQL Server, Oracle)
* 6\+ months Cloud computing (preferably GCP but open to AWS or Azure)
* Strong work ethic – evening and weekend hours may be required (for project release issues, approximately 2\-3x/year)
* Excellent oral and written communications skills; ability to interact effectively with all levels within the organization
* Working knowledge of Agile methodology
* Excellent analytical and problem solving skills
* Ability to interact and work effectively with technical \&amp; non\-technical levels within the organization
* Ability to drive clarity of purpose and goals during release and planning activities
* Excellent organizational skills including ability to prioritize tasks efficiently with high level of attention to detail
**Preferred Qualifications:**
* 6\+ months experience working in a cross\-functional environment
* 6\+ months Teradata BTEQ scripting experience
* Healthcare Industry experience
 **Education:**
* Bachelor's degree or equivalent
**Anticipated Weekly Hours**
40**Time Type**
Full time**Pay Range**
The typical pay range for this role is:
$61,800\.00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5">
      <c r="A5" t="inlineStr">
        <is>
          <t>in-c35d8a97f0530af5</t>
        </is>
      </c>
      <c r="B5" t="inlineStr">
        <is>
          <t>Associate Data Engineer</t>
        </is>
      </c>
      <c r="C5" t="inlineStr">
        <is>
          <t>CVS Health</t>
        </is>
      </c>
      <c r="D5" t="inlineStr">
        <is>
          <t>indeed</t>
        </is>
      </c>
      <c r="E5" t="inlineStr"/>
      <c r="F5" t="inlineStr"/>
      <c r="G5" t="inlineStr">
        <is>
          <t>Irving, TX, US</t>
        </is>
      </c>
      <c r="H5" s="1" t="n">
        <v>46077</v>
      </c>
      <c r="I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the Associate Data Engineer, you will be responsible for application development for the Pharmacy Benefits Management Enterprise Data Warehouse team. The position will be accountable for designing comprehensive solutions that meet business requirements and incrementally move the data warehouse to the future state. The position requires strong attention to detail, excellent communications skills and exceptional follow through.
You will be working in a hybrid role (3 days a week onsite) in one of the CVS Health or Aetna offices in Richardson, TX or Irving, TX.  
**Required Qualifications:**
* 6\+ months Data Engineering / Data Integration experience
* 6\+ months SQL
* 6\+ months ETL (i.e. Informatica/DataStage) experience
* 6\+ months Relational Database experience (Teradata, SQL Server, Oracle)
* 6\+ months Cloud computing (preferably GCP but open to AWS or Azure)
* Strong work ethic – evening and weekend hours may be required (for project release issues, approximately 2\-3x/year)
* Excellent oral and written communications skills; ability to interact effectively with all levels within the organization
* Working knowledge of Agile methodology
* Excellent analytical and problem solving skills
* Ability to interact and work effectively with technical \&amp; non\-technical levels within the organization
* Ability to drive clarity of purpose and goals during release and planning activities
* Excellent organizational skills including ability to prioritize tasks efficiently with high level of attention to detail
**Preferred Qualifications:**
* 6\+ months experience working in a cross\-functional environment
* 6\+ months Teradata BTEQ scripting experience
* Healthcare Industry experience
 **Education:**
* Bachelor's degree or equivalent
**Anticipated Weekly Hours**
40**Time Type**
Full time**Pay Range**
The typical pay range for this role is:
$61,800\.00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6">
      <c r="A6" t="inlineStr">
        <is>
          <t>in-beae81015addc664</t>
        </is>
      </c>
      <c r="B6" t="inlineStr">
        <is>
          <t>Staff Data Engineer - Technical Strategic Programs</t>
        </is>
      </c>
      <c r="C6" t="inlineStr">
        <is>
          <t>Intuit</t>
        </is>
      </c>
      <c r="D6" t="inlineStr">
        <is>
          <t>indeed</t>
        </is>
      </c>
      <c r="E6" t="inlineStr"/>
      <c r="F6" t="inlineStr"/>
      <c r="G6" t="inlineStr">
        <is>
          <t>Mountain View, CA, US</t>
        </is>
      </c>
      <c r="H6" s="1" t="n">
        <v>46077</v>
      </c>
      <c r="I6" t="inlineStr">
        <is>
          <t>**Overview**
------------
The Tech Strategic Programs organization delivers for Intuit and Tech Strategy by transforming and driving how our Technology ecosystem operates to accelerate outcomes for our customers. This small, yet mighty team works with senior leaders and partners across the company. We focus on strategic planning, the operating rhythm, executive narratives, workforce programs and delivering intelligent insights that accelerate execution across the tech portfolio and highest priority business growth areas.  
We are looking for a strategic and organized leader with a passion for innovation and data\-driven optimization. As a Data Engineer, you will work alongside senior leaders to deliver the foundational data architecture that allows Intuit to measure execution velocity and accelerate critical business outcomes. **Responsibilities**
**In this role, you will:**
* **Build and Maintain Data Marts:** Design, develop, and manage the tables and data marts that serve as the foundation for our team’s daily reporting. You will partner with data scientists, technical program managers, AI engineers, and other stakeholders to ensure our data is structured for speed and reusability.
* **Own Data Quality \&amp; Reliability:** Proactively monitor data pipelines, troubleshoot discrepancies, and debug issues quickly to ensure data integrity.
* **Track Key Success Metrics:** Implement and track leading indicators and success metrics, helping the organization understand whether initiatives are delivering the desired outcomes.
* **Develop Execution Dashboards:** Design and build intuitive, self\-service dashboards (using Tableau/Qlik) that allow stakeholders to monitor program health and execution velocity.
* **Communicate Insights:** Translate complex datasets into clear, concise summaries for business partners and leadership, highlighting trends, risks, and opportunities.
* **Collaborate Cross\-Functionally:** Partner with other analysts and data engineers across Intuit to share best practices, align on metric definitions, and drive cross\-team analytics projects.
 **What you’ll bring:*** **Speed as a habit:** Drive velocity in the organization by accelerating customer, business, and technology outcomes by identifying and driving key opportunities across the company
* **Emerging technology mastery:** Continuously explore emerging trends, tools, and techniques in Generative AI. Follow trends and research topics of leveraging AI/GenAI to improve workforce efficiency.
* **Understands customer behaviors:** Partner with cross\-functional partners to influence and drive end\-to\-end solutions for customer problems. Execute with a boundaryless mindset and contribute to solutions outside of your primary area of ownership
* **Durable data solutions:** Design and implement durable data solutions that will solve critical customer problems in a fast\-paced environment. Create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Be prepared to get hands\-on and debug complex issues or create fully working POCs which teams can take forward.
* **Communicate effectively:** Explain complex designs to both technical and non\-technical stakeholders and drive consensus.
 **Qualifications**
* 7\+ years of experience in Data Analytics, Business Intelligence, Engineering or related technical field
* Bachelor's in Statistics, Mathematics, Computer Science, or related field.
* Proficient with unstructured data and turning raw data into a usable, high\-quality dataset ready for effective use
* Strong proficiency in visualization tools with hands\-on experience building complex dashboards in Tableau, Qlik, or PowerBI.
* Proven track records of developing and managing complex analytics data mart and data pipelines is a must\-have.
* Demonstrated experience with big data tools and frameworks such as Apache Spark, Hadoop or Databricks.
* Experience with data modeling, data warehousing, and building ETL pipelines.
* Experience in applying advanced analytics techniques such as python, ML models, LLM, etc., is a plus.
* Ability to create analytical framework for solving complex business problems with proven track record.
* Ability to manage multiple projects simultaneously to meet objectives.
* Outstanding communications skills with both technical and non\-technical. Be able to communicate effectively with senior executives.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
Southern California $ 184,500\- 250,000</t>
        </is>
      </c>
    </row>
    <row r="7">
      <c r="A7" t="inlineStr">
        <is>
          <t>in-c5967fd57056cacc</t>
        </is>
      </c>
      <c r="B7" t="inlineStr">
        <is>
          <t>Staff Data Engineer - Technical Strategic Programs</t>
        </is>
      </c>
      <c r="C7" t="inlineStr">
        <is>
          <t>Intuit</t>
        </is>
      </c>
      <c r="D7" t="inlineStr">
        <is>
          <t>indeed</t>
        </is>
      </c>
      <c r="E7" t="inlineStr"/>
      <c r="F7" t="inlineStr"/>
      <c r="G7" t="inlineStr">
        <is>
          <t>San Diego, CA, US</t>
        </is>
      </c>
      <c r="H7" s="1" t="n">
        <v>46077</v>
      </c>
      <c r="I7" t="inlineStr">
        <is>
          <t>**Overview**
------------
The Tech Strategic Programs organization delivers for Intuit and Tech Strategy by transforming and driving how our Technology ecosystem operates to accelerate outcomes for our customers. This small, yet mighty team works with senior leaders and partners across the company. We focus on strategic planning, the operating rhythm, executive narratives, workforce programs and delivering intelligent insights that accelerate execution across the tech portfolio and highest priority business growth areas.  
We are looking for a strategic and organized leader with a passion for innovation and data\-driven optimization. As a Data Engineer, you will work alongside senior leaders to deliver the foundational data architecture that allows Intuit to measure execution velocity and accelerate critical business outcomes. **Responsibilities**
**In this role, you will:**
* **Build and Maintain Data Marts:** Design, develop, and manage the tables and data marts that serve as the foundation for our team’s daily reporting. You will partner with data scientists, technical program managers, AI engineers, and other stakeholders to ensure our data is structured for speed and reusability.
* **Own Data Quality \&amp; Reliability:** Proactively monitor data pipelines, troubleshoot discrepancies, and debug issues quickly to ensure data integrity.
* **Track Key Success Metrics:** Implement and track leading indicators and success metrics, helping the organization understand whether initiatives are delivering the desired outcomes.
* **Develop Execution Dashboards:** Design and build intuitive, self\-service dashboards (using Tableau/Qlik) that allow stakeholders to monitor program health and execution velocity.
* **Communicate Insights:** Translate complex datasets into clear, concise summaries for business partners and leadership, highlighting trends, risks, and opportunities.
* **Collaborate Cross\-Functionally:** Partner with other analysts and data engineers across Intuit to share best practices, align on metric definitions, and drive cross\-team analytics projects.
 **What you’ll bring:*** **Speed as a habit:** Drive velocity in the organization by accelerating customer, business, and technology outcomes by identifying and driving key opportunities across the company
* **Emerging technology mastery:** Continuously explore emerging trends, tools, and techniques in Generative AI. Follow trends and research topics of leveraging AI/GenAI to improve workforce efficiency.
* **Understands customer behaviors:** Partner with cross\-functional partners to influence and drive end\-to\-end solutions for customer problems. Execute with a boundaryless mindset and contribute to solutions outside of your primary area of ownership
* **Durable data solutions:** Design and implement durable data solutions that will solve critical customer problems in a fast\-paced environment. Create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Be prepared to get hands\-on and debug complex issues or create fully working POCs which teams can take forward.
* **Communicate effectively:** Explain complex designs to both technical and non\-technical stakeholders and drive consensus.
 **Qualifications**
* 7\+ years of experience in Data Analytics, Business Intelligence, Engineering or related technical field
* Bachelor's in Statistics, Mathematics, Computer Science, or related field.
* Proficient with unstructured data and turning raw data into a usable, high\-quality dataset ready for effective use
* Strong proficiency in visualization tools with hands\-on experience building complex dashboards in Tableau, Qlik, or PowerBI.
* Proven track records of developing and managing complex analytics data mart and data pipelines is a must\-have.
* Demonstrated experience with big data tools and frameworks such as Apache Spark, Hadoop or Databricks.
* Experience with data modeling, data warehousing, and building ETL pipelines.
* Experience in applying advanced analytics techniques such as python, ML models, LLM, etc., is a plus.
* Ability to create analytical framework for solving complex business problems with proven track record.
* Ability to manage multiple projects simultaneously to meet objectives.
* Outstanding communications skills with both technical and non\-technical. Be able to communicate effectively with senior executives.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
Southern California $ 184,500\- 250,000</t>
        </is>
      </c>
    </row>
    <row r="8">
      <c r="A8" t="inlineStr">
        <is>
          <t>in-1cf7bbeb91e83bb2</t>
        </is>
      </c>
      <c r="B8" t="inlineStr">
        <is>
          <t>Senior Manager, Data Engineering</t>
        </is>
      </c>
      <c r="C8" t="inlineStr">
        <is>
          <t>Capital One</t>
        </is>
      </c>
      <c r="D8" t="inlineStr">
        <is>
          <t>indeed</t>
        </is>
      </c>
      <c r="E8" t="inlineStr"/>
      <c r="F8" t="inlineStr"/>
      <c r="G8" t="inlineStr">
        <is>
          <t>New York, NY, US</t>
        </is>
      </c>
      <c r="H8" s="1" t="n">
        <v>46076</v>
      </c>
      <c r="I8" t="inlineStr">
        <is>
          <t>Senior Manager, Data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New York, NY: $250,800 \- $286,200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in-51a70938914dfac3</t>
        </is>
      </c>
      <c r="B9" t="inlineStr">
        <is>
          <t>Lead Data Engineer (Bank Tech)</t>
        </is>
      </c>
      <c r="C9" t="inlineStr">
        <is>
          <t>Capital One</t>
        </is>
      </c>
      <c r="D9" t="inlineStr">
        <is>
          <t>indeed</t>
        </is>
      </c>
      <c r="E9" t="inlineStr"/>
      <c r="F9" t="inlineStr"/>
      <c r="G9" t="inlineStr">
        <is>
          <t>Wilmington, DE, US</t>
        </is>
      </c>
      <c r="H9" s="1" t="n">
        <v>46076</v>
      </c>
      <c r="I9" t="inlineStr">
        <is>
          <t>Lead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in-64b5a9301adddd6a</t>
        </is>
      </c>
      <c r="B10" t="inlineStr">
        <is>
          <t>Data Engineer II</t>
        </is>
      </c>
      <c r="C10" t="inlineStr">
        <is>
          <t>Microsoft</t>
        </is>
      </c>
      <c r="D10" t="inlineStr">
        <is>
          <t>indeed</t>
        </is>
      </c>
      <c r="E10" t="inlineStr"/>
      <c r="F10" t="inlineStr"/>
      <c r="G10" t="inlineStr">
        <is>
          <t>Redmond, WA, US</t>
        </is>
      </c>
      <c r="H10" s="1" t="n">
        <v>46075</v>
      </c>
      <c r="I10" t="inlineStr">
        <is>
          <t>**Overview**  
Shape the future of Surface by building the data backbone that powers insights, innovation, and customer delight. The Surface insights and intelligent experiences team drives strategic insights and innovation across Microsoft by transforming complex data into actionable intelligence and customer facing experiences. By connecting data, technology, and business priorities, the team ensures Microsoft stays ahead in delivering value at global scale.
As a **Data Engineer II** in the data services team, you will design and build scalable data pipelines, optimize data flows, and ensure the integrity and availability of mission\-critical datasets. You’ll partner closely with data science, analytics, product, and engineering teams to transform data and raw telemetry into actionable insights that drive both product innovation and experiences that empower partners and customers.
This opportunity will allow you to:
* **Accelerate your career growth** by working on high\-impact, global\-scale data systems.
* **Develop deep technical expertise** in modern data platforms, cloud services, and big data technologies.
* **Hone your problem\-solving skills** by tackling complex challenges in performance, reliability, and data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operate batch and streaming data pipelines that ingest from diverse sources into cloud data platforms (e.g., ADLS Gen2/Microsoft Fabric, Synapse/Azure SQL/Cosmos DB), with strong SLAs and observability.
* Develop services and APIs that expose curated datasets and features to downstream applications and ML/analytics scenarios; contribute to backend components, testing, and performance tuning.
* Harden security and networking for data workloads (e.g., private endpoints, VNet/VPN integration, role‑based access, key management), partnering with security and networking teams.
* Automate and productize: apply DevOps/DataOps (GitHub/Azure DevOps, CI/CD, IaC such as Bicep/Terraform) to deliver reliable releases, repeatable environments, and cost‑efficient operations.
* Collaborate \&amp; document: write design docs, review code, and work cross‑functionally with PMs, data scientists, and stakeholders.
**Qualifications** **Required Qualifications:**
* Master's Degree in Computer Science, Math, Software Engineering, Computer Engineering, or related field AND 1\+ year(s) experience in business analytics, data science, software development, data modeling, or data engineering
	+ OR Bachelor's Degree in Computer Science, Math, Software Engineering, Computer Engineering, or related field AND 2\+ years experience in business analytics, data science, software development, data modeling, or data engineering
	+ OR equivalent experience.
**Preferred qualification:**
* **3–5\+ years** building and operating data platforms/services at scale (batch \+ streaming), including cost management and observability (e.g., **Azure Monitor/Log Analytics/Azure Data Explorer**).
* Experience developing **back‑end services/APIs** (REST/gRPC), event‑driven patterns, and **containerization** (Docker/Kubernetes).
* Hands‑on with lakehouse (e.g., Delta/Parquet) and warehouse paradigms; dimensional/semantic modeling; BI enablement (e.g., **Power BI**/Fabric DW).
* IaC (Bicep/Terraform), pipeline orchestration (Fabric Data Factory/Synapse/ADF), testing frameworks (unit/integration/data quality).
\#W\+DJOBS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in-78b3cb169993a017</t>
        </is>
      </c>
      <c r="B11" t="inlineStr">
        <is>
          <t>Data Engineer II , UTR PLanning Tech</t>
        </is>
      </c>
      <c r="C11" t="inlineStr">
        <is>
          <t>Amazon.com</t>
        </is>
      </c>
      <c r="D11" t="inlineStr">
        <is>
          <t>indeed</t>
        </is>
      </c>
      <c r="E11" t="inlineStr"/>
      <c r="F11" t="inlineStr"/>
      <c r="G11" t="inlineStr">
        <is>
          <t>Nashville, TN, US</t>
        </is>
      </c>
      <c r="H11" s="1" t="n">
        <v>46070</v>
      </c>
      <c r="I1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
      <c r="A12" t="inlineStr">
        <is>
          <t>in-9eec4cfd0980c20d</t>
        </is>
      </c>
      <c r="B12" t="inlineStr">
        <is>
          <t>Data Engineer II , UTR PLanning Tech</t>
        </is>
      </c>
      <c r="C12" t="inlineStr">
        <is>
          <t>Amazon.com</t>
        </is>
      </c>
      <c r="D12" t="inlineStr">
        <is>
          <t>indeed</t>
        </is>
      </c>
      <c r="E12" t="inlineStr"/>
      <c r="F12" t="inlineStr"/>
      <c r="G12" t="inlineStr">
        <is>
          <t>Bellevue, WA, US</t>
        </is>
      </c>
      <c r="H12" s="1" t="n">
        <v>46070</v>
      </c>
      <c r="I1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3">
      <c r="A13" t="inlineStr">
        <is>
          <t>in-db4ca8610827e32e</t>
        </is>
      </c>
      <c r="B13" t="inlineStr">
        <is>
          <t>Data Engineer II , UTR PLanning Tech</t>
        </is>
      </c>
      <c r="C13" t="inlineStr">
        <is>
          <t>Amazon.com</t>
        </is>
      </c>
      <c r="D13" t="inlineStr">
        <is>
          <t>indeed</t>
        </is>
      </c>
      <c r="E13" t="inlineStr"/>
      <c r="F13" t="inlineStr"/>
      <c r="G13" t="inlineStr">
        <is>
          <t>Austin, TX, US</t>
        </is>
      </c>
      <c r="H13" s="1" t="n">
        <v>46070</v>
      </c>
      <c r="I1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4">
      <c r="A14" t="inlineStr">
        <is>
          <t>in-4041ff53d36de4be</t>
        </is>
      </c>
      <c r="B14" t="inlineStr">
        <is>
          <t>Data Engineer II, UTR PLanning Tech</t>
        </is>
      </c>
      <c r="C14" t="inlineStr">
        <is>
          <t>Amazon.com</t>
        </is>
      </c>
      <c r="D14" t="inlineStr">
        <is>
          <t>indeed</t>
        </is>
      </c>
      <c r="E14" t="inlineStr"/>
      <c r="F14" t="inlineStr"/>
      <c r="G14" t="inlineStr">
        <is>
          <t>Bellevue, WA, US</t>
        </is>
      </c>
      <c r="H14" s="1" t="n">
        <v>46065</v>
      </c>
      <c r="I1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5">
      <c r="A15" t="inlineStr">
        <is>
          <t>in-e9ac88304fb6d27c</t>
        </is>
      </c>
      <c r="B15" t="inlineStr">
        <is>
          <t>Data Engineer II, UTR PLanning Tech</t>
        </is>
      </c>
      <c r="C15" t="inlineStr">
        <is>
          <t>Amazon.com</t>
        </is>
      </c>
      <c r="D15" t="inlineStr">
        <is>
          <t>indeed</t>
        </is>
      </c>
      <c r="E15" t="inlineStr"/>
      <c r="F15" t="inlineStr"/>
      <c r="G15" t="inlineStr">
        <is>
          <t>Nashville, TN, US</t>
        </is>
      </c>
      <c r="H15" s="1" t="n">
        <v>46065</v>
      </c>
      <c r="I1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6">
      <c r="A16" t="inlineStr">
        <is>
          <t>in-60572dd752a64582</t>
        </is>
      </c>
      <c r="B16" t="inlineStr">
        <is>
          <t>Data Engineer I, UTR PLanning Tech</t>
        </is>
      </c>
      <c r="C16" t="inlineStr">
        <is>
          <t>Amazon.com</t>
        </is>
      </c>
      <c r="D16" t="inlineStr">
        <is>
          <t>indeed</t>
        </is>
      </c>
      <c r="E16" t="inlineStr"/>
      <c r="F16" t="inlineStr"/>
      <c r="G16" t="inlineStr">
        <is>
          <t>Bellevue, WA, US</t>
        </is>
      </c>
      <c r="H16" s="1" t="n">
        <v>46065</v>
      </c>
      <c r="I1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
      <c r="A17" t="inlineStr">
        <is>
          <t>in-e33624bac3515205</t>
        </is>
      </c>
      <c r="B17" t="inlineStr">
        <is>
          <t>Data Engineer II, UTR PLanning Tech</t>
        </is>
      </c>
      <c r="C17" t="inlineStr">
        <is>
          <t>Amazon.com</t>
        </is>
      </c>
      <c r="D17" t="inlineStr">
        <is>
          <t>indeed</t>
        </is>
      </c>
      <c r="E17" t="inlineStr"/>
      <c r="F17" t="inlineStr"/>
      <c r="G17" t="inlineStr">
        <is>
          <t>Austin, TX, US</t>
        </is>
      </c>
      <c r="H17" s="1" t="n">
        <v>46065</v>
      </c>
      <c r="I1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8">
      <c r="A18" t="inlineStr">
        <is>
          <t>in-5edb4ef033a4853e</t>
        </is>
      </c>
      <c r="B18" t="inlineStr">
        <is>
          <t>Data Engineer I, UTR PLanning Tech</t>
        </is>
      </c>
      <c r="C18" t="inlineStr">
        <is>
          <t>Amazon.com</t>
        </is>
      </c>
      <c r="D18" t="inlineStr">
        <is>
          <t>indeed</t>
        </is>
      </c>
      <c r="E18" t="inlineStr"/>
      <c r="F18" t="inlineStr"/>
      <c r="G18" t="inlineStr">
        <is>
          <t>Austin, TX, US</t>
        </is>
      </c>
      <c r="H18" s="1" t="n">
        <v>46065</v>
      </c>
      <c r="I1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9">
      <c r="A19" t="inlineStr">
        <is>
          <t>in-a7240667064e3516</t>
        </is>
      </c>
      <c r="B19" t="inlineStr">
        <is>
          <t>Data Engineer I, UTR PLanning Tech</t>
        </is>
      </c>
      <c r="C19" t="inlineStr">
        <is>
          <t>Amazon.com</t>
        </is>
      </c>
      <c r="D19" t="inlineStr">
        <is>
          <t>indeed</t>
        </is>
      </c>
      <c r="E19" t="inlineStr"/>
      <c r="F19" t="inlineStr"/>
      <c r="G19" t="inlineStr">
        <is>
          <t>Nashville, TN, US</t>
        </is>
      </c>
      <c r="H19" s="1" t="n">
        <v>46065</v>
      </c>
      <c r="I1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0">
      <c r="A20" t="inlineStr">
        <is>
          <t>in-886d00614afad15f</t>
        </is>
      </c>
      <c r="B20" t="inlineStr">
        <is>
          <t>Software Development Manager, Amazon Security Data Engineering</t>
        </is>
      </c>
      <c r="C20" t="inlineStr">
        <is>
          <t>Amazon.com</t>
        </is>
      </c>
      <c r="D20" t="inlineStr">
        <is>
          <t>indeed</t>
        </is>
      </c>
      <c r="E20" t="inlineStr"/>
      <c r="F20" t="inlineStr"/>
      <c r="G20" t="inlineStr">
        <is>
          <t>Herndon, VA, US</t>
        </is>
      </c>
      <c r="H20" s="1" t="n">
        <v>46063</v>
      </c>
      <c r="I20"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1">
      <c r="A21" t="inlineStr">
        <is>
          <t>in-e19480bd64870936</t>
        </is>
      </c>
      <c r="B21" t="inlineStr">
        <is>
          <t>Software Development Manager, Amazon Security Data Engineering</t>
        </is>
      </c>
      <c r="C21" t="inlineStr">
        <is>
          <t>Amazon.com</t>
        </is>
      </c>
      <c r="D21" t="inlineStr">
        <is>
          <t>indeed</t>
        </is>
      </c>
      <c r="E21" t="inlineStr"/>
      <c r="F21" t="inlineStr"/>
      <c r="G21" t="inlineStr">
        <is>
          <t>San Diego, CA, US</t>
        </is>
      </c>
      <c r="H21" s="1" t="n">
        <v>46063</v>
      </c>
      <c r="I21"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2">
      <c r="A22" t="inlineStr">
        <is>
          <t>in-50597898e2e30440</t>
        </is>
      </c>
      <c r="B22" t="inlineStr">
        <is>
          <t>Data Engineer, AMZL Orbit Data Engineering</t>
        </is>
      </c>
      <c r="C22" t="inlineStr">
        <is>
          <t>Amazon.com</t>
        </is>
      </c>
      <c r="D22" t="inlineStr">
        <is>
          <t>indeed</t>
        </is>
      </c>
      <c r="E22" t="inlineStr"/>
      <c r="F22" t="inlineStr"/>
      <c r="G22" t="inlineStr">
        <is>
          <t>Bellevue, WA, US</t>
        </is>
      </c>
      <c r="H22" s="1" t="n">
        <v>46054</v>
      </c>
      <c r="I22"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3">
      <c r="A23" t="inlineStr">
        <is>
          <t>in-a6731b4d45d89476</t>
        </is>
      </c>
      <c r="B23" t="inlineStr">
        <is>
          <t>Data Engineer, AMZL Orbit Data Engineering</t>
        </is>
      </c>
      <c r="C23" t="inlineStr">
        <is>
          <t>Amazon.com</t>
        </is>
      </c>
      <c r="D23" t="inlineStr">
        <is>
          <t>indeed</t>
        </is>
      </c>
      <c r="E23" t="inlineStr"/>
      <c r="F23" t="inlineStr"/>
      <c r="G23" t="inlineStr">
        <is>
          <t>Austin, TX, US</t>
        </is>
      </c>
      <c r="H23" s="1" t="n">
        <v>46054</v>
      </c>
      <c r="I2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4">
      <c r="A24" t="inlineStr">
        <is>
          <t>in-892e3f3650492e85</t>
        </is>
      </c>
      <c r="B24" t="inlineStr">
        <is>
          <t>Data Engineer, AMZL Orbit Data Engineering</t>
        </is>
      </c>
      <c r="C24" t="inlineStr">
        <is>
          <t>Amazon.com</t>
        </is>
      </c>
      <c r="D24" t="inlineStr">
        <is>
          <t>indeed</t>
        </is>
      </c>
      <c r="E24" t="inlineStr"/>
      <c r="F24" t="inlineStr"/>
      <c r="G24" t="inlineStr">
        <is>
          <t>Nashville, TN, US</t>
        </is>
      </c>
      <c r="H24" s="1" t="n">
        <v>46054</v>
      </c>
      <c r="I24"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5">
      <c r="A25" t="inlineStr">
        <is>
          <t>in-7062f2589c5d0f5f</t>
        </is>
      </c>
      <c r="B25" t="inlineStr">
        <is>
          <t>Data Engineer, Denied Party Screening, AWS Compliance &amp; Security Assurance</t>
        </is>
      </c>
      <c r="C25" t="inlineStr">
        <is>
          <t>Amazon.com</t>
        </is>
      </c>
      <c r="D25" t="inlineStr">
        <is>
          <t>indeed</t>
        </is>
      </c>
      <c r="E25" t="inlineStr"/>
      <c r="F25" t="inlineStr"/>
      <c r="G25" t="inlineStr">
        <is>
          <t>Dallas, TX, US</t>
        </is>
      </c>
      <c r="H25" s="1" t="n">
        <v>46029</v>
      </c>
      <c r="I2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6">
      <c r="A26" t="inlineStr">
        <is>
          <t>in-1199f14e6acc0f11</t>
        </is>
      </c>
      <c r="B26" t="inlineStr">
        <is>
          <t>Data Engineer, Denied Party Screening, AWS Compliance &amp; Security Assurance</t>
        </is>
      </c>
      <c r="C26" t="inlineStr">
        <is>
          <t>Amazon.com</t>
        </is>
      </c>
      <c r="D26" t="inlineStr">
        <is>
          <t>indeed</t>
        </is>
      </c>
      <c r="E26" t="inlineStr"/>
      <c r="F26" t="inlineStr"/>
      <c r="G26" t="inlineStr">
        <is>
          <t>Seattle, WA, US</t>
        </is>
      </c>
      <c r="H26" s="1" t="n">
        <v>46029</v>
      </c>
      <c r="I2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7">
      <c r="A27" t="inlineStr">
        <is>
          <t>in-462b8406e38f12bb</t>
        </is>
      </c>
      <c r="B27" t="inlineStr">
        <is>
          <t>Data Engineer</t>
        </is>
      </c>
      <c r="C27" t="inlineStr">
        <is>
          <t>Amazon.com</t>
        </is>
      </c>
      <c r="D27" t="inlineStr">
        <is>
          <t>indeed</t>
        </is>
      </c>
      <c r="E27" t="inlineStr"/>
      <c r="F27" t="inlineStr"/>
      <c r="G27" t="inlineStr">
        <is>
          <t>San Francisco, CA, US</t>
        </is>
      </c>
      <c r="H27" s="1" t="n">
        <v>46001</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28">
      <c r="A28" t="inlineStr">
        <is>
          <t>in-fc8d23ac7e92f7e1</t>
        </is>
      </c>
      <c r="B28" t="inlineStr">
        <is>
          <t>Data Engineer</t>
        </is>
      </c>
      <c r="C28" t="inlineStr">
        <is>
          <t>Amazon.com</t>
        </is>
      </c>
      <c r="D28" t="inlineStr">
        <is>
          <t>indeed</t>
        </is>
      </c>
      <c r="E28" t="inlineStr"/>
      <c r="F28" t="inlineStr"/>
      <c r="G28" t="inlineStr">
        <is>
          <t>Seattle, WA, US</t>
        </is>
      </c>
      <c r="H28" s="1" t="n">
        <v>46001</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29">
      <c r="A29" t="inlineStr">
        <is>
          <t>in-619ee2b50d37daac</t>
        </is>
      </c>
      <c r="B29" t="inlineStr">
        <is>
          <t>Senior Data Engineer – Upstream Oil &amp; Gas</t>
        </is>
      </c>
      <c r="C29" t="inlineStr">
        <is>
          <t>Crescent Energy</t>
        </is>
      </c>
      <c r="D29" t="inlineStr">
        <is>
          <t>indeed</t>
        </is>
      </c>
      <c r="E29">
        <f>HYPERLINK("https://www.indeed.com/viewjob?jk=619ee2b50d37daac", "https://www.indeed.com/viewjob?jk=619ee2b50d37daac")</f>
        <v/>
      </c>
      <c r="F29">
        <f>HYPERLINK("https://crescentenergyco.wd108.myworkdayjobs.com/en-US/crescent_energy_careers/job/Houston/Senior-Data-Engineer---Upstream-Oil---Gas_R224-1", "https://crescentenergyco.wd108.myworkdayjobs.com/en-US/crescent_energy_careers/job/Houston/Senior-Data-Engineer---Upstream-Oil---Gas_R224-1")</f>
        <v/>
      </c>
      <c r="G29" t="inlineStr">
        <is>
          <t>Houston, TX, US</t>
        </is>
      </c>
      <c r="H29" s="2" t="n">
        <v>46077</v>
      </c>
      <c r="I29" t="inlineStr">
        <is>
          <t>Crescent is a differentiated U.S. energy company committed to delivering value through a disciplined, returns\-driven growth through acquisition strategy and consistent return of capital. Our long\-life, balanced portfolio combines stable cash flows from low\-decline production with a deep, high\-quality development inventory.
Crescent is a top three producer (by gross operated production) in the Eagle Ford basin. Crescent’s leadership is an experienced team of investment, financial and industry professionals that combines proven investment and operating expertise . For more than a decade, Crescent and our predecessors have executed on a consistent strategy focused on cash flow, risk management and returns. Through disciplined and accretive investments, we have successfully tripled the size of our company since going public in December 2021 while maintaining a strong balance sheet.
The **Sr. Data Engineer\- Upstream Oil \&amp; Gas** is responsible for designing, building, and operating scalable, reliable, and secure data pipelines that support enterprise analytics, reporting, and advanced data use cases. This role is critical to enabling data\-driven decision\-making by ensuring trusted, high\-quality data is available across operational, engineering, financial, and HSE domains.
This position requires hands\-on experience in upstream oil and gas and proven expertise working with enterprise\-scale cloud data platforms, with Snowflake (or comparable platforms) as a core prerequisite. The Data Engineer will play a key role in advancing the company’s cloud\-based data platform and accelerating its journey toward becoming a data\-driven, technology\-enabled enterprise.
**Key Responsibilities:**
* **Data Engineering \&amp; Pipeline Development**
	+ Design, build, and maintain scalable, fault\-tolerant ETL/ELT pipelines supporting structured and semi\-structured data across upstream operational, engineering, financial, and ESG domains.
	+ Develop and operate data ingestion pipelines using Fivetran (or similar tools), including connector configuration, schema management, and change data capture (CDC) patterns.
	+ Engineer and maintain data pipelines within the Snowflake environment, ensuring reliability, performance, and cost efficiency.
	+ Monitor, troubleshoot, and remediate data pipeline failures, latency issues, and data inconsistencies in production environments.
	+ Implement logging, alerting, and basic observability for data pipelines to support operational reliability.
* **Data Transformation \&amp; Medallion Architecture**
	+ Implement data transformations using dbt, applying modular, testable, and version\-controlled transformation logic.
	+ Develop and maintain datasets aligned to a medallion architecture ensuring clear separation between raw, refined, and analytics\-ready data layers.
	+ Apply data modeling best practices (dimensional, star schema, domain\-oriented models) to support analytics and reporting use cases.
	+ Maintain documentation and tests within dbt to improve data transparency, lineage, and maintainability.
* **Analytics \&amp; Reporting Enablement**
	+ Design and deliver standardized, production\-grade dashboards and reports using Power BI and Spotfire.
	+ Work with business users to define KPIs, metrics, and reporting requirements, translating them into governed, scalable data models.
	+ Transition ad\-hoc and spreadsheet\-based reporting into certified, reusable analytics assets.
	+ Support semantic models and curated datasets that enable consistent, performant reporting across teams.
* **Data Quality, Governance \&amp; Reliability**
	+ Implement automated data quality checks, validations, and reconciliation processes within data pipelines.
	+ Publish and maintain certified datasets and analytics\-ready tables to support self\-service consumption.
	+ Enforce metric consistency by aligning transformations and reporting logic to approved definitions and standards.
	+ Apply CI/CD, version control, and testing practices to data pipelines and dbt projects.
* **Business Partnership \&amp; Enablement**
	+ Work directly with business analysts, operations users, and reporting consumers to clarify data requirements and troubleshoot issues.
	+ Support day\-to\-day data needs by delivering reliable datasets and reports aligned to defined standards and priorities.
	+ Provide technical input into data solutions while following established architecture, governance, and platform guidelines.
	+ Assist in onboarding users to certified datasets and reports, helping reduce dependency on ad\-hoc data extracts.
**Qualifications \&amp; Experience:**
* **Education:**
	+ Bachelor’s degree in Computer Science, Engineering, Information Systems, or related field.
* **Technical Skills \&amp; Experience:**
	+ 5\+ years data engineering/analytics experience.
	+ Experience with Power BI and Spotfire.
	+ Advanced SQL, dbt, Snowflake. Familiarity with medallion architecture CI/CD, and Git.
	+ Industry experience in **upstream oil and gas** is required, ideally with exposure to drilling, production operations, reserves, and regulatory reporting is required.
	+ Proven experience deploying and managing cloud data platforms with Snowflake expertise is essential.
	+ **Willing to work on\-site in our downtown office Monday\-Friday**
* **Skills \&amp; Competencies:**
	+ Strong understanding of oil and gas data domains (e.g., wells, completions, SCADA, production volumes, reserves, HSE).
	+ Expertise in data modeling, data integration (ETL/ELT), cataloging, lineage tracking, and security best practices.
**Work Environment \&amp; Physical Requirements:**
* Primarily office\-based with occasional travel to field offices and operational sites as needed.
* Potential exposure to remote and high\-risk environments, requiring adherence to safety protocols.
* May involve walking, climbing, bending, or handling equipment during site visits.
* Possible exposure to varying weather conditions (heat, cold, rain) while on\-site at the field offices.
* Availability for emergency response and incident management, including after\-hours support when required.
*Crescent Energy is an equal opportunity employer. All qualified applicants will be considered for employment without regard to race, color, religion, gender/pregnancy, gender identity or expression, sexual orientation, national origin, genetics, disability, age, veteran status or any other legally protected status. Crescent Energy is also committed to compliance with all fair employment practices regarding citizenship and immigration status. If you require accommodation to complete the application process, please let us know by contacting* *recruitment@crescentenergyco.com* *.*</t>
        </is>
      </c>
    </row>
    <row r="30">
      <c r="A30" t="inlineStr">
        <is>
          <t>in-cc3aa38b4ad83261</t>
        </is>
      </c>
      <c r="B30" t="inlineStr">
        <is>
          <t>Data Engineer</t>
        </is>
      </c>
      <c r="C30" t="inlineStr">
        <is>
          <t>CVS Health</t>
        </is>
      </c>
      <c r="D30" t="inlineStr">
        <is>
          <t>indeed</t>
        </is>
      </c>
      <c r="E30">
        <f>HYPERLINK("https://www.indeed.com/viewjob?jk=cc3aa38b4ad83261", "https://www.indeed.com/viewjob?jk=cc3aa38b4ad83261")</f>
        <v/>
      </c>
      <c r="F30">
        <f>HYPERLINK("https://click.appcast.io/t/Cf_Q_Y1fkpBh-14vETXcNg2U1v0JD3pi21V2ik-DPB8=", "https://click.appcast.io/t/Cf_Q_Y1fkpBh-14vETXcNg2U1v0JD3pi21V2ik-DPB8=")</f>
        <v/>
      </c>
      <c r="G30" t="inlineStr">
        <is>
          <t>CA, US</t>
        </is>
      </c>
      <c r="H30" s="2" t="n">
        <v>46077</v>
      </c>
      <c r="I3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Please replace this section with the Job Summary  
**Required Qualifications**  
Please replace this section with the Required Job Qualifications  
**Preferred Qualifications**  
Please replace this section with the Preferred Job Qualifications  
**Education**  
Please replace this section with the Education Requirements
**Anticipated Weekly Hours**
40**Time Type**
Full time**Pay Range**
The typical pay range for this role is:
$79,310\.00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03/02/2026
Qualified applicants with arrest or conviction records will be considered for employment in accordance with all federal, state and local laws.</t>
        </is>
      </c>
    </row>
    <row r="31">
      <c r="A31" t="inlineStr">
        <is>
          <t>in-bde8599b7458aa92</t>
        </is>
      </c>
      <c r="B31" t="inlineStr">
        <is>
          <t>Associate Data Engineer</t>
        </is>
      </c>
      <c r="C31" t="inlineStr">
        <is>
          <t>CVS Health</t>
        </is>
      </c>
      <c r="D31" t="inlineStr">
        <is>
          <t>indeed</t>
        </is>
      </c>
      <c r="E31">
        <f>HYPERLINK("https://www.indeed.com/viewjob?jk=bde8599b7458aa92", "https://www.indeed.com/viewjob?jk=bde8599b7458aa92")</f>
        <v/>
      </c>
      <c r="F31">
        <f>HYPERLINK("https://click.appcast.io/t/SuRlZTnRV4GplKp6U2vYCsTZ9LhQbt67zItr7i43CWA=", "https://click.appcast.io/t/SuRlZTnRV4GplKp6U2vYCsTZ9LhQbt67zItr7i43CWA=")</f>
        <v/>
      </c>
      <c r="G31" t="inlineStr">
        <is>
          <t>Richardson, TX, US</t>
        </is>
      </c>
      <c r="H31" s="2" t="n">
        <v>46077</v>
      </c>
      <c r="I3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the Associate Data Engineer, you will be responsible for application development for the Pharmacy Benefits Management Enterprise Data Warehouse team. The position will be accountable for designing comprehensive solutions that meet business requirements and incrementally move the data warehouse to the future state. The position requires strong attention to detail, excellent communications skills and exceptional follow through.
You will be working in a hybrid role (3 days a week onsite) in one of the CVS Health or Aetna offices in Richardson, TX or Irving, TX.  
**Required Qualifications:**
* 6\+ months Data Engineering / Data Integration experience
* 6\+ months SQL
* 6\+ months ETL (i.e. Informatica/DataStage) experience
* 6\+ months Relational Database experience (Teradata, SQL Server, Oracle)
* 6\+ months Cloud computing (preferably GCP but open to AWS or Azure)
* Strong work ethic – evening and weekend hours may be required (for project release issues, approximately 2\-3x/year)
* Excellent oral and written communications skills; ability to interact effectively with all levels within the organization
* Working knowledge of Agile methodology
* Excellent analytical and problem solving skills
* Ability to interact and work effectively with technical \&amp; non\-technical levels within the organization
* Ability to drive clarity of purpose and goals during release and planning activities
* Excellent organizational skills including ability to prioritize tasks efficiently with high level of attention to detail
**Preferred Qualifications:**
* 6\+ months experience working in a cross\-functional environment
* 6\+ months Teradata BTEQ scripting experience
* Healthcare Industry experience
 **Education:**
* Bachelor's degree or equivalent
**Anticipated Weekly Hours**
40**Time Type**
Full time**Pay Range**
The typical pay range for this role is:
$61,800\.00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32">
      <c r="A32" t="inlineStr">
        <is>
          <t>in-c35d8a97f0530af5</t>
        </is>
      </c>
      <c r="B32" t="inlineStr">
        <is>
          <t>Associate Data Engineer</t>
        </is>
      </c>
      <c r="C32" t="inlineStr">
        <is>
          <t>CVS Health</t>
        </is>
      </c>
      <c r="D32" t="inlineStr">
        <is>
          <t>indeed</t>
        </is>
      </c>
      <c r="E32">
        <f>HYPERLINK("https://www.indeed.com/viewjob?jk=c35d8a97f0530af5", "https://www.indeed.com/viewjob?jk=c35d8a97f0530af5")</f>
        <v/>
      </c>
      <c r="F32">
        <f>HYPERLINK("https://click.appcast.io/t/GO8Dn8TgCeLr4ipbGTuUxit1XJ-oVJ0Ge6j6JZu4jn4=", "https://click.appcast.io/t/GO8Dn8TgCeLr4ipbGTuUxit1XJ-oVJ0Ge6j6JZu4jn4=")</f>
        <v/>
      </c>
      <c r="G32" t="inlineStr">
        <is>
          <t>Irving, TX, US</t>
        </is>
      </c>
      <c r="H32" s="2" t="n">
        <v>46077</v>
      </c>
      <c r="I3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the Associate Data Engineer, you will be responsible for application development for the Pharmacy Benefits Management Enterprise Data Warehouse team. The position will be accountable for designing comprehensive solutions that meet business requirements and incrementally move the data warehouse to the future state. The position requires strong attention to detail, excellent communications skills and exceptional follow through.
You will be working in a hybrid role (3 days a week onsite) in one of the CVS Health or Aetna offices in Richardson, TX or Irving, TX.  
**Required Qualifications:**
* 6\+ months Data Engineering / Data Integration experience
* 6\+ months SQL
* 6\+ months ETL (i.e. Informatica/DataStage) experience
* 6\+ months Relational Database experience (Teradata, SQL Server, Oracle)
* 6\+ months Cloud computing (preferably GCP but open to AWS or Azure)
* Strong work ethic – evening and weekend hours may be required (for project release issues, approximately 2\-3x/year)
* Excellent oral and written communications skills; ability to interact effectively with all levels within the organization
* Working knowledge of Agile methodology
* Excellent analytical and problem solving skills
* Ability to interact and work effectively with technical \&amp; non\-technical levels within the organization
* Ability to drive clarity of purpose and goals during release and planning activities
* Excellent organizational skills including ability to prioritize tasks efficiently with high level of attention to detail
**Preferred Qualifications:**
* 6\+ months experience working in a cross\-functional environment
* 6\+ months Teradata BTEQ scripting experience
* Healthcare Industry experience
 **Education:**
* Bachelor's degree or equivalent
**Anticipated Weekly Hours**
40**Time Type**
Full time**Pay Range**
The typical pay range for this role is:
$61,800\.00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33">
      <c r="A33" t="inlineStr">
        <is>
          <t>in-beae81015addc664</t>
        </is>
      </c>
      <c r="B33" t="inlineStr">
        <is>
          <t>Staff Data Engineer - Technical Strategic Programs</t>
        </is>
      </c>
      <c r="C33" t="inlineStr">
        <is>
          <t>Intuit</t>
        </is>
      </c>
      <c r="D33" t="inlineStr">
        <is>
          <t>indeed</t>
        </is>
      </c>
      <c r="E33">
        <f>HYPERLINK("https://www.indeed.com/viewjob?jk=beae81015addc664", "https://www.indeed.com/viewjob?jk=beae81015addc664")</f>
        <v/>
      </c>
      <c r="F33">
        <f>HYPERLINK("https://dsp.prng.co/nqaAQCb", "https://dsp.prng.co/nqaAQCb")</f>
        <v/>
      </c>
      <c r="G33" t="inlineStr">
        <is>
          <t>Mountain View, CA, US</t>
        </is>
      </c>
      <c r="H33" s="2" t="n">
        <v>46077</v>
      </c>
      <c r="I33" t="inlineStr">
        <is>
          <t>**Overview**
------------
The Tech Strategic Programs organization delivers for Intuit and Tech Strategy by transforming and driving how our Technology ecosystem operates to accelerate outcomes for our customers. This small, yet mighty team works with senior leaders and partners across the company. We focus on strategic planning, the operating rhythm, executive narratives, workforce programs and delivering intelligent insights that accelerate execution across the tech portfolio and highest priority business growth areas.  
We are looking for a strategic and organized leader with a passion for innovation and data\-driven optimization. As a Data Engineer, you will work alongside senior leaders to deliver the foundational data architecture that allows Intuit to measure execution velocity and accelerate critical business outcomes. **Responsibilities**
**In this role, you will:**
* **Build and Maintain Data Marts:** Design, develop, and manage the tables and data marts that serve as the foundation for our team’s daily reporting. You will partner with data scientists, technical program managers, AI engineers, and other stakeholders to ensure our data is structured for speed and reusability.
* **Own Data Quality \&amp; Reliability:** Proactively monitor data pipelines, troubleshoot discrepancies, and debug issues quickly to ensure data integrity.
* **Track Key Success Metrics:** Implement and track leading indicators and success metrics, helping the organization understand whether initiatives are delivering the desired outcomes.
* **Develop Execution Dashboards:** Design and build intuitive, self\-service dashboards (using Tableau/Qlik) that allow stakeholders to monitor program health and execution velocity.
* **Communicate Insights:** Translate complex datasets into clear, concise summaries for business partners and leadership, highlighting trends, risks, and opportunities.
* **Collaborate Cross\-Functionally:** Partner with other analysts and data engineers across Intuit to share best practices, align on metric definitions, and drive cross\-team analytics projects.
 **What you’ll bring:*** **Speed as a habit:** Drive velocity in the organization by accelerating customer, business, and technology outcomes by identifying and driving key opportunities across the company
* **Emerging technology mastery:** Continuously explore emerging trends, tools, and techniques in Generative AI. Follow trends and research topics of leveraging AI/GenAI to improve workforce efficiency.
* **Understands customer behaviors:** Partner with cross\-functional partners to influence and drive end\-to\-end solutions for customer problems. Execute with a boundaryless mindset and contribute to solutions outside of your primary area of ownership
* **Durable data solutions:** Design and implement durable data solutions that will solve critical customer problems in a fast\-paced environment. Create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Be prepared to get hands\-on and debug complex issues or create fully working POCs which teams can take forward.
* **Communicate effectively:** Explain complex designs to both technical and non\-technical stakeholders and drive consensus.
 **Qualifications**
* 7\+ years of experience in Data Analytics, Business Intelligence, Engineering or related technical field
* Bachelor's in Statistics, Mathematics, Computer Science, or related field.
* Proficient with unstructured data and turning raw data into a usable, high\-quality dataset ready for effective use
* Strong proficiency in visualization tools with hands\-on experience building complex dashboards in Tableau, Qlik, or PowerBI.
* Proven track records of developing and managing complex analytics data mart and data pipelines is a must\-have.
* Demonstrated experience with big data tools and frameworks such as Apache Spark, Hadoop or Databricks.
* Experience with data modeling, data warehousing, and building ETL pipelines.
* Experience in applying advanced analytics techniques such as python, ML models, LLM, etc., is a plus.
* Ability to create analytical framework for solving complex business problems with proven track record.
* Ability to manage multiple projects simultaneously to meet objectives.
* Outstanding communications skills with both technical and non\-technical. Be able to communicate effectively with senior executives.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
Southern California $ 184,500\- 250,000</t>
        </is>
      </c>
    </row>
    <row r="34">
      <c r="A34" t="inlineStr">
        <is>
          <t>in-c5967fd57056cacc</t>
        </is>
      </c>
      <c r="B34" t="inlineStr">
        <is>
          <t>Staff Data Engineer - Technical Strategic Programs</t>
        </is>
      </c>
      <c r="C34" t="inlineStr">
        <is>
          <t>Intuit</t>
        </is>
      </c>
      <c r="D34" t="inlineStr">
        <is>
          <t>indeed</t>
        </is>
      </c>
      <c r="E34">
        <f>HYPERLINK("https://www.indeed.com/viewjob?jk=c5967fd57056cacc", "https://www.indeed.com/viewjob?jk=c5967fd57056cacc")</f>
        <v/>
      </c>
      <c r="F34">
        <f>HYPERLINK("https://dsp.prng.co/N5JBHWb", "https://dsp.prng.co/N5JBHWb")</f>
        <v/>
      </c>
      <c r="G34" t="inlineStr">
        <is>
          <t>San Diego, CA, US</t>
        </is>
      </c>
      <c r="H34" s="2" t="n">
        <v>46077</v>
      </c>
      <c r="I34" t="inlineStr">
        <is>
          <t>**Overview**
------------
The Tech Strategic Programs organization delivers for Intuit and Tech Strategy by transforming and driving how our Technology ecosystem operates to accelerate outcomes for our customers. This small, yet mighty team works with senior leaders and partners across the company. We focus on strategic planning, the operating rhythm, executive narratives, workforce programs and delivering intelligent insights that accelerate execution across the tech portfolio and highest priority business growth areas.  
We are looking for a strategic and organized leader with a passion for innovation and data\-driven optimization. As a Data Engineer, you will work alongside senior leaders to deliver the foundational data architecture that allows Intuit to measure execution velocity and accelerate critical business outcomes. **Responsibilities**
**In this role, you will:**
* **Build and Maintain Data Marts:** Design, develop, and manage the tables and data marts that serve as the foundation for our team’s daily reporting. You will partner with data scientists, technical program managers, AI engineers, and other stakeholders to ensure our data is structured for speed and reusability.
* **Own Data Quality \&amp; Reliability:** Proactively monitor data pipelines, troubleshoot discrepancies, and debug issues quickly to ensure data integrity.
* **Track Key Success Metrics:** Implement and track leading indicators and success metrics, helping the organization understand whether initiatives are delivering the desired outcomes.
* **Develop Execution Dashboards:** Design and build intuitive, self\-service dashboards (using Tableau/Qlik) that allow stakeholders to monitor program health and execution velocity.
* **Communicate Insights:** Translate complex datasets into clear, concise summaries for business partners and leadership, highlighting trends, risks, and opportunities.
* **Collaborate Cross\-Functionally:** Partner with other analysts and data engineers across Intuit to share best practices, align on metric definitions, and drive cross\-team analytics projects.
 **What you’ll bring:*** **Speed as a habit:** Drive velocity in the organization by accelerating customer, business, and technology outcomes by identifying and driving key opportunities across the company
* **Emerging technology mastery:** Continuously explore emerging trends, tools, and techniques in Generative AI. Follow trends and research topics of leveraging AI/GenAI to improve workforce efficiency.
* **Understands customer behaviors:** Partner with cross\-functional partners to influence and drive end\-to\-end solutions for customer problems. Execute with a boundaryless mindset and contribute to solutions outside of your primary area of ownership
* **Durable data solutions:** Design and implement durable data solutions that will solve critical customer problems in a fast\-paced environment. Create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Be prepared to get hands\-on and debug complex issues or create fully working POCs which teams can take forward.
* **Communicate effectively:** Explain complex designs to both technical and non\-technical stakeholders and drive consensus.
 **Qualifications**
* 7\+ years of experience in Data Analytics, Business Intelligence, Engineering or related technical field
* Bachelor's in Statistics, Mathematics, Computer Science, or related field.
* Proficient with unstructured data and turning raw data into a usable, high\-quality dataset ready for effective use
* Strong proficiency in visualization tools with hands\-on experience building complex dashboards in Tableau, Qlik, or PowerBI.
* Proven track records of developing and managing complex analytics data mart and data pipelines is a must\-have.
* Demonstrated experience with big data tools and frameworks such as Apache Spark, Hadoop or Databricks.
* Experience with data modeling, data warehousing, and building ETL pipelines.
* Experience in applying advanced analytics techniques such as python, ML models, LLM, etc., is a plus.
* Ability to create analytical framework for solving complex business problems with proven track record.
* Ability to manage multiple projects simultaneously to meet objectives.
* Outstanding communications skills with both technical and non\-technical. Be able to communicate effectively with senior executives.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
Southern California $ 184,500\- 250,000</t>
        </is>
      </c>
    </row>
    <row r="35">
      <c r="A35" t="inlineStr">
        <is>
          <t>in-1cf7bbeb91e83bb2</t>
        </is>
      </c>
      <c r="B35" t="inlineStr">
        <is>
          <t>Senior Manager, Data Engineering</t>
        </is>
      </c>
      <c r="C35" t="inlineStr">
        <is>
          <t>Capital One</t>
        </is>
      </c>
      <c r="D35" t="inlineStr">
        <is>
          <t>indeed</t>
        </is>
      </c>
      <c r="E35">
        <f>HYPERLINK("https://www.indeed.com/viewjob?jk=1cf7bbeb91e83bb2", "https://www.indeed.com/viewjob?jk=1cf7bbeb91e83bb2")</f>
        <v/>
      </c>
      <c r="F35">
        <f>HYPERLINK("https://www.capitalonecareers.com/job/-/-/1732/92101566064", "https://www.capitalonecareers.com/job/-/-/1732/92101566064")</f>
        <v/>
      </c>
      <c r="G35" t="inlineStr">
        <is>
          <t>New York, NY, US</t>
        </is>
      </c>
      <c r="H35" s="2" t="n">
        <v>46076</v>
      </c>
      <c r="I35" t="inlineStr">
        <is>
          <t>Senior Manager, Data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New York, NY: $250,800 \- $286,200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6">
      <c r="A36" t="inlineStr">
        <is>
          <t>in-51a70938914dfac3</t>
        </is>
      </c>
      <c r="B36" t="inlineStr">
        <is>
          <t>Lead Data Engineer (Bank Tech)</t>
        </is>
      </c>
      <c r="C36" t="inlineStr">
        <is>
          <t>Capital One</t>
        </is>
      </c>
      <c r="D36" t="inlineStr">
        <is>
          <t>indeed</t>
        </is>
      </c>
      <c r="E36">
        <f>HYPERLINK("https://www.indeed.com/viewjob?jk=51a70938914dfac3", "https://www.indeed.com/viewjob?jk=51a70938914dfac3")</f>
        <v/>
      </c>
      <c r="F36">
        <f>HYPERLINK("https://www.capitalonecareers.com/job/-/-/1732/92091689616", "https://www.capitalonecareers.com/job/-/-/1732/92091689616")</f>
        <v/>
      </c>
      <c r="G36" t="inlineStr">
        <is>
          <t>Wilmington, DE, US</t>
        </is>
      </c>
      <c r="H36" s="2" t="n">
        <v>46076</v>
      </c>
      <c r="I36" t="inlineStr">
        <is>
          <t>Lead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7">
      <c r="A37" t="inlineStr">
        <is>
          <t>in-64b5a9301adddd6a</t>
        </is>
      </c>
      <c r="B37" t="inlineStr">
        <is>
          <t>Data Engineer II</t>
        </is>
      </c>
      <c r="C37" t="inlineStr">
        <is>
          <t>Microsoft</t>
        </is>
      </c>
      <c r="D37" t="inlineStr">
        <is>
          <t>indeed</t>
        </is>
      </c>
      <c r="E37">
        <f>HYPERLINK("https://www.indeed.com/viewjob?jk=64b5a9301adddd6a", "https://www.indeed.com/viewjob?jk=64b5a9301adddd6a")</f>
        <v/>
      </c>
      <c r="F37">
        <f>HYPERLINK("https://apply.careers.microsoft.com/careers/job/1970393556802767?utm_source=indeed&amp;domain=microsoft.com", "https://apply.careers.microsoft.com/careers/job/1970393556802767?utm_source=indeed&amp;domain=microsoft.com")</f>
        <v/>
      </c>
      <c r="G37" t="inlineStr">
        <is>
          <t>Redmond, WA, US</t>
        </is>
      </c>
      <c r="H37" s="2" t="n">
        <v>46075</v>
      </c>
      <c r="I37" t="inlineStr">
        <is>
          <t>**Overview**  
Shape the future of Surface by building the data backbone that powers insights, innovation, and customer delight. The Surface insights and intelligent experiences team drives strategic insights and innovation across Microsoft by transforming complex data into actionable intelligence and customer facing experiences. By connecting data, technology, and business priorities, the team ensures Microsoft stays ahead in delivering value at global scale.
As a **Data Engineer II** in the data services team, you will design and build scalable data pipelines, optimize data flows, and ensure the integrity and availability of mission\-critical datasets. You’ll partner closely with data science, analytics, product, and engineering teams to transform data and raw telemetry into actionable insights that drive both product innovation and experiences that empower partners and customers.
This opportunity will allow you to:
* **Accelerate your career growth** by working on high\-impact, global\-scale data systems.
* **Develop deep technical expertise** in modern data platforms, cloud services, and big data technologies.
* **Hone your problem\-solving skills** by tackling complex challenges in performance, reliability, and data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operate batch and streaming data pipelines that ingest from diverse sources into cloud data platforms (e.g., ADLS Gen2/Microsoft Fabric, Synapse/Azure SQL/Cosmos DB), with strong SLAs and observability.
* Develop services and APIs that expose curated datasets and features to downstream applications and ML/analytics scenarios; contribute to backend components, testing, and performance tuning.
* Harden security and networking for data workloads (e.g., private endpoints, VNet/VPN integration, role‑based access, key management), partnering with security and networking teams.
* Automate and productize: apply DevOps/DataOps (GitHub/Azure DevOps, CI/CD, IaC such as Bicep/Terraform) to deliver reliable releases, repeatable environments, and cost‑efficient operations.
* Collaborate \&amp; document: write design docs, review code, and work cross‑functionally with PMs, data scientists, and stakeholders.
**Qualifications** **Required Qualifications:**
* Master's Degree in Computer Science, Math, Software Engineering, Computer Engineering, or related field AND 1\+ year(s) experience in business analytics, data science, software development, data modeling, or data engineering
	+ OR Bachelor's Degree in Computer Science, Math, Software Engineering, Computer Engineering, or related field AND 2\+ years experience in business analytics, data science, software development, data modeling, or data engineering
	+ OR equivalent experience.
**Preferred qualification:**
* **3–5\+ years** building and operating data platforms/services at scale (batch \+ streaming), including cost management and observability (e.g., **Azure Monitor/Log Analytics/Azure Data Explorer**).
* Experience developing **back‑end services/APIs** (REST/gRPC), event‑driven patterns, and **containerization** (Docker/Kubernetes).
* Hands‑on with lakehouse (e.g., Delta/Parquet) and warehouse paradigms; dimensional/semantic modeling; BI enablement (e.g., **Power BI**/Fabric DW).
* IaC (Bicep/Terraform), pipeline orchestration (Fabric Data Factory/Synapse/ADF), testing frameworks (unit/integration/data quality).
\#W\+DJOBS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8">
      <c r="A38" t="inlineStr">
        <is>
          <t>in-78b3cb169993a017</t>
        </is>
      </c>
      <c r="B38" t="inlineStr">
        <is>
          <t>Data Engineer II , UTR PLanning Tech</t>
        </is>
      </c>
      <c r="C38" t="inlineStr">
        <is>
          <t>Amazon.com</t>
        </is>
      </c>
      <c r="D38" t="inlineStr">
        <is>
          <t>indeed</t>
        </is>
      </c>
      <c r="E38">
        <f>HYPERLINK("https://www.indeed.com/viewjob?jk=78b3cb169993a017", "https://www.indeed.com/viewjob?jk=78b3cb169993a017")</f>
        <v/>
      </c>
      <c r="F38">
        <f>HYPERLINK("https://www.amazon.jobs/jobs/3186425/data-engineer-ii--utr-planning-tech?cmpid=DA_INAD200785B", "https://www.amazon.jobs/jobs/3186425/data-engineer-ii--utr-planning-tech?cmpid=DA_INAD200785B")</f>
        <v/>
      </c>
      <c r="G38" t="inlineStr">
        <is>
          <t>Nashville, TN, US</t>
        </is>
      </c>
      <c r="H38" s="2" t="n">
        <v>46070</v>
      </c>
      <c r="I3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39">
      <c r="A39" t="inlineStr">
        <is>
          <t>in-9eec4cfd0980c20d</t>
        </is>
      </c>
      <c r="B39" t="inlineStr">
        <is>
          <t>Data Engineer II , UTR PLanning Tech</t>
        </is>
      </c>
      <c r="C39" t="inlineStr">
        <is>
          <t>Amazon.com</t>
        </is>
      </c>
      <c r="D39" t="inlineStr">
        <is>
          <t>indeed</t>
        </is>
      </c>
      <c r="E39">
        <f>HYPERLINK("https://www.indeed.com/viewjob?jk=9eec4cfd0980c20d", "https://www.indeed.com/viewjob?jk=9eec4cfd0980c20d")</f>
        <v/>
      </c>
      <c r="F39">
        <f>HYPERLINK("https://www.amazon.jobs/jobs/3186425/data-engineer-ii--utr-planning-tech?cmpid=DA_INAD200785B", "https://www.amazon.jobs/jobs/3186425/data-engineer-ii--utr-planning-tech?cmpid=DA_INAD200785B")</f>
        <v/>
      </c>
      <c r="G39" t="inlineStr">
        <is>
          <t>Bellevue, WA, US</t>
        </is>
      </c>
      <c r="H39" s="2" t="n">
        <v>46070</v>
      </c>
      <c r="I3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40">
      <c r="A40" t="inlineStr">
        <is>
          <t>in-db4ca8610827e32e</t>
        </is>
      </c>
      <c r="B40" t="inlineStr">
        <is>
          <t>Data Engineer II , UTR PLanning Tech</t>
        </is>
      </c>
      <c r="C40" t="inlineStr">
        <is>
          <t>Amazon.com</t>
        </is>
      </c>
      <c r="D40" t="inlineStr">
        <is>
          <t>indeed</t>
        </is>
      </c>
      <c r="E40">
        <f>HYPERLINK("https://www.indeed.com/viewjob?jk=db4ca8610827e32e", "https://www.indeed.com/viewjob?jk=db4ca8610827e32e")</f>
        <v/>
      </c>
      <c r="F40">
        <f>HYPERLINK("https://www.amazon.jobs/jobs/3186425/data-engineer-ii--utr-planning-tech?cmpid=DA_INAD200785B", "https://www.amazon.jobs/jobs/3186425/data-engineer-ii--utr-planning-tech?cmpid=DA_INAD200785B")</f>
        <v/>
      </c>
      <c r="G40" t="inlineStr">
        <is>
          <t>Austin, TX, US</t>
        </is>
      </c>
      <c r="H40" s="2" t="n">
        <v>46070</v>
      </c>
      <c r="I4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41">
      <c r="A41" t="inlineStr">
        <is>
          <t>in-4041ff53d36de4be</t>
        </is>
      </c>
      <c r="B41" t="inlineStr">
        <is>
          <t>Data Engineer II, UTR PLanning Tech</t>
        </is>
      </c>
      <c r="C41" t="inlineStr">
        <is>
          <t>Amazon.com</t>
        </is>
      </c>
      <c r="D41" t="inlineStr">
        <is>
          <t>indeed</t>
        </is>
      </c>
      <c r="E41">
        <f>HYPERLINK("https://www.indeed.com/viewjob?jk=4041ff53d36de4be", "https://www.indeed.com/viewjob?jk=4041ff53d36de4be")</f>
        <v/>
      </c>
      <c r="F41">
        <f>HYPERLINK("https://www.amazon.jobs/jobs/3186428/data-engineer-ii-utr-planning-tech?cmpid=DA_INAD200785B", "https://www.amazon.jobs/jobs/3186428/data-engineer-ii-utr-planning-tech?cmpid=DA_INAD200785B")</f>
        <v/>
      </c>
      <c r="G41" t="inlineStr">
        <is>
          <t>Bellevue, WA, US</t>
        </is>
      </c>
      <c r="H41" s="2" t="n">
        <v>46065</v>
      </c>
      <c r="I4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42">
      <c r="A42" t="inlineStr">
        <is>
          <t>in-e9ac88304fb6d27c</t>
        </is>
      </c>
      <c r="B42" t="inlineStr">
        <is>
          <t>Data Engineer II, UTR PLanning Tech</t>
        </is>
      </c>
      <c r="C42" t="inlineStr">
        <is>
          <t>Amazon.com</t>
        </is>
      </c>
      <c r="D42" t="inlineStr">
        <is>
          <t>indeed</t>
        </is>
      </c>
      <c r="E42">
        <f>HYPERLINK("https://www.indeed.com/viewjob?jk=e9ac88304fb6d27c", "https://www.indeed.com/viewjob?jk=e9ac88304fb6d27c")</f>
        <v/>
      </c>
      <c r="F42">
        <f>HYPERLINK("https://www.amazon.jobs/jobs/3186428/data-engineer-ii-utr-planning-tech?cmpid=DA_INAD200785B", "https://www.amazon.jobs/jobs/3186428/data-engineer-ii-utr-planning-tech?cmpid=DA_INAD200785B")</f>
        <v/>
      </c>
      <c r="G42" t="inlineStr">
        <is>
          <t>Nashville, TN, US</t>
        </is>
      </c>
      <c r="H42" s="2" t="n">
        <v>46065</v>
      </c>
      <c r="I4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43">
      <c r="A43" t="inlineStr">
        <is>
          <t>in-60572dd752a64582</t>
        </is>
      </c>
      <c r="B43" t="inlineStr">
        <is>
          <t>Data Engineer I, UTR PLanning Tech</t>
        </is>
      </c>
      <c r="C43" t="inlineStr">
        <is>
          <t>Amazon.com</t>
        </is>
      </c>
      <c r="D43" t="inlineStr">
        <is>
          <t>indeed</t>
        </is>
      </c>
      <c r="E43">
        <f>HYPERLINK("https://www.indeed.com/viewjob?jk=60572dd752a64582", "https://www.indeed.com/viewjob?jk=60572dd752a64582")</f>
        <v/>
      </c>
      <c r="F43">
        <f>HYPERLINK("https://www.amazon.jobs/jobs/3186421/data-engineer-i-utr-planning-tech?cmpid=DA_INAD200785B", "https://www.amazon.jobs/jobs/3186421/data-engineer-i-utr-planning-tech?cmpid=DA_INAD200785B")</f>
        <v/>
      </c>
      <c r="G43" t="inlineStr">
        <is>
          <t>Bellevue, WA, US</t>
        </is>
      </c>
      <c r="H43" s="2" t="n">
        <v>46065</v>
      </c>
      <c r="I4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44">
      <c r="A44" t="inlineStr">
        <is>
          <t>in-e33624bac3515205</t>
        </is>
      </c>
      <c r="B44" t="inlineStr">
        <is>
          <t>Data Engineer II, UTR PLanning Tech</t>
        </is>
      </c>
      <c r="C44" t="inlineStr">
        <is>
          <t>Amazon.com</t>
        </is>
      </c>
      <c r="D44" t="inlineStr">
        <is>
          <t>indeed</t>
        </is>
      </c>
      <c r="E44">
        <f>HYPERLINK("https://www.indeed.com/viewjob?jk=e33624bac3515205", "https://www.indeed.com/viewjob?jk=e33624bac3515205")</f>
        <v/>
      </c>
      <c r="F44">
        <f>HYPERLINK("https://www.amazon.jobs/jobs/3186428/data-engineer-ii-utr-planning-tech?cmpid=DA_INAD200785B", "https://www.amazon.jobs/jobs/3186428/data-engineer-ii-utr-planning-tech?cmpid=DA_INAD200785B")</f>
        <v/>
      </c>
      <c r="G44" t="inlineStr">
        <is>
          <t>Austin, TX, US</t>
        </is>
      </c>
      <c r="H44" s="2" t="n">
        <v>46065</v>
      </c>
      <c r="I4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45">
      <c r="A45" t="inlineStr">
        <is>
          <t>in-5edb4ef033a4853e</t>
        </is>
      </c>
      <c r="B45" t="inlineStr">
        <is>
          <t>Data Engineer I, UTR PLanning Tech</t>
        </is>
      </c>
      <c r="C45" t="inlineStr">
        <is>
          <t>Amazon.com</t>
        </is>
      </c>
      <c r="D45" t="inlineStr">
        <is>
          <t>indeed</t>
        </is>
      </c>
      <c r="E45">
        <f>HYPERLINK("https://www.indeed.com/viewjob?jk=5edb4ef033a4853e", "https://www.indeed.com/viewjob?jk=5edb4ef033a4853e")</f>
        <v/>
      </c>
      <c r="F45">
        <f>HYPERLINK("https://www.amazon.jobs/jobs/3186421/data-engineer-i-utr-planning-tech?cmpid=DA_INAD200785B", "https://www.amazon.jobs/jobs/3186421/data-engineer-i-utr-planning-tech?cmpid=DA_INAD200785B")</f>
        <v/>
      </c>
      <c r="G45" t="inlineStr">
        <is>
          <t>Austin, TX, US</t>
        </is>
      </c>
      <c r="H45" s="2" t="n">
        <v>46065</v>
      </c>
      <c r="I4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46">
      <c r="A46" t="inlineStr">
        <is>
          <t>in-a7240667064e3516</t>
        </is>
      </c>
      <c r="B46" t="inlineStr">
        <is>
          <t>Data Engineer I, UTR PLanning Tech</t>
        </is>
      </c>
      <c r="C46" t="inlineStr">
        <is>
          <t>Amazon.com</t>
        </is>
      </c>
      <c r="D46" t="inlineStr">
        <is>
          <t>indeed</t>
        </is>
      </c>
      <c r="E46">
        <f>HYPERLINK("https://www.indeed.com/viewjob?jk=a7240667064e3516", "https://www.indeed.com/viewjob?jk=a7240667064e3516")</f>
        <v/>
      </c>
      <c r="F46">
        <f>HYPERLINK("https://www.amazon.jobs/jobs/3186421/data-engineer-i-utr-planning-tech?cmpid=DA_INAD200785B", "https://www.amazon.jobs/jobs/3186421/data-engineer-i-utr-planning-tech?cmpid=DA_INAD200785B")</f>
        <v/>
      </c>
      <c r="G46" t="inlineStr">
        <is>
          <t>Nashville, TN, US</t>
        </is>
      </c>
      <c r="H46" s="2" t="n">
        <v>46065</v>
      </c>
      <c r="I4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47">
      <c r="A47" t="inlineStr">
        <is>
          <t>in-886d00614afad15f</t>
        </is>
      </c>
      <c r="B47" t="inlineStr">
        <is>
          <t>Software Development Manager, Amazon Security Data Engineering</t>
        </is>
      </c>
      <c r="C47" t="inlineStr">
        <is>
          <t>Amazon.com</t>
        </is>
      </c>
      <c r="D47" t="inlineStr">
        <is>
          <t>indeed</t>
        </is>
      </c>
      <c r="E47">
        <f>HYPERLINK("https://www.indeed.com/viewjob?jk=886d00614afad15f", "https://www.indeed.com/viewjob?jk=886d00614afad15f")</f>
        <v/>
      </c>
      <c r="F47">
        <f>HYPERLINK("https://www.amazon.jobs/jobs/3188767/software-development-manager-amazon-security-data-engineering?cmpid=DA_INAD200785B", "https://www.amazon.jobs/jobs/3188767/software-development-manager-amazon-security-data-engineering?cmpid=DA_INAD200785B")</f>
        <v/>
      </c>
      <c r="G47" t="inlineStr">
        <is>
          <t>Herndon, VA, US</t>
        </is>
      </c>
      <c r="H47" s="2" t="n">
        <v>46063</v>
      </c>
      <c r="I47"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48">
      <c r="A48" t="inlineStr">
        <is>
          <t>in-e19480bd64870936</t>
        </is>
      </c>
      <c r="B48" t="inlineStr">
        <is>
          <t>Software Development Manager, Amazon Security Data Engineering</t>
        </is>
      </c>
      <c r="C48" t="inlineStr">
        <is>
          <t>Amazon.com</t>
        </is>
      </c>
      <c r="D48" t="inlineStr">
        <is>
          <t>indeed</t>
        </is>
      </c>
      <c r="E48">
        <f>HYPERLINK("https://www.indeed.com/viewjob?jk=e19480bd64870936", "https://www.indeed.com/viewjob?jk=e19480bd64870936")</f>
        <v/>
      </c>
      <c r="F48">
        <f>HYPERLINK("https://www.amazon.jobs/jobs/3188767/software-development-manager-amazon-security-data-engineering?cmpid=DA_INAD200785B", "https://www.amazon.jobs/jobs/3188767/software-development-manager-amazon-security-data-engineering?cmpid=DA_INAD200785B")</f>
        <v/>
      </c>
      <c r="G48" t="inlineStr">
        <is>
          <t>San Diego, CA, US</t>
        </is>
      </c>
      <c r="H48" s="2" t="n">
        <v>46063</v>
      </c>
      <c r="I48"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49">
      <c r="A49" t="inlineStr">
        <is>
          <t>in-50597898e2e30440</t>
        </is>
      </c>
      <c r="B49" t="inlineStr">
        <is>
          <t>Data Engineer, AMZL Orbit Data Engineering</t>
        </is>
      </c>
      <c r="C49" t="inlineStr">
        <is>
          <t>Amazon.com</t>
        </is>
      </c>
      <c r="D49" t="inlineStr">
        <is>
          <t>indeed</t>
        </is>
      </c>
      <c r="E49">
        <f>HYPERLINK("https://www.indeed.com/viewjob?jk=50597898e2e30440", "https://www.indeed.com/viewjob?jk=50597898e2e30440")</f>
        <v/>
      </c>
      <c r="F49">
        <f>HYPERLINK("https://www.amazon.jobs/jobs/3184381/data-engineer-amzl-orbit-data-engineering?cmpid=DA_INAD200785B", "https://www.amazon.jobs/jobs/3184381/data-engineer-amzl-orbit-data-engineering?cmpid=DA_INAD200785B")</f>
        <v/>
      </c>
      <c r="G49" t="inlineStr">
        <is>
          <t>Bellevue, WA, US</t>
        </is>
      </c>
      <c r="H49" s="2" t="n">
        <v>46054</v>
      </c>
      <c r="I49"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50">
      <c r="A50" t="inlineStr">
        <is>
          <t>in-a6731b4d45d89476</t>
        </is>
      </c>
      <c r="B50" t="inlineStr">
        <is>
          <t>Data Engineer, AMZL Orbit Data Engineering</t>
        </is>
      </c>
      <c r="C50" t="inlineStr">
        <is>
          <t>Amazon.com</t>
        </is>
      </c>
      <c r="D50" t="inlineStr">
        <is>
          <t>indeed</t>
        </is>
      </c>
      <c r="E50">
        <f>HYPERLINK("https://www.indeed.com/viewjob?jk=a6731b4d45d89476", "https://www.indeed.com/viewjob?jk=a6731b4d45d89476")</f>
        <v/>
      </c>
      <c r="F50">
        <f>HYPERLINK("https://www.amazon.jobs/jobs/3184381/data-engineer-amzl-orbit-data-engineering?cmpid=DA_INAD200785B", "https://www.amazon.jobs/jobs/3184381/data-engineer-amzl-orbit-data-engineering?cmpid=DA_INAD200785B")</f>
        <v/>
      </c>
      <c r="G50" t="inlineStr">
        <is>
          <t>Austin, TX, US</t>
        </is>
      </c>
      <c r="H50" s="2" t="n">
        <v>46054</v>
      </c>
      <c r="I50"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51">
      <c r="A51" t="inlineStr">
        <is>
          <t>in-892e3f3650492e85</t>
        </is>
      </c>
      <c r="B51" t="inlineStr">
        <is>
          <t>Data Engineer, AMZL Orbit Data Engineering</t>
        </is>
      </c>
      <c r="C51" t="inlineStr">
        <is>
          <t>Amazon.com</t>
        </is>
      </c>
      <c r="D51" t="inlineStr">
        <is>
          <t>indeed</t>
        </is>
      </c>
      <c r="E51">
        <f>HYPERLINK("https://www.indeed.com/viewjob?jk=892e3f3650492e85", "https://www.indeed.com/viewjob?jk=892e3f3650492e85")</f>
        <v/>
      </c>
      <c r="F51">
        <f>HYPERLINK("https://www.amazon.jobs/jobs/3184381/data-engineer-amzl-orbit-data-engineering?cmpid=DA_INAD200785B", "https://www.amazon.jobs/jobs/3184381/data-engineer-amzl-orbit-data-engineering?cmpid=DA_INAD200785B")</f>
        <v/>
      </c>
      <c r="G51" t="inlineStr">
        <is>
          <t>Nashville, TN, US</t>
        </is>
      </c>
      <c r="H51" s="2" t="n">
        <v>46054</v>
      </c>
      <c r="I51"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52">
      <c r="A52" t="inlineStr">
        <is>
          <t>in-7062f2589c5d0f5f</t>
        </is>
      </c>
      <c r="B52" t="inlineStr">
        <is>
          <t>Data Engineer, Denied Party Screening, AWS Compliance &amp; Security Assurance</t>
        </is>
      </c>
      <c r="C52" t="inlineStr">
        <is>
          <t>Amazon.com</t>
        </is>
      </c>
      <c r="D52" t="inlineStr">
        <is>
          <t>indeed</t>
        </is>
      </c>
      <c r="E52">
        <f>HYPERLINK("https://www.indeed.com/viewjob?jk=7062f2589c5d0f5f", "https://www.indeed.com/viewjob?jk=7062f2589c5d0f5f")</f>
        <v/>
      </c>
      <c r="F52">
        <f>HYPERLINK("https://www.amazon.jobs/jobs/3160403/data-engineer-denied-party-screening-aws-compliance--security-assurance?cmpid=DA_INAD200785B", "https://www.amazon.jobs/jobs/3160403/data-engineer-denied-party-screening-aws-compliance--security-assurance?cmpid=DA_INAD200785B")</f>
        <v/>
      </c>
      <c r="G52" t="inlineStr">
        <is>
          <t>Dallas, TX, US</t>
        </is>
      </c>
      <c r="H52" s="2" t="n">
        <v>46029</v>
      </c>
      <c r="I5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53">
      <c r="A53" t="inlineStr">
        <is>
          <t>in-1199f14e6acc0f11</t>
        </is>
      </c>
      <c r="B53" t="inlineStr">
        <is>
          <t>Data Engineer, Denied Party Screening, AWS Compliance &amp; Security Assurance</t>
        </is>
      </c>
      <c r="C53" t="inlineStr">
        <is>
          <t>Amazon.com</t>
        </is>
      </c>
      <c r="D53" t="inlineStr">
        <is>
          <t>indeed</t>
        </is>
      </c>
      <c r="E53">
        <f>HYPERLINK("https://www.indeed.com/viewjob?jk=1199f14e6acc0f11", "https://www.indeed.com/viewjob?jk=1199f14e6acc0f11")</f>
        <v/>
      </c>
      <c r="F53">
        <f>HYPERLINK("https://www.amazon.jobs/jobs/3160403/data-engineer-denied-party-screening-aws-compliance--security-assurance?cmpid=DA_INAD200785B", "https://www.amazon.jobs/jobs/3160403/data-engineer-denied-party-screening-aws-compliance--security-assurance?cmpid=DA_INAD200785B")</f>
        <v/>
      </c>
      <c r="G53" t="inlineStr">
        <is>
          <t>Seattle, WA, US</t>
        </is>
      </c>
      <c r="H53" s="2" t="n">
        <v>46029</v>
      </c>
      <c r="I5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54">
      <c r="A54" t="inlineStr">
        <is>
          <t>in-462b8406e38f12bb</t>
        </is>
      </c>
      <c r="B54" t="inlineStr">
        <is>
          <t>Data Engineer</t>
        </is>
      </c>
      <c r="C54" t="inlineStr">
        <is>
          <t>Amazon.com</t>
        </is>
      </c>
      <c r="D54" t="inlineStr">
        <is>
          <t>indeed</t>
        </is>
      </c>
      <c r="E54">
        <f>HYPERLINK("https://www.indeed.com/viewjob?jk=462b8406e38f12bb", "https://www.indeed.com/viewjob?jk=462b8406e38f12bb")</f>
        <v/>
      </c>
      <c r="F54">
        <f>HYPERLINK("https://www.amazon.jobs/jobs/3141339/data-engineer?cmpid=DA_INAD200785B", "https://www.amazon.jobs/jobs/3141339/data-engineer?cmpid=DA_INAD200785B")</f>
        <v/>
      </c>
      <c r="G54" t="inlineStr">
        <is>
          <t>San Francisco, CA, US</t>
        </is>
      </c>
      <c r="H54" s="2" t="n">
        <v>46001</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55">
      <c r="A55" t="inlineStr">
        <is>
          <t>in-fc8d23ac7e92f7e1</t>
        </is>
      </c>
      <c r="B55" t="inlineStr">
        <is>
          <t>Data Engineer</t>
        </is>
      </c>
      <c r="C55" t="inlineStr">
        <is>
          <t>Amazon.com</t>
        </is>
      </c>
      <c r="D55" t="inlineStr">
        <is>
          <t>indeed</t>
        </is>
      </c>
      <c r="E55">
        <f>HYPERLINK("https://www.indeed.com/viewjob?jk=fc8d23ac7e92f7e1", "https://www.indeed.com/viewjob?jk=fc8d23ac7e92f7e1")</f>
        <v/>
      </c>
      <c r="F55">
        <f>HYPERLINK("https://www.amazon.jobs/jobs/3141339/data-engineer?cmpid=DA_INAD200785B", "https://www.amazon.jobs/jobs/3141339/data-engineer?cmpid=DA_INAD200785B")</f>
        <v/>
      </c>
      <c r="G55" t="inlineStr">
        <is>
          <t>Seattle, WA, US</t>
        </is>
      </c>
      <c r="H55" s="2" t="n">
        <v>46001</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li-4352782975</t>
        </is>
      </c>
      <c r="B2" t="inlineStr">
        <is>
          <t>Lead Data Engineer - Hybrid (Raleigh or Jersey City)</t>
        </is>
      </c>
      <c r="C2" t="inlineStr">
        <is>
          <t>Arch Insurance Group Inc.</t>
        </is>
      </c>
      <c r="D2" t="inlineStr">
        <is>
          <t>linkedin</t>
        </is>
      </c>
      <c r="E2" t="inlineStr"/>
      <c r="F2" t="inlineStr"/>
      <c r="G2" t="inlineStr"/>
      <c r="H2" t="inlineStr"/>
      <c r="I2"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We are seeking a highly skilled and motivated Lead Data Engineer to oversee the technical design and implementation of data solutions, champion best practices in data management, and lead a team of developers. This role is critical in ensuring that our data initiatives align with business goals and that robust technical plans are in place to support our roadmap.
 We are seeking a hybrid (three\-times\-a\-week, in\-office) employee based in either the Raleigh, NC or Jersey City, NJ areas. Candidates must be available to participate in onsite interviews at one of these locations in order to be considered.
**Key Responsibilities**
* Lead the team in the process design, technical architecture, and engineering practices on new implementations and day to day support and operations.
* Provide technical guidance and mentorship to the team through knowledge sharing and day to day activities (design \&amp; code reviews, story/requirements definition, writing/maintaining wiki knowledge base)
* Ensure adherence to the company's architecture, data governance, quality, and security standards and create standards for the team where the broader company standards do not cover a specific area
* Collaborate with product owner/managers and stakeholders to align data initiatives with the product roadmap.
* Manage the complete implementation team (engineers, QA, and BSA)
* Keep data projects on track with defined milestones and deliverables including raising risks with suggestions on how to mitigate, work around, or resolve them
* Foster a collaborative culture by promoting data literacy and self\-service analytics across the organization
**Qualifications**
* Bachelor’s or Master’s degree in Computer Science, Data Engineering, or a related field.
* 7\+ years of experience in data engineering or data architecture roles.
* Strong expertise in SQL (MSSQL or Snowflake preferred) and ETL platforms (SSIS, Azure Data Factory, or Informatica)
* Excellent communication and stakeholder management skills.
* Able to articulate and demonstrate prior examples of implementing Proven experience leading technical teams and managing complex data projects.
**Preferred Qualifications**
* Experience with Agile methodologies and DevOps practices in an environment with multiple teams coordinating on a single system
* Insurance industry experience
 For individuals assigned or hired to work in the location(s) indicated below, the base salary range is provided. Range is as of the time of posting. Position is incentive eligible.
 $130,000 \- $175,000/year
*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pay range may be modified in the future.
* Arch is committed to helping employees succeed through our comprehensive benefits package that includes multiple medical plans plus dental, vision and prescription drug coverage; a competitive 401k with generous matching; PTO beginning at 20 days per year; up to 12 paid company holidays per year plus 2 paid days of Volunteer Time Offer; basic Life and AD\&amp;D Insurance as well as Short and Long\-Term Disability; Paid Parental Leave of up to 10 weeks; Student Loan Assistance and Tuition Reimbursement, Backup Child and Elder Care; and more.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14400 Arch Insurance Group Inc.</t>
        </is>
      </c>
    </row>
    <row r="3">
      <c r="A3" t="inlineStr">
        <is>
          <t>li-4377870383</t>
        </is>
      </c>
      <c r="B3" t="inlineStr">
        <is>
          <t>Data Engineer</t>
        </is>
      </c>
      <c r="C3" t="inlineStr">
        <is>
          <t>Allegiant</t>
        </is>
      </c>
      <c r="D3" t="inlineStr">
        <is>
          <t>linkedin</t>
        </is>
      </c>
      <c r="E3" t="inlineStr"/>
      <c r="F3" t="inlineStr"/>
      <c r="G3" t="inlineStr">
        <is>
          <t>Las Vegas, NV</t>
        </is>
      </c>
      <c r="H3" t="inlineStr"/>
      <c r="I3" t="inlineStr">
        <is>
          <t>**Summary**
 The Data Engineer is responsible for architecting, developing, and maintaining Allegiant’s enterprise data infrastructure. The Data Engineer will oversee our transition from on\-premise data marts to a cloud hosted warehouse data and develop the next generation of our data tools.
**Visa Sponsorship Available: No**
**Minimum Requirements**
 Combination of Education and Experience will be considered. Must be authorized to work in the US as defined by the Immigration Act of 1986\. Must pass a Criminal Background Check.
 Education: Bachelor’s Degree In Computer Science, Engineering, or a related technical field.
 Years of Experience:
 Minimum three (3\) years of experience as a Data Engineer which includes work experience in data mart development and data warehousing, including experience working with ETL processes, OLAP structures, and dimensional modeling.
* Strong SQL Server and Amazon Redshift skills
* In depth understanding of database architecture
* Demonstrated basic proficiency in AWS services, including but not limited to S3, Glue, Lambda, and Redshift
* Basic understanding of Infrastructure as Code (IAC) principles to define and manage infrastructure using code (e.g., AWS CloudFormation, Terraform)
* Manage time effectively to meet deadlines across multiple projects
* Excellent critical thinker and effective problem solver with creative solutions
* Detail oriented and highly organized
* Results\-driven; accepting responsibility for individual performance and contributions to team projects
* Ability to work a hybrid schedule with the expectation to be in the office 2 days a week or 8 days a month (when campus is open) and to work the remainder remotely
* Must be able to work in a high pressure environment
* Must have sufficient vision and ability to safely perform the essential functions of the position
**Preferred Requirements**
* Python development skills
**Job Duties**
* Develop and maintain Allegiant data marts and data warehouses
* Migrate Allegiant’s existing on\-premise infrastructure to the AWS environment
* Design, implement, and maintain scalable ETL processes to ensure efficient data flow and accessibility
* Implement data quality checks to ensure accuracy and reliability of data
* Troubleshoot and resolve issues related to data processing and ETL pipelines
* Design, build, and implement data transformation, conversion, and validation of data required for BI applications
* Maintain SQL Server and Redshift data marts, databases, and data warehouses
* Provide services to replicate data from various data sources to reporting database servers for enterprise reporting applications
* Work closely with the business to understand and translate user requirements into practical data models
* Develop and maintain repeatable, systemic processes while finding ways to make internal team processes more efficient
* Other duties as assigned
 Physical Requirements
 The Physical Demands and Work Environment described here are a representative of those that must be met by a Team Member to successfully perform the essential functions of the role. Reasonable accommodations may be made to enable individuals with disabilities to perform the essential functions of the role.
 Office/IT \- While performing the duties of this job, the Team Member is regularly required to stand, sit, talk, hear, see, reach, stoop, kneel, and use hands and fingers to operate a computer, key board, printer, and phone. May be required to lift, push, pull, or carry up to 50 lbs. May be required to work various shifts/days in a 24 hour situation. Regular attendance is a requirement of the role. Exposure to moderate noise (i.e. business office with computers, phones, printers, and foot traffic), temperature and light fluctuations. Ability to work in a confined area as well as the ability to sit at a computer terminal for an extended period of time. Some travel may be a requirement of the role.
 Essential Services Provider
 Allegiant as a national air carrier is deemed an essential service provider during declared national and state emergencies. Team Members will be required to report to their assigned trip or work location during national and state emergencies unless prohibited by local, state or federal order.
 EEO Statement
 We welcome all individuals from varied backgrounds and experiences to apply. Our company celebrates diversity, and we value the unique perspectives and talents that each person brings to our team.
 Equal Opportunity Employer: Disability/Veteran
 For more information, see https://allegiantair.jobs
 Full Time Benefits:
 Profit Sharing
 Medical/Dental/Vision/Life/ Disability Insurance
 Medical Travel Reimbursement
 Legal, Identity and Pet Insurance
 401K with an employer match
 Employee Stock Purchase Plan
 Employee Assistance Program
 Tuition Reimbursement
 Flight Benefits
 Paid vacation, holidays, and sick time
 Part Time Benefits:
 Profit Sharing
 Medical Travel Reimbursement
 Legal, Identity and Pet Insurance
 401K with an employer match
 Employee Stock Purchase Plan
 Employee Assistance Program
 Tuition Reimbursement
 Flight Benefits
 Sick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c r="A4" t="inlineStr">
        <is>
          <t>li-4377871121</t>
        </is>
      </c>
      <c r="B4" t="inlineStr">
        <is>
          <t>Azure Data Engineer</t>
        </is>
      </c>
      <c r="C4" t="inlineStr">
        <is>
          <t>Largeton Group</t>
        </is>
      </c>
      <c r="D4" t="inlineStr">
        <is>
          <t>linkedin</t>
        </is>
      </c>
      <c r="E4" t="inlineStr"/>
      <c r="F4" t="inlineStr"/>
      <c r="G4" t="inlineStr">
        <is>
          <t>Cleveland, OH</t>
        </is>
      </c>
      <c r="H4" t="inlineStr"/>
      <c r="I4" t="inlineStr">
        <is>
          <t>**Job Summary (Azure Data Engineer – MAI Capital Management)**
* Serve as a foundational member of a new data team, focusing on stabilizing and modernizing an extensive Azure\-based data environment.
* Work on\-site in Cleveland, OH (hybrid: 4 days onsite, 1 day remote weekly).
* Design, develop, and maintain scalable ETL/ELT pipelines using Azure Data Factory and related Azure services.
* Support, optimize, and stabilize Azure SQL, Synapse, and Data Lake environments, ensuring data integrity and reliability.
* Write and optimize complex SQL queries and stored procedures; develop data transformation logic using Python.
* Own production pipeline health by monitoring, logging, alerting, and responding to incidents.
* Conduct root\-cause analysis and implement lasting remediation for data issues.
* Implement data quality controls, validation frameworks, and maintain thorough documentation and deployment traceability.
* Collaborate with analytics stakeholders to ensure datasets support downstream reporting and visualization (Power BI, Tableau, etc.).
* Contribute to CI/CD workflows, Azure DevOps, and infrastructure\-as\-code initiatives.
* Work closely with legacy financial datasets and support enterprise initiatives such as Salesforce CRM expansion, ERP integration, client data portals, and data governance formalization.
* Ideal candidate has 4–8 years of data engineering experience, advanced SQL and Azure Data Factory skills, strong Python abilities, and a background in financial services, fintech, or insurance data environments.
* Excellent communication, documentation, and stakeholder management skills required.
* Experience with Azure Synapse, ERP/CRM integration, and Azure certifications are highly valued.</t>
        </is>
      </c>
    </row>
    <row r="5">
      <c r="A5" t="inlineStr">
        <is>
          <t>li-4376762779</t>
        </is>
      </c>
      <c r="B5" t="inlineStr">
        <is>
          <t>Data Engineer</t>
        </is>
      </c>
      <c r="C5" t="inlineStr">
        <is>
          <t>AARATECH</t>
        </is>
      </c>
      <c r="D5" t="inlineStr">
        <is>
          <t>linkedin</t>
        </is>
      </c>
      <c r="E5" t="inlineStr"/>
      <c r="F5" t="inlineStr"/>
      <c r="G5" t="inlineStr"/>
      <c r="H5" t="inlineStr"/>
      <c r="I5"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6">
      <c r="A6" t="inlineStr">
        <is>
          <t>li-4361354408</t>
        </is>
      </c>
      <c r="B6" t="inlineStr">
        <is>
          <t>Data Engineer</t>
        </is>
      </c>
      <c r="C6" t="inlineStr">
        <is>
          <t>Alt</t>
        </is>
      </c>
      <c r="D6" t="inlineStr">
        <is>
          <t>linkedin</t>
        </is>
      </c>
      <c r="E6" t="inlineStr"/>
      <c r="F6" t="inlineStr"/>
      <c r="G6" t="inlineStr"/>
      <c r="H6" t="inlineStr"/>
      <c r="I6"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The Role
 Are you a data engineer who thrives on building robust pipelines and solving complex data challenges? In this role, you'll own Alt's critical data infrastructure that powers our pricing model and marketplace insights by ingesting transaction and listing data from dozens of external marketplaces. You'll be responsible for ensuring our data pipelines deliver fresh, accurate information that drives pricing decisions, market analytics, and business intelligence across the entire platform.
 What you'll do here
* Design, optimize and own data pipelines that scrape, process and ingest transaction and listing data from major auction houses and marketplaces.
* Build comprehensive monitoring and alerting systems to track latency, uptime, and coverage metrics across all data sources.
* Continuously improve our data infrastructure by modernizing storage and processing technologies, reducing manual interventions, and optimizing for cost, performance, and reliability.
* Partner with internal teams to understand data usage patterns and ensure pipelines deliver clean, standardized data that meets product requirements.
 This is a perfect fit if you...
* Care deeply about data quality and understand that extraction is only the beginning \- the real value comes from delivering clean and usable data.
* Thrive in a startup environment where you can make immediate impact and own critical systems end\-to\-end.
* Take an incremental approach to improvements, preferring evidence\-based decisions over wholesale replacements.
* Are intellectually curious about how data flows through systems and passionate about automation opportunities.
* Want to work at the intersection of data engineering and product, understanding how your pipelines directly impact business outcomes.
 What you bring to the table
**Must\-haves**
* 3\-4 years of experience in data engineering or related fields
* Strong Python proficiency with at least 3 years of hands\-on experience
* Proven experience with large\-scale data processing using dataframe technologies (Pandas, Polars, PySpark, or similar)
* Hands\-on experience with pipeline orchestration tools (Airflow, Dagster, or similar DAG\-based systems)
* Track record of owning at least one data pipeline end\-to\-end within the past 2 years
* Solid SQL skills for data analysis and transformation
* Previous startup experience \- you understand the pace and adaptability required in a fast\-moving environment
* A pragmatic mindset focused on delivering value incrementally rather than pursuing perfection
**Nice\-to\-haves**
* Experience with web scraping technologies (Selenium, Puppeteer, Beautiful Soup)
* Familiarity with data infrastructure and cloud services (AWS preferred)
* Interest in or knowledge of trading cards, collectibles, or alternative asset markets
* Experience with LLM\-based automation tools for data extraction and processing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$155,000–$165,000, plus equity. Offers may vary based on experience, location, and other factors.</t>
        </is>
      </c>
    </row>
    <row r="7">
      <c r="A7" t="inlineStr">
        <is>
          <t>li-4368549321</t>
        </is>
      </c>
      <c r="B7" t="inlineStr">
        <is>
          <t>Data Engineer II</t>
        </is>
      </c>
      <c r="C7" t="inlineStr">
        <is>
          <t>Stackline</t>
        </is>
      </c>
      <c r="D7" t="inlineStr">
        <is>
          <t>linkedin</t>
        </is>
      </c>
      <c r="E7" t="inlineStr"/>
      <c r="F7" t="inlineStr"/>
      <c r="G7" t="inlineStr">
        <is>
          <t>Seattle, WA</t>
        </is>
      </c>
      <c r="H7" t="inlineStr"/>
      <c r="I7" t="inlineStr">
        <is>
          <t>Stackline is the first full\-funnel connected commerce platform for the world's most innovative brands. Business leaders, product innovators, performance marketers, and analysts trust Stackline as the single source of commerce truth. Fueled by our proprietary neural network, our market insights, revenue metrics, behavior analyses, and autonomous functionality create the actions that determine success or failure.
 Founded in 2014 in Seattle, we have offices in Minneapolis, New York, Salt Lake City, and London. Since November 2020, Stackline has raised $180 million in strategic investments from Goldman Sachs Growth Equity and TA Associates.
 Stackline is on a mission to fuel the future of commerce by bringing brands and customers closer together.
**About The Role:**
 Join our team as a Data Engineer and you will help leading consumer brands use data and technology to discover insights, improve decision\-making and transform their businesses.
 ‍
 Stackline is looking for a data engineer to build high\-quality, scalable and resilient distributed systems. You will need to analyze data to ensure business requirements are met, identifying inconsistencies in the data and optimize/support current processes.
 ‍
 As a Data Engineer you will need your experience building data pipelines from dozens of sources and API’s as we process, ingest and cleanse over a billion data points each week. You will be working closely with Data Scientists, Software Engineers and Product Managers. This is a very hands\-on software engineering role, where a large part of your time is spent writing code with the remainder spent on designing and architecting systems.
 We're looking for engineers to come in ready to design, build and deploy robust data extraction systems while trouble shooting and resolving critical infrastructure bottlenecks.
**Minimum Qualifications**
* 4\+ years experience with Python with data packages and deployment scripts.
* 3\+ years working with databases such as MongoDB, Redshift, S3, Postgres, or Elasticsearch.
* 3\+ years demonstrated experience designing custom ETL processes.
* 2\+ years experience with Big Data technologies (Spark, Hive, Hadoop, etc.)
* Strong proficiency in TypeScript and Node.js for building scalable backend services, with knowledge of web technologies (HTML, CSS) for targeted data extraction.
* S./M.S. in Computer Science or another technical field.
**Preferred Qualifications**
* 3\+ years of experience building, scaling and maintaining software and data infrastructure.
* Experience working with a large scale SAAS application.
* Experience with Kibana or Airflow.
* People who think big, work hard, and solve problems.
* Experience working in a startup, retail, digital advertising, or e\-commerce environment.
**Benefits and Perks:**
 It’s important that each and every employee feels they are supported and can complete their life’s best work today and in the future. As part of that, we are committed to doing our part in addressing pay gaps and discrepancies by providing pay transparency for all of our roles. Actual salaries are just one component of the compensation package and may vary above or below the range based on job\-related knowledge, skills, experience, geographical location, and performance. The pay range for the Data Engineer II position located in Seattle is $135,000 \- $165,000 per year. Other rewards may include annual bonuses, short\- and long\-term incentives, and other team\-specific awards. In addition, we provide a robust benefits and perks package that includes:
* Comprehensive benefits plan covering medical, dental, and vision
* Fertility benefits
* Company 401k plan plus matching
* Company paid Life Insurance
* 20 days of Paid Time Off annually
* 9 Paid company holidays
* 100% Paid Parental leave \- 20 weeks for birthing mothers and 12 weeks for all other parents
* Summer Fridays early close at 3pm
* Fully stocked kitchen, happy hours, and monthly catered lunches
*Stackline is committed to creating a diverse environment and is proud to be an equal opportunity employer. We encourage applicants from all backgrounds to apply. All qualified applicants will receive consideration for employment without regard to race, religion, gender, gender identity or expression, sexual orientation, national origin, genetics, disability, age, or veteran status.*</t>
        </is>
      </c>
    </row>
    <row r="8">
      <c r="A8" t="inlineStr">
        <is>
          <t>li-4376762761</t>
        </is>
      </c>
      <c r="B8" t="inlineStr">
        <is>
          <t>Data Engineer</t>
        </is>
      </c>
      <c r="C8" t="inlineStr">
        <is>
          <t>AARATECH</t>
        </is>
      </c>
      <c r="D8" t="inlineStr">
        <is>
          <t>linkedin</t>
        </is>
      </c>
      <c r="E8" t="inlineStr"/>
      <c r="F8" t="inlineStr"/>
      <c r="G8" t="inlineStr">
        <is>
          <t>Houston, TX</t>
        </is>
      </c>
      <c r="H8" t="inlineStr"/>
      <c r="I8" t="inlineStr">
        <is>
          <t>**Data Engineer (3–4 Years Experience)** 
**Location:** 
**United States** 
 (
 *Remote / On\-site – based on client needs* 
 )
**Employment Type:** 
**Full\-time** 
 (
 *Contract or Contract\-to\-Hire* 
 )
**Experience Level:** 
**Mid\-level (3–4 years)** 
**Company:** 
**Aaratech Inc** 
 🛑
 **Eligibility:** 
*Open to* 
***U.S. Citizens***
*and* 
***Green Card holders***
*only. We do not offer visa sponsorship.* 
 🔍
 **About Aaratech Inc** 
**Aaratech Inc** 
 is a specialized IT consulting and staffing company that places elite engineering talent into high\-impact roles at leading U.S. organizations. We focus on modern technologies across
 **cloud** 
 ,
 **data** 
 , and
 **software** 
 disciplines. Our client engagements offer long\-term stability, competitive compensation, and the opportunity to work on cutting\-edge data projects.
 🎯
 **Position Overview** 
 We are seeking a
 **Data Engineer** 
 with
 **3–4 years of experience** 
 to join a client\-facing role focused on building and maintaining scalable
 **data pipelines** 
 , robust
 **data models** 
 , and modern
 **data warehousing** 
 solutions. You'll work with a variety of tools and frameworks, including
 **Apache Spark** 
 ,
 **Snowflake** 
 , and
 **Python** 
 , to deliver clean, reliable, and timely data for advanced analytics and reporting.
 🛠️
 **Key Responsibilities** 
* Design and develop scalable
 **Data Pipelines** 
 to support batch and real\-time processing
* Implement efficient
 **Extract, Transform, Load (ETL)** 
 processes using tools like
 **Apache Spark** 
 and
 **dbt**
* Develop and optimize queries using
 **SQL** 
 for data analysis and warehousing
* Build and maintain
 **Data Warehousing** 
 solutions using platforms like
 **Snowflake** 
 or
 **BigQuery**
* Collaborate with business and technical teams to gather requirements and create accurate
 **Data Models**
* Write reusable and maintainable code in
 **Python (Programming Language)** 
 for data ingestion, processing, and automation
* Ensure end\-to\-end
 **Data Processing** 
 integrity, scalability, and performance
* Follow best practices for
 **data governance** 
 ,
 **security** 
 , and
 **compliance**
 ✅
 **Required Skills \&amp; Experience** 
* **3–4 years** 
 of experience in
 **Data Engineering** 
 or a similar role
* Strong proficiency in
 **SQL** 
 and
 **Python (Programming Language)**
* Experience with
 **Extract, Transform, Load (ETL)** 
 frameworks and building
 **data pipelines**
* Solid understanding of
 **Data Warehousing** 
 concepts and architecture
* Hands\-on experience with
 **Snowflake** 
 ,
 **Apache Spark** 
 , or similar big data technologies
* Proven experience in
 **Data Modeling** 
 and data schema design
* Exposure to
 **Data Processing** 
 frameworks and performance optimization techniques
* Familiarity with cloud platforms like
 **AWS** 
 ,
 **GCP** 
 , or
 **Azure**
 ⭐
 **Nice to Have** 
* Experience with
 **streaming data pipelines** 
 (e.g., Kafka, Kinesis)
* Exposure to
 **CI/CD** 
 practices in data development
* Prior work in consulting or multi\-client environments
* Understanding of
 **data quality** 
 frameworks and monitoring strategies</t>
        </is>
      </c>
    </row>
    <row r="9">
      <c r="A9" t="inlineStr">
        <is>
          <t>li-4354980796</t>
        </is>
      </c>
      <c r="B9" t="inlineStr">
        <is>
          <t>Analytics Engineer</t>
        </is>
      </c>
      <c r="C9" t="inlineStr">
        <is>
          <t>Clay</t>
        </is>
      </c>
      <c r="D9" t="inlineStr">
        <is>
          <t>linkedin</t>
        </is>
      </c>
      <c r="E9" t="inlineStr"/>
      <c r="F9" t="inlineStr"/>
      <c r="G9" t="inlineStr"/>
      <c r="H9" t="inlineStr"/>
      <c r="I9"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crossed $100M in revenue and raised a $100M Series C at a $5B valuation, backed by world\-class investors including Sequoia, CapitalG, and First Round. We also completed our second employee tender offer and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**Analytics Engineering @ Clay**
 We’re looking for an
 **Analytics Engineer** 
 to bridge the gap between raw data infrastructure and high\-impact business insights and data products. You’ll take ownership of our data models, pipelines, and platform architecture to ensure our analytics and data science foundation is scalable, durable, and consumable. Your work will enable better decision\-making across teams—from product and engineering to marketing, finance, and ops.
 Clay’s modern data stack includes
 **Fivetran** 
 ,
 **Segment** 
 ,
 **Snowflake, dbt, Dagster, Streamlit, Hex, Sigma, Eppo, Census,** 
**Cube.dev** 
 —and you'll play a key role in shaping how we use and evolve it to power strategic insight and operational excellence.
 What you'll do
* Own data pipelines: Design, build, and maintain reliable ETL/ELT pipelines, ensuring timely and accurate delivery of high\-quality data across the organization.
* Build a scalable foundation: Find ways to leverage and improve our current data models by architecting resilient, maintainable dbt models that serve as the trusted source of truth for analytics, experimentation, and data products.
* Collaborate cross\-functionally: Work closely with data scientists, engineers, and business teams to understand use cases and proactively develop data assets that support their goals effectively and scalably.
* Drive architectural improvements: Identify opportunities to consolidate and improve our data platform, proposing improvements that ensure long\-term scalability and flexibility.
* Improve data quality, discoverability, and metric clarity: Design and implement robust systems for schema design, data validation, documentation, and governance, while defining and standardizing core business metrics and semantic definitions to ensure consistency across teams and tools.
* Support self\-serve insights: Enable teams with intuitive, trustworthy data products and tooling that allow less\-technical users to explore data and develop solutions independently.
* Plan for the future: Help define the evolution of Clay’s data stack and architecture, including how we consolidate, transform, and surface data and intelligence for emerging use cases.
 What you'll bring
* 6\+ years of hands\-on experience in analytics engineering, data engineering, or data management
* Strong ownership mentality and proven ability to design for scalability, durability, and reusability Expert in SQL, Python, AWS infrastructure, and modern data tools (emphasis on dbt, Dagster/Airflow)
* A passion for pragmatic solutioning while staying current on modern data and AI tooling, pushing the boundaries of GenerativeAI’s role in Data Products and workflows
* Excitement for iterative, agile development processes and collaboration with diverse teams</t>
        </is>
      </c>
    </row>
    <row r="10">
      <c r="A10" t="inlineStr">
        <is>
          <t>li-4325471591</t>
        </is>
      </c>
      <c r="B10" t="inlineStr">
        <is>
          <t>Data Engineer</t>
        </is>
      </c>
      <c r="C10" t="inlineStr">
        <is>
          <t>Orveon Global</t>
        </is>
      </c>
      <c r="D10" t="inlineStr">
        <is>
          <t>linkedin</t>
        </is>
      </c>
      <c r="E10" t="inlineStr"/>
      <c r="F10" t="inlineStr"/>
      <c r="G10" t="inlineStr">
        <is>
          <t>New York, NY</t>
        </is>
      </c>
      <c r="H10" t="inlineStr"/>
      <c r="I10" t="inlineStr">
        <is>
          <t>**About Us**
 Orveon is a new kind of beauty company launched in December 2021 when we acquired our three iconic brands \- bareMinerals, BUXOM, and Laura Mercier. Operating in 40\+ countries, we're a truly global business. Our headquarters are in New York, with additional locations in major cities worldwide.
 We love our brands and are embarking on a powerful shift: To change how the world thinks about beauty. We are a collective of premium and prestige beauty brands committed to stark honesty, co\-creation, and making a sustainable cultural impact.
 People here are passionate, entrepreneurial and most of all, bold. This is an inspirational group of talented, silo\-busting, confident and humble people, working together to build something better. We are looking for the best talent to join us on that journey. We believe we can accomplish more when we \#Face Forward Together!
**About The Role**
 We are seeking a skilled and motivated Data Engineer to join our team. As a key contributor to our data architecture, you will play a central role in designing, building, and maintaining scalable data pipelines and solutions using Microsoft Fabric. You will collaborate closely with Power BI developers, and business analysts to ensure data is accessible, reliable, and optimized for analytics and decision\-making.
**Primary Duties \&amp; Responsibilities**
* Design, develop, and maintain robust data pipelines using Microsoft Fabric, including Data Factory, OneLake, and Lakehouse.
* Integrate data from various sources (structured and unstructured) into centralized data platforms.
* Collaborate with Data Architects to implement scalable and secure data models.
* Optimize data workflows for performance, reliability, and cost\-efficiency.
* Ensure data quality, governance, and compliance with internal and external standards.
* Support Power BI developers and business analysts with curated datasets and semantic models.
* Monitor and troubleshoot data pipeline issues and implement proactive solutions.
* Document data processes, architecture, and best practices.
**Qualifications**
* Bachelor's degree in Computer Science, Data Science, Information Technology or related field.
* 3\+ years hands on experience in data engineering
* Proficiency in Apache Spark.
* Strong programming skills in Python, SQL, with experience in CI/CD
* Experience in data modeling.
* Best practices in managing lakehouses and warehouses.
* Strong problem\-solving skills and attention to detail.
* Excellent communication and collaboration abilities.
* Familiarity with MS fabric technologies and tools
* Familiarity with version control (Git/Azure Devops)
* Microsoft Data technologies especially Power BI
* Experience with Azure data services such as Data factory, synapse, purview, logic/function apps.
**What Orveon Offers You**
 You are a creator of Orveon’s success and your own. This is a rare opportunity to share your voice, accelerate your career, drive innovation and fostering growth. We’re a human\-sized company so your work will have a big impact on the organization. We invest in the well\-being of our Orveoners – both personally and professionally and provide tailored benefits to support all of you, such as:
* “Hybrid First” Model 3 days per week in office, balancing virtual and face\-to\-face interactions.
* “Work From Anywhere” – Freedom to work six (6\) weeks annually from the location of your choice.
* Complimentary Products – Free and discounted products on new releases and fan\-favorites.
* Professional Development – Exposure to senior leadership, learning and development programs, and career advancement opportunities.
* Community Engagement – Volunteer opportunities in the communities in which we live and work.
**Other things to know!**
**Pay Transparency** 
 \- One of our values is Stark Honesty, and the following represents a good faith estimate of the compensation range for this position
 At Orveon Global, we carefully consider a wide range of non\-discriminatory factors when determining salary. Actual salaries will vary depending on factors including but not limited to location, education, experience, and qualifications.
 The pay range for this position $80,500\-$100,500\. Supplemented with all the amazing benefits above for full\-time employees!
**Opportunities and Accommodations\-** 
 Orveon is deeply committed to building a workplace and global community where inclusion is not only valued but prioritized. Find out more on our careers page. https://www.orveonglobal.com/career
**Opportunities and Accommodations**
 Orveon is deeply committed to building a workplace and global community where inclusion is not only valued but prioritized. We strive to build and nurture a culture where a focus on diversity, equity, and inclusion is instinctive. Our deep sense of passion and pride in what we do, both as individuals and as a collective, unifies our shared commitment to “changing beauty for the better”. Therefore, all qualified applicants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We recognize and celebrate different ideas, perspectives, and backgrounds and know they create a more robust and creative work environment.
**BE AWARE OF FRAUD** 
**!** 
 Please be aware of potentially fraudulent job postings or suspicious recruiter activity by persons that are posing as Orveon Global Recruiters/HR. Please confirm that the person you are working with has an @orveonglobal.com email address. Additionally, Orveon Global does NOT request financial information or payments from candidates at any point during the hiring process. If you suspect fraudulent activity, please visit the Orveon Global Careers Site at https://www.orveonglobal.com/career to verify the posting and apply though our secure online portal.</t>
        </is>
      </c>
    </row>
    <row r="11">
      <c r="A11" t="inlineStr">
        <is>
          <t>li-4377810563</t>
        </is>
      </c>
      <c r="B11" t="inlineStr">
        <is>
          <t>Data Engineer</t>
        </is>
      </c>
      <c r="C11" t="inlineStr">
        <is>
          <t>Wiraa</t>
        </is>
      </c>
      <c r="D11" t="inlineStr">
        <is>
          <t>linkedin</t>
        </is>
      </c>
      <c r="E11" t="inlineStr"/>
      <c r="F11" t="inlineStr"/>
      <c r="G11" t="inlineStr"/>
      <c r="H11" t="inlineStr"/>
      <c r="I11" t="inlineStr">
        <is>
          <t>**About The Company**
 Recognized by Gartner in their Modern 4PL Market Guide, Redwood Logistics is a leading innovator in the supply chain and logistics industry. Our company combines cutting\-edge technology with industry expertise to deliver comprehensive logistics solutions across North America and Mexico. We leverage a data\-centric network platform and a broad range of services to optimize freight management and supply chain operations for our clients. Our commitment to innovation and excellence has established us as a key player in the mid\-market segment within the freight technology industry. Whether working with startups or established enterprises, Redwood Logistics strives to provide transformative solutions that drive efficiency, transparency, and growth for our customers.
**About The Role**
 We are seeking a highly skilled Lead Data Engineer to join our Shared Services team. In this role, you will be responsible for leading a team of data engineers in designing, developing, and maintaining scalable data pipelines, data vaults, and data warehouses. You will collaborate closely with stakeholders across various departments to deliver critical metrics and insights that support business decision\-making. Your expertise will help shape our data strategy, improve data infrastructure, and ensure data quality and reliability. This role offers an exciting opportunity to work within a dynamic environment, leveraging advanced technologies and methodologies to enhance our data capabilities. The position is hybrid, with 1\-2 days on\-site preferred, providing flexibility to balance collaborative and remote work.
**Qualifications**
* Bachelor’s Degree or equivalent experience in Business Administration, Mathematics, Computer Science, or related field
* 8\+ years of technology experience, including expertise in SQL development and performance tuning
* Proficiency with Amazon Relational Database Service (Aurora, MySQL), Microsoft SQL Server, Snowflake
* Strong experience with Python, including libraries such as Pandas, NumPy, Requests, and Streamlit
* Understanding of JSON, CSV, and REST API integrations
* Experience with Data Vault 2\.0, Fivetran, Azure Data Factory, and cloud platforms such as AWS, Azure, or Google Cloud
* Knowledge of DevOps practices, git, CI/CD pipelines (preferred)
* Experience with enterprise logistics platforms like TMS, WMS (preferred)
* Excellent leadership, communication, and collaboration skills
* Self\-starter with a proactive approach and ability to adapt in a fast\-paced environment
**Responsibilities**
* Lead and mentor a team of data engineers, providing technical guidance and support to foster growth and excellence
* Design, develop, and maintain scalable data pipelines from various sources, including TMS and other enterprise systems
* Implement and extend data structures such as Data Vault, Data Warehouse, and Data Marts to meet evolving business needs
* Ensure data accuracy, completeness, and reliability through validation, monitoring, and error handling processes
* Collaborate with business and technical stakeholders to define data requirements and deliver key metrics
* Stay current with emerging trends and technologies in data engineering, evaluating new tools to enhance infrastructure
* Improve processes related to code deployment, data validation, and error alerting to ensure operational excellence
* Participate in establishing and executing data strategy aligned with organizational goals
* Work with external vendors and internal teams to integrate new data sources and optimize existing data flows
**Benefits**
* Access to ongoing learning and development resources
* Opportunities for internal mobility and career growth
* Employee referral bonus program
* Participation in Employee Resource Groups (ERGs)
* Annual fundraising and volunteer events
* Paid time off, floating holidays, and rollover policy
* Paid parental leave
* Comprehensive health plans including medical, dental, and vision insurance
* 401(k) plan with company match
* Flexible spending accounts, health savings accounts with company contributions
* Short\-term and long\-term disability insurance, life insurance policies
* Additional perks such as pet insurance, legal advice, and accident care
 Equal Opportunity
 Redwood Logistics is an equal opportunity employer. We celebrate diversity and are committed to creating an inclusive environment for all employees. We do not discriminate based on race, ethnicity, gender, age, religion, sexual orientation, disability, or any other protected status. Our hiring decisions are based on qualifications, experience, and the ability to contribute to our company’s success.</t>
        </is>
      </c>
    </row>
    <row r="12">
      <c r="A12" t="inlineStr">
        <is>
          <t>li-4377843617</t>
        </is>
      </c>
      <c r="B12" t="inlineStr">
        <is>
          <t>Data Engineer</t>
        </is>
      </c>
      <c r="C12" t="inlineStr">
        <is>
          <t>Heritage Auctions</t>
        </is>
      </c>
      <c r="D12" t="inlineStr">
        <is>
          <t>linkedin</t>
        </is>
      </c>
      <c r="E12" t="inlineStr"/>
      <c r="F12" t="inlineStr"/>
      <c r="G12" t="inlineStr">
        <is>
          <t>Dallas, TX</t>
        </is>
      </c>
      <c r="H12" t="inlineStr"/>
      <c r="I12" t="inlineStr">
        <is>
          <t>**Description**
**About Heritage Auctions**
 Start your career with one of the nation’s fastest\-growing auction houses. Heritage Auctions is a global auction house driven by curiosity, innovation, and the stories behind extraordinary objects. For nearly 50 years, Heritage has connected collectors and consignors through a dynamic marketplace that celebrates history, culture, and craftsmanship. Headquartered in Dallas, Texas, with offices in New York, Chicago, Beverly Hills, London, Hong Kong, and other major cities, we support a worldwide network of experts and enthusiasts across more than 50 auction categories. From Sports and Entertainment memorabilia to Luxury Handbags, Fine Art, Jewelry, Coins, Wine, and rare historical artifacts, every item tells a story. We are dedicated to bringing those stories to life through deep research, cutting\-edge technology, and thoughtful presentation. Known for our expertise and innovation, we offer a dynamic environment where passion for history, culture, and storytelling brings collectors together to discover, learn, and collaborate.
**SUMMARY:** 
 Responsible for the development of all phases in SQL, T\-SQL, relational database programming/design, APIs, SSIS, and SSRS reporting.
**LOCATION:** 
 This is a
 **Hybrid** 
 position and requires one day in the office located South of Dallas/Fort Worth International Airport, NW corner of W. Airport Freeway (Hwy. 183\) and Valley View Lane
**Benefits**
* Medical, Dental, Vision coverage
* Paid time off
* 401k savings plans
* Onsite personal trainer and gym
**COMPENSATION:** 
 Commensurate based on experience
**SQL Development**
**ESSENTIAL DUTIES \&amp; RESPONSIBILITIES:**
* Write and optimize stored procedures, functions, table alterations, and indexes in SQL Server 2019 and 2022\.
* Design and implement efficient queries using inner/outer joins and set\-based logic.
* Performance tuning of stored procedures, set\-based code, and indexing strategies.
* Leverage execution plans, statistics, and plan diagrams for troubleshooting and optimization
**Data Integration \&amp; Pipeline Development**
* Develop and manage data pipelines using SSIS and Azure Data Factory.
* Consume and process data from APIs, handling JSON data efficiently.
* Configure and promote objects through development to production environments using version control and coding standards.
* Microsoft Fabric: Design and manage data solutions within the Fabric ecosystem, including OneLake, Data Factory (Gen2 Pipelines), and Lakehouses.
**ElasticSearch Expertise**
* Design and manage indexes and lifecycle management for optimal search performance.
* Develop ElasticSearch queries, including keyword, text, and vector search, and manage document ingestion.
* Leverage ML inference models within ElasticSearch pipelines to enhance retrieval and ranking mechanisms.
**Infrastructure As Code (IaC) \&amp; DevOps**
* Terraform: Utilize Terraform to provision and manage Azure resources (SQL databases, Fabric capacities, and ElasticSearch clusters).
* Configure and promote objects through development to production environments using version control (Git) and automated deployment standards.
**Machine Learning Integration**
* Build and integrate machine learning models into search pipelines using Python.
* Experience with libraries such as TensorFlow, PyTorch, or scikit\-learn.
* Familiarity with natural language processing (NLP) and large language models (LLMs).
**Advanced Search And Retrieval Systems**
* Integrate large language models (LLMs) for retrieval\-augmented generation (RAG) solutions.
* Design and manage scalable, high\-availability systems for efficient query processing and document retrieval.
* Utilize knowledge graphs and dynamic query generation to enhance search functionality.
**Agentic AI Systems**
* Build multi\-agent systems for advanced search and recommendation engines.
* Use frameworks like LangChain or LangGraph for orchestrating agent reasoning and decision\-making processes.
* Optimize multi\-turn conversations, state management, and task collaboration across distributed agents.
**Collaboration And Ownership**
* Own the design and improvement of database schema and architecture.
* Translate business requirements into scalable system designs.
* Interact with cross\-functional teams and act as a subject matter expert for data engineering and search technologies.
**Requirements**
**EDUCATION \&amp; EXPERIENCE:**
* Bachelor’s degree in Computer Science required Master’s degree preferred
* Minimum 5\+ years of experience as an MS SQL programmer in a fast\-paced, dynamic environment using a structured software development methodology
* Experience designing and implementing large\-scale database solutions that are reliable, scalable, and perform at high levels
* Working knowledge of security and privacy issues, SQL 2019, and SQL 2022
**WORK ENVIRONMENT:** 
 Individuals must be team\-quality players in a fast\-paced environment. The candidate must work in an environment with 50% development and 50% production support.
 At Heritage Auctions, we celebrate diversity and are committed to fostering an inclusive environment. We welcome and encourage applications from women, minorities, veterans, mature workers, and persons with disabilities. EOE</t>
        </is>
      </c>
    </row>
    <row r="13">
      <c r="A13" t="inlineStr">
        <is>
          <t>li-4377847285</t>
        </is>
      </c>
      <c r="B13" t="inlineStr">
        <is>
          <t>Data Engineer</t>
        </is>
      </c>
      <c r="C13" t="inlineStr">
        <is>
          <t>Best Job Tool</t>
        </is>
      </c>
      <c r="D13" t="inlineStr">
        <is>
          <t>linkedin</t>
        </is>
      </c>
      <c r="E13" t="inlineStr"/>
      <c r="F13" t="inlineStr"/>
      <c r="G13" t="inlineStr"/>
      <c r="H13" t="inlineStr"/>
      <c r="I13" t="inlineStr">
        <is>
          <t>**About The Company**
 Jobot is a leading organization dedicated to advancing biotech innovation through the integration of artificial intelligence and machine learning in drug discovery. The company focuses on developing cutting\-edge technology platforms, processes, and capabilities to accelerate all phases of drug development and clinical trials. By partnering with pharmaceutical companies, research organizations, and biotech firms, Jobot aims to streamline the journey from candidate drug identification to bringing new medicines to patients. Their commitment to innovation and efficiency positions them at the forefront of the biotech industry, addressing critical challenges such as high costs and lengthy timelines associated with traditional drug development processes.
**About The Role**
 We are seeking a highly skilled Senior Data Engineer to join our dynamic scientific team. This role offers an exciting opportunity to work on data\-driven strategies that leverage AI and ML for novel drug discovery. The successful candidate will be responsible for designing, developing, and maintaining scalable data management systems that support our research and development efforts. You will play a vital role in shaping our data platform, focusing on ingestion frameworks, orchestration patterns, and data modeling strategies. This position requires a deep understanding of modern data processing tools and a passion for building reliable, discoverable, and high\-quality data pipelines. Whether working onsite in NYC or Boston or remotely across the US, you will collaborate with cross\-functional teams to enable innovative research and accelerate drug discovery processes.
**Qualifications**
 The ideal candidate will possess over five years of experience in data engineering or related fields, with a strong technical background in modern data stacks. Proficiency in Python, SQL, and dbt is essential, along with experience using orchestration tools such as Dagster, Prefect, or Airflow. Familiarity with building data ingestion pipelines from REST APIs, flat files, and cloud storage solutions like Amazon S3 is required. Knowledge of Snowflake and its ecosystem, including warehouse management, cost optimization, RBAC, and data sharing, is highly desirable. Candidates should understand metadata management, observability, and testing practices for data pipelines. Strong communication skills and the ability to partner effectively with stakeholders are crucial. Bonus qualifications include experience working in regulated environments such as pharma or healthcare, handling unstructured data, and expertise in AI Data Engineering techniques like OCR, NER, vector databases, and graph databases.
**Responsibilities**
* Design, construct, install, test, and maintain highly scalable data management systems to support research and development activities.
* Ensure all systems meet business requirements, industry standards, and best practices for data security and compliance.
* Build high\-performance algorithms, prototypes, and predictive models to facilitate drug discovery and data analysis.
* Research new data acquisition opportunities and explore innovative uses for existing datasets to enhance research capabilities.
* Develop robust data set processes for modeling, mining, and production to ensure data quality and reliability.
* Integrate emerging data management technologies and software engineering tools into existing infrastructure.
* Create custom software components and analytics applications to support various research initiatives.
* Implement and update disaster recovery procedures to ensure data integrity and availability.
* Collaborate with data architects, modelers, and IT teams to align project goals and optimize data workflows.
* Utilize languages and tools such as Python, SQL, and orchestration platforms like Dagster to automate and streamline data pipelines.
* Recommend improvements to enhance data reliability, efficiency, and overall quality across systems.
* Design and implement data pipelines and workflows using Dagster or equivalent orchestration tools.
**Benefits**
 Jobot offers a competitive salary range of $140,000 to $180,000 annually, commensurate with experience. Employees have the flexibility to work onsite in NYC or Boston, or remotely from anywhere in the United States, supporting a healthy work\-life balance. The organization provides comprehensive health, vision, and dental insurance plans for individuals and families, ensuring well\-being and peace of mind. Additional benefits include opportunities for professional development, a collaborative work environment, and the chance to contribute to groundbreaking advancements in biotech and drug discovery. The company values diversity and inclusion, fostering a workplace where all team members can thrive and make meaningful contributions.
 Equal Opportunity
 Jobot is an Equal Opportunity Employer committed to creating an inclusive environment for all employees and applicants. The organization considers candidates without regard to race, color, sex, sexual orientation, gender identity, religion, national origin, age (40 and over), disability, military status, genetic information, or any other protected characteristic under applicable federal, state, or local laws. Jobot strictly prohibits harassment or discrimination based on these categories. The company complies with all relevant laws and policies concerning employment and background checks, ensuring a fair and equitable hiring process for everyone. By applying, candidates acknowledge and agree to the organization's privacy policies and communication practices.</t>
        </is>
      </c>
    </row>
    <row r="14">
      <c r="A14" t="inlineStr">
        <is>
          <t>li-4376765623</t>
        </is>
      </c>
      <c r="B14" t="inlineStr">
        <is>
          <t>Data Engineer</t>
        </is>
      </c>
      <c r="C14" t="inlineStr">
        <is>
          <t>TabaPay</t>
        </is>
      </c>
      <c r="D14" t="inlineStr">
        <is>
          <t>linkedin</t>
        </is>
      </c>
      <c r="E14" t="inlineStr"/>
      <c r="F14" t="inlineStr"/>
      <c r="G14" t="inlineStr">
        <is>
          <t>Palo Alto, CA</t>
        </is>
      </c>
      <c r="H14" t="inlineStr"/>
      <c r="I14" t="inlineStr">
        <is>
          <t>**Who We Are** 
 The world is moving towards instant digital payments and TabaPay is leading the way. We help thousands of Fintechs in the US and Canada instantly move money in and out of accounts and we are actively expanding into other countries. Our customers represent the hottest verticals in the financial service industry such as neobanks, challenger brokers, gaming and wallets. TabaPay is a highly profitable rocketship that processes billions of dollars each year. To learn more visit www.tabapay.com.
**Who You Are** 
 TabaPay is looking for an experienced and proactive Data Engineer to join the team. We are looking for someone who can take initiative and operate independently all while taking pride in keeping our systems stable and trusted. If you are a data engineer who builds durable data systems with long\-term scalability in mind, we want to hear from you.
* Focus on solving problems using the simplest possible architecture.
* self\-direct within a broad definition of goals and objectives.
* Prioritize the availability of accurate and reliable data.
* Develop processes and monitor the health of the data warehouse.
* Collaborate with technical and business teams to understand their needs and build solutions.
**Responsibilities** 
* Develop and manage scalable and reliable ETL/ELT processes for loading data into data warehouses.
* Monitor performance and troubleshoot issues.
* Manage and optimize our data warehouse for performance and reliability.
* Maintain data integrity and consistency across systems.
* Collaborate with internal teams to understand data needs and deliver solutions.
* Stay current with industry trends and technologies in data engineering.
* Continuously improve data processes and infrastructure for efficiency and scalability.
* Document data engineering processes, designs, and architectures.
**Qualifications** 
* Fast learner with strong work ethics and high\-performance standards.
* Solve today’s problems and lay the foundation for the future.
* 4 years of experience in a fintech company or fast\-growing startup.
* BS or advanced degree in Computer Science, Mathematics, Computer Engineering, or a related field, or equivalent practical experience.
* Proficient in writing production\-quality code in Python. Go would be a plus.
* Strong debugging skills and the ability to diagnose and resolve issues effectively.
* Experience working with AWS.
 This role is located in Palo Alto, California \- 5x a week in office.
 The pay range for this position is $130,000; however, base pay offered may vary depending on job\-related knowledge, skills, and experience. In addition to a full range of medical, financial, and/or other benefits, dependent on the position offered.
**Benefits** 
 TabaPay offers the following benefits:
* 100% employer\-paid health care insurance including medical, dental, vision, and life insurance (for employee only)
* Employer 401K Matching
* Generous and Flexible PTO
 EEO Employer: TabaPay is an equal opportunity employer; all qualified applicants will receive consideration for employment without regard to race, color, religion, sex, sexual orientation, gender identity, national origin, disability, Veteran status, or any other protected classification.</t>
        </is>
      </c>
    </row>
    <row r="15">
      <c r="A15" t="inlineStr">
        <is>
          <t>li-4376767625</t>
        </is>
      </c>
      <c r="B15" t="inlineStr">
        <is>
          <t>Data Engineer</t>
        </is>
      </c>
      <c r="C15" t="inlineStr">
        <is>
          <t>AARATECH</t>
        </is>
      </c>
      <c r="D15" t="inlineStr">
        <is>
          <t>linkedin</t>
        </is>
      </c>
      <c r="E15" t="inlineStr"/>
      <c r="F15" t="inlineStr"/>
      <c r="G15" t="inlineStr"/>
      <c r="H15" t="inlineStr"/>
      <c r="I15"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6">
      <c r="A16" t="inlineStr">
        <is>
          <t>li-4340778299</t>
        </is>
      </c>
      <c r="B16" t="inlineStr">
        <is>
          <t>Data Engineer II (Full Time) United States</t>
        </is>
      </c>
      <c r="C16" t="inlineStr">
        <is>
          <t>Cisco</t>
        </is>
      </c>
      <c r="D16" t="inlineStr">
        <is>
          <t>linkedin</t>
        </is>
      </c>
      <c r="E16" t="inlineStr"/>
      <c r="F16" t="inlineStr"/>
      <c r="G16" t="inlineStr">
        <is>
          <t>Durham, NC</t>
        </is>
      </c>
      <c r="H16" t="inlineStr"/>
      <c r="I16"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At Cisco IT, you will join a collaborative group of builders, innovators, and change agents. Our team brings together expertise in: CRM architecture, Data governance, Sales and partner compensation and AI and automation
 We believe the best ideas come from diverse voices and bold thinking. You’ll have the support and resources to learn, grow, and make a meaningful impact.
**Your Impact**
**As a Data Engineer At Cisco, You Will**
* Build and support integrated data solutions that power business analytics and machine learning
* Ensure data is high\-quality, accessible, and easy to use
* Enable smarter decisions, optimize marketing investments, and enhance customer experiences
* Make complex data understandable and actionable
* Collaborate across teams to deliver meaningful solutions for a global community
**Minimum Qualifications**
* Enrolled in or recently graduated from a technical degree or certification program (e.g., Technical Boot Camp, Apprenticeship, Community College, or 4\-Year University)
* AI literacy and a cloud\-first mindset
* Familiarity with agile methodologies and data\-driven approaches
* Experience or familiarity with databases (e.g., MySQL, PostgreSQL, MongoDB) and big data frameworks (e.g., Hadoop, Spark)
* Able to legally live and work in the United States without visa support or sponsorship
**Preferred Qualifications**
* Experience with RESTful API design and development for data integration
* Experience with business intelligence tools such as Tableau
* Understanding of security best practices in data encryption, secure data transfer, and access controls
* Knowledge of full\-stack development for comprehensive data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7">
      <c r="A17" t="inlineStr">
        <is>
          <t>li-4353101298</t>
        </is>
      </c>
      <c r="B17" t="inlineStr">
        <is>
          <t>Data Engineer</t>
        </is>
      </c>
      <c r="C17" t="inlineStr">
        <is>
          <t>Avetta</t>
        </is>
      </c>
      <c r="D17" t="inlineStr">
        <is>
          <t>linkedin</t>
        </is>
      </c>
      <c r="E17" t="inlineStr"/>
      <c r="F17" t="inlineStr"/>
      <c r="G17" t="inlineStr"/>
      <c r="H17" t="inlineStr"/>
      <c r="I17" t="inlineStr">
        <is>
          <t>**If residing within commutable distance to one of our offices, a hybrid schedule would be required (3 days in office, 2 days work from home). Those outside of commutable distance may be considered on a remote basis.**
**Summary**
 Avetta’s SaaS platform connects the world’s leading organizations with qualified suppliers, contractors, and vendors. We bring unmatched visibility to companies through cloud\-based technology and human insights to improve supply chair risk and compliance. As a result, we foster sustainable growth for businesses and their supply chains globally. Our SaaS subscription\-based software is used by 85k\+ active customers in over 100 countries spanning across a wide range of industries.
 The
 **Data Engineer** 
 will own and evolve our modern analytics engineering platform. This role is primarily responsible for DBT and Fivetran platform ownership, ensuring reliable, scalable, and well\-governed data pipelines that power analytics and downstream use cases. As a senior team member, you will set technical standards, lead by example, and partner closely with analytics, the BI team and business stakeholders.
**Essential Duties And Responsibilities**
* Own the DBT and Fivetran platforms, including configuration, environment setup, access controls, and ongoing maintenance.
* Manage DBT Cloud environments, including job configuration, scheduling, orchestration, and dependency management.
* Configure and manage Fivetran connectors, sync schedules, schemas, transformations, and performance tuning.
* Build, operate, and optimize end\-to\-end ELT pipelines from source systems through Snowflake using Fivetran and DBT.
* Design and maintain robust orchestration patterns for DBT runs, incremental models, and downstream dependencies.
* Ensure pipelines are reliable, scalable, and cost\-efficient.
* Own and manage data platform infrastructure using Terraform to create Snowflake resources.
* Implement, maintain and own CI/CD pipelines using GitHub Actions for DBT deployments, testing, and environment promotion.
* Implement and maintain data quality solutions (e.g., freshness checks, anomaly detection).
* Build and manage monitoring and observability solutions for pipelines, jobs, and data SLAs.
* Define and track platform and data reliability metrics, alerting on failures, delays, or data issues.
* Own Snowflake administration, including warehouses, roles, permissions, resource monitoring, and cost optimization.
* Tune performance for DBT models and queries through clustering, warehouse sizing, and query optimization.
* Ensure security, governance, and best practices across Snowflake environments.
**Ideal Experience, Education \&amp; Training**
* 6 years of experience in data engineering or analytics engineering, with demonstrated senior\-level ownership is preferred.
* Bachelor's or Master’s Degree in Data Engineering, Computer Science, or related field is preferred.
* Certifications in DBT (Advanced), Snowflake (SnowPro), GitHub Actions Certification, AWS Certified Solutions Architect – Professional is preferred.
* Comfortable in supporting analytics\-ready DBT models, including staging, intermediate, and mart layers.
* Experience implementing data observability or data quality frameworks.
* Familiarity with modern metrics layers or semantic models.
* Experience supporting analytics and BI.
* Strong documentation and stakeholder communication skills.
* Aptitude for Agile delivery (e.g., JIRA) and backlog management in cross\-functional data teams.
 We also offer a comprehensive benefits package, which includes health, dental and vision insurance, 401(k), and PTO.
 Avetta is an equal opportunity employer and values diversity. We encourage individuals from all backgrounds and experiences to apply.
 To apply for the
 **Data Engineer** 
 position, please submit your online application by March 31, 2026\.</t>
        </is>
      </c>
    </row>
    <row r="18">
      <c r="A18" t="inlineStr">
        <is>
          <t>li-4357734498</t>
        </is>
      </c>
      <c r="B18" t="inlineStr">
        <is>
          <t>Data Engineer, Analytics &amp; Machine Learning Enablement</t>
        </is>
      </c>
      <c r="C18" t="inlineStr">
        <is>
          <t>Keeper Security, Inc.</t>
        </is>
      </c>
      <c r="D18" t="inlineStr">
        <is>
          <t>linkedin</t>
        </is>
      </c>
      <c r="E18" t="inlineStr"/>
      <c r="F18" t="inlineStr"/>
      <c r="G18" t="inlineStr">
        <is>
          <t>El Dorado Hills, CA</t>
        </is>
      </c>
      <c r="H18" t="inlineStr"/>
      <c r="I18" t="inlineStr">
        <is>
          <t>**Description**
 Keeper Security is hiring a Data Engineer to join our growing Data Engineering organization, with a focus on building analytics platforms and enabling machine\-learning\-driven insights across the business. This is a 100% remote position, with an opportunity to work a hybrid schedule for candidates based in the El Dorado Hills, CA or Chicago, IL metro areas.
 Keeper’s cybersecurity software is trusted by millions of people and thousands of organizations globally. Keeper is published in 23 languages and sold in over 150 countries. Join one of the fastest\-growing cybersecurity companies and help design and build data pipelines and models that power analytics, operational reporting, and downstream machine learning use cases.
**About Keeper**
 Keeper Security is transforming cybersecurity for organizations around the world with next\-generation privileged access management. Keeper’s zero\-trust and zero\-knowledge cybersecurity solutions are FedRAMP and StateRAMP Authorized, FIPS 140\-2 validated, as well as SOC 2 and ISO 27001 certified. Keeper deploys in minutes, not months, and seamlessly integrates with any tech stack to prevent breaches, reduce help desk costs and ensure compliance. Trusted by thousands of organizations to protect every user on every device, Keeper is the industry leader for best\-in\-class password management, secrets management, privileged access, secure remote access and encrypted messaging. Learn more at KeeperSecurity.com.
**About The Role**
 As a Data Engineer, you will design and maintain analytics data pipelines and data models that support reporting, dashboards, and ML\-adjacent workflows. You will work closely with data analysts, ML engineers, and business stakeholders to ensure data is reliable, well\-modeled, and accessible. This role is ideal for a mid\-level data engineer who is strong in analytics engineering and interested in supporting machine learning use cases without owning model development.
**Responsibilities**
* Build and maintain ELT pipelines that ingest and transform data from operational systems
* Develop analytics\-ready data models to support reporting, KPIs, and downstream ML use cases
* Collaborate with analysts and ML engineers to ensure data structures meet modeling and feature needs
* Implement data quality checks, validation, and testing to ensure accuracy and reliability
* Optimize data pipeline performance, scalability, and cost efficiency
* Support data preparation and feature engineering workflows for machine learning initiatives
* Document data models, transformations, and lineage to support reuse and data literacy
* Partner with security and platform teams to ensure data governance and privacy requirements are met
**Requirements**
* 3–5 years of experience in data engineering or backend data systems (SaaS experience preferred)
* Strong proficiency in SQL and experience designing analytics data models
* Working knowledge of Python for data processing or pipeline orchestration
* Experience working with cloud data warehouses such as Amazon Redshift (Snowflake or BigQuery acceptable)
* Familiarity with AWS data services such as S3, Glue, Lambda, or Step Functions
* Understanding of ELT best practices, data modeling, and schema design
* Exposure to supporting machine learning workflows through data preparation or feature engineering
* Knowledge of data security and privacy principles, including handling regulated data (PII, PHI)
* Strong software engineering fundamentals, including version control, testing, and CI/CD practices
* Bachelor’s degree in Computer Science, Engineering, Statistics, or a related field
* Due to FedRAMP requirements, candidates must be a U.S. Person
**Preferred Qualifications**
* Experience with DBT or analytics engineering frameworks
* Familiarity with feature stores or ML pipelines
* Experience supporting analytics or ML use cases for multiple business teams
* Interest in applied machine learning and data\-driven products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 Legal Basis
* Legitimate Interests (recruitment management, security and integrity of the hiring process)
* Contracting steps (for progressed candidates)
* Legal and regulatory compliance obligations; explicit consent where required
*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 International Transfers
 Your data may be accessed by Keeper entities globally as needed for the purposes of hiring and decision making. We protect any such data transfer between Keeper entities using appropriate safeguards under applicable data protection laws.
* Security
 We implement appropriate technical and organizational measures to protect your data, consistent with our industry leading security standards.
* Retention
 We keep your data for 24 months from your last application activity, then delete or anonymize it.
**Exceptions**
* You opt into our talent database for further retention by providing consent (extended retention)
* You're hired (transfers to employee records)
*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 Automated Decisions
 Keeper does not make hiring decisions using solely automated processing.
* Contact \- Candidates can send privacy questions to: privacy@keepersecurity.com</t>
        </is>
      </c>
    </row>
    <row r="19">
      <c r="A19" t="inlineStr">
        <is>
          <t>li-4377863203</t>
        </is>
      </c>
      <c r="B19" t="inlineStr">
        <is>
          <t>Data Engineer - Senior</t>
        </is>
      </c>
      <c r="C19" t="inlineStr">
        <is>
          <t>Connected Logistics</t>
        </is>
      </c>
      <c r="D19" t="inlineStr">
        <is>
          <t>linkedin</t>
        </is>
      </c>
      <c r="E19" t="inlineStr"/>
      <c r="F19" t="inlineStr"/>
      <c r="G19" t="inlineStr">
        <is>
          <t>Falls Church, VA</t>
        </is>
      </c>
      <c r="H19" t="inlineStr"/>
      <c r="I19" t="inlineStr">
        <is>
          <t>**Description**
*Contingent Upon Award*
**On\-site Hybrid**
**Who We Are**
**Connected Logistics** 
 builds secure, mission\-critical IT and logistics solutions for the U.S. Army and other federal stakeholders. Our team values integrity, excellence, teamwork, and professional courage delivering real impact for national security missions. Connected Logistics is seeking a Senior Data Engineer for our clients data governance and strategic alignment with the DoD data strategy, aiming to ensure that data is visible, accessible, understandable, linked, trusted, interoperable, and secure(VAULTIS).
**Key Responsibilities**
 The Senior Data Engineer provides expertise in:
* Experience designing, developing, and maintaining scalable data pipelines and architectures supporting enterprise data catalogs and federated data environments.
* Experience integrating structured and unstructured data from clinical, operational, and research systems (e.g., EHRs, data lakes, APIs).
* Experience implementing metadata harvesting, data lineage, and data quality enforcement aligned with enterprise governance frameworks.
* Experience supporting AI/ML readiness through feature engineering, data transformation, and pipeline automation.
* Experience working within federal healthcare environments, ensuring compliance with HIPAA, DoD, and DHA data standards.
**Requirements**
**Minimum Education Level:**
 Bachelor's Degree in Computer Science, Data Engineering, Information Systems, Systems, Software Engineering, or related technical discipline.
 Certifications in cloud platforms or data engineering technologies(e.g., AWS Data Analytics, Azure Data Engineer, Databricks) preferred.
**Minimum Experience**
 8 years (with at least 5 years designing and implementing enterprise\-scale data pipelines supporting healthcare or federal data programs).
**DHA Experience Preferred.**
**Total Rewards Statement:**
 We believe in fairness and clarity throughout our hiring process. The anticipated salary range for this position is
 **$128,000\.00\-$138,000\.00 USD** 
 . This is a good faith range based on factors such as your experience, geographic location, any applicable contractual requirements, and may vary slightly.
 Beyond salary, we provide a robust benefits package and encourage ongoing professional development, because your growth and well\-being matter to us. We’re excited to support you in building a rewarding career with us!
**Connected Logistics** 
 respects the need for confidentiality for all applicants.
**Connected Logistics** 
 offers an excellent benefits package that includes health, dental, vision, life and disability insurance, a great 401(k) package, and generous Paid Time Off.
**EQUAL OPPORTUNITY EMPLOYER.** 
 It is our policy to abide by all federal, state and local laws prohibiting employment discrimination solely on the basis of a person’s race, religious creed, color, national origin, ancestry, physical disability, mental condition (including, but not limited to, cancer related or HIV related), marital status, sex, gender (including sex stereotyping), age, sexual orientation, military status, or any other protected status except where a reasonable, bona fide occupational qualification exists.</t>
        </is>
      </c>
    </row>
    <row r="20">
      <c r="A20" t="inlineStr">
        <is>
          <t>li-4368562290</t>
        </is>
      </c>
      <c r="B20" t="inlineStr">
        <is>
          <t>Analytics Engineer</t>
        </is>
      </c>
      <c r="C20" t="inlineStr">
        <is>
          <t>Vanna Health</t>
        </is>
      </c>
      <c r="D20" t="inlineStr">
        <is>
          <t>linkedin</t>
        </is>
      </c>
      <c r="E20" t="inlineStr"/>
      <c r="F20" t="inlineStr"/>
      <c r="G20" t="inlineStr"/>
      <c r="H20" t="inlineStr"/>
      <c r="I20" t="inlineStr">
        <is>
          <t>Salary Range: $150k\-$185k per year
 Note: This is a remote position.
**About Vanna Health**
 Vanna is reimagining care and community for people living with serious mental illness (SMI).
 The current system is failing individuals with SMI, resulting in a high risk of loneliness (2\.3x), homelessness (6x), unemployment (30x), incarceration (25x), and reduced life expectancy (by 20 years). Vanna believes that no person is too ill to recover and that the solution is social, not just medical. Our mission is to empower people with SMI to flourish by finding purpose and a sense of belonging in their community.
 We are deploying community\-based care teams from diverse backgrounds that have a variety of lived experiences and know their communities inside and out. In close collaboration with existing community organizations and healthcare providers, our teams outreach and build trust with individuals to support the navigation of each individual’s personalized recovery journey.
 We are committed to providing individuals with culturally inclusive support for all races, ethnicities, religions, sexual orientations, gender identities, and other social factors, such as history of incarceration.
**About The Role**
 As Vanna continues to grow, we’re looking for an Analytics Engineer to own the core data models that power everything from internal decision\-making and client\-facing insights to machine learning models and user\-facing product features. You’ll work closely with the product, operations, and clinical teams to develop the data capabilities that enable our community\-based teams to provide compassionate care to our members living with severe mental illness.
 This is an opportunity to join a small but growing team, where you’ll play a key role in developing the next iteration of our foundational data capabilities as we continue to scale. You have a growth mindset and are excited about expanding your technical skills and stepping into new responsibilities as the team and company grow.
**Responsibilities**
* Own the input layer to our data platform
* Evolve our core data models to support emerging use cases
* Automate data flows, and layer in monitoring, alerting, and data quality tests to ensure data is accurate and up\-to\-date
* Work collaboratively across the entire Vanna team to design and implement core clinical, operational, financial, and product KPIs
* Build out our reporting and dashboarding layer in support of self\-service analytics
* Conduct ad\-hoc analyses for internal stakeholders and clients, and present findings in a way that drives maximum impact
**About You**
* 4\-6 years of analytics experience, including at least 1 year working with healthcare data
* Advanced SQL and dbt skills
* Experience working with analytical data stores like Delta Lake, Snowflake, BigQuery, etc.
* Familiarity with dashboarding tools
* Intermediate Python, or basic knowledge and a strong desire to learn
* Databricks experience strongly preferred
* Excellent communication skills and ability to collaborate on a growing team
* A detective mindset – you love getting to the root of problems and using data to solve them
**Benefits**
* Full health, dental, and vision benefits
* Health Savings Account (HSA)
* Flexible Spending Account (FSA) and Dependent Care FSA
* 401K
* Unlimited PTO</t>
        </is>
      </c>
    </row>
    <row r="21">
      <c r="A21" t="inlineStr">
        <is>
          <t>li-4377882596</t>
        </is>
      </c>
      <c r="B21" t="inlineStr">
        <is>
          <t>Data Engineer</t>
        </is>
      </c>
      <c r="C21" t="inlineStr">
        <is>
          <t>W Talent</t>
        </is>
      </c>
      <c r="D21" t="inlineStr">
        <is>
          <t>linkedin</t>
        </is>
      </c>
      <c r="E21" t="inlineStr"/>
      <c r="F21" t="inlineStr"/>
      <c r="G21" t="inlineStr">
        <is>
          <t>Cary, NC</t>
        </is>
      </c>
      <c r="H21" t="inlineStr"/>
      <c r="I21" t="inlineStr">
        <is>
          <t>**Job Title:** 
 Informatica MDM Data Engineer
**Location:** 
 Hybrid – 3 days onsite (Mon–Wed) in New Jersey or Cary, 2 days remote (Thu–Fri)
**Visa:** 
 Spousal visa acceptable (no other visa sponsorship available)
**About the Role** 
 We are working with a very well known insurance business seeking an experienced
 **Informatica MDM Data Engineer** 
 to join our US Data Platforms team supporting a large\-scale analytics and Global Party Management ecosystem.
 This role will focus on stabilizing, optimizing, and enhancing our Master Data Management (MDM) environment following a major production incident, while contributing to the evolution of our Customer 360 capabilities.
 You will work within a 7\-person Data Platform team (with an extended global team of \~20\), supporting mission\-critical systems managing:
* Billions of data transactions
* Enterprise\-scale customer environment (40M\+ customers)
 This is a highly operational, hands\-on role with significant impact across internal IT stakeholders.
 Key Responsibilities
**MDM Platform Ownership** 
* Configure and maintain
 **MDM Hub** 
 in Informatica (v10 or higher).
* Troubleshoot and resolve production failures and performance issues.
* Lead root cause analysis and remediation for major incidents.
* Optimize match/merge rules, survivorship logic, and data models.
* Support Customer 360 cloud transition initiatives.
**Operational Excellence** 
* Diagnose and resolve pipeline bottlenecks and data quality failures.
* Drive system stability and production reliability.
* Partner with vendor\-supported remote MDM teams.
* Monitor performance and implement tuning improvements.
**Technical Contribution** 
* Work across the broader data pipeline (mainframe integrations, analytics platform).
* Implement SQL\-based optimizations and data troubleshooting.
* Contribute to Java\-based enhancements and performance improvements where needed.
* Collaborate with analytics and internal IT consumers of Global Party data.
**Required Experience** 
* Strong hands\-on experience with
 **Informatica MDM (v10\+)**
* Proven experience configuring
 **MDM Hub**
* Demonstrated production support \&amp; operational troubleshooting experience
* Experience working with large\-scale enterprise data environments (tens of millions of records)
* Strong SQL skills
* Ability to diagnose and resolve performance and optimization issues
* Experience handling high\-volume data environments (billions of records/transactions)
* Strong stakeholder communication skills (internal IT\-facing role)
**Preferred Qualifications** 
* Java knowledge (performance tuning / optimizations beneficial)
* Exposure to full data pipeline architecture
* Experience in large enterprise environments (40M\+ customer scale)
* Experience with Customer 360 implementations
* Background in resolving major production incidents
**What We’re Looking For (Top 3 Priorities)** 
1. **Deep Informatica MDM expertise**
2. **Operational mindset** 
 – able to troubleshoot, stabilize, and optimize production systems
3. **Growth\-oriented personality** 
 – eager to learn, expand into full pipeline ownership, and increase impact over time</t>
        </is>
      </c>
    </row>
    <row r="22">
      <c r="A22" t="inlineStr">
        <is>
          <t>li-4329140140</t>
        </is>
      </c>
      <c r="B22" t="inlineStr">
        <is>
          <t>Data Engineer, Associate</t>
        </is>
      </c>
      <c r="C22" t="inlineStr">
        <is>
          <t>BlackRock</t>
        </is>
      </c>
      <c r="D22" t="inlineStr">
        <is>
          <t>linkedin</t>
        </is>
      </c>
      <c r="E22" t="inlineStr"/>
      <c r="F22" t="inlineStr"/>
      <c r="G22" t="inlineStr">
        <is>
          <t>New York, NY</t>
        </is>
      </c>
      <c r="H22" t="inlineStr"/>
      <c r="I22" t="inlineStr">
        <is>
          <t>**About This Role**
* Improve BlackRock’s ability to enhance our retail sales distribution capabilities and services suite by creating, expanding and optimizing our data and data pipeline architecture.
* You will create and operationalize data pipelines to enable squads to deliver high quality data\-driven product.
* You will be accountable for managing high\-quality datasets exposed for internal and external consumption by downstream users and applications.
* Top technical / programming skills – Python, Java and Scala with ability to work across big data frameworks such as Spark, Hadoop Suite, PySpark, Hive, Cloud Data Platforms Preferably Snowflake and SQL.  Experience working with flat files (e.g., csv, tsv, Excel), Database API sources is a must to both ingest and create transformations.
* Given the highly execution\-focused nature of the work, the ideal candidate will roll up their sleeves to ensure that their projects meet deadlines and will always look for ways to optimize processes in future cycles.
* The successful candidate will be highly motivated to create, optimize, or redesign data pipelines to support our next generation of products and data initiatives.
* You will be a builder and an owner of your work product.
 Responsibilities:
* Lead in the creation and maintenance of optimized data pipeline architectures on large and complex data sets.
* Assemble large, complex data sets that meet business requirements.
* Act as lead to identify, design, and implement internal process improvements and relay to relevant technology organization.
* Work with stakeholders to assist in data\-related technical issues and support their data infrastructure needs.
* Automate manual ingest processes and optimize data delivery subject to service level agreements; work with infrastructure on re\-design for greater scalability.
* Keep data separated and segregated according to relevant data policies.
* Demonstrated ability to join a complex global team, collaborate crossfunctionally (data scientists, platform engineers, business stakeholders), and take ownership of major components of the data platform ecosystem and develop data ready tools to support their job.
* Be up\-to\-date with the latest tech trends in the big\-data space and recommend them as needed.
* Identify, investigate, and resolve data discrepancies by finding the root cause of issues; work with partners across various cross\-functional teams to prevent future occurrences.
**Qualifications**
* Overall 4\+ years of hands\-on experience in computer/software engineering with majority in big data engineering.
* 4\+ years of strong Python or Scala programming skills (Core Python and PySpark) including hands\-on experience creating and supporting UDFs and modules like pytest.
* 4\+ years of experience with building and optimizing ‘big data’ pipelines, architectures, and data sets. Familiarity with data pipeline and workflow management tools (e.g., Airflow, DBT, Kafka).
* 4\+ years of hands\-on experience on developing on Spark in a production environment. Expertise on parallel execution, deciding resources and different modes of executing jobs is required.
* 4\+ years of experience using Hive (on Spark), Yarn (logs, DAG flow diagrams), Sqoop. Proficiency bucketing, partitioning, tuning and handling different file formats (ORC, PARQUET \&amp; AVRO).
* 4\+ years of experience using Transact SQL (e.g., MS SQ Server, MySQL), No\-SQL and GraphQL.
* Strong experience implementing solutions on Snowflake
* Experience with data quality and validation frameworks, especially Great Expectations for automated testing.
* Strong understanding and use of Swagger/OpenAPI for designing, documenting, and testing RESTful APIs.
* Experience in deployment, maintenance, and administration tasks related to Cloud (AWS, Azure Preferred), OpenStack, Docker, Kafka and Kubernetes. Familiarity with CI/CD pipelines for data pipeline automation and deployment (Jenkins, GitLab CI, Azure DevOps)
* Experience with data governance, metadata management, and data lineage using tools like Axon and Unity Catalog. Expertise in managing business glossaries, data access control, auditing, and ensuring centralized governance across data assets in both cloud and hybrid environments.
* Hands\-on experience with Databricks, including notebooks, workflows, and ML integrations.
* Experience with working with global teams across different time zones
* Plus \- Experience with Machine Learning and Artificial Intelligence
* Plus \- Experience with Generative Artificial Intelligence
 For New York, NY Only the salary range for this position is USD$132,500\.00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23">
      <c r="A23" t="inlineStr">
        <is>
          <t>li-4377859663</t>
        </is>
      </c>
      <c r="B23" t="inlineStr">
        <is>
          <t>Senior Data Engineer-AI/BI Analytics</t>
        </is>
      </c>
      <c r="C23" t="inlineStr">
        <is>
          <t>Bank of America</t>
        </is>
      </c>
      <c r="D23" t="inlineStr">
        <is>
          <t>linkedin</t>
        </is>
      </c>
      <c r="E23" t="inlineStr"/>
      <c r="F23" t="inlineStr"/>
      <c r="G23" t="inlineStr">
        <is>
          <t>Charlotte, NC</t>
        </is>
      </c>
      <c r="H23" t="inlineStr"/>
      <c r="I2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**Position Summary:**
 Join a groundbreaking team at Bank of America, at the forefront of innovation in AI. We are building the next generation of Gen AI platform, empowering new AI initiatives across Consumer, Small Business, Global Banking, and Wealth organizations. This is a unique opportunity to contribute to a critical platform that will enable secure, scalable, and high\-performance AI capabilities across the organization. We value curiosity, collaboration, and a passion for pushing the boundaries of what’s possible with AI.
 This position is focused on design, build, and serve the Gen AI inferencing capabilities.
 This job is responsible for defining and leading the engineering approach for complex features to deliver significant business outcomes. Key responsibilities of the job include delivering complex features and technology, enabling development efficiencies, providing technical thought leadership based on conducting multiple software implementations, and applying both depth and breadth in a number of technical competencies. Additionally, this job is accountable for end\-to\-end solution design and delivery.
**Responsibilities:**
* Assembles large, complex data sets that meet functional and non\-functional requirements, ensuring that the design and engineering approach is consistent across multiple systems
* Maintains, improves, cleans, and manipulates large data for operational and analytics data systems, builds complex processes supporting data transformation, data structures, metadata, data quality controls, dependency, and workload management, and communicates required information for deployment, maintenance, and support of business functionality
* Utilizes multiple architectural components in the design and development of client requirements and collaborates with development teams to understand data requirements and ensure the data architecture is feasible to implement
* Defines and builds data pipelines to enable data\-informed decision making, ensuring adherence to release processes and risk management routines
* Contributes to existing test suites including integration, regression, and performance, analyzes test reports, identifies any test issues and errors, and leads triage of underlying causes
* Leads the identification of gaps in data management standards adherence and works with appropriate partners to develop plans to close gaps, leading concept testing and conducting research to prototype toolsets and improve existing processes
* Mentors Data Engineers in the delivery and release of continuous integration and continuous delivery events and defines key performance indicators and internal controls
* Ensures that the design and engineering approach for complex features are consistent with the larger portfolio solution. Accountable for the availability, stability, scalability, security, and recoverability enabled by the designs.
* Define the technology tool stack for the solution and evaluate and adapt new testing tool/framework/practices for team(s)
* Enables team(s)/applications with Continuous Integration/Continuous Development (CI/CD) capabilities and engages with other technical stakeholders pertaining to efficient functioning of CI\-CD pipeline
* Guides and influences team(s) on design and best practices for high code performance –e.g. pairing, code reviews
* Provides end\-to\-end delivery of complex features, including automation, for either a single team or multiple teams, at the program level
* Conducts research, design prototyping and other exploration activities such as evaluating new toolsets and components for release management, CI/CD, and features
* Works with stakeholders to establish high\-level solution needs and with architects for technical requirements
* Proficient written and verbal communication skills to support and shape the platform and clearly articulate technical designs and concepts; and to communicate effectively with all levels within the organization
* Design and execute the implementation plans to both move forward strategically, while at the same time ensuring the current technology stack is supporting current needs.
* Manage multiple priorities, and simultaneously engage with multiple teams worldwide.
* Coach and mentor team members
**Required qualifications:**
* 10\+ years strong experience designing and delivering AI, ML, Data platform, and advanced analytics platforms capabilities using open\-source technologies in large enterprise environment
* Experience with emerging technologies e.g. of GenAI (public and open source), MCP, Agents, AI BI etc.
* Hands\-on experience on data science, big data, cloud, governance technologies
* Experience architecting next generation AI analytical product delivery to all levels of users in organization using self\-service interfaces
* Proven track record in data, analytics, insight and AI/ML platforms supporting multiple business units.
* Experience in designing, developing, and maintaining software frameworks using Open\-Source technologies such as Python, Spark, Jupyter, FastAPI, LabelStud.io, Ragas etc.
* Strong working experience of how metadata management, semantic layers, labeling, annotations is important for enabling AI BI, MCP, Agents, Data Assistants etc.
* Experience with using various Open source and Cloud model for AI BI, Summarization etc., and tuning those models and deployment to provide higher throughput for latency and cost optimizations.
* Experience of building RAG with knowledge base, data sources and Vector Store platforms such as Redis, Solar, Postgres DB, FAISS, Teradata, Oracle, SQL Server, Hadoop etc.
* Hands on experienced building RAG, RAG Fusion, CAG etc.
* Experience with various inference metrics, and related monitoring and observability.
* Experience with serving multiple tenants/clients with model endpoints with secure boundaries.
* Experience with AI gateway, OPA, authentication \&amp; authorization, policy as code, API based systems Integration, cost management, and model routing
**Desired Qualifications**
* Experience developing Gen AI training and RAG platform with open\-source model, inferencing \&amp; servicing capabilities, MCP modules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Analytical Thinking
* Application Development
* Data Management
* Risk Management
* Solution Design
* Agile Practices
* Architecture
* Collaboration
* Decision Making
* DevOps Practices
* Business Acumen
* Data Quality Management
* Financial Management
* Solution Delivery Process
* Test Engineering
**Shift:**
 1st shift (United States of America)
**Hours Per Week:**
 40</t>
        </is>
      </c>
    </row>
    <row r="24">
      <c r="A24" t="inlineStr">
        <is>
          <t>li-4354844222</t>
        </is>
      </c>
      <c r="B24" t="inlineStr">
        <is>
          <t>Data Engineer II - Adobe Experience Platform</t>
        </is>
      </c>
      <c r="C24" t="inlineStr">
        <is>
          <t>GM Financial</t>
        </is>
      </c>
      <c r="D24" t="inlineStr">
        <is>
          <t>linkedin</t>
        </is>
      </c>
      <c r="E24" t="inlineStr"/>
      <c r="F24" t="inlineStr"/>
      <c r="G24" t="inlineStr">
        <is>
          <t>Irving, TX</t>
        </is>
      </c>
      <c r="H24" t="inlineStr"/>
      <c r="I24"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We are expanding our efforts into complementary data technologies for decision support in areas of ingesting and processing large data sets including data commonly referred to as semi\-structured or unstructured data. Our interests are in enabling data science and search\-based applications on large and low latent data sets in both a batch and streaming context for processing. To that end, this role will engage with team counterparts in exploring and deploying technologies for creating data sets using a combination of batch and streaming transformation processes. These data sets support both off\-line and in\-line machine learning training and model execution. Other data sets support search engine\-based analytics. Exploration and deployment of technologies activities include identifying opportunities that impact business strategy, collaborating on the selection of data solutions software, and contributing to the identification of hardware requirements based on business requirements. Responsibility also includes coding, testing, and documentation of new or modified scalable analytic data systems including automation for deployment and monitoring. This role partakes, along with team counterparts, in developing solutions in an end\-to\-end framework on a group of core data technologies.
**In This Role You Will**
* Contribute to the evaluation, research, experimentation efforts with batch and streaming data engineering technologies in a lab to keep pace with industry innovation
* Work with data engineering related groups to inform on and showcase capabilities of emerging technologies and to enable the adoption of these new technologies and associated techniques
* Contribute to the definition and refinement of processes and procedures for the data engineering practice
* Work closely with data scientists, data architects, ETL developers, other IT counterparts, and business partners to identify, capture, collect and format data from the external sources, internal systems, and the data warehouse to extract features of interest
* Code, test, deploy, monitor, document and troubleshoot data engineering processing and associated automation
**Qualifications**
**What makes you an ideal candidate?**
* ﻿Experience with Adobe solutions (ideally Adobe Experience Platform, XDM, RTCDP DTM/Launch) and REST APIs
* Digital technology solutions (DMPs, CDPs, Tag Management Platforms, Cross\-Device Tracking, SDKs, etc.) Knowledge of Real Time\-CDP and Journey Analytics solution
* SQL experience: querying data and sharing what insights can be derived
* Working knowledge of Agile development /SAFe, Scrum and Application Lifecycle Management.
* Experience with ingesting various source data formats such as JSON, Parquet, SequenceFile, Cloud Databases, MQ, Relational Databases such as Oracle.
* Experience with Cloud technologies (such as Azure, AWS, GCP) and native toolsets.
* Understanding of cloud computing technologies, business drivers and emerging computing trends.
* Thorough understanding of Hybrid Cloud Computing: virtualization technologies, Infrastructure as a Service, Platform as a Service and Software as a Service Cloud delivery models and the current competitive landscape.
* Working knowledge of Object Storage technologies to include but not limited to Data Lake Storage Gen2, S3, Minio, Ceph, ADLS etc.
* Strong background with source control management systems; Build Systems (Maven, Gradle, Webpack); Code Quality (Sonar); Artifact Repository Managers (Artifactory), Continuous Integration/ Continuous Deployment (Azure DevOps).
* Experience with processing large data sets using Hadoop, HDFS, Spark, Kafka, Flume or similar distributed systems.
* Experience with NoSQL data stores such as CosmosDB, MongoDB, Cassandra, Redis, Riak or other technologies that embed NoSQL with search such as MarkLogic or Lily Enterprise.
* Creating and maintaining ETL processes
* Knowledgeable of best practices in information technology governance and privacy compliance
* Troubleshoot complex problems and work across teams to meet commitments.
* Excellent computer skills and proficiency in digital data collection.
* Ability to work in an Agile/Scrum team environment
* Strong interpersonal, verbal, and writing skills.
* Understanding of big data platforms and architectures, data stream processing pipeline/platform, data lake and data lake houses
* Understanding of cloud solutions such as Google Cloud Platform, Microsoft Azure \&amp; Amazon AWS cloud architecture \&amp; services
* Understanding of GDPR, privacy \&amp; security topics
* Strong in the use of Microsoft Office software, data querying platforms (Databricks is a plus) and statistical programming tools such as Python
**Experience**
* 2\-4 years of hands\-on experience with data engineering required
* Bachelor’s degree in related field or equivalent experience required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2 days a week in office in Irving, TX</t>
        </is>
      </c>
    </row>
    <row r="25">
      <c r="A25" t="inlineStr">
        <is>
          <t>li-4341087254</t>
        </is>
      </c>
      <c r="B25" t="inlineStr">
        <is>
          <t>Data Engineer</t>
        </is>
      </c>
      <c r="C25" t="inlineStr">
        <is>
          <t>ECS</t>
        </is>
      </c>
      <c r="D25" t="inlineStr">
        <is>
          <t>linkedin</t>
        </is>
      </c>
      <c r="E25" t="inlineStr"/>
      <c r="F25" t="inlineStr"/>
      <c r="G25" t="inlineStr"/>
      <c r="H25" t="inlineStr"/>
      <c r="I25" t="inlineStr">
        <is>
          <t>**Job Description**
 ECS is seeking a
 ***Data Engineer***
 to work
 ***remotely***
 .
 The Data Engineer will support the design, development, and deployment of the foundational data pipelines, data products, and automation required to implement a scalable data mesh architecture at the Department of Homeland Security (DHS). This role is responsible for building secure and reliable ingestion frameworks, transforming mission data into reusable domain\-oriented data assets, integrating systems with modern platforms such as Databricks, Snowflake, and Palantir, and ensuring high standards of data quality, performance, lineage, and observability across the enterprise.
**Ideal Candidate Experience**
* Data Engineering \&amp; Pipeline Development: 5\-7\+ years building scalable ETL/ELT pipelines using Python, Spark, SQL, or similar technologies.
* Cloud Data Platforms (AWS preferred): 4\-6\+ years working with services such as S3, Glue, Lambda, Redshift, EMR, or equivalents.
* Databricks/Snowflake Engineering: 3\-5\+ years designing notebooks, Delta Lake pipelines, SQL transformations, Snowflake tasks/streams, and performance\-optimized warehouses.
* Palantir Integration (Foundry preferred): 2\-4\+ years integrating data sources, developing pipelines, or enabling interoperability between Palantir and broader data ecosystems.
* Data Quality, Cataloging \&amp; Lineage: 3\-5\+ years implementing data validation frameworks, metadata tracking, and governance\-aligned data documentation.
* API \&amp; System Integration: 3\-5\+ years integrating cloud, legacy, and cross\-domain systems using REST, event streaming, or messaging frameworks.
 Required Skills
* 7\+ years’ experience creating reliable, scalable, and secure data pipelines that ingest, transform, store, and make data available to the business in near‑real‑time.
* BS degree in Computer Science or related field/equivalent experience.
* Ability to obtain a DHS Public Trust.
 Desired Skills
* Proficiency in Python, PySpark/Spark SQL, and scalable data processing patterns.
* Hands\-on experience with Databricks notebooks, Delta Lake, Snowflake data modeling, and workflow orchestration tools such as Airflow, Databricks Jobs, or AWS Step Functions.
* Familiarity with Palantir Foundry data pipelines, ontology integration, or platform interoperability.
* Solid understanding of data mesh concepts, including domain ownership, data product design, and federated governance.
* Familiarity with semantic layer/knowledge graph technologies.
* Experience with data catalog tools (Glue Catalog, Collibra, Alation) and version\-controlled development.
* Knowledge of federal security and compliance frameworks.
* Strong communication and documentation skills to collaborate with data product owners, mission stakeholders, and cross\-functional engineering teams.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26">
      <c r="A26" t="inlineStr">
        <is>
          <t>li-4368848788</t>
        </is>
      </c>
      <c r="B26" t="inlineStr">
        <is>
          <t>Senior Data Engineer</t>
        </is>
      </c>
      <c r="C26" t="inlineStr">
        <is>
          <t>Connie Health</t>
        </is>
      </c>
      <c r="D26" t="inlineStr">
        <is>
          <t>linkedin</t>
        </is>
      </c>
      <c r="E26" t="inlineStr"/>
      <c r="F26" t="inlineStr"/>
      <c r="G26" t="inlineStr">
        <is>
          <t>Boston, MA</t>
        </is>
      </c>
      <c r="H26" t="inlineStr"/>
      <c r="I26" t="inlineStr">
        <is>
          <t>**Description**
**About Connie Health**
 Connie Health is a fast\-growing Medicare brokerage on a mission to empower older Americans to make confident, worry\-free Medicare plan decisions. We offer a tech\-enabled Medicare navigation platform that combines an AI\-driven technology with local Medicare experts to help people select optimal healthcare plans and navigate their benefits. Our culture is mission\-driven, collaborative, and innovative, as we strive to transform healthcare through data\-driven insights and personalized guidance. We value Relationships First, Data\-Driven Decision Making, and being Accountable in delivering unbiased, high\-quality advice to our customers.
**Role Overview**
 Connie Health is seeking a Senior Data Engineer to architect, build, and scale the data platform that powers our analytics, operations, and AI\-driven products. This role sits at the core of our data ecosystem and is responsible for designing reliable, performant, and secure data pipelines that integrate information from our CRM, third\-party partners, and internal systems into a unified, analytics\-ready platform.
 You will be a technical leader who sets standards for data modeling, pipeline reliability, and engineering best practices. Beyond building, you will partner closely with Analytics, Sales, Operations, Finance, Product, and Engineering to ensure that high\-quality, trustworthy data is available for decision\-making, experimentation, and financial reporting. The ideal candidate is equally comfortable with low\-level pipeline implementation and high\-level system design, and enjoys solving complex data infrastructure problems at scale.
 This is a hybrid role, based out of our Boston office near South Station.
**What You’ll Do**
* Design, build, and maintain scalable batch and streaming data pipelines that ingest data from Salesforce, product systems, and external partners into our Redshift data warehouse.
* Own the architecture and evolution of our data platform, including ingestion, transformation, orchestration, and data quality monitoring.
* Develop and maintain robust data models and transformation layers that serve analytics, finance, operations, and machine learning use cases.
* Establish and enforce best practices for data reliability, testing, observability, and documentation across the data stack.
* Partner with Analytics and Business teams to translate analytical requirements into well\-structured, performant datasets.
* Collaborate with Product and Engineering to instrument new features and ensure event data is accurate, complete, and analysis\-ready.
* Ensure data security, access controls, and compliance with HIPAA and other regulatory requirements for handling sensitive healthcare data.
**Requirements**
**Minimum Qualifications**
* Bachelor’s degree in Computer Science, Engineering, or a related quantitative field, or equivalent practical experience.
* 5\+ years of experience in Data Engineering or Backend Engineering with a strong data focus.
* Deep expertise with data warehouses (Redshift) and cloud platforms (AWS).
* Advanced SQL skills and strong proficiency in Python (or a similar language) for building and maintaining data pipelines.
* Experience with orchestration tools (Airflow) and transformation frameworks (dbt).
* Strong understanding of data modeling, dimensional design, and performance/cost optimization.
* Proven ability to design reliable, fault\-tolerant systems and troubleshoot complex data pipeline failures.
* Excellent communication skills, with the ability to work cross\-functionally and explain technical concepts clearly.
**Preferred Qualifications**
* Experience with HIPAA compliant data warehouses and data architectures.
* Experience with Salesforce data models.
* Experience with Looker and LookML.
* Experience with managed ingestion frameworks (Fivetran)
* Experience supporting real\-time or near–real\-time analytics use cases alongside batch warehousing.
* Prior ownership of SLA/SLOs for data availability, freshness, and accuracy.
* Experience building or operating feature stores or analytics layers that support machine learning models.
**Why Join Connie Health?**
* Competitive salary and equity packages.
* Generous vacation policy and holiday observances.
* Hybrid work schedule with designated in\-office days at our fully stocked office.
* Comprehensive health insurance plans.
* 401k with company match.
 We are an equal opportunity employer and value diversity at our company. We do not discriminate on the basis of race, religion, color, national origin, gender, sexual orientation, age, marital status, veteran status, or disability status.</t>
        </is>
      </c>
    </row>
    <row r="27">
      <c r="A27" t="inlineStr">
        <is>
          <t>li-4321961325</t>
        </is>
      </c>
      <c r="B27" t="inlineStr">
        <is>
          <t>Senior Analytics Engineer</t>
        </is>
      </c>
      <c r="C27" t="inlineStr">
        <is>
          <t>Bevi</t>
        </is>
      </c>
      <c r="D27" t="inlineStr">
        <is>
          <t>linkedin</t>
        </is>
      </c>
      <c r="E27" t="inlineStr"/>
      <c r="F27" t="inlineStr"/>
      <c r="G27" t="inlineStr">
        <is>
          <t>Boston, MA</t>
        </is>
      </c>
      <c r="H27" t="inlineStr"/>
      <c r="I27" t="inlineStr">
        <is>
          <t>Bevi is on a mission to transform how beverages are delivered and consumed. Our connected beverage platform eliminates the need for single\-use bottles and cans—making it easy, fun, and sustainable to stay hydrated. As the category leader in IoT\-enabled beverage technology, we're building a future where Bevi machines are everywhere people live, work, and connect. We've raised over $160M in venture capital, serve thousands of customers across the US, Canada, UK and Ireland, and we've been rapidly growing year over year—saving over 1 billion bottles from waste. In addition to driving hypergrowth with our current product line, Bevi is heavily investing in new product development.
 We are seeking a Senior Analytics Engineer to take on a senior technical leadership role within our high\-performing Data \&amp; Analytics team. This position is both strategic and hands\-on, spanning overall platform architecture design and governance as well as owning data engineering, analytics engineering, and ML engineering. The Senior Analytics Engineer will develop advanced data systems, like our proprietary streaming IOT data to support stakeholders in Software, Hardware, Product, and Operations. The right candidate combines deep technical expertise with innovation and operational excellence, thriving in a hands\-on role to deliver scalable, production\-ready, high\-impact data solutions.
**Your Day To Day**
* Design and build best\-in\-class reliable, scalable, and performant data architecture and data flows to support the democratization of data, analytics, AI, and ML initiatives.
* Partner with cross\-functional teams such as Software, Hardware, Product, and Operations to translate complex data needs into robust, production\-ready solutions.
* Identify, recommend, and implement the right tech stack to support streaming data \- at scale \- that integrates into our existing tech stack: FiveTran, Snowflake, DBT, Looker.
* Own data ingestion, modeling, transformation, and orchestration for key data assets including IOT: machine sensors, digital UI interactions, and beverage consumption.
* Define and enforce best practices for privacy, governance, and security to enable teams at all levels of data maturity to effectively leverage the platform.
* Collaborate with Analytics and Data Science team members to enable advanced analytics, experimentation, and AI/ML modeling.
* Provide technical leadership to engineers across the Data \&amp; Analytics organization.
* Stay current with emerging data technologies and recommend strategic improvements to the data platform.
**Who You Are**
* Bachelors degree in Computer Science, Information Systems, or similar; Masters degree preferred
* 4\-8 years of experience in data, data engineering, analytics engineering, or ML engineering
* Expert in streaming and batch IOT data pipelines for large\-scale, real\-time systems (eg Kafka, Spark, Influx).
* Hands\-on experience with cloud data platforms and modern engineering tools (eg FiveTran, Snowflake, DBT).
* Strong skills in SQL, Python, and building reliable, automated data workflows.
* Deep understanding of data modeling, ETL/ELT, and analytics pipeline design for self\-service data, analytics, and AI/ML applications.
* Experience ensuring data quality, governance, and observability across pipelines.
* Experience with data visualization tools and building the data models behind the scenes (eg Looker, PowerBI, Hex, DataDog, Grafana).
* Proven ability to translate complex stakeholder needs into scalable, high\-performance data solutions.
* Track record of mentoring engineers and driving innovation within high\-performing data teams.
 At Bevi, We Believe Compensation Is a Powerful Tool To Attract, Retain, And Grow Talent. Our Compensation Philosophy Centers On 5 Principles
* Market\-driven \- We anchor pay decisions in real\-time market data
* Performance\-based \- We reward individual impact, not just tenure
* Equitable \- We ensure fairness across teams, roles, and demographics
* Growth\-focused \- We invest in talent that scales with Bevi
* Total Rewards approach \- We strategically balance base pay, bonuses, benefits, and equity
 The posted compensation range reflects the salary\* for this position. Some roles may be eligible for a commission plan or a bonus incentive. All Bevi employees receive equity in the form of stock options. All full\-time employees are invited to participate in our Total Rewards plan, which includes health \&amp; medical benefits, flexible spending accounts, flexible PTO, and more. Offers to join Bevi are based on a few criteria, including the scope of the role, the candidate's work experience, targeted skills, internal equity of the team, and external market data.
* For Sales roles: The posted range reflects base salary plus commission which is the total potential on target earnings (OTE) for the position.
 Pay Range
 $140,250—$173,250 USD
**Benefits**
* Comprehensive medical, dental and vision insurance plans with BlueCross BlueShield, 95% paid by employer
* 401(k) with company match
* Flexible PTO plus 12 company holidays, and additional paid days for sick leave, etc
* Generous fully paid parental leave for both birth parents and non\-birth parents
* Fully employer paid disability and life insurances
* Wellness and fitness reimbursements
* Monthly stipends for cell phone use and commuting costs
* Onsite snacks, weekly catered lunch, and (of course) unlimited Bevi ... plus composting and terra\-cycling, too
* Happy hours, team\-building events, bagel breakfasts, Values awards \- and more.
**We’re supercharging our workflows:** 
 Bevi is currently in an exciting "build phase" of our 2026 roadmap to become a truly AI\-powered business. We aren't just looking for tool\-users; we’re looking for change\-makers who are as passionate about driving AI adoption as they are about sustainability. Join us as we build the future of hydration together.
*We're excited about supporting career growth and would love to be part of your professional journey. We know that talent comes in many forms, and we value individual accomplishments, specialized knowledge, and genuine passion over just checking boxes on a requirements list. If any of our positions interest you, please apply! Our recruiting team will contact you about next steps if we'd like to move forward together.*
*A member of the Bevi Talent team 'recruiting@bevi.co' will be reaching out about next steps if we would like to move forward.*
**Accommodations**
 Bevi is committed to an inclusive hiring process and we aim to provide accommodations for persons with disabilities. If you need any accommodations for the application or throughout the interview process please contact recruiting@bevi.co.</t>
        </is>
      </c>
    </row>
    <row r="28">
      <c r="A28" t="inlineStr">
        <is>
          <t>li-4377846876</t>
        </is>
      </c>
      <c r="B28" t="inlineStr">
        <is>
          <t>Senior Data Engineer-AI/BI Analytics</t>
        </is>
      </c>
      <c r="C28" t="inlineStr">
        <is>
          <t>Bank of America</t>
        </is>
      </c>
      <c r="D28" t="inlineStr">
        <is>
          <t>linkedin</t>
        </is>
      </c>
      <c r="E28" t="inlineStr"/>
      <c r="F28" t="inlineStr"/>
      <c r="G28" t="inlineStr">
        <is>
          <t>Jersey City, NJ</t>
        </is>
      </c>
      <c r="H28" t="inlineStr"/>
      <c r="I28"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**Position Summary:**
 Join a groundbreaking team at Bank of America, at the forefront of innovation in AI. We are building the next generation of Gen AI platform, empowering new AI initiatives across Consumer, Small Business, Global Banking, and Wealth organizations. This is a unique opportunity to contribute to a critical platform that will enable secure, scalable, and high\-performance AI capabilities across the organization. We value curiosity, collaboration, and a passion for pushing the boundaries of what’s possible with AI.
 This position is focused on design, build, and serve the Gen AI inferencing capabilities.
 This job is responsible for defining and leading the engineering approach for complex features to deliver significant business outcomes. Key responsibilities of the job include delivering complex features and technology, enabling development efficiencies, providing technical thought leadership based on conducting multiple software implementations, and applying both depth and breadth in a number of technical competencies. Additionally, this job is accountable for end\-to\-end solution design and delivery.
**Responsibilities:**
* Assembles large, complex data sets that meet functional and non\-functional requirements, ensuring that the design and engineering approach is consistent across multiple systems
* Maintains, improves, cleans, and manipulates large data for operational and analytics data systems, builds complex processes supporting data transformation, data structures, metadata, data quality controls, dependency, and workload management, and communicates required information for deployment, maintenance, and support of business functionality
* Utilizes multiple architectural components in the design and development of client requirements and collaborates with development teams to understand data requirements and ensure the data architecture is feasible to implement
* Defines and builds data pipelines to enable data\-informed decision making, ensuring adherence to release processes and risk management routines
* Contributes to existing test suites including integration, regression, and performance, analyzes test reports, identifies any test issues and errors, and leads triage of underlying causes
* Leads the identification of gaps in data management standards adherence and works with appropriate partners to develop plans to close gaps, leading concept testing and conducting research to prototype toolsets and improve existing processes
* Mentors Data Engineers in the delivery and release of continuous integration and continuous delivery events and defines key performance indicators and internal controls
* Ensures that the design and engineering approach for complex features are consistent with the larger portfolio solution. Accountable for the availability, stability, scalability, security, and recoverability enabled by the designs.
* Define the technology tool stack for the solution and evaluate and adapt new testing tool/framework/practices for team(s)
* Enables team(s)/applications with Continuous Integration/Continuous Development (CI/CD) capabilities and engages with other technical stakeholders pertaining to efficient functioning of CI\-CD pipeline
* Guides and influences team(s) on design and best practices for high code performance –e.g. pairing, code reviews
* Provides end\-to\-end delivery of complex features, including automation, for either a single team or multiple teams, at the program level
* Conducts research, design prototyping and other exploration activities such as evaluating new toolsets and components for release management, CI/CD, and features
* Works with stakeholders to establish high\-level solution needs and with architects for technical requirements
* Proficient written and verbal communication skills to support and shape the platform and clearly articulate technical designs and concepts; and to communicate effectively with all levels within the organization
* Design and execute the implementation plans to both move forward strategically, while at the same time ensuring the current technology stack is supporting current needs.
* Manage multiple priorities, and simultaneously engage with multiple teams worldwide.
* Coach and mentor team members
**Required qualifications:**
* 10\+ years strong experience designing and delivering AI, ML, Data platform, and advanced analytics platforms capabilities using open\-source technologies in large enterprise environment
* Experience with emerging technologies e.g. of GenAI (public and open source), MCP, Agents, AI BI etc.
* Hands\-on experience on data science, big data, cloud, governance technologies
* Experience architecting next generation AI analytical product delivery to all levels of users in organization using self\-service interfaces
* Proven track record in data, analytics, insight and AI/ML platforms supporting multiple business units.
* Experience in designing, developing, and maintaining software frameworks using Open\-Source technologies such as Python, Spark, Jupyter, FastAPI, LabelStud.io, Ragas etc.
* Strong working experience of how metadata management, semantic layers, labeling, annotations is important for enabling AI BI, MCP, Agents, Data Assistants etc.
* Experience with using various Open source and Cloud model for AI BI, Summarization etc., and tuning those models and deployment to provide higher throughput for latency and cost optimizations.
* Experience of building RAG with knowledge base, data sources and Vector Store platforms such as Redis, Solar, Postgres DB, FAISS, Teradata, Oracle, SQL Server, Hadoop etc.
* Hands on experienced building RAG, RAG Fusion, CAG etc.
* Experience with various inference metrics, and related monitoring and observability.
* Experience with serving multiple tenants/clients with model endpoints with secure boundaries.
* Experience with AI gateway, OPA, authentication \&amp; authorization, policy as code, API based systems Integration, cost management, and model routing
**Desired Qualifications**
* Experience developing Gen AI training and RAG platform with open\-source model, inferencing \&amp; servicing capabilities, MCP modules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Analytical Thinking
* Application Development
* Data Management
* Risk Management
* Solution Design
* Agile Practices
* Architecture
* Collaboration
* Decision Making
* DevOps Practices
* Business Acumen
* Data Quality Management
* Financial Management
* Solution Delivery Process
* Test Engineering
**Shift:**
 1st shift (United States of America)
**Hours Per Week:**
 40</t>
        </is>
      </c>
    </row>
    <row r="29">
      <c r="A29" t="inlineStr">
        <is>
          <t>li-4377847894</t>
        </is>
      </c>
      <c r="B29" t="inlineStr">
        <is>
          <t>Senior Data Engineer-AI/BI Analytics</t>
        </is>
      </c>
      <c r="C29" t="inlineStr">
        <is>
          <t>Bank of America</t>
        </is>
      </c>
      <c r="D29" t="inlineStr">
        <is>
          <t>linkedin</t>
        </is>
      </c>
      <c r="E29" t="inlineStr"/>
      <c r="F29" t="inlineStr"/>
      <c r="G29" t="inlineStr">
        <is>
          <t>Kennesaw, GA</t>
        </is>
      </c>
      <c r="H29" t="inlineStr"/>
      <c r="I29"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**Position Summary:**
 Join a groundbreaking team at Bank of America, at the forefront of innovation in AI. We are building the next generation of Gen AI platform, empowering new AI initiatives across Consumer, Small Business, Global Banking, and Wealth organizations. This is a unique opportunity to contribute to a critical platform that will enable secure, scalable, and high\-performance AI capabilities across the organization. We value curiosity, collaboration, and a passion for pushing the boundaries of what’s possible with AI.
 This position is focused on design, build, and serve the Gen AI inferencing capabilities.
 This job is responsible for defining and leading the engineering approach for complex features to deliver significant business outcomes. Key responsibilities of the job include delivering complex features and technology, enabling development efficiencies, providing technical thought leadership based on conducting multiple software implementations, and applying both depth and breadth in a number of technical competencies. Additionally, this job is accountable for end\-to\-end solution design and delivery.
**Responsibilities:**
* Assembles large, complex data sets that meet functional and non\-functional requirements, ensuring that the design and engineering approach is consistent across multiple systems
* Maintains, improves, cleans, and manipulates large data for operational and analytics data systems, builds complex processes supporting data transformation, data structures, metadata, data quality controls, dependency, and workload management, and communicates required information for deployment, maintenance, and support of business functionality
* Utilizes multiple architectural components in the design and development of client requirements and collaborates with development teams to understand data requirements and ensure the data architecture is feasible to implement
* Defines and builds data pipelines to enable data\-informed decision making, ensuring adherence to release processes and risk management routines
* Contributes to existing test suites including integration, regression, and performance, analyzes test reports, identifies any test issues and errors, and leads triage of underlying causes
* Leads the identification of gaps in data management standards adherence and works with appropriate partners to develop plans to close gaps, leading concept testing and conducting research to prototype toolsets and improve existing processes
* Mentors Data Engineers in the delivery and release of continuous integration and continuous delivery events and defines key performance indicators and internal controls
* Ensures that the design and engineering approach for complex features are consistent with the larger portfolio solution. Accountable for the availability, stability, scalability, security, and recoverability enabled by the designs.
* Define the technology tool stack for the solution and evaluate and adapt new testing tool/framework/practices for team(s)
* Enables team(s)/applications with Continuous Integration/Continuous Development (CI/CD) capabilities and engages with other technical stakeholders pertaining to efficient functioning of CI\-CD pipeline
* Guides and influences team(s) on design and best practices for high code performance –e.g. pairing, code reviews
* Provides end\-to\-end delivery of complex features, including automation, for either a single team or multiple teams, at the program level
* Conducts research, design prototyping and other exploration activities such as evaluating new toolsets and components for release management, CI/CD, and features
* Works with stakeholders to establish high\-level solution needs and with architects for technical requirements
* Proficient written and verbal communication skills to support and shape the platform and clearly articulate technical designs and concepts; and to communicate effectively with all levels within the organization
* Design and execute the implementation plans to both move forward strategically, while at the same time ensuring the current technology stack is supporting current needs.
* Manage multiple priorities, and simultaneously engage with multiple teams worldwide.
* Coach and mentor team members
**Required qualifications:**
* 10\+ years strong experience designing and delivering AI, ML, Data platform, and advanced analytics platforms capabilities using open\-source technologies in large enterprise environment
* Experience with emerging technologies e.g. of GenAI (public and open source), MCP, Agents, AI BI etc.
* Hands\-on experience on data science, big data, cloud, governance technologies
* Experience architecting next generation AI analytical product delivery to all levels of users in organization using self\-service interfaces
* Proven track record in data, analytics, insight and AI/ML platforms supporting multiple business units.
* Experience in designing, developing, and maintaining software frameworks using Open\-Source technologies such as Python, Spark, Jupyter, FastAPI, LabelStud.io, Ragas etc.
* Strong working experience of how metadata management, semantic layers, labeling, annotations is important for enabling AI BI, MCP, Agents, Data Assistants etc.
* Experience with using various Open source and Cloud model for AI BI, Summarization etc., and tuning those models and deployment to provide higher throughput for latency and cost optimizations.
* Experience of building RAG with knowledge base, data sources and Vector Store platforms such as Redis, Solar, Postgres DB, FAISS, Teradata, Oracle, SQL Server, Hadoop etc.
* Hands on experienced building RAG, RAG Fusion, CAG etc.
* Experience with various inference metrics, and related monitoring and observability.
* Experience with serving multiple tenants/clients with model endpoints with secure boundaries.
* Experience with AI gateway, OPA, authentication \&amp; authorization, policy as code, API based systems Integration, cost management, and model routing
**Desired Qualifications**
* Experience developing Gen AI training and RAG platform with open\-source model, inferencing \&amp; servicing capabilities, MCP modules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Analytical Thinking
* Application Development
* Data Management
* Risk Management
* Solution Design
* Agile Practices
* Architecture
* Collaboration
* Decision Making
* DevOps Practices
* Business Acumen
* Data Quality Management
* Financial Management
* Solution Delivery Process
* Test Engineering
**Shift:**
 1st shift (United States of America)
**Hours Per Week:**
 40</t>
        </is>
      </c>
    </row>
    <row r="30">
      <c r="A30" t="inlineStr">
        <is>
          <t>li-4375220644</t>
        </is>
      </c>
      <c r="B30" t="inlineStr">
        <is>
          <t>Senior Analytics Engineer</t>
        </is>
      </c>
      <c r="C30" t="inlineStr">
        <is>
          <t>Ladders</t>
        </is>
      </c>
      <c r="D30" t="inlineStr">
        <is>
          <t>linkedin</t>
        </is>
      </c>
      <c r="E30" t="inlineStr"/>
      <c r="F30" t="inlineStr"/>
      <c r="G30" t="inlineStr"/>
      <c r="H30" t="inlineStr"/>
      <c r="I30" t="inlineStr">
        <is>
          <t>For our client, we are seeking a Senior Analytics Engineer to join the team of a leader in the Enterprise Technology space. You’ll build and maintain systems that power mission\-critical Enterprise Technology workflows. You’ll collaborate with product and peers to design clean, scalable solutions. This role values craftsmanship, impact, and ownership.
 Location: Remote \- US based candidates only, no visa sponsorship available
 Compensation: $156,000 – $212,000 annually.
**Responsibilities**
* Partner with leaders to define and solve critical business challenges
* Present analytical insights and drive strategic decisions across business units
* Build and maintain data models to support analytics efforts
* Create self\-service dashboards enabling stakeholder independence
* Establish data quality standards for reliable metrics and insights
* Operate analytical workflows that scale and provide sustainable insights
* Lead high\-impact analytical projects that drive growth and efficiency
**Qualifications**
* 6\+ years in analytics engineering, data science, or related roles
* Expert\-level SQL; proficiency in data modeling principles
* Experience with dbt for building data transformation pipelines
* Strong visualization skills in Looker or similar BI platforms
* Hands\-on knowledge of cloud data warehouses like Databricks
* Ability to communicate technical findings effectively to diverse audiences
* Demonstrable impact on business outcomes, with strategic analysis experience
* Proactive in identifying opportunities and managing ambiguity
**Benefits**
* Comprehensive healthcare coverage (medical, dental, vision, pets included)
* Flexible vacation policy and take\-as\-you\-need time off
* Company\-wide winter slowdown week
* Volunteer Days Off for community service
* Stipend for home office setup
* Charity donation matching available
* Tailored professional development resources and coaching
* Regular remote team\-building activities and company off\-sites
 Our client is an equal opportunity employer. We encourage you to apply even if you don’t meet every qualification—your background could be exactly what this team needs.</t>
        </is>
      </c>
    </row>
    <row r="31">
      <c r="A31" t="inlineStr">
        <is>
          <t>li-4375230738</t>
        </is>
      </c>
      <c r="B31" t="inlineStr">
        <is>
          <t>Lead Data Platform Engineer</t>
        </is>
      </c>
      <c r="C31" t="inlineStr">
        <is>
          <t>Exactera</t>
        </is>
      </c>
      <c r="D31" t="inlineStr">
        <is>
          <t>linkedin</t>
        </is>
      </c>
      <c r="E31" t="inlineStr"/>
      <c r="F31" t="inlineStr"/>
      <c r="G31" t="inlineStr">
        <is>
          <t>San Diego, CA</t>
        </is>
      </c>
      <c r="H31" t="inlineStr"/>
      <c r="I31" t="inlineStr">
        <is>
          <t>**Compensation:** 
 Base, $210k \- $250k
**Type:** 
 Hybrid (2x week)
**The Role** 
 As Lead Data Platform Engineer, you'll architect and implement our centralized data platform on Databricks. You'll establish governance patterns using Unity Catalog, optimize for cost and performance at scale, and enable our existing Data Engineers to build confidently on the platform. This is a data infrastructure role—focused on pipelines, storage, governance, and platform operations.
**The Business Challenge** 
 We operate multiple product lines (Transfer Pricing, R\&amp;D Services, RoyaltyStat, Provisioning), each with distinct databases containing enterprise financial data—journal entries, general ledgers, and financial statements. Our immediate challenge is migrating multi\-terabyte datasets from legacy systems to a unified Databricks lakehouse while establishing governance patterns that enable multi\-product operations at scale.
**What You'll Build** 
* Data Structuring: Design data models and implement unified schemas across multiple disparate product lines.
* Unity Catalog Architecture: Design and implement multi\-catalog governance strategy supporting data isolation, cross\-product data sharing, and comprehensive lineage tracking across our product portfolio
* Delta Lake Optimization: Establish patterns for Z\-ordering, compaction, and liquid clustering at multi\-TB scale. Define table structures, partitioning strategies, and retention policies that balance query performance with storage costs
* ETL Pipeline Framework: Build declarative pipeline patterns using Delta Live Tables. Create orchestration workflows for ingesting data from internal sources such as SQL databases and S3
* Third Party Integrations: Integrate with third party data sources such as ERP systems (Netsuite etc.) and external data providers (S\&amp;P etc.) with automated ingest, robust error handling and monitoring.
* Platform Operations: Implement cost monitoring and optimization strategies, establish data quality frameworks, create self\-service patterns enabling Data Engineers to work independently while maintaining governance standards
**Business Problems You'll Solve** 
* Key Legacy Product Migrations: Lead the architecture for migrating multi\-terabyte datasets from legacy systems to Databricks—establishing patterns that will be reused across multiple product lines
* Multi\-Product Data Architecture: Design Unity Catalog structures enabling secure data separation between product lines while allowing controlled cross\-product analytics where appropriate
* Cost\-Efficient Scale: Build infrastructure that scales efficiently—through intelligent caching, query optimization, and compute management strategies that avoid linear cost growth
* Platform Reliability: Establish monitoring, alerting, and data quality validation ensuring the platform operates reliably as foundation for both analytics and AI workloads
**Required Experience** 
 Databricks Expertise (Required)
* Unity Catalog: Production experience with multi\-catalog governance, metastore design, and lineage tracking.
* Data Structuring: Experience designing and building unified schemas across multiple disparate product lines.
* Delta Lake: Expert\-level experience with Z\-ordering, compaction, liquid clustering, and performance tuning at multi\-TB scale
* Delta Live Tables: Strong hands\-on experience building declarative ETL pipelines, including change data capture and expectations/constraints
* Databricks Workflows: Experience with job orchestration, scheduling, and operational monitoring
* Business Intelligence: Experience enabling company\-wide analytics and reporting with modern business intelligence tools and maintaining source of truth data and metrics.
* PySpark \&amp; Databricks SQL: Strong proficiency for code review, performance tuning, and query optimization
 Core Platform Engineering
* 5\-8 years in data engineering or data platform roles, with 3\+ years hands\-on Databricks experience
* Track record leading at least one significant platform build or migration project
* AWS experience (S3, IAM, VPC) with ability to collaborate on infrastructure decisions
* Infrastructure\-as\-code experience (Terraform preferred)
 Technical Leadership
* Demonstrated ability architecting data platforms from first principles and defending technical decisions
* Strong written and verbal communication— document architecture decisions and present to both technical and business stakeholders
 Preferred But Not Required
* Experience with financial data, accounting systems (NetSuite), or enterprise ERP platforms
* Background building platforms that serve AI/ML workloads (experience preparing data for downstream ML consumption, RAG and retrieval, and LLMs.
* Understand advanced intelligence concepts such as relationship surfacing with knowledge graphs
* Familiarity with data governance frameworks and compliance requirements for regulated industries
**What We Offer** 
*(The following only applies to US\-based positions)* 
* A collaborative team culture with opportunities for career development.
* Ample opportunities to be recognized, build valuable skills, and grow your career.
* Generous vacation policy, including paid parental leave.
* Comprehensive health plans with FSA and HSA options.
* 401(k) retirement plan.
* Life and disability insurance coverage.
* Supplemental benefits like a dependent care savings plan, pet insurance, will preparation, and an employee assistance program.
**About Us** 
 At Exactera, a FinTech SaaS start\-up founded in 2016, we stand at the intersection of human and machine intelligence. Our corporate tax solutions are powered by AI and cloud\-based technologies, serving customers worldwide. With over $100 million in funding from Savant Venture Fund and Insight Partners, we are poised for growth. We are committed to diversity, inclusion, and equal opportunities for all.</t>
        </is>
      </c>
    </row>
    <row r="32">
      <c r="A32" t="inlineStr">
        <is>
          <t>li-4366188833</t>
        </is>
      </c>
      <c r="B32" t="inlineStr">
        <is>
          <t>Data Platform Engineer</t>
        </is>
      </c>
      <c r="C32" t="inlineStr">
        <is>
          <t>First Bank &amp; Trust</t>
        </is>
      </c>
      <c r="D32" t="inlineStr">
        <is>
          <t>linkedin</t>
        </is>
      </c>
      <c r="E32" t="inlineStr"/>
      <c r="F32" t="inlineStr"/>
      <c r="G32" t="inlineStr">
        <is>
          <t>Sioux Falls, SD</t>
        </is>
      </c>
      <c r="H32" t="inlineStr"/>
      <c r="I32" t="inlineStr">
        <is>
          <t>**Job Description**
 The primary responsibility for this position is to design, develop, and optimize data pipelines using Microsoft Fabric, ensuring high standards of data quality, governance, and scalability across the enterprise data platform.
**Qualifications:** 
 This person should have a bachelor’s degree in computer science, information systems, or a related field, and a minimum of 7 years’ experience in data engineering or platform development. Experience with Microsoft Fabric, data pipeline orchestration, and cloud\-based data solutions is preferred. The candidate must possess strong analytical and problem\-solving skills, excellent communication abilities, and a collaborative mindset. Special skill sets: Microsoft Fabric, MS SQL Server, Python, AI, machine learning, data pipeline design, data cleansing and transformation, data quality frameworks, metadata management, data cataloging, governance policy implementation, and platform scalability strategies.
**Principal Responsibilities**
* Design, build, and maintain robust data pipelines in Microsoft Fabric to support enterprise analytics and operational needs.
* Develop, implement, and maintain data management standards and best practices to ensure data integrity, quality, and security across the organization.
* Establish and monitor data quality metrics, proactively identifying and resolving data issues.
* Manage metadata and data cataloging processes to ensure data assets are discoverable, well\-documented, and compliant with organizational standards.
* Implement and enforce data governance policies, including data security, privacy, and compliance requirements.
* Collaborate with stakeholders to define and execute data strategy, focusing on platform scalability and future growth.
* Provide guidance and mentorship to team members on best practices in data engineering, quality, and governance.
* Stay current with emerging technologies, industry trends, and best practices in data platform engineering and Microsoft Fabric.
* Maintain comprehensive documentation for data pipelines, processes, and governance frameworks.
* Act in accordance with organizational policy and procedures as established and set forth in the employee handbook.
* Adhere to compliance procedures and participate in required compliance training.
**Compensation Grade**
 Salary Grade 7
*First Bank \&amp; Trust is an Equal Opportunity, Affirmative Action employer. All qualified applicants will receive consideration for employment without regard to race, color, religion, sex, sexual orientation, gender identity or expression, national origin, disability, or status as a protected veteran. Read our complete* 
 Equal Employment Opportunity Policy Statement
 *. Applicants who would like to request reasonable accommodation to the application or interview process should call Human Resources at 800\.843\.1552 or email hr@bankeasy.com.*</t>
        </is>
      </c>
    </row>
    <row r="33">
      <c r="A33" t="inlineStr">
        <is>
          <t>li-4361358665</t>
        </is>
      </c>
      <c r="B33" t="inlineStr">
        <is>
          <t>Azure Stack Data Engineer</t>
        </is>
      </c>
      <c r="C33" t="inlineStr">
        <is>
          <t>AAON, Inc.</t>
        </is>
      </c>
      <c r="D33" t="inlineStr">
        <is>
          <t>linkedin</t>
        </is>
      </c>
      <c r="E33" t="inlineStr"/>
      <c r="F33" t="inlineStr"/>
      <c r="G33" t="inlineStr">
        <is>
          <t>Tulsa, OK</t>
        </is>
      </c>
      <c r="H33" t="inlineStr"/>
      <c r="I33" t="inlineStr">
        <is>
          <t>**Job Description**
**Job Summary:**
 We are seeking an experienced Azure Stack Data Engineer to design, build, and optimize data solutions leveraging Microsoft Azure technologies. This role ensures secure, scalable, and efficient data pipelines and storage to enable advanced analytics and business intelligence. The ideal candidate combines strong technical expertise with business acumen and collaboration skills to deliver data\-driven insights across the enterprise.
**Essential Job Duties And Responsibilities**
* Data Architecture \&amp; Engineering
+ Design and implement data pipelines using Azure Data Factory, Azure Synapse, and Azure Functions.
+ Develop ETL processes for structured and unstructured data.
+ Optimize data storage in Azure Data Lake, Azure SQL, and related services.
* Integration \&amp; Automation
+ Integrate data from ERP systems (e.g., SAP), CRM (Dataverse), and legacy platforms.
+ Automate workflows using Azure Logic Apps and Event Hub for real\-time processing.
* Performance \&amp; Security
+ Ensure data quality, security, and compliance with organizational standards.
+ Implement monitoring and alerting for data pipelines and storage performance.
* Collaboration
+ Partner with data analysts, architects, and business stakeholders to translate requirements into technical solutions.
+ Support BI teams with optimized datasets for Power BI and other reporting tools.
**Competency Requirements**
* Technical Competencies
* Expertise in Azure services: Data Factory, Synapse Analytics, Data Lake, Azure SQL, and hybrid Azure Stack environments.
* Strong skills in ETL workflows, data modeling, and schema optimization.
* Proficiency in Python, SQL, and scripting for automation.
* Knowledge of cloud security principles and compliance frameworks.
* Business \&amp; Analytical Competencies
* Understands how data solutions impact business processes and decision\-making.
* Ability to analyze complex data challenges and propose scalable solutions.
* Leadership \&amp; Collaboration Competencies
* Communicates technical concepts clearly to non\-technical stakeholders.
* Works effectively in cross\-functional teams, fostering collaboration and knowledge sharing.
* Responds quickly to changing priorities and emerging technologies.
* Knows when to escalate and collaborate.
* Innovation Competencies
* Identifies opportunities for automation and process optimization.
* Keeps up with trends in AI, IoT, and advanced analytics to guide future solutions.
**Qualifications**
 Job Qualifications
* Bachelor’s degree in Computer Science, Information Systems, or related field.
* 3\+ years of experience in data engineering with Azure technologies.
* Familiarity with DevOps practices and CI/CD pipelines for data solutions.
* Exposure to Power BI, Fabric, and advanced analytics tools.
**Preferred Qualifications**
* Experience with Azure Stack Hub or hybrid cloud environments.
* Knowledge of containerization (Docker/Kubernetes) and microservices architecture.
**Work Environment**
 Work is primarily performed in a climate\-controlled office environment.
**Physical Demands**
* Sitting for prolonged periods
* View a computer monitor for long periods
* Cognitive ability to process complex information, analyze data, and solve problems.
**Disclaimer**
 Please note this job description is not designed to cover or contain a comprehensive listing of activities, duties or responsibilities that are required of the employee for this job. Duties, responsibilities and activities may change at any time with or without notice. This job description is not an exhaustive list of all functions that the employee may be required to perform, and the employee may be required to perform additional functions. The company reserves the right to revise this job description at any time. The employee must be able to perform the essential functions of the position satisfactorily. If requested, reasonable accommodation may be made to enable employees with disabilities to perform the essential functions of the job, absent undue hardship.</t>
        </is>
      </c>
    </row>
    <row r="34">
      <c r="A34" t="inlineStr">
        <is>
          <t>li-4376771340</t>
        </is>
      </c>
      <c r="B34" t="inlineStr">
        <is>
          <t>Lead Data Engineer</t>
        </is>
      </c>
      <c r="C34" t="inlineStr">
        <is>
          <t>Visa</t>
        </is>
      </c>
      <c r="D34" t="inlineStr">
        <is>
          <t>linkedin</t>
        </is>
      </c>
      <c r="E34" t="inlineStr"/>
      <c r="F34" t="inlineStr"/>
      <c r="G34" t="inlineStr">
        <is>
          <t>Bellevue, WA</t>
        </is>
      </c>
      <c r="H34" t="inlineStr"/>
      <c r="I34"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**Principal Data Engineering Lead** 
 is a senior technical leader responsible for guiding the design, development, and optimization of Visa’s large‑scale data platforms and cloud\-based analytics environments. This role provides architectural direction, leads complex engineering initiatives, and mentors teams while remaining deeply hands\-on with modern data technologies. The Lead Data Engineer drives technical best practices, ensures platform scalability, and influences data engineering strategy for key products and business domains.
**Responsibilities:**
* Lead the architecture and delivery of large\-scale, high\-performance data pipelines and processing frameworks across Hadoop and multi\-cloud environments.
* Design scalable data models, lakehouse structures, and distributed data processing solutions that support analytics, machine learning, and real\-time data needs.
* Provide technical leadership to Senior and Staff Data Engineers, conducting design reviews, guiding implementation decisions, and ensuring engineering excellence.
* Partner with cross\-functional teams to translate business and product requirements into robust technical designs and data solutions.
* Develop and improve engineering best practices for data governance, quality, observability, testing, and cloud resource optimization.
* Drive adoption of cloud\-native data technologies, automation frameworks, and reusable components that improve development velocity and system reliability.
* Lead complex data modernization efforts, including cloud migration, data lake/lakehouse consolidation, and performance optimization of critical pipelines.
* Evaluate new tools and technologies, influencing platform evolution within the scope of assigned domains or product areas.
* Collaborate with product, analytics, and platform teams to ensure alignment on data strategy and architectural roadmaps.
* Mentor engineers at all levels, providing technical coaching and fostering a culture of continuous improvement.
 This is a hybrid position. Expectation of days in the office will be confirmed by your Hiring Manager.
**Qualifications**
**Basic Qualifications:**
* 10\+ years of relevant work experience with a Bachelor’s Degree or at least 7 years of work experience with an Advanced degree (e.g. Masters, MBA, JD, MD) or 4 years of work experience with a PhD, OR 13\+ years of relevant work experience.
**Preferred Qualifications:**
* 12 or more years of relevant work experience with a Bachelor’s Degree or at least 7 or more years of work experience with an Advanced degree (e.g. Masters, MBA, JD, MD) or 4 years of work experience with a PhD, OR 13 or more years of relevant work experience.Advanced expertise in building and optimizing large\-scale distributed data systems using Hadoop, Spark, and modern lakehouse architectures.
* Strong programming proficiency in PySpark, Scala, and Python with experience implementing scalable, production\-grade data applications.
* Deep experience designing and tuning RDBMS, NoSQL, and distributed SQL systems.
* Mastery of SQL and distributed query engines such as Presto, Trino, Hive, and SparkSQL.
* Strong knowledge of data modeling, ETL/ELT design, and data warehousing methodologies.
* Proven experience architecting and operating data solutions on AWS, GCP, and Azure, including cloud data lakes, orchestration tools, and cost\-effective storage/compute designs.
* Advanced proficiency in Databricks, including:
* Expert in building and optimizing notebooks and production jobs
* Expert in Delta Lake design and optimization
* Expert in Cluster configuration and workspace administration
* Expert in CI/CD integration for data workloads
* Expert in performance tuning for large distributed jobs
* Expert in demonstrated ability to lead technical initiatives, communicate architectural decisions, and influence engineering direction across multiple teams.
* Strong problem\-solving skills with the ability to troubleshoot complex data and performance issues.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$173,100 to $276,800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5">
      <c r="A35" t="inlineStr">
        <is>
          <t>li-4309890211</t>
        </is>
      </c>
      <c r="B35" t="inlineStr">
        <is>
          <t>Senior Data Engineer</t>
        </is>
      </c>
      <c r="C35" t="inlineStr">
        <is>
          <t>Intrepid Direct Insurance</t>
        </is>
      </c>
      <c r="D35" t="inlineStr">
        <is>
          <t>linkedin</t>
        </is>
      </c>
      <c r="E35" t="inlineStr"/>
      <c r="F35" t="inlineStr"/>
      <c r="G35" t="inlineStr">
        <is>
          <t>Overland Park, KS</t>
        </is>
      </c>
      <c r="H35" t="inlineStr"/>
      <c r="I35" t="inlineStr">
        <is>
          <t>**Company Details**
 Intrepid Direct Insurance (IDI) is a rapidly growing direct to consumer property and casualty insurance company. A member of the W. R. Berkley Corporation, a fortune 500 company, rated A\+ (Superior) by A.M. Best, Intrepid Direct’s vision is to
 **make life better for business** 
 . The insurance industry has not evolved with innovation like other major industries. We’re here to change that. We are making life better for our customers, shareholders, and our team members by leveraging data and technology as insurance experts for our targeted customers. You will be part of a highly collaborative team of talented and focused professionals. Join a group that enjoys working together, trusts each other, and takes pride in our hard\-earned success.
 https://intrepiddirect.com/
 The Company is an equal employment opportunity employer.
**Responsibilities**
 Intrepid Direct Insurance is looking for an experienced
 **Senior Data Engineer** 
 to mentor, orchestrate, implement, and monitor the flowing through our organization. This opportunity will have a direct influence on how data is made available to our business units, as well as our customers. You’ll primarily be working with our operations and engineering teams to create and enhance data pipelines, conform and enrich data, and deliver information to business users. Learn the ins and outs of what we do so that you can focus on improving availability and quality of the data we use to service our customers.
**Key Functions Include But Are Not Limited To**
* Assist with long\-term strategic planning for modern data warehousing needs.
* Contribute to data modeling exercises and the buildout of our data warehouse.
* Monitor, support, and analyze existing pipelines and recommend performance and process improvements to address gaps in existing process.
* Automate manual processes owned by data team.
* Troubleshoot and remediate ingestion and reporting related issues.
* Design and build new pipelines to ingest data from additional disparate sources.
* Responsible for the accuracy and availability of data in our data warehouse.
* Collaborate with a multi\-disciplinary team to develop data\-driven solutions that align with our business and technical needs.
* Create and deploy reports as needed.
* Assist with cataloging and classifying existing data sets.
* Participate in peer reviews with emphasis on continuous improvement.
* Respond to regulatory requests for information.
* Assumes other tasks and duties as assigned by management.
* Mentor team members and advise on best practices.
**Qualifications**
* Bachelor’s degree in Mathematics, Statistics, Computer Science, or equivalent experience.
* 6\+ years of relevant data engineering experience.
* Analytical thinker with experience working in a fast\-paced, startup environment.
* Technical expertise with Microsoft SQL Server.
* Familiarity with ETL tools and concepts.
* Hands\-on experience with database design and data modeling, preferable experience with Data Vault methodology.
* Experience supporting and troubleshooting SSIS packages.
* Experience consuming event\-based data through APIs or queues.
* Experience in Agile software development.
* Experience with insurance data highly desired.
* Detail oriented, solid organizational, and problem\-solving.
* Strong written, visual, and verbal communication skills.
* Team oriented with a strong willingness to serve others in an agile startup environment.
* Flexible in assuming new responsibilities as they arise.
* Experience with Power Bi desired.
**Additional Company Details**
 We do not accept unsolicited resumes from third party recruiting agencies or firms.
 The actual salary for this position will be determined by a number of factors, including the scope, complexity and location of the role; the skills, education, training, credentials and experience of the candidate; and other conditions of employment.
**Sponsorship Details**
 Sponsorship not Offered for this Role</t>
        </is>
      </c>
    </row>
    <row r="36">
      <c r="A36" t="inlineStr">
        <is>
          <t>li-4377887174</t>
        </is>
      </c>
      <c r="B36" t="inlineStr">
        <is>
          <t>Staff Data Engineer - Technical Strategic Programs</t>
        </is>
      </c>
      <c r="C36" t="inlineStr">
        <is>
          <t>Intuit</t>
        </is>
      </c>
      <c r="D36" t="inlineStr">
        <is>
          <t>linkedin</t>
        </is>
      </c>
      <c r="E36" t="inlineStr"/>
      <c r="F36" t="inlineStr"/>
      <c r="G36" t="inlineStr">
        <is>
          <t>Mountain View, CA</t>
        </is>
      </c>
      <c r="H36" t="inlineStr"/>
      <c r="I36" t="inlineStr">
        <is>
          <t>**Overview**
 The Tech Strategic Programs organization delivers for Intuit and Tech Strategy by transforming and driving how our Technology ecosystem operates to accelerate outcomes for our customers. This small, yet mighty team works with senior leaders and partners across the company. We focus on strategic planning, the operating rhythm, executive narratives, workforce programs and delivering intelligent insights that accelerate execution across the tech portfolio and highest priority business growth areas.
 We are looking for a strategic and organized leader with a passion for innovation and data\-driven optimization. As a Data Engineer, you will work alongside senior leaders to deliver the foundational data architecture that allows Intuit to measure execution velocity and accelerate critical business outcomes.
**Responsibilities**
 In this role, you will:
* Build and Maintain Data Marts: Design, develop, and manage the tables and data marts that serve as the foundation for our team’s daily reporting. You will partner with data scientists, technical program managers, AI engineers, and other stakeholders to ensure our data is structured for speed and reusability.
* Own Data Quality \&amp; Reliability: Proactively monitor data pipelines, troubleshoot discrepancies, and debug issues quickly to ensure data integrity.
* Track Key Success Metrics: Implement and track leading indicators and success metrics, helping the organization understand whether initiatives are delivering the desired outcomes.
* Develop Execution Dashboards: Design and build intuitive, self\-service dashboards (using Tableau/Qlik) that allow stakeholders to monitor program health and execution velocity.
* Communicate Insights: Translate complex datasets into clear, concise summaries for business partners and leadership, highlighting trends, risks, and opportunities.
* Collaborate Cross\-Functionally: Partner with other analysts and data engineers across Intuit to share best practices, align on metric definitions, and drive cross\-team analytics projects.
**What You’ll Bring**
* Speed as a habit: Drive velocity in the organization by accelerating customer, business, and technology outcomes by identifying and driving key opportunities across the company
* Emerging technology mastery: Continuously explore emerging trends, tools, and techniques in Generative AI. Follow trends and research topics of leveraging AI/GenAI to improve workforce efficiency.
* Understands customer behaviors: Partner with cross\-functional partners to influence and drive end\-to\-end solutions for customer problems. Execute with a boundaryless mindset and contribute to solutions outside of your primary area of ownership
* Durable data solutions: Design and implement durable data solutions that will solve critical customer problems in a fast\-paced environment. Create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Be prepared to get hands\-on and debug complex issues or create fully working POCs which teams can take forward.
* Communicate effectively: Explain complex designs to both technical and non\-technical stakeholders and drive consensus.
**Qualifications**
* 7\+ years of experience in Data Analytics, Business Intelligence, Engineering or related technical field
* Bachelor's in Statistics, Mathematics, Computer Science, or related field.
* Proficient with unstructured data and turning raw data into a usable, high\-quality dataset ready for effective use
* Strong proficiency in visualization tools with hands\-on experience building complex dashboards in Tableau, Qlik, or PowerBI.
* Proven track records of developing and managing complex analytics data mart and data pipelines is a must\-have.
* Demonstrated experience with big data tools and frameworks such as Apache Spark, Hadoop or Databricks.
* Experience with data modeling, data warehousing, and building ETL pipelines.
* Experience in applying advanced analytics techniques such as python, ML models, LLM, etc., is a plus.
* Ability to create analytical framework for solving complex business problems with proven track record.
* Ability to manage multiple projects simultaneously to meet objectives.
* Outstanding communications skills with both technical and non\-technical. Be able to communicate effectively with senior executives.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
 Southern California $ 184,500\- 250,000</t>
        </is>
      </c>
    </row>
    <row r="37">
      <c r="A37" t="inlineStr">
        <is>
          <t>li-4362336090</t>
        </is>
      </c>
      <c r="B37" t="inlineStr">
        <is>
          <t>Senior Data Engineer – Data Group</t>
        </is>
      </c>
      <c r="C37" t="inlineStr">
        <is>
          <t>Trepp, Inc.</t>
        </is>
      </c>
      <c r="D37" t="inlineStr">
        <is>
          <t>linkedin</t>
        </is>
      </c>
      <c r="E37" t="inlineStr"/>
      <c r="F37" t="inlineStr"/>
      <c r="G37" t="inlineStr"/>
      <c r="H37" t="inlineStr"/>
      <c r="I37" t="inlineStr">
        <is>
          <t>**This position is based in Trepp's NYC office which operates in a hybrid work schedule.** 
 The
 **Data Operations Group** 
 at Trepp is responsible for creating and maintaining our data pipelines \&amp; workflows powering our core Product applications. Being a member of the Data Operations Group allows you the flexibility to learn and hone your technical skills on AWS cloud architectures, orchestration frameworks, databases, and data lake integrations. You will have the opportunity of working with and creating services and pipelines used by teams including Structured Finance Modelers, Technical Research, and other engineering groups including Platform APIs and data science. Trepp’s products focus on data and analytics in structured finance (CMBS \&amp; CLO), commercial real estate (CRE), and Banking \&amp; Lending. This team works closely with our Product Managers to refine \&amp; improve our product features, data capabilities and delivery, along with creating new Product Workflows.
**About this role**
 As a
 **Senior Data Engineer** 
 , you will play a critical role in architecting and developing complex backend systems that power Trepp’s core applications. This position demands strong technical expertise and hands\-on coding skills to design and implement scalable, efficient, and secure data pipelines. You will set the standard for engineering excellence by writing clean, maintainable code and championing best practices across the development lifecycle, including testing, performance optimization, and production support.
 In addition to building greenfield data pipelines and modernizing existing workflows, you will act as a technical leader and mentor within the team. This includes facilitating code reviews, providing constructive feedback, and guiding architectural decisions to ensure high\-quality outcomes. You will actively share knowledge through design discussions and technical workshops, helping team members grow their skills and unblock challenges quickly.
 As part of your responsibilities, you will evaluate emerging technologies, articulate trade\-offs, and recommend solutions that align with business objectives. Your ability to communicate technical concepts clearly to both engineering peers and non\-technical stakeholders will be essential in driving collaboration and delivering impactful results.
**Responsibilities**
* **Design and Develop Scalable Systems:** 
 Architect and implement robust backend systems and data pipelines that support Trepp’s core applications and analytics platforms.
* **Champion Coding Excellence:** 
 Write clean, efficient, and maintainable code while enforcing best practices in software engineering, including testing, performance optimization, and secure coding standards.
* **Lead Technical Decision\-Making:** 
 Evaluate emerging technologies, articulate trade\-offs, and recommend solutions that align with business objectives and long\-term technical strategy.
* **Mentor and Enable Team Growth:** 
 Facilitate code reviews, provide constructive feedback, and guide architectural discussions to help team members improve their technical skills and deliver high\-quality outcomes.
* **Collaborate Across Teams:** 
 Act as a technical liaison, working closely with engineering peers, product managers, and other stakeholders to address requirements and ensure seamless integration of solutions.
* **Ensure Operational Excellence:** 
 Identify critical infrastructure dependencies, plan upgrades, and implement monitoring, logging, and alerting strategies to maintain system reliability and performance.
* **Drive Continuous Improvement:** 
 Promote agile methodologies, iterative delivery, and a culture of learning through knowledge\-sharing sessions and technical workshops.
**Qualifications**
* Bachelor's or Master's degree in computer science or in a related field
* 6\+ years of experience building data and/or backend software systems
* 4\+ years of experience with Python, Nodejs, Java, or Scala
* 3\+ years of experience with SQL, AWS and common data services such as RDS, data storage
* Exposure to multiple, diverse technologies and processing environments
* Knowledge of components within a technical architecture
* Experience with Agile and SDLC, GitHub workflows (or similar) for CI/CD
* Strong understanding of backend application development methodologies
**Preferred Skills**
* Experience building data pipelines using Spark / Airflow
* Exposure to Infrastructure as Code technologies such as Terraform or AWS CDK
* Understanding of serverless architectures, containers, and modern application development practices
* Familiar with RESTful APIs services and best practices
* Experience working in Financial Services or related industry
**Salary Range**
* Base salary range: Starting from $165k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Dallas, and London office\-based positions:* 
 Trepp’s offices follow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38">
      <c r="A38" t="inlineStr">
        <is>
          <t>li-4377868396</t>
        </is>
      </c>
      <c r="B38" t="inlineStr">
        <is>
          <t>US_East | Data Engineer_L3</t>
        </is>
      </c>
      <c r="C38" t="inlineStr">
        <is>
          <t>Expedite Talent Solutions</t>
        </is>
      </c>
      <c r="D38" t="inlineStr">
        <is>
          <t>linkedin</t>
        </is>
      </c>
      <c r="E38" t="inlineStr"/>
      <c r="F38" t="inlineStr"/>
      <c r="G38" t="inlineStr">
        <is>
          <t>Bloomfield, NJ</t>
        </is>
      </c>
      <c r="H38" t="inlineStr"/>
      <c r="I38" t="inlineStr">
        <is>
          <t>"Possible 3 Month CTH \| No Fees \| Do Not Re\-Post\| Confidential
 TMR ID: L4TLHF
 Role: Integration Engineer MANUS AI Platform
 Work location: Bay Area
 Background and Meet and Greet: MANDATORY
**Job Description**
 "Integration Engineer MANUS AI Platform
 Location
 \[Remote / Hybrid /Offshore/ On site, e.g., SFO Bay Area, CA]
 Employment Type
 Full Time
 \_\_\_\_\_\_\_\_\_\_\_\_\_\_\_\_\_\_\_\_\_\_\_\_\_\_\_\_\_\_\_\_\_\_\_\_\_\_\_\_
**About The Role**
 We are looking for Integration Engineers to design, build, and maintain robust integrations between our internal systems (e.g., CRM, HRIS, data platforms, internal tools) and MANUS AI. You will own end to end integration workflows, including API design, data mapping, security, monitoring, and documentation, ensuring seamless and scalable automation across the organization.
 \_\_\_\_\_\_\_\_\_\_\_\_\_\_\_\_\_\_\_\_\_\_\_\_\_\_\_\_\_\_\_\_\_\_\_\_\_\_\_\_
 Key Responsibilities
 " Design and implement API driven integrations between MANUS AI and internal platforms (e.g., Salesforce, HubSpot, internal data warehouses, HR systems, ticketing tools).
 " Develop and maintain webhooks, event driven pipelines, and batch data flows to synchronize data between MANUS and downstream systems.
 " Define and document integration architecture, data models, error handling strategies, and retry mechanisms for reliability and observability.
 " Configure authentication, authorization, and secrets management (OAuth, API keys, SSO, environment variables) for secure access to MANUS and partner systems.
 " Collaborate with product, data, security, and operations teams to align integration requirements with business workflows and compliance needs.
 " Write clean, testable code and create automated tests, monitoring alerts, and runbooks for production grade integrations.
 " Troubleshoot integration issues, perform root cause analysis, and provide L2/L3 support for integration related incidents.
 " Maintain technical documentation, architecture diagrams, and integration playbooks for engineers and support teams.
 \_\_\_\_\_\_\_\_\_\_\_\_\_\_\_\_\_\_\_\_\_\_\_\_\_\_\_\_\_\_\_\_\_\_\_\_\_\_\_\_
**Required Qualifications**
 " Bachelors degree in Computer Science, Engineering, or related field, or equivalent professional experience.
 " 35\+ years of experience as a Software Engineer, Integration Engineer, or Backend Engineer building production systems.
 " Strong experience with RESTful APIs, webhooks, and event driven architectures.
 " Proficiency in at least one backend language (e.g., Python, Node.js, Java, Go) and modern frameworks.
 " Experience with cloud platforms (AWS, GCP, or Azure) and related services (queues, storage, serverless, etc.).
 " Familiarity with CI/CD pipelines, Git, and infrastructure as code (e.g., Terraform, CloudFormation).
 " Understanding of security best practices, including API security, secrets management, and compliance (e.g., SOC 2, GDPR).
 " Strong problem solving skills, ability to work independently, and collaborate effectively with cross functional teams.
 \_\_\_\_\_\_\_\_\_\_\_\_\_\_\_\_\_\_\_\_\_\_\_\_\_\_\_\_\_\_\_\_\_\_\_\_\_\_\_\_
**Preferred Qualifications**
 " Experience integrating AI / LLM platforms or workflow automation tools (e.g., AI agents, RPA, no code automation).
 " Familiarity with data modeling, ETL/ELT pipelines, and data warehouse concepts (e.g., Snowflake, BigQuery, Redshift).
 " Experience with observability tools (e.g., Datadog, Prometheus, Grafana, logging platforms).
 " Exposure to SaaS platforms (e.g., Salesforce, HubSpot, Workday, ServiceNow) and their APIs.
 " Interest in AI driven automation, workflow orchestration, and action engine style platforms like MANUS.
 "
**Key Responsibilities**
 "Key Responsibilities
 " Design and implement API driven integrations between MANUS AI and internal platforms (e.g., Salesforce, HubSpot, internal data warehouses, HR systems, ticketing tools).
 " Develop and maintain webhooks, event driven pipelines, and batch data flows to synchronize data between MANUS and downstream systems.
 " Define and document integration architecture, data models, error handling strategies, and retry mechanisms for reliability and observability.
 " Configure authentication, authorization, and secrets management (OAuth, API keys, SSO, environment variables) for secure access to MANUS and partner systems.
 " Collaborate with product, data, security, and operations teams to align integration requirements with business workflows and compliance needs.
 " Write clean, testable code and create automated tests, monitoring alerts, and runbooks for production grade integrations.
 " Troubleshoot integration issues, perform root cause analysis, and provide L2/L3 support for integration related incidents.
 " Maintain technical documentation, architecture diagrams, and integration playbooks for engineers and support teams.
 "
 What are the Mandatory skills and skill proficiencies required for this position?
 "Required Qualifications
 " Bachelors degree in Computer Science, Engineering, or related field, or equivalent professional experience.
 " 35\+ years of experience as a Software Engineer, Integration Engineer, or Backend Engineer building production systems.
 " Strong experience with RESTful APIs, webhooks, and event driven architectures.
 " Proficiency in at least one backend language (e.g., Python, Node.js, Java, Go) and modern frameworks.
 " Experience with cloud platforms (AWS, GCP, or Azure) and related services (queues, storage, serverless, etc.).
 " Familiarity with CI/CD pipelines, Git, and infrastructure as code (e.g., Terraform, CloudFormation).
 " Understanding of security best practices, including API security, secrets management, and compliance (e.g., SOC 2, GDPR).
 " Strong problem solving skills, ability to work independently, and collaborate effectively with cross functional teams.
 \_\_\_\_\_\_\_\_\_\_\_\_\_\_\_\_\_\_\_\_\_\_\_\_\_\_\_\_\_\_\_\_\_\_\_\_\_\_\_\_
 "
 What are the Optional skills and skill proficiencies for this position?
 Stretch Attitude
**The Following Details Must Accompany Your Submission**
 First Name, Middle name, and Last Name:
**City And State**
 Open to Relocate?
**Rate**
 Availability:
 Phone \#:
 Mobile \#:
**Email Address**
 Visa type:
**Visa Expiration Date**
 Hiring Status:
 Soemia Pineda \- ERM
* North America
 Tel.: \+\*\*\*"</t>
        </is>
      </c>
    </row>
    <row r="39">
      <c r="A39" t="inlineStr">
        <is>
          <t>li-4368280172</t>
        </is>
      </c>
      <c r="B39" t="inlineStr">
        <is>
          <t>Cloud Data Engineer, Professional Services, Google Public Sector</t>
        </is>
      </c>
      <c r="C39" t="inlineStr">
        <is>
          <t>Google</t>
        </is>
      </c>
      <c r="D39" t="inlineStr">
        <is>
          <t>linkedin</t>
        </is>
      </c>
      <c r="E39" t="inlineStr"/>
      <c r="F39" t="inlineStr"/>
      <c r="G39" t="inlineStr">
        <is>
          <t>Reston, VA</t>
        </is>
      </c>
      <c r="H39" t="inlineStr"/>
      <c r="I39" t="inlineStr">
        <is>
          <t>**Minimum qualifications:**
* Bachelor's degree in Computer Science or equivalent practical experience.
* 3 years of experience with relational database technologies such as PostgreSQL, MySQL, SQL Server, or Oracle.
* Experience working with business stakeholders to understand requirements, provide technical leadership, and educate teams on GCP best practices.
* Active, or the ability to obtain, a TS/SCI security clearance.
**Preferred qualifications:**
* Experience with database and AI integrations.
* Experience with database management tools for backups, recovery, snapshot management, sharding, partitioning and database performance tuning.
* Experience in database administration techniques including storage, clustering, availability, disaster recovery, security, logging, performance tuning, monitoring and auditing.
* Experience developing, deploying, and managing machine learning models, including experience writing software in one or more languages, such as Java, Python, or Golang.
* Experience working with cloud databases such as RDS, Aurora, ElastiCache, CloudSQL, AlloyDB, Datastore or Bigtable.
* Experience with machine learning operations (MLOps), data warehousing, and data pipeline development, including ETL and ELT.
**About The Job**
 As a Cloud Data Engineer, you will guide Public Sector customers to develop, configure and deploy their data and AI solutions. Together with the team, you will support customer implementations of Google Cloud products through architecture guidance, best practices, data migration, capacity planning, implementation, troubleshooting, monitoring, and more. You will consult with customers on how to best design their data and AI solutions including development and deployment of ML models, and integrations with leading Google technologies. You will travel to customer sites to deploy solutions and deliver workshops to educate and empower customers. Additionally, you will work closely with Product Management and Product Engineering to drive excellence in Google Cloud products and features. Your role requires the ability to travel up to 30% of the time.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Translate business requirements into conceptual, rational, and physical data models.
* Be highly collaborative and work closely with data producers and data consumers across public sector customers and teams to understand the data needs, provide consultation, and align data solutions.
* Analyze on\-premise and cloud database environments, consulting on the optimal design for performance and deployment on Google Cloud Platform. Design, build, and maintain data warehouse and pipeline solutions.
* Create and deliver best practices recommendations, tutorials, blog articles, sample code, and technical presentations, adapting to different levels of key business and technical stakeholders.
* Travel regularly (up to 30%)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0">
      <c r="A40" t="inlineStr">
        <is>
          <t>li-4203583939</t>
        </is>
      </c>
      <c r="B40" t="inlineStr">
        <is>
          <t>Senior CX Analytics Engineer</t>
        </is>
      </c>
      <c r="C40" t="inlineStr">
        <is>
          <t>Coinbase</t>
        </is>
      </c>
      <c r="D40" t="inlineStr">
        <is>
          <t>linkedin</t>
        </is>
      </c>
      <c r="E40" t="inlineStr"/>
      <c r="F40" t="inlineStr"/>
      <c r="G40" t="inlineStr"/>
      <c r="H40" t="inlineStr"/>
      <c r="I40"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The Coinbase Customer Experience (CX) organization plays an imperative role in achieving our mission. Our team is dedicated to eliminating customer defects, driving efficiency through automation, and optimizing support operations. We are seeking an experienced Senior Analytics Engineer to lead insights into our quality assurance and knowledge management functions. As a Senior Analytics Engineer on our team, you will own and drive projects that create meaningful business impact. You’ll have the opportunity to transform data into measurable actions that improve customer experiences and help shape our long\-term strategy to deliver maximum impact to our customers.
**What you’ll be doing (ie. job duties):** 
* Improve customer experiences by developing bar raising metrics, self\-service tools, and deep analyses that drive actionable insights
* Collaborate with stakeholders to manage a long\-term analytic roadmap that balances the tactical and strategic needs of the business
* Proactively identify opportunity areas for improvement including deep dive investigations and processes to better serve our customers
* Drive the vision, building, and adoption of self\-service analytic capabilities; develop these capabilities at scale
* Understand data resources and know when, how, and which best to use for each project
* Ability to frame and break down complex business problems into key components and recommend practical solutions
* Monitor key performance metrics and use data to identify actionable opportunities to increase efficiency and make high\-quality decisions that drive performance improvements
* Build a collaborative team environment that fosters efficient execution, innovation, and continuous improvement
* Develop and support the analytical technologies that give our team timely, flexible, and structured access to their data
* Guide code reviews, provide SQL and Python expertise, and create well\-maintained ETL jobs
* Maintain a high bar for statistical rigor on your team; ensure that we’re conducting experimentation and causal analyses that build confidence with your stakeholders
**What we look for in you (ie. job requirements):** 
* 5\+ years of relevant data analytics experience in an operational environment, with a strong focus on quality measures
* Experience transforming unstructured data into actionable insights, outlier based agent performance management, and web analytics
* Professional experience using advanced SQL and data modeling skills to process large, complex datasets
* Proficient using at least one data visualization product (Looker, Tableau, QuickSight, etc.)
* Excellent written and verbal communication skills, including experience meeting with and communicating information to senior leadership
* Highly collaborative, with an ability to optimally secure inputs from many cross\-functional partner teams
* Ability to think strategically, formulate appropriate analytical solutions, and execute in order to solve business needs
**Nice to haves:** 
* Report automation experience (e.g. using Python, R)
* Knowledge of AWS services and cloud computing
* Experience with descriptive and inferential statistics
* Experience with financial industry regulations
 ID: P62711
 Pay Transparency Notice: Depending on your work location, the target annual salary for this position can range as detailed below. Full time offers from Coinbase also include target bonus \+ target equity \+ benefits (including medical, dental, vision and 401(k)).
 Pay Range: : $167,280 USD \- $196,800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41">
      <c r="A41" t="inlineStr">
        <is>
          <t>li-4377845741</t>
        </is>
      </c>
      <c r="B41" t="inlineStr">
        <is>
          <t>Staff Analytics Engineer</t>
        </is>
      </c>
      <c r="C41" t="inlineStr">
        <is>
          <t>Harnham</t>
        </is>
      </c>
      <c r="D41" t="inlineStr">
        <is>
          <t>linkedin</t>
        </is>
      </c>
      <c r="E41" t="inlineStr"/>
      <c r="F41" t="inlineStr"/>
      <c r="G41" t="inlineStr"/>
      <c r="H41" t="inlineStr"/>
      <c r="I41" t="inlineStr">
        <is>
          <t>**Staff Analytics Engineer** 
**Location:** 
 Los Angeles, CA \| Hybrid
**Salary:** 
 $180–230k base
 We’re partnering with a rapidly scaling, mission\-driven advanced technology company operating at the intersection of AI, software, and complex real\-world systems. Their platform ingests and operationalizes high\-volume, real\-time data to support critical decision\-making in high\-stakes environments.
 As the organization grows, they are hiring a Staff Analytics Engineer to take ownership of core data domains and help shape the long\-term architecture of the data platform.
**The Opportunity** 
 This is a senior, high\-ownership role focused on building foundational data systems, not just reporting. You will define and evolve the ontologies and reusable data models that represent how the company operates across domains such as Finance, Supply Chain, Manufacturing, People, and Operations. These models will power internal applications, executive reporting, and operational workflows across the business.
 At the Staff level, you’ll influence platform direction, set engineering standards, and serve as a technical leader within the data organization.
**What You’ll Do** 
* Lead the design and implementation of scalable, domain\-level data models that serve as the backbone of the business
* Architect ingestion and transformation frameworks across diverse operational systems
* Set best practices for testing, version control, and CI/CD within analytics workflows
* Partner closely with engineering, product, and operations leaders to translate ambiguous needs into production\-grade data systems
* Drive roadmap decisions for the data platform, balancing immediate delivery with long\-term maintainability
* Mentor and raise the technical bar for analytics engineers across the team
* Push the organization beyond dashboards toward reusable data applications and self\-serve analytics at scale
**What They’re Looking For** 
* 7\+ years of experience in Analytics Engineering, Data Engineering, or similarly technical data roles
* Deep expertise in SQL and strong proficiency in Python or another programming language
* Proven experience designing scalable, reusable data models in complex environments
* Strong background with modern data stack tools such as dbt, Redshift, and enterprise BI platforms
* Experience shaping data architecture and influencing technical direction
* High ownership mindset with the ability to operate autonomously
* Strong stakeholder management skills with both technical and non\-technical leaders
* Ability to obtain and maintain a U.S. Secret security clearance
 This is an opportunity to define how data is modeled and operationalized inside a technically ambitious, fast\-scaling organization. If you’re excited by building durable systems that leadership relies on to run the business, this role offers significant scope and impact.</t>
        </is>
      </c>
    </row>
    <row r="42">
      <c r="A42" t="inlineStr">
        <is>
          <t>li-4355000733</t>
        </is>
      </c>
      <c r="B42" t="inlineStr">
        <is>
          <t>Sr. Data Engineer II - Technical Lead</t>
        </is>
      </c>
      <c r="C42" t="inlineStr">
        <is>
          <t>Zoro.com</t>
        </is>
      </c>
      <c r="D42" t="inlineStr">
        <is>
          <t>linkedin</t>
        </is>
      </c>
      <c r="E42" t="inlineStr"/>
      <c r="F42" t="inlineStr"/>
      <c r="G42" t="inlineStr">
        <is>
          <t>Chicago, IL</t>
        </is>
      </c>
      <c r="H42" t="inlineStr"/>
      <c r="I42" t="inlineStr">
        <is>
          <t>**Company Summary**
 Zoro.com is a leading eCommerce platform offering nearly 12 million tools, parts and supplies for our business customers. Launched in 2011, we brought a B2C\-like experience to the B2B industry, and continue to be at the forefront of digital innovation at the intersection of technology and distribution. We have rapidly grown to over $1 billion in annual revenue and we’re just getting started!
**Primary Function**
 As a Senior Data Engineer II – Technical Lead at Zoro, you will lead medium to large initiatives that span data platforms, data products, and AI\-enabled systems. You will design and build cloud\-native data pipelines, services, and interfaces that power analytics, machine learning, and AI agents across the organization.
 This role owns the technical direction of the team’s solutions, with explicit accountability for technical debt, architectural integrity, and long\-term scalability. You will play a central role in evolving Zoro’s data platform to support AI\-first use cases, including feature generation, agentic workflows, and model\-integrated data services.
 As a technical leader, you will mentor engineers, influence platform strategy, and partner deeply with product, analytics, and machine learning stakeholders to translate business problems into durable data and AI solutions.
**Duties And Responsibilities**
* Technical Leadership: Collaborate with Technical Leads and Staff Engineers to define and execute the technical vision for Data Engineering, making architectural and tooling decisions that balance innovation, reliability, and long\-term maintainability, including AI and agent enabled capabilities.
* Design and Architecture: Responsible for your team’s overall design and architecture of scalable, reliable, and high\-performance data systems to support business intelligence, analytics, and data science initiatives.
* Data Pipeline Development: Build, optimize, and operate batch and streaming data pipelines that are observable, testable, cost\-efficient, and explicitly designed to serve analytical, operational, and AI\-driven workloads.
* AI Enablement and Agentic Systems: Enable and build AI\-powered systems by using AI tools in daily engineering workflows, designing and integrating MCP servers or equivalent context layers, and creating AI agents that interact safely and reliably with data systems, APIs, and business processes.
* Software Craftsmanship: Champion high standards in software design, testing, CI/CD, and infrastructure\-as\-code, ensuring data and AI systems are secure, maintainable, and aligned with enterprise engineering standards.
* Data Governance and Trust: Embed data quality, lineage, access control, privacy, and correctness guarantees into data and AI architectures, establishing guardrails that ensure trustworthy and explainable use of data by humans and AI systems.
* Mentorship: Mentor and develop Data Engineers through technical guidance, design reviews, and hands\-on coaching, fostering a culture of intellectual curiosity, engineering rigor, and continuous improvement.
**Qualifications**
- Education: Master’s degree in Computer Science, Applied Mathematics, Engineering, or other technology related field or an equivalent of this educational requirement in working experience is also acceptable
- Experience: Minimum of 7 years of experience in Data Engineering or a related field, with at least 3 years in a leadership or senior technical role.
- Technical Skills:
* AI \&amp; Agent Systems: Hands\-on experience using AI tools as part of daily engineering workflows, designing or integrating MCP servers or equivalent context\-serving systems, and building, deploying, or integrating AI agents with an understanding of model lifecycle concerns including training, inference, monitoring, and operational reliability.
* Emerging Capabilities: Experience designing or operating modern AI\-adjacent data capabilities, including feature stores, vector databases, embedding pipelines, human\-in\-the\-loop or agentic workflows, and an understanding of cost management and performance optimization for AI workloads.
* Software Engineering: Expert\-level proficiency in at least one modern programming language with strong software design fundamentals.
* Data Modeling and Architecture: Expert\-level experience designing analytical and operational data models.
* Cloud Platforms: Expert level experience with cloud\-native infrastructure and managed data services.
* Data Pipelines: Expert level experience of batch and streaming architectures.
* Data Quality and Testing: Proven approaches to automated data validation and testing.
* Data Microservices: Experience building high\-performance, data\-backed APIs.
- Soft Skills:
* Problem\-Solving: Excellent problem\-solving skills and the ability to think critically and analytically.
* Communication: Excellent communication skills, with the ability to articulate complex technical concepts to non\-technical stakeholders.
* Organization: Strong organizational skills and the ability to manage multiple projects and priorities in a fast\-paced environment.
* Curiosity: A genuine curiosity about data and a proactive approach to exploring new tools and techniques.
* Leadership: Proven ability to lead, inspire, and mentor Data Engineers.
* Teamwork \&amp; Collaboration: Proven ability to form collaborative relationships with stakeholders across the organization.
**Total Rewards**
 Zoro’s total compensation plan includes our Zoro Incentive Plan (ZIP) that is designed to foster and reward our team members for strong performance. Total compensation will be highly competitive.
 In addition to competitive compensation, Zoro offers comprehensive benefits and perks including:
* Medical, dental, vision, and life insurance plans with coverage starting on day one of employment
* Maternity support programs, nursing benefits, and up to 14 weeks paid leave for birth parents and up to 4 weeks paid leave for non\-birth parents. We also support growing your family through access to adoption assistance program
* 6 free sessions each year with a licensed therapist and Wellhub portal membership to support your mental and emotional wellbeing
* At least 18 paid time off days annually for full\-time employees and 6 company holidays per year
* 6% company contribution to a 401K Retirement Savings Plan each pay period, no employee contribution required
* Tuition reimbursement, student loan refinancing and access to financial counseling, education, and tools
* Charitable Gift Program \- match gift to an eligible educational, cultural, community health, and human service organizations
* Employee discounts and admission to various civic and cultural institutions around Chicago
* Zoro office perks including coffee bar, beer on tap, unlimited snacks, access to the onsite gym, and incredible city skyline views
 For additional information and details regarding our benefits and our parent company, W. W. Grainger, please click on the link here.
 The pay range provided is not a guarantee of compensation. The range listed reflects the expected base pay for this position at the time of posting, based on the role's job grade. Actual compensation may vary depending on factors such as location, relevant experience and individual qualifications.
 Illinois
 $124,400—$207,300 USD
 Outside of Illinois
 $115,200—$191,900 USD
**Our Culture**
 Zoro was founded in 2011 with a simple idea: make it easy for businesses to get the tools, parts, and supplies they need to keep things running. We've grown by staying curious, moving quickly, and solving everyday challenges in smart, practical ways. Backed by W.W. Grainger and inspired by our endless assortment business model, we’re on a clear path toward our next big milestone: $2 billion in revenue—and beyond.
 At Zoro, we don’t just follow a playbook—we help build it. You’ll get to work on real problems with a supportive team that shares ideas freely, learns from each other, and celebrates wins together. Our culture is grounded in values that guide how we show up every day:
 **Winning \&amp; Learning Together** 
 ,
 **Being Customer Obsessed** 
 ,
 **Being Transparent** 
 , and
 **Taking Ownership** 
 . We don’t have all the answers, but we’re always asking good questions.
 Zoro’s culture has been recognized by Fortune, Best Places to Work, and Built In Chicago—but the recognition we care about most comes from our team members, who make this place what it is.
 We also know that flexibility matters. Our hybrid work model gives you space to focus and the flexibility to live your life — asking team members to be onsite at least two days a week. Our Chicago HQ (right above Ogilvie Transportation Center in the Accenture Tower) is always open and ready for connection, collaboration, or just a good cup of coffee.
 At Zoro, we’re growing fast toward big aspirations — and we’re continuously excited about the new challenges we get to solve together.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also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43">
      <c r="A43" t="inlineStr">
        <is>
          <t>li-4375216389</t>
        </is>
      </c>
      <c r="B43" t="inlineStr">
        <is>
          <t>Client Technology - Engineering - Data - Data Engineer</t>
        </is>
      </c>
      <c r="C43" t="inlineStr">
        <is>
          <t>EY</t>
        </is>
      </c>
      <c r="D43" t="inlineStr">
        <is>
          <t>linkedin</t>
        </is>
      </c>
      <c r="E43" t="inlineStr"/>
      <c r="F43" t="inlineStr"/>
      <c r="G43" t="inlineStr">
        <is>
          <t>Minneapolis, MN</t>
        </is>
      </c>
      <c r="H43" t="inlineStr"/>
      <c r="I43" t="inlineStr">
        <is>
          <t>At EY, we’re all in to shape your future with confidence.
 We’ll help you succeed in a globally connected powerhouse of diverse teams and take your career wherever you want it to go. Join EY and help to build a better working world.
 EY is a global leader in assurance, tax, transaction and advisory services. Technology is at the heart of what we do and deliver at EY. Technology solutions are integrated into the client services we deliver and are key to our innovation as an organization.
 Fueled by strategic investment in technology and innovation, Client Technology seeks to drive growth opportunities and solve complex business problems for our clients through building a robust platform for business and powerful product engines that are vital to innovation at scale. As part of Client Technology, you’ll work with technologists and business experts, blending EY’s deep industry knowledge and innovative ideas with our platforms, capabilities, and technical expertise. As a catalyst for change and growth, you’ll be at the forefront of integrating emerging technologies from AI to Data Analytics into every corner of what we do at EY. That means more growth for you, exciting learning opportunities, career choices, and the chance to make a real impact.
**The selected candidate**
* Needs to be hands\-on with design and implementation of scalable data pipelines, ETL processes, and data warehousing solutions to align with Azure Well\-Architected Framework (WAF) pillars
* Accountable for a suite of data models with relatively high complexity, leveraging a strong understanding of data modelling standards to ensure high quality
* Drive best practices for data security, data privacy, and data integrity
* Ensure the reliability and efficiency of data infrastructure in the Azure cloud
* Understands AI driven data engineering tools; and work on building cutting edge AI driven use cases and ensure availability of AI ready data
* Works with other departments across the business to help define and deliver business value, as well as interfacing and communicating with program teams, management and stakeholders to deliver large, complex projects
**Your Key Responsibilities Include**
* Leading the production of high\-quality data engineering deliverables, helping to ensure project timelines are met, and providing informal mentoring / training to junior members of the team
* Leading the design, development and implementation of processes to extract, transform and load data from disparate sources into a form that is consumable by analytics processes within a given project, reviewing deliverables to ensure high quality
* Develop and define future state data architectures aligned with industry best practices and organizational needs
* Proficient in defining Data Strategy, developing data architecture for modern data platforms, assessing enterprise existing data architecture and devise recommendations
* Leading translation of requirements, design and solution architecture deliverables into detailed design specifications
* Define and implement data management strategies to align with business objectives
* Leading the delivery of data quality reviews including data cleansing where required to ensure integrity and quality
* Evaluating and resolving issues regarding data quality reviews, cleansing, data integration and migration, leveraging advanced technical knowledge and showing technical leadership in aspects of data engineering while driving continuous improvement efforts
* Providing a leadership role for the work group, ensuring the appropriate expectations, principles, structures, tools and responsibilities are in place to deliver the project
* Analyzing the latest industry trends such as cloud computing and distributed processing and inferring potential impact on businesses (short and long\-term)
* Providing advanced technical expertise to maximize efficiency, reliability and value from current data engineering processes. Researching and monitoring existing client base and industry developments to identify potential new product opportunities from emerging technologies
* Developing strong working relationships with peers across engineering, collaborating to develop leading data engineering solutions
* Driving adherence to the relevant data engineering and data modeling processes, procedures, standards, and may input into the definition, maintenance and implementation of technology standards
**Skills And Attributes For Success**
* Data Architecture: Able to design and implement data architecture solutions that meet organizational needs by leveraging the Azure Well\-Architected Framework (WAF) pillars (Cost Optimization, Operational Excellence, Performance Efficiency, Reliability, and Security)
* Infrastructure Architecture Diagrams: Able to create and deliver Azure Infrastructure Architecture Diagrams (IAD) that visually represent the architecture of data solutions, ensuring clarity and alignment with best practices.
* Data Extraction \- Capability to design an efficient way of extracting high volumes structured and unstructured data with an automation CDC capability.
* Data Ingestion \- Capability to design efficient ingestion strategy for batch processing as well as stream processing of all verity of source data that produces on the transactional systems as fast as it is.
* Data Processing \- Capability to design and implement models, capabilities and solutions to process data within the enterprise (data validation, data quality, data profiling, etc.).
* Data Modeling \- Capability to design, develop and produce data models of relatively high complexity, leveraging a sound understanding of data modelling standards to ensure high quality.
* Data Store \- Capability to design data storage models, storage requirements and migration of data from one system to another.
* Data Consumption \- Capability to design data consumption mechanisms with APIs, Virtualization and Visualization tools.
* Data Governance \- Capability to design governance mechanism including data catalogue, lineage, classification, MDM, exploration.
* Data Security: Able to design and implement various authentication and authorization methods to ensure Data security
* Data Integration: Develop and manage data integration strategies, including ETL processes, to ensure seamless data flow and accessibility across systems.
**Required Technical Skills**
* Handson experience in building Data Architecture using various data architecture patterns like Data Mesh, Data Fabric, Data Lakehouse, Data observability \&amp; Data as a Service (DaaS)
* Proficient in Azure services (e.g., Azure Data Lake, Azure SQL Database, Azure Synapse Analytics) to build scalable and efficient data solutions.
* Experience in building data orchestration through Azure Data Factory, Function App, Logic App.
* Proficient in SQL and familiar with programming languages such as Python or Java
* Extensively worked on Databricks performance optimization (includes data Ingestion, transformation and consumption areas)
* Experience designing and building Data Platforms integrating disparate data sources
* Experience in design and development of various authentication and authorization methods to ensure data security.
* Expertise in working with MPP designs to speed the performance of huge databases that deal with massive amounts of data
* Expertise in Azure, Azure Databricks, Azure SQL, Spark
* Expertise developing dataflows using ADF and/or Databricks
* Advanced, hands\-on design and implementation experience of large analytic warehouse.
* Advanced, hands\-on experience in Spark architecture and implementation using several methods
* Experience in working with Distributed Message Systems like Kafka.
* Hands on experience on Python, PySpark or R.
* Expert in creating and analyzing complex SQL queries and procedures.
* Understanding of big data and distributed Architecture.
* Creating Ingestion workflows using Oozie or similar tools
* Knowledge of security measures like HTTPS and Kerberos
**Beneficial Technical Skills**
* Azure Data Lake Store, Databricks Delta Lakes
* Experience using NoSQL databases
* Advanced Analytics, ML and AI
* Knowledge in Graph Databases, preferably Neo4J, Cypher and CosmosDB
* Experience developing Microservices
**Education**
* B.E. / M.S. Computer Science, Data Analytics, Data Science, Engineering, IT, or related field preferred
* Big Data Certification from Microsoft/Cloudera/Hortonworks/Databricks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$122,200 to $228,600\. The base salary range for New York City Metro Area, Washington State and California (excluding Sacramento) is $146,700 to $259,700\.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4">
      <c r="A44" t="inlineStr">
        <is>
          <t>li-4357901070</t>
        </is>
      </c>
      <c r="B44" t="inlineStr">
        <is>
          <t>Principal Scientific Data Engineer – Informatics</t>
        </is>
      </c>
      <c r="C44" t="inlineStr">
        <is>
          <t>Kymera Therapeutics</t>
        </is>
      </c>
      <c r="D44" t="inlineStr">
        <is>
          <t>linkedin</t>
        </is>
      </c>
      <c r="E44" t="inlineStr"/>
      <c r="F44" t="inlineStr"/>
      <c r="G44" t="inlineStr"/>
      <c r="H44" t="inlineStr"/>
      <c r="I44" t="inlineStr">
        <is>
          <t>**Who we are:**
 Kymera is a clinical\-stage biotechnology company pioneering the field of targeted protein degradation (TPD) to develop medicines that address critical health problems and have the potential to dramatically improve patients’ lives. Kymera is deploying TPD to address disease targets and pathways inaccessible with conventional therapeutics. Having advanced the first degrader into the clinic for immunological diseases, Kymera is focused on building an industry\-leading pipeline of oral small molecule degraders to provide a new generation of convenient, highly effective therapies for patients with these conditions. Founded in 2016, Kymera has been recognized as one of Boston’s top workplaces for the past several years. For more information about our science, pipeline and people, please visit www.kymeratx.com or follow us on X (formerly Twitter) or LinkedIn.
**How we work:**
* PIONEER: We are courageous, resilient and rigorous in our mission to improve patients’ lives through our revolutionary degrader medicines.
* COLLABORATE: We value trust \+ transparency from everyone. Our goals are shared, our decisions data\-driven and our camaraderie genuine.
* BELONG: We recognize our differences, inviting curiosity and inclusivity, so that our people are valued, seen, and heard.
**How you’ll make an impact:**
 We are seeking a highly motivated Principal Scientific Data Engineer to lead and deliver Informatics solutions that directly support Research. This role is hands on and execution driven, with accountability for Informatics project delivery, operational data workflows, and close partnership with Research champions. The ideal candidate combines strong technical depth with pragmatic leadership, understands scientific data end to end, and can translate Research needs into scalable, reliable informatics capabilities.
* Lead and deliver Informatics projects supporting discovery from requirements through production. Act as a primary Informatics partner to Research champions; proactively identify opportunities to improve data storage, quality, and usability.
* Own and support day‑to‑day Research operations related to data management, automation, and scientific systems.
* Design, build, and maintain data pipelines, automation scripts, and analytical tools to improve operational efficiency.
* Administer, integrate, and optimize scientific data platforms (e.g., CDD Vault, D360, LiveDesign, or similar systems). Collaborate with IT and Cybersecurity on infrastructure, access controls, and system reliability.
* Manage external vendors and consultants: scope work, oversee delivery, review quality, and control costs.
* Work closely with IT/Informatics leadership to shape strategy and roadmap, with a strong focus on quality, scalability, maintainability, and future‑proofing.
**Skills and experience you’ll bring:**
* Master’s degree or higher in a relevant STEM field (e.g., Computer Science, Bioinformatics, Computational, Data Science, or related discipline).
* 8\+ years of relevant experience in Informatics, Data Engineering, or computational roles supporting scientific research.
* Demonstrated experience leading Informatics or data‑centric projects with cross‑functional stakeholders. Experience working with and managing external vendors and consultants.
* Advanced technical experience in:
+ R (including R Shiny for interactive applications)
+ Python
+ SQL and relational databases
+ Linux command\-line environments
* Experience managing and supporting scientific software platforms such as CDD, D360, LiveDesign, or equivalent systems.
* Strong background in data management, including data modeling, curation, validation, and lifecycle management. Proven experience wrangling and integrating open‑source or public scientific datasets.
* Working knowledge of AWS or cloud‑based infrastructure concepts.
 Preferred:
* Experience with budgeting, forecasting, and financial tracking for Informatics initiatives.
* Prior people management or technical mentorship experience.
* Familiarity with additional programming languages or frameworks beyond R and Python.
* Understanding of the Chemistry DMTA (Design‑Make‑Test‑Analyze) cycle and its data flows.
* Experience with proteomics data processing and analysis workflows.
* Exposure to modern data engineering or analytics stacks (e.g., workflow orchestration, APIs, containerization).
*Equal Employment Opportunity*
 Kymera Therapeutics is proud to be an equal opportunity employer, seeking to create a welcoming and diverse environment. All applicants will receive consideration for employment without regard to race, color, religion, creed, gender, national origin, age, disability, veteran status, pregnancy, sex, marital status, gender expression or identity, genetic information, sexual orientation, citizenship, or any other legally protected class.
**Compensation**
* Kymera offers a competitive compensation package that recognizes both results and capabilities through market\-based, performance\-driven pay.
* The anticipated base salary range for this role is $160,000 – $240,000, with eligibility for annual bonus, equity participation, and comprehensive benefits.
* Actual salary is based on a holistic evaluation of the specific role/level as well as each candidate’s depth of experience and the capabilities they bring to the position.</t>
        </is>
      </c>
    </row>
    <row r="45">
      <c r="A45" t="inlineStr">
        <is>
          <t>li-4282844260</t>
        </is>
      </c>
      <c r="B45" t="inlineStr">
        <is>
          <t>Databricks Data Engineer - Senior - Consulting - Location Open</t>
        </is>
      </c>
      <c r="C45" t="inlineStr">
        <is>
          <t>EY</t>
        </is>
      </c>
      <c r="D45" t="inlineStr">
        <is>
          <t>linkedin</t>
        </is>
      </c>
      <c r="E45" t="inlineStr"/>
      <c r="F45" t="inlineStr"/>
      <c r="G45" t="inlineStr">
        <is>
          <t>Memphis, TN</t>
        </is>
      </c>
      <c r="H45" t="inlineStr"/>
      <c r="I4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6">
      <c r="A46" t="inlineStr">
        <is>
          <t>li-4352410673</t>
        </is>
      </c>
      <c r="B46" t="inlineStr">
        <is>
          <t>Databricks Data Engineer - Manager - Consulting - Miami</t>
        </is>
      </c>
      <c r="C46" t="inlineStr">
        <is>
          <t>EY</t>
        </is>
      </c>
      <c r="D46" t="inlineStr">
        <is>
          <t>linkedin</t>
        </is>
      </c>
      <c r="E46" t="inlineStr"/>
      <c r="F46" t="inlineStr"/>
      <c r="G46" t="inlineStr">
        <is>
          <t>Rogers, AR</t>
        </is>
      </c>
      <c r="H46" t="inlineStr"/>
      <c r="I4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7">
      <c r="A47" t="inlineStr">
        <is>
          <t>li-4373157514</t>
        </is>
      </c>
      <c r="B47" t="inlineStr">
        <is>
          <t>Quantitative Data Engineer – Leading Macro Fund – NYC - Barclay Simpson</t>
        </is>
      </c>
      <c r="C47" t="inlineStr">
        <is>
          <t>Jobs via eFinancialCareers</t>
        </is>
      </c>
      <c r="D47" t="inlineStr">
        <is>
          <t>linkedin</t>
        </is>
      </c>
      <c r="E47" t="inlineStr"/>
      <c r="F47" t="inlineStr"/>
      <c r="G47" t="inlineStr">
        <is>
          <t>New York, NY</t>
        </is>
      </c>
      <c r="H47" t="inlineStr"/>
      <c r="I47" t="inlineStr">
        <is>
          <t>A technology\-driven investment firm is hiring a
 **Quantitative Data Engineer** 
 to help design and operate the data systems that underpin research and trading across global markets.
 This role sits at the intersection of
 **data engineering, quantitative research, and production trading systems** 
 . You’ll focus on building robust, high\-performance data pipelines and analytical frameworks that support model development, signal research, and live trading workflows.
**Role Focus**
 You will work directly with researchers, quantitative analysts, and engineers to translate complex research requirements into scalable data solutions. The position emphasizes
 **Python\-based data engineering, structured data modeling, and production reliability** 
 in a research\-driven environment.
**Key Responsibilities**
* Analyze research and trading workflows to design data pipelines that support quantitative modeling and time\-series analysis
* Build, test, and optimize Python\-based data systems used in research and production environments
* Develop reusable data frameworks, libraries, and services that improve researcher efficiency and data quality
* Partner with engineering and research teams to evolve data platforms as strategies and models change
* Own production data workflows, including monitoring, troubleshooting, and incident resolution
* Produce clear technical documentation covering system design, data contracts, and operational procedures
**Technical Profile**
* Bachelor’s degree in a technical discipline such as computer science, engineering, or a related field
* Strong Python development experience, including heavy use of numerical and data libraries
* Solid SQL skills and experience working with large, structured datasets
* Hands\-on experience with relational or NoSQL database systems
* Familiarity with workflow orchestration, containerization, or distributed systems is a plus
* Strong debugging, performance optimization, and systems\-level problem\-solving skills
* Ability to reason analytically about data quality, latency, and reliability
* Comfortable communicating technical concepts across engineering and research audiences</t>
        </is>
      </c>
    </row>
    <row r="48">
      <c r="A48" t="inlineStr">
        <is>
          <t>li-4368853041</t>
        </is>
      </c>
      <c r="B48" t="inlineStr">
        <is>
          <t>Data Engineer/Architect</t>
        </is>
      </c>
      <c r="C48" t="inlineStr">
        <is>
          <t>Accenture Federal Services</t>
        </is>
      </c>
      <c r="D48" t="inlineStr">
        <is>
          <t>linkedin</t>
        </is>
      </c>
      <c r="E48" t="inlineStr"/>
      <c r="F48" t="inlineStr"/>
      <c r="G48" t="inlineStr">
        <is>
          <t>Columbia, MD</t>
        </is>
      </c>
      <c r="H48" t="inlineStr"/>
      <c r="I48"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
 Join us to drive positive, lasting change that moves missions and the government forward!
 Accenture Federal Services is seeking a Data Engineer/Architect who will be responsible for formulating, designing and delivering AI/ML\-based decision\-making frameworks and models for business outcomes for Cyber Delivery. This person will measure and justify AI/ML based solution values. Responsible for designing data infrastructure strategies, including the overall enterprise data management framework, data security, and compliance. This role will focus on building and maintaining the technical infrastructure used to store, process, and analyze data.
**What you'll need:**
* 5 years of experience in IT, managing data and infrastructure
* 5 years of experience with building Big Data Platforms
* Experience making data accessible in Amazon Web Services (AWS)
* Experience with Data streaming technologies that are used to move data from a source to a target at high speeds, and process it in real\-time
* Working knowledge of containerized software development
**Desired Skills:**
* Self\-starter ability to switch directions and multi\-task
* Ability to communicate data management design solutions with team and customer
* Ability to design visualizations for data
* Familiarity with Agile Development Environment and Scaled Agile Framework (SAFe)
* Ability to formulate, design, and deliver AI/ML\-based decision\-making frameworks and models for business outcomes
**Security Clearance:**
* Needs active TS/SCI and a willingness to sit for a Poly
 \#clearancejobs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$126,300—$243,100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49">
      <c r="A49" t="inlineStr">
        <is>
          <t>li-4367464888</t>
        </is>
      </c>
      <c r="B49" t="inlineStr">
        <is>
          <t>Risk Technology - Lead Data Platform Engineer</t>
        </is>
      </c>
      <c r="C49" t="inlineStr">
        <is>
          <t>Selby Jennings</t>
        </is>
      </c>
      <c r="D49" t="inlineStr">
        <is>
          <t>linkedin</t>
        </is>
      </c>
      <c r="E49" t="inlineStr"/>
      <c r="F49" t="inlineStr"/>
      <c r="G49" t="inlineStr">
        <is>
          <t>Chicago, IL</t>
        </is>
      </c>
      <c r="H49" t="inlineStr"/>
      <c r="I49" t="inlineStr">
        <is>
          <t>**Data Platform Engineering Lead \-** 
**Role Overview** 
 We are seeking an experienced technical leader to drive the design and development of our next‑generation Data Platform\-a core strategic asset enabling scalable data onboarding, processing, and transformation across the organization. The ideal candidate combines deep engineering expertise, hands‑on distributed systems experience, and a proven record of managing high‑performing teams. Candidates from financial services\-especially hedge funds or similarly data‑intensive trading environments\-are strongly preferred.
 This role is hands‑on. Whether operating as a manager or as an IC technical lead, the candidate must actively contribute to architecture, coding, design reviews, and technical problem‑solving.
 The position requires onsite presence in Chicago or New York at least four days per week; candidates must be open to relocating.
 What You'll Do
* Build and enhance systems, tools, and frameworks supporting data engineers, analysts, and scientists.
* Architect and evolve distributed data systems to support enterprise‑scale workloads.
* Lead, manage, and mentor a team of developers while remaining deeply hands‑on in technical design and implementation.
* Plan, organize, and deliver development initiatives using Agile methodologies.
* Utilize AWS services for logging, monitoring, orchestration, and data storage.
* Investigate and resolve time‑critical production issues in a fast‑paced environment.
 Minimum Qualifications
* 6\+ years of hands‑on Python development experience.
* 6\+ years of experience working with SQL databases.
* 5\+ years building distributed systems with web‑service or event‑driven architectures.
* 5\+ years managing engineering teams, with demonstrated hands‑on technical involvement.
* 3\+ years of AWS development experience.
* Strong written and verbal communication skills.
* Bachelor's degree or higher in Computer Science or another STEM field.
* Willingness to work onsite in Chicago or New York at least four days per week and relocate if needed.
 Preferred Qualifications
* Experience in financial services\-ideally within a hedge fund or similar data‑intensive environment.
* 5\+ years working with big data technologies (e.g., Snowflake, Trino, Iceberg, DataHub, Airflow).
* Prior experience developing large‑scale, data‑centric systems.</t>
        </is>
      </c>
    </row>
    <row r="50">
      <c r="A50" t="inlineStr">
        <is>
          <t>li-4377870383</t>
        </is>
      </c>
      <c r="B50" t="inlineStr">
        <is>
          <t>Data Engineer</t>
        </is>
      </c>
      <c r="C50" t="inlineStr">
        <is>
          <t>Allegiant</t>
        </is>
      </c>
      <c r="D50" t="inlineStr">
        <is>
          <t>linkedin</t>
        </is>
      </c>
      <c r="E50">
        <f>HYPERLINK("https://www.linkedin.com/jobs/view/4377870383", "https://www.linkedin.com/jobs/view/4377870383")</f>
        <v/>
      </c>
      <c r="F50" t="inlineStr"/>
      <c r="G50" t="inlineStr">
        <is>
          <t>Las Vegas, NV</t>
        </is>
      </c>
      <c r="H50" t="inlineStr"/>
      <c r="I50" t="inlineStr">
        <is>
          <t>**Summary**
 The Data Engineer is responsible for architecting, developing, and maintaining Allegiant’s enterprise data infrastructure. The Data Engineer will oversee our transition from on\-premise data marts to a cloud hosted warehouse data and develop the next generation of our data tools.
**Visa Sponsorship Available: No**
**Minimum Requirements**
 Combination of Education and Experience will be considered. Must be authorized to work in the US as defined by the Immigration Act of 1986\. Must pass a Criminal Background Check.
 Education: Bachelor’s Degree In Computer Science, Engineering, or a related technical field.
 Years of Experience:
 Minimum three (3\) years of experience as a Data Engineer which includes work experience in data mart development and data warehousing, including experience working with ETL processes, OLAP structures, and dimensional modeling.
* Strong SQL Server and Amazon Redshift skills
* In depth understanding of database architecture
* Demonstrated basic proficiency in AWS services, including but not limited to S3, Glue, Lambda, and Redshift
* Basic understanding of Infrastructure as Code (IAC) principles to define and manage infrastructure using code (e.g., AWS CloudFormation, Terraform)
* Manage time effectively to meet deadlines across multiple projects
* Excellent critical thinker and effective problem solver with creative solutions
* Detail oriented and highly organized
* Results\-driven; accepting responsibility for individual performance and contributions to team projects
* Ability to work a hybrid schedule with the expectation to be in the office 2 days a week or 8 days a month (when campus is open) and to work the remainder remotely
* Must be able to work in a high pressure environment
* Must have sufficient vision and ability to safely perform the essential functions of the position
**Preferred Requirements**
* Python development skills
**Job Duties**
* Develop and maintain Allegiant data marts and data warehouses
* Migrate Allegiant’s existing on\-premise infrastructure to the AWS environment
* Design, implement, and maintain scalable ETL processes to ensure efficient data flow and accessibility
* Implement data quality checks to ensure accuracy and reliability of data
* Troubleshoot and resolve issues related to data processing and ETL pipelines
* Design, build, and implement data transformation, conversion, and validation of data required for BI applications
* Maintain SQL Server and Redshift data marts, databases, and data warehouses
* Provide services to replicate data from various data sources to reporting database servers for enterprise reporting applications
* Work closely with the business to understand and translate user requirements into practical data models
* Develop and maintain repeatable, systemic processes while finding ways to make internal team processes more efficient
* Other duties as assigned
 Physical Requirements
 The Physical Demands and Work Environment described here are a representative of those that must be met by a Team Member to successfully perform the essential functions of the role. Reasonable accommodations may be made to enable individuals with disabilities to perform the essential functions of the role.
 Office/IT \- While performing the duties of this job, the Team Member is regularly required to stand, sit, talk, hear, see, reach, stoop, kneel, and use hands and fingers to operate a computer, key board, printer, and phone. May be required to lift, push, pull, or carry up to 50 lbs. May be required to work various shifts/days in a 24 hour situation. Regular attendance is a requirement of the role. Exposure to moderate noise (i.e. business office with computers, phones, printers, and foot traffic), temperature and light fluctuations. Ability to work in a confined area as well as the ability to sit at a computer terminal for an extended period of time. Some travel may be a requirement of the role.
 Essential Services Provider
 Allegiant as a national air carrier is deemed an essential service provider during declared national and state emergencies. Team Members will be required to report to their assigned trip or work location during national and state emergencies unless prohibited by local, state or federal order.
 EEO Statement
 We welcome all individuals from varied backgrounds and experiences to apply. Our company celebrates diversity, and we value the unique perspectives and talents that each person brings to our team.
 Equal Opportunity Employer: Disability/Veteran
 For more information, see https://allegiantair.jobs
 Full Time Benefits:
 Profit Sharing
 Medical/Dental/Vision/Life/ Disability Insurance
 Medical Travel Reimbursement
 Legal, Identity and Pet Insurance
 401K with an employer match
 Employee Stock Purchase Plan
 Employee Assistance Program
 Tuition Reimbursement
 Flight Benefits
 Paid vacation, holidays, and sick time
 Part Time Benefits:
 Profit Sharing
 Medical Travel Reimbursement
 Legal, Identity and Pet Insurance
 401K with an employer match
 Employee Stock Purchase Plan
 Employee Assistance Program
 Tuition Reimbursement
 Flight Benefits
 Sick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1">
      <c r="A51" t="inlineStr">
        <is>
          <t>li-4377871121</t>
        </is>
      </c>
      <c r="B51" t="inlineStr">
        <is>
          <t>Azure Data Engineer</t>
        </is>
      </c>
      <c r="C51" t="inlineStr">
        <is>
          <t>Largeton Group</t>
        </is>
      </c>
      <c r="D51" t="inlineStr">
        <is>
          <t>linkedin</t>
        </is>
      </c>
      <c r="E51">
        <f>HYPERLINK("https://www.linkedin.com/jobs/view/4377871121", "https://www.linkedin.com/jobs/view/4377871121")</f>
        <v/>
      </c>
      <c r="F51" t="inlineStr"/>
      <c r="G51" t="inlineStr">
        <is>
          <t>Cleveland, OH</t>
        </is>
      </c>
      <c r="H51" t="inlineStr"/>
      <c r="I51" t="inlineStr">
        <is>
          <t>**Job Summary (Azure Data Engineer – MAI Capital Management)**
* Serve as a foundational member of a new data team, focusing on stabilizing and modernizing an extensive Azure\-based data environment.
* Work on\-site in Cleveland, OH (hybrid: 4 days onsite, 1 day remote weekly).
* Design, develop, and maintain scalable ETL/ELT pipelines using Azure Data Factory and related Azure services.
* Support, optimize, and stabilize Azure SQL, Synapse, and Data Lake environments, ensuring data integrity and reliability.
* Write and optimize complex SQL queries and stored procedures; develop data transformation logic using Python.
* Own production pipeline health by monitoring, logging, alerting, and responding to incidents.
* Conduct root\-cause analysis and implement lasting remediation for data issues.
* Implement data quality controls, validation frameworks, and maintain thorough documentation and deployment traceability.
* Collaborate with analytics stakeholders to ensure datasets support downstream reporting and visualization (Power BI, Tableau, etc.).
* Contribute to CI/CD workflows, Azure DevOps, and infrastructure\-as\-code initiatives.
* Work closely with legacy financial datasets and support enterprise initiatives such as Salesforce CRM expansion, ERP integration, client data portals, and data governance formalization.
* Ideal candidate has 4–8 years of data engineering experience, advanced SQL and Azure Data Factory skills, strong Python abilities, and a background in financial services, fintech, or insurance data environments.
* Excellent communication, documentation, and stakeholder management skills required.
* Experience with Azure Synapse, ERP/CRM integration, and Azure certifications are highly valued.</t>
        </is>
      </c>
    </row>
    <row r="52">
      <c r="A52" t="inlineStr">
        <is>
          <t>li-4376762779</t>
        </is>
      </c>
      <c r="B52" t="inlineStr">
        <is>
          <t>Data Engineer</t>
        </is>
      </c>
      <c r="C52" t="inlineStr">
        <is>
          <t>AARATECH</t>
        </is>
      </c>
      <c r="D52" t="inlineStr">
        <is>
          <t>linkedin</t>
        </is>
      </c>
      <c r="E52">
        <f>HYPERLINK("https://www.linkedin.com/jobs/view/4376762779", "https://www.linkedin.com/jobs/view/4376762779")</f>
        <v/>
      </c>
      <c r="F52" t="inlineStr"/>
      <c r="G52" t="inlineStr"/>
      <c r="H52" t="inlineStr"/>
      <c r="I52"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53">
      <c r="A53" t="inlineStr">
        <is>
          <t>li-4361354408</t>
        </is>
      </c>
      <c r="B53" t="inlineStr">
        <is>
          <t>Data Engineer</t>
        </is>
      </c>
      <c r="C53" t="inlineStr">
        <is>
          <t>Alt</t>
        </is>
      </c>
      <c r="D53" t="inlineStr">
        <is>
          <t>linkedin</t>
        </is>
      </c>
      <c r="E53">
        <f>HYPERLINK("https://www.linkedin.com/jobs/view/4361354408", "https://www.linkedin.com/jobs/view/4361354408")</f>
        <v/>
      </c>
      <c r="F53" t="inlineStr"/>
      <c r="G53" t="inlineStr"/>
      <c r="H53" t="inlineStr"/>
      <c r="I53"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The Role
 Are you a data engineer who thrives on building robust pipelines and solving complex data challenges? In this role, you'll own Alt's critical data infrastructure that powers our pricing model and marketplace insights by ingesting transaction and listing data from dozens of external marketplaces. You'll be responsible for ensuring our data pipelines deliver fresh, accurate information that drives pricing decisions, market analytics, and business intelligence across the entire platform.
 What you'll do here
* Design, optimize and own data pipelines that scrape, process and ingest transaction and listing data from major auction houses and marketplaces.
* Build comprehensive monitoring and alerting systems to track latency, uptime, and coverage metrics across all data sources.
* Continuously improve our data infrastructure by modernizing storage and processing technologies, reducing manual interventions, and optimizing for cost, performance, and reliability.
* Partner with internal teams to understand data usage patterns and ensure pipelines deliver clean, standardized data that meets product requirements.
 This is a perfect fit if you...
* Care deeply about data quality and understand that extraction is only the beginning \- the real value comes from delivering clean and usable data.
* Thrive in a startup environment where you can make immediate impact and own critical systems end\-to\-end.
* Take an incremental approach to improvements, preferring evidence\-based decisions over wholesale replacements.
* Are intellectually curious about how data flows through systems and passionate about automation opportunities.
* Want to work at the intersection of data engineering and product, understanding how your pipelines directly impact business outcomes.
 What you bring to the table
**Must\-haves**
* 3\-4 years of experience in data engineering or related fields
* Strong Python proficiency with at least 3 years of hands\-on experience
* Proven experience with large\-scale data processing using dataframe technologies (Pandas, Polars, PySpark, or similar)
* Hands\-on experience with pipeline orchestration tools (Airflow, Dagster, or similar DAG\-based systems)
* Track record of owning at least one data pipeline end\-to\-end within the past 2 years
* Solid SQL skills for data analysis and transformation
* Previous startup experience \- you understand the pace and adaptability required in a fast\-moving environment
* A pragmatic mindset focused on delivering value incrementally rather than pursuing perfection
**Nice\-to\-haves**
* Experience with web scraping technologies (Selenium, Puppeteer, Beautiful Soup)
* Familiarity with data infrastructure and cloud services (AWS preferred)
* Interest in or knowledge of trading cards, collectibles, or alternative asset markets
* Experience with LLM\-based automation tools for data extraction and processing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$155,000–$165,000, plus equity. Offers may vary based on experience, location, and other factors.</t>
        </is>
      </c>
    </row>
    <row r="54">
      <c r="A54" t="inlineStr">
        <is>
          <t>li-4368549321</t>
        </is>
      </c>
      <c r="B54" t="inlineStr">
        <is>
          <t>Data Engineer II</t>
        </is>
      </c>
      <c r="C54" t="inlineStr">
        <is>
          <t>Stackline</t>
        </is>
      </c>
      <c r="D54" t="inlineStr">
        <is>
          <t>linkedin</t>
        </is>
      </c>
      <c r="E54">
        <f>HYPERLINK("https://www.linkedin.com/jobs/view/4368549321", "https://www.linkedin.com/jobs/view/4368549321")</f>
        <v/>
      </c>
      <c r="F54" t="inlineStr"/>
      <c r="G54" t="inlineStr">
        <is>
          <t>Seattle, WA</t>
        </is>
      </c>
      <c r="H54" t="inlineStr"/>
      <c r="I54" t="inlineStr">
        <is>
          <t>Stackline is the first full\-funnel connected commerce platform for the world's most innovative brands. Business leaders, product innovators, performance marketers, and analysts trust Stackline as the single source of commerce truth. Fueled by our proprietary neural network, our market insights, revenue metrics, behavior analyses, and autonomous functionality create the actions that determine success or failure.
 Founded in 2014 in Seattle, we have offices in Minneapolis, New York, Salt Lake City, and London. Since November 2020, Stackline has raised $180 million in strategic investments from Goldman Sachs Growth Equity and TA Associates.
 Stackline is on a mission to fuel the future of commerce by bringing brands and customers closer together.
**About The Role:**
 Join our team as a Data Engineer and you will help leading consumer brands use data and technology to discover insights, improve decision\-making and transform their businesses.
 ‍
 Stackline is looking for a data engineer to build high\-quality, scalable and resilient distributed systems. You will need to analyze data to ensure business requirements are met, identifying inconsistencies in the data and optimize/support current processes.
 ‍
 As a Data Engineer you will need your experience building data pipelines from dozens of sources and API’s as we process, ingest and cleanse over a billion data points each week. You will be working closely with Data Scientists, Software Engineers and Product Managers. This is a very hands\-on software engineering role, where a large part of your time is spent writing code with the remainder spent on designing and architecting systems.
 We're looking for engineers to come in ready to design, build and deploy robust data extraction systems while trouble shooting and resolving critical infrastructure bottlenecks.
**Minimum Qualifications**
* 4\+ years experience with Python with data packages and deployment scripts.
* 3\+ years working with databases such as MongoDB, Redshift, S3, Postgres, or Elasticsearch.
* 3\+ years demonstrated experience designing custom ETL processes.
* 2\+ years experience with Big Data technologies (Spark, Hive, Hadoop, etc.)
* Strong proficiency in TypeScript and Node.js for building scalable backend services, with knowledge of web technologies (HTML, CSS) for targeted data extraction.
* S./M.S. in Computer Science or another technical field.
**Preferred Qualifications**
* 3\+ years of experience building, scaling and maintaining software and data infrastructure.
* Experience working with a large scale SAAS application.
* Experience with Kibana or Airflow.
* People who think big, work hard, and solve problems.
* Experience working in a startup, retail, digital advertising, or e\-commerce environment.
**Benefits and Perks:**
 It’s important that each and every employee feels they are supported and can complete their life’s best work today and in the future. As part of that, we are committed to doing our part in addressing pay gaps and discrepancies by providing pay transparency for all of our roles. Actual salaries are just one component of the compensation package and may vary above or below the range based on job\-related knowledge, skills, experience, geographical location, and performance. The pay range for the Data Engineer II position located in Seattle is $135,000 \- $165,000 per year. Other rewards may include annual bonuses, short\- and long\-term incentives, and other team\-specific awards. In addition, we provide a robust benefits and perks package that includes:
* Comprehensive benefits plan covering medical, dental, and vision
* Fertility benefits
* Company 401k plan plus matching
* Company paid Life Insurance
* 20 days of Paid Time Off annually
* 9 Paid company holidays
* 100% Paid Parental leave \- 20 weeks for birthing mothers and 12 weeks for all other parents
* Summer Fridays early close at 3pm
* Fully stocked kitchen, happy hours, and monthly catered lunches
*Stackline is committed to creating a diverse environment and is proud to be an equal opportunity employer. We encourage applicants from all backgrounds to apply. All qualified applicants will receive consideration for employment without regard to race, religion, gender, gender identity or expression, sexual orientation, national origin, genetics, disability, age, or veteran status.*</t>
        </is>
      </c>
    </row>
    <row r="55">
      <c r="A55" t="inlineStr">
        <is>
          <t>li-4376762761</t>
        </is>
      </c>
      <c r="B55" t="inlineStr">
        <is>
          <t>Data Engineer</t>
        </is>
      </c>
      <c r="C55" t="inlineStr">
        <is>
          <t>AARATECH</t>
        </is>
      </c>
      <c r="D55" t="inlineStr">
        <is>
          <t>linkedin</t>
        </is>
      </c>
      <c r="E55">
        <f>HYPERLINK("https://www.linkedin.com/jobs/view/4376762761", "https://www.linkedin.com/jobs/view/4376762761")</f>
        <v/>
      </c>
      <c r="F55" t="inlineStr"/>
      <c r="G55" t="inlineStr">
        <is>
          <t>Houston, TX</t>
        </is>
      </c>
      <c r="H55" t="inlineStr"/>
      <c r="I55" t="inlineStr">
        <is>
          <t>**Data Engineer (3–4 Years Experience)** 
**Location:** 
**United States** 
 (
 *Remote / On\-site – based on client needs* 
 )
**Employment Type:** 
**Full\-time** 
 (
 *Contract or Contract\-to\-Hire* 
 )
**Experience Level:** 
**Mid\-level (3–4 years)** 
**Company:** 
**Aaratech Inc** 
 🛑
 **Eligibility:** 
*Open to* 
***U.S. Citizens***
*and* 
***Green Card holders***
*only. We do not offer visa sponsorship.* 
 🔍
 **About Aaratech Inc** 
**Aaratech Inc** 
 is a specialized IT consulting and staffing company that places elite engineering talent into high\-impact roles at leading U.S. organizations. We focus on modern technologies across
 **cloud** 
 ,
 **data** 
 , and
 **software** 
 disciplines. Our client engagements offer long\-term stability, competitive compensation, and the opportunity to work on cutting\-edge data projects.
 🎯
 **Position Overview** 
 We are seeking a
 **Data Engineer** 
 with
 **3–4 years of experience** 
 to join a client\-facing role focused on building and maintaining scalable
 **data pipelines** 
 , robust
 **data models** 
 , and modern
 **data warehousing** 
 solutions. You'll work with a variety of tools and frameworks, including
 **Apache Spark** 
 ,
 **Snowflake** 
 , and
 **Python** 
 , to deliver clean, reliable, and timely data for advanced analytics and reporting.
 🛠️
 **Key Responsibilities** 
* Design and develop scalable
 **Data Pipelines** 
 to support batch and real\-time processing
* Implement efficient
 **Extract, Transform, Load (ETL)** 
 processes using tools like
 **Apache Spark** 
 and
 **dbt**
* Develop and optimize queries using
 **SQL** 
 for data analysis and warehousing
* Build and maintain
 **Data Warehousing** 
 solutions using platforms like
 **Snowflake** 
 or
 **BigQuery**
* Collaborate with business and technical teams to gather requirements and create accurate
 **Data Models**
* Write reusable and maintainable code in
 **Python (Programming Language)** 
 for data ingestion, processing, and automation
* Ensure end\-to\-end
 **Data Processing** 
 integrity, scalability, and performance
* Follow best practices for
 **data governance** 
 ,
 **security** 
 , and
 **compliance**
 ✅
 **Required Skills \&amp; Experience** 
* **3–4 years** 
 of experience in
 **Data Engineering** 
 or a similar role
* Strong proficiency in
 **SQL** 
 and
 **Python (Programming Language)**
* Experience with
 **Extract, Transform, Load (ETL)** 
 frameworks and building
 **data pipelines**
* Solid understanding of
 **Data Warehousing** 
 concepts and architecture
* Hands\-on experience with
 **Snowflake** 
 ,
 **Apache Spark** 
 , or similar big data technologies
* Proven experience in
 **Data Modeling** 
 and data schema design
* Exposure to
 **Data Processing** 
 frameworks and performance optimization techniques
* Familiarity with cloud platforms like
 **AWS** 
 ,
 **GCP** 
 , or
 **Azure**
 ⭐
 **Nice to Have** 
* Experience with
 **streaming data pipelines** 
 (e.g., Kafka, Kinesis)
* Exposure to
 **CI/CD** 
 practices in data development
* Prior work in consulting or multi\-client environments
* Understanding of
 **data quality** 
 frameworks and monitoring strategies</t>
        </is>
      </c>
    </row>
    <row r="56">
      <c r="A56" t="inlineStr">
        <is>
          <t>li-4354980796</t>
        </is>
      </c>
      <c r="B56" t="inlineStr">
        <is>
          <t>Analytics Engineer</t>
        </is>
      </c>
      <c r="C56" t="inlineStr">
        <is>
          <t>Clay</t>
        </is>
      </c>
      <c r="D56" t="inlineStr">
        <is>
          <t>linkedin</t>
        </is>
      </c>
      <c r="E56">
        <f>HYPERLINK("https://www.linkedin.com/jobs/view/4354980796", "https://www.linkedin.com/jobs/view/4354980796")</f>
        <v/>
      </c>
      <c r="F56" t="inlineStr"/>
      <c r="G56" t="inlineStr"/>
      <c r="H56" t="inlineStr"/>
      <c r="I56"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crossed $100M in revenue and raised a $100M Series C at a $5B valuation, backed by world\-class investors including Sequoia, CapitalG, and First Round. We also completed our second employee tender offer and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**Analytics Engineering @ Clay**
 We’re looking for an
 **Analytics Engineer** 
 to bridge the gap between raw data infrastructure and high\-impact business insights and data products. You’ll take ownership of our data models, pipelines, and platform architecture to ensure our analytics and data science foundation is scalable, durable, and consumable. Your work will enable better decision\-making across teams—from product and engineering to marketing, finance, and ops.
 Clay’s modern data stack includes
 **Fivetran** 
 ,
 **Segment** 
 ,
 **Snowflake, dbt, Dagster, Streamlit, Hex, Sigma, Eppo, Census,** 
**Cube.dev** 
 —and you'll play a key role in shaping how we use and evolve it to power strategic insight and operational excellence.
 What you'll do
* Own data pipelines: Design, build, and maintain reliable ETL/ELT pipelines, ensuring timely and accurate delivery of high\-quality data across the organization.
* Build a scalable foundation: Find ways to leverage and improve our current data models by architecting resilient, maintainable dbt models that serve as the trusted source of truth for analytics, experimentation, and data products.
* Collaborate cross\-functionally: Work closely with data scientists, engineers, and business teams to understand use cases and proactively develop data assets that support their goals effectively and scalably.
* Drive architectural improvements: Identify opportunities to consolidate and improve our data platform, proposing improvements that ensure long\-term scalability and flexibility.
* Improve data quality, discoverability, and metric clarity: Design and implement robust systems for schema design, data validation, documentation, and governance, while defining and standardizing core business metrics and semantic definitions to ensure consistency across teams and tools.
* Support self\-serve insights: Enable teams with intuitive, trustworthy data products and tooling that allow less\-technical users to explore data and develop solutions independently.
* Plan for the future: Help define the evolution of Clay’s data stack and architecture, including how we consolidate, transform, and surface data and intelligence for emerging use cases.
 What you'll bring
* 6\+ years of hands\-on experience in analytics engineering, data engineering, or data management
* Strong ownership mentality and proven ability to design for scalability, durability, and reusability Expert in SQL, Python, AWS infrastructure, and modern data tools (emphasis on dbt, Dagster/Airflow)
* A passion for pragmatic solutioning while staying current on modern data and AI tooling, pushing the boundaries of GenerativeAI’s role in Data Products and workflows
* Excitement for iterative, agile development processes and collaboration with diverse teams</t>
        </is>
      </c>
    </row>
    <row r="57">
      <c r="A57" t="inlineStr">
        <is>
          <t>li-4377810563</t>
        </is>
      </c>
      <c r="B57" t="inlineStr">
        <is>
          <t>Data Engineer</t>
        </is>
      </c>
      <c r="C57" t="inlineStr">
        <is>
          <t>Wiraa</t>
        </is>
      </c>
      <c r="D57" t="inlineStr">
        <is>
          <t>linkedin</t>
        </is>
      </c>
      <c r="E57">
        <f>HYPERLINK("https://www.linkedin.com/jobs/view/4377810563", "https://www.linkedin.com/jobs/view/4377810563")</f>
        <v/>
      </c>
      <c r="F57" t="inlineStr"/>
      <c r="G57" t="inlineStr"/>
      <c r="H57" t="inlineStr"/>
      <c r="I57" t="inlineStr">
        <is>
          <t>**About The Company**
 Recognized by Gartner in their Modern 4PL Market Guide, Redwood Logistics is a leading innovator in the supply chain and logistics industry. Our company combines cutting\-edge technology with industry expertise to deliver comprehensive logistics solutions across North America and Mexico. We leverage a data\-centric network platform and a broad range of services to optimize freight management and supply chain operations for our clients. Our commitment to innovation and excellence has established us as a key player in the mid\-market segment within the freight technology industry. Whether working with startups or established enterprises, Redwood Logistics strives to provide transformative solutions that drive efficiency, transparency, and growth for our customers.
**About The Role**
 We are seeking a highly skilled Lead Data Engineer to join our Shared Services team. In this role, you will be responsible for leading a team of data engineers in designing, developing, and maintaining scalable data pipelines, data vaults, and data warehouses. You will collaborate closely with stakeholders across various departments to deliver critical metrics and insights that support business decision\-making. Your expertise will help shape our data strategy, improve data infrastructure, and ensure data quality and reliability. This role offers an exciting opportunity to work within a dynamic environment, leveraging advanced technologies and methodologies to enhance our data capabilities. The position is hybrid, with 1\-2 days on\-site preferred, providing flexibility to balance collaborative and remote work.
**Qualifications**
* Bachelor’s Degree or equivalent experience in Business Administration, Mathematics, Computer Science, or related field
* 8\+ years of technology experience, including expertise in SQL development and performance tuning
* Proficiency with Amazon Relational Database Service (Aurora, MySQL), Microsoft SQL Server, Snowflake
* Strong experience with Python, including libraries such as Pandas, NumPy, Requests, and Streamlit
* Understanding of JSON, CSV, and REST API integrations
* Experience with Data Vault 2\.0, Fivetran, Azure Data Factory, and cloud platforms such as AWS, Azure, or Google Cloud
* Knowledge of DevOps practices, git, CI/CD pipelines (preferred)
* Experience with enterprise logistics platforms like TMS, WMS (preferred)
* Excellent leadership, communication, and collaboration skills
* Self\-starter with a proactive approach and ability to adapt in a fast\-paced environment
**Responsibilities**
* Lead and mentor a team of data engineers, providing technical guidance and support to foster growth and excellence
* Design, develop, and maintain scalable data pipelines from various sources, including TMS and other enterprise systems
* Implement and extend data structures such as Data Vault, Data Warehouse, and Data Marts to meet evolving business needs
* Ensure data accuracy, completeness, and reliability through validation, monitoring, and error handling processes
* Collaborate with business and technical stakeholders to define data requirements and deliver key metrics
* Stay current with emerging trends and technologies in data engineering, evaluating new tools to enhance infrastructure
* Improve processes related to code deployment, data validation, and error alerting to ensure operational excellence
* Participate in establishing and executing data strategy aligned with organizational goals
* Work with external vendors and internal teams to integrate new data sources and optimize existing data flows
**Benefits**
* Access to ongoing learning and development resources
* Opportunities for internal mobility and career growth
* Employee referral bonus program
* Participation in Employee Resource Groups (ERGs)
* Annual fundraising and volunteer events
* Paid time off, floating holidays, and rollover policy
* Paid parental leave
* Comprehensive health plans including medical, dental, and vision insurance
* 401(k) plan with company match
* Flexible spending accounts, health savings accounts with company contributions
* Short\-term and long\-term disability insurance, life insurance policies
* Additional perks such as pet insurance, legal advice, and accident care
 Equal Opportunity
 Redwood Logistics is an equal opportunity employer. We celebrate diversity and are committed to creating an inclusive environment for all employees. We do not discriminate based on race, ethnicity, gender, age, religion, sexual orientation, disability, or any other protected status. Our hiring decisions are based on qualifications, experience, and the ability to contribute to our company’s success.</t>
        </is>
      </c>
    </row>
    <row r="58">
      <c r="A58" t="inlineStr">
        <is>
          <t>li-4325471591</t>
        </is>
      </c>
      <c r="B58" t="inlineStr">
        <is>
          <t>Data Engineer</t>
        </is>
      </c>
      <c r="C58" t="inlineStr">
        <is>
          <t>Orveon Global</t>
        </is>
      </c>
      <c r="D58" t="inlineStr">
        <is>
          <t>linkedin</t>
        </is>
      </c>
      <c r="E58">
        <f>HYPERLINK("https://www.linkedin.com/jobs/view/4325471591", "https://www.linkedin.com/jobs/view/4325471591")</f>
        <v/>
      </c>
      <c r="F58">
        <f>HYPERLINK("https://recruiting.ultipro.com/ORV1000OGUL/JobBoard/606498f2-9da9-4df4-aa96-6276f013d606/OpportunityDetail?opportunityId=ce283399-5b57-4084-b2bb-a1f8edc717ec&amp;source=LinkedIn&amp;utm_source=LINKEDIN&amp;urlHash=qd_r", "https://recruiting.ultipro.com/ORV1000OGUL/JobBoard/606498f2-9da9-4df4-aa96-6276f013d606/OpportunityDetail?opportunityId=ce283399-5b57-4084-b2bb-a1f8edc717ec&amp;source=LinkedIn&amp;utm_source=LINKEDIN&amp;urlHash=qd_r")</f>
        <v/>
      </c>
      <c r="G58" t="inlineStr">
        <is>
          <t>New York, NY</t>
        </is>
      </c>
      <c r="H58" t="inlineStr"/>
      <c r="I58" t="inlineStr">
        <is>
          <t>**About Us**
 Orveon is a new kind of beauty company launched in December 2021 when we acquired our three iconic brands \- bareMinerals, BUXOM, and Laura Mercier. Operating in 40\+ countries, we're a truly global business. Our headquarters are in New York, with additional locations in major cities worldwide.
 We love our brands and are embarking on a powerful shift: To change how the world thinks about beauty. We are a collective of premium and prestige beauty brands committed to stark honesty, co\-creation, and making a sustainable cultural impact.
 People here are passionate, entrepreneurial and most of all, bold. This is an inspirational group of talented, silo\-busting, confident and humble people, working together to build something better. We are looking for the best talent to join us on that journey. We believe we can accomplish more when we \#Face Forward Together!
**About The Role**
 We are seeking a skilled and motivated Data Engineer to join our team. As a key contributor to our data architecture, you will play a central role in designing, building, and maintaining scalable data pipelines and solutions using Microsoft Fabric. You will collaborate closely with Power BI developers, and business analysts to ensure data is accessible, reliable, and optimized for analytics and decision\-making.
**Primary Duties \&amp; Responsibilities**
* Design, develop, and maintain robust data pipelines using Microsoft Fabric, including Data Factory, OneLake, and Lakehouse.
* Integrate data from various sources (structured and unstructured) into centralized data platforms.
* Collaborate with Data Architects to implement scalable and secure data models.
* Optimize data workflows for performance, reliability, and cost\-efficiency.
* Ensure data quality, governance, and compliance with internal and external standards.
* Support Power BI developers and business analysts with curated datasets and semantic models.
* Monitor and troubleshoot data pipeline issues and implement proactive solutions.
* Document data processes, architecture, and best practices.
**Qualifications**
* Bachelor's degree in Computer Science, Data Science, Information Technology or related field.
* 3\+ years hands on experience in data engineering
* Proficiency in Apache Spark.
* Strong programming skills in Python, SQL, with experience in CI/CD
* Experience in data modeling.
* Best practices in managing lakehouses and warehouses.
* Strong problem\-solving skills and attention to detail.
* Excellent communication and collaboration abilities.
* Familiarity with MS fabric technologies and tools
* Familiarity with version control (Git/Azure Devops)
* Microsoft Data technologies especially Power BI
* Experience with Azure data services such as Data factory, synapse, purview, logic/function apps.
**What Orveon Offers You**
 You are a creator of Orveon’s success and your own. This is a rare opportunity to share your voice, accelerate your career, drive innovation and fostering growth. We’re a human\-sized company so your work will have a big impact on the organization. We invest in the well\-being of our Orveoners – both personally and professionally and provide tailored benefits to support all of you, such as:
* “Hybrid First” Model 3 days per week in office, balancing virtual and face\-to\-face interactions.
* “Work From Anywhere” – Freedom to work six (6\) weeks annually from the location of your choice.
* Complimentary Products – Free and discounted products on new releases and fan\-favorites.
* Professional Development – Exposure to senior leadership, learning and development programs, and career advancement opportunities.
* Community Engagement – Volunteer opportunities in the communities in which we live and work.
**Other things to know!**
**Pay Transparency** 
 \- One of our values is Stark Honesty, and the following represents a good faith estimate of the compensation range for this position
 At Orveon Global, we carefully consider a wide range of non\-discriminatory factors when determining salary. Actual salaries will vary depending on factors including but not limited to location, education, experience, and qualifications.
 The pay range for this position $80,500\-$100,500\. Supplemented with all the amazing benefits above for full\-time employees!
**Opportunities and Accommodations\-** 
 Orveon is deeply committed to building a workplace and global community where inclusion is not only valued but prioritized. Find out more on our careers page. https://www.orveonglobal.com/career
**Opportunities and Accommodations**
 Orveon is deeply committed to building a workplace and global community where inclusion is not only valued but prioritized. We strive to build and nurture a culture where a focus on diversity, equity, and inclusion is instinctive. Our deep sense of passion and pride in what we do, both as individuals and as a collective, unifies our shared commitment to “changing beauty for the better”. Therefore, all qualified applicants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We recognize and celebrate different ideas, perspectives, and backgrounds and know they create a more robust and creative work environment.
**BE AWARE OF FRAUD** 
**!** 
 Please be aware of potentially fraudulent job postings or suspicious recruiter activity by persons that are posing as Orveon Global Recruiters/HR. Please confirm that the person you are working with has an @orveonglobal.com email address. Additionally, Orveon Global does NOT request financial information or payments from candidates at any point during the hiring process. If you suspect fraudulent activity, please visit the Orveon Global Careers Site at https://www.orveonglobal.com/career to verify the posting and apply though our secure online portal.</t>
        </is>
      </c>
    </row>
    <row r="59">
      <c r="A59" t="inlineStr">
        <is>
          <t>li-4377843617</t>
        </is>
      </c>
      <c r="B59" t="inlineStr">
        <is>
          <t>Data Engineer</t>
        </is>
      </c>
      <c r="C59" t="inlineStr">
        <is>
          <t>Heritage Auctions</t>
        </is>
      </c>
      <c r="D59" t="inlineStr">
        <is>
          <t>linkedin</t>
        </is>
      </c>
      <c r="E59">
        <f>HYPERLINK("https://www.linkedin.com/jobs/view/4377843617", "https://www.linkedin.com/jobs/view/4377843617")</f>
        <v/>
      </c>
      <c r="F59">
        <f>HYPERLINK("https://dc1prodrecruiting.paylocity.com/Recruiting/Jobs/Apply/3947768/Heritage-Capital-Corporation?source=LinkedIn_Feed&amp;urlHash=6JIE", "https://dc1prodrecruiting.paylocity.com/Recruiting/Jobs/Apply/3947768/Heritage-Capital-Corporation?source=LinkedIn_Feed&amp;urlHash=6JIE")</f>
        <v/>
      </c>
      <c r="G59" t="inlineStr">
        <is>
          <t>Dallas, TX</t>
        </is>
      </c>
      <c r="H59" t="inlineStr"/>
      <c r="I59" t="inlineStr">
        <is>
          <t>**Description**
**About Heritage Auctions**
 Start your career with one of the nation’s fastest\-growing auction houses. Heritage Auctions is a global auction house driven by curiosity, innovation, and the stories behind extraordinary objects. For nearly 50 years, Heritage has connected collectors and consignors through a dynamic marketplace that celebrates history, culture, and craftsmanship. Headquartered in Dallas, Texas, with offices in New York, Chicago, Beverly Hills, London, Hong Kong, and other major cities, we support a worldwide network of experts and enthusiasts across more than 50 auction categories. From Sports and Entertainment memorabilia to Luxury Handbags, Fine Art, Jewelry, Coins, Wine, and rare historical artifacts, every item tells a story. We are dedicated to bringing those stories to life through deep research, cutting\-edge technology, and thoughtful presentation. Known for our expertise and innovation, we offer a dynamic environment where passion for history, culture, and storytelling brings collectors together to discover, learn, and collaborate.
**SUMMARY:** 
 Responsible for the development of all phases in SQL, T\-SQL, relational database programming/design, APIs, SSIS, and SSRS reporting.
**LOCATION:** 
 This is a
 **Hybrid** 
 position and requires one day in the office located South of Dallas/Fort Worth International Airport, NW corner of W. Airport Freeway (Hwy. 183\) and Valley View Lane
**Benefits**
* Medical, Dental, Vision coverage
* Paid time off
* 401k savings plans
* Onsite personal trainer and gym
**COMPENSATION:** 
 Commensurate based on experience
**SQL Development**
**ESSENTIAL DUTIES \&amp; RESPONSIBILITIES:**
* Write and optimize stored procedures, functions, table alterations, and indexes in SQL Server 2019 and 2022\.
* Design and implement efficient queries using inner/outer joins and set\-based logic.
* Performance tuning of stored procedures, set\-based code, and indexing strategies.
* Leverage execution plans, statistics, and plan diagrams for troubleshooting and optimization
**Data Integration \&amp; Pipeline Development**
* Develop and manage data pipelines using SSIS and Azure Data Factory.
* Consume and process data from APIs, handling JSON data efficiently.
* Configure and promote objects through development to production environments using version control and coding standards.
* Microsoft Fabric: Design and manage data solutions within the Fabric ecosystem, including OneLake, Data Factory (Gen2 Pipelines), and Lakehouses.
**ElasticSearch Expertise**
* Design and manage indexes and lifecycle management for optimal search performance.
* Develop ElasticSearch queries, including keyword, text, and vector search, and manage document ingestion.
* Leverage ML inference models within ElasticSearch pipelines to enhance retrieval and ranking mechanisms.
**Infrastructure As Code (IaC) \&amp; DevOps**
* Terraform: Utilize Terraform to provision and manage Azure resources (SQL databases, Fabric capacities, and ElasticSearch clusters).
* Configure and promote objects through development to production environments using version control (Git) and automated deployment standards.
**Machine Learning Integration**
* Build and integrate machine learning models into search pipelines using Python.
* Experience with libraries such as TensorFlow, PyTorch, or scikit\-learn.
* Familiarity with natural language processing (NLP) and large language models (LLMs).
**Advanced Search And Retrieval Systems**
* Integrate large language models (LLMs) for retrieval\-augmented generation (RAG) solutions.
* Design and manage scalable, high\-availability systems for efficient query processing and document retrieval.
* Utilize knowledge graphs and dynamic query generation to enhance search functionality.
**Agentic AI Systems**
* Build multi\-agent systems for advanced search and recommendation engines.
* Use frameworks like LangChain or LangGraph for orchestrating agent reasoning and decision\-making processes.
* Optimize multi\-turn conversations, state management, and task collaboration across distributed agents.
**Collaboration And Ownership**
* Own the design and improvement of database schema and architecture.
* Translate business requirements into scalable system designs.
* Interact with cross\-functional teams and act as a subject matter expert for data engineering and search technologies.
**Requirements**
**EDUCATION \&amp; EXPERIENCE:**
* Bachelor’s degree in Computer Science required Master’s degree preferred
* Minimum 5\+ years of experience as an MS SQL programmer in a fast\-paced, dynamic environment using a structured software development methodology
* Experience designing and implementing large\-scale database solutions that are reliable, scalable, and perform at high levels
* Working knowledge of security and privacy issues, SQL 2019, and SQL 2022
**WORK ENVIRONMENT:** 
 Individuals must be team\-quality players in a fast\-paced environment. The candidate must work in an environment with 50% development and 50% production support.
 At Heritage Auctions, we celebrate diversity and are committed to fostering an inclusive environment. We welcome and encourage applications from women, minorities, veterans, mature workers, and persons with disabilities. EOE</t>
        </is>
      </c>
    </row>
    <row r="60">
      <c r="A60" t="inlineStr">
        <is>
          <t>li-4377847285</t>
        </is>
      </c>
      <c r="B60" t="inlineStr">
        <is>
          <t>Data Engineer</t>
        </is>
      </c>
      <c r="C60" t="inlineStr">
        <is>
          <t>Best Job Tool</t>
        </is>
      </c>
      <c r="D60" t="inlineStr">
        <is>
          <t>linkedin</t>
        </is>
      </c>
      <c r="E60">
        <f>HYPERLINK("https://www.linkedin.com/jobs/view/4377847285", "https://www.linkedin.com/jobs/view/4377847285")</f>
        <v/>
      </c>
      <c r="F60">
        <f>HYPERLINK("https://www.bestjobtool.com/job-description/3074888205?src=LinkedIn&amp;urlHash=eSrZ", "https://www.bestjobtool.com/job-description/3074888205?src=LinkedIn&amp;urlHash=eSrZ")</f>
        <v/>
      </c>
      <c r="G60" t="inlineStr"/>
      <c r="H60" t="inlineStr"/>
      <c r="I60" t="inlineStr">
        <is>
          <t>**About The Company**
 Jobot is a leading organization dedicated to advancing biotech innovation through the integration of artificial intelligence and machine learning in drug discovery. The company focuses on developing cutting\-edge technology platforms, processes, and capabilities to accelerate all phases of drug development and clinical trials. By partnering with pharmaceutical companies, research organizations, and biotech firms, Jobot aims to streamline the journey from candidate drug identification to bringing new medicines to patients. Their commitment to innovation and efficiency positions them at the forefront of the biotech industry, addressing critical challenges such as high costs and lengthy timelines associated with traditional drug development processes.
**About The Role**
 We are seeking a highly skilled Senior Data Engineer to join our dynamic scientific team. This role offers an exciting opportunity to work on data\-driven strategies that leverage AI and ML for novel drug discovery. The successful candidate will be responsible for designing, developing, and maintaining scalable data management systems that support our research and development efforts. You will play a vital role in shaping our data platform, focusing on ingestion frameworks, orchestration patterns, and data modeling strategies. This position requires a deep understanding of modern data processing tools and a passion for building reliable, discoverable, and high\-quality data pipelines. Whether working onsite in NYC or Boston or remotely across the US, you will collaborate with cross\-functional teams to enable innovative research and accelerate drug discovery processes.
**Qualifications**
 The ideal candidate will possess over five years of experience in data engineering or related fields, with a strong technical background in modern data stacks. Proficiency in Python, SQL, and dbt is essential, along with experience using orchestration tools such as Dagster, Prefect, or Airflow. Familiarity with building data ingestion pipelines from REST APIs, flat files, and cloud storage solutions like Amazon S3 is required. Knowledge of Snowflake and its ecosystem, including warehouse management, cost optimization, RBAC, and data sharing, is highly desirable. Candidates should understand metadata management, observability, and testing practices for data pipelines. Strong communication skills and the ability to partner effectively with stakeholders are crucial. Bonus qualifications include experience working in regulated environments such as pharma or healthcare, handling unstructured data, and expertise in AI Data Engineering techniques like OCR, NER, vector databases, and graph databases.
**Responsibilities**
* Design, construct, install, test, and maintain highly scalable data management systems to support research and development activities.
* Ensure all systems meet business requirements, industry standards, and best practices for data security and compliance.
* Build high\-performance algorithms, prototypes, and predictive models to facilitate drug discovery and data analysis.
* Research new data acquisition opportunities and explore innovative uses for existing datasets to enhance research capabilities.
* Develop robust data set processes for modeling, mining, and production to ensure data quality and reliability.
* Integrate emerging data management technologies and software engineering tools into existing infrastructure.
* Create custom software components and analytics applications to support various research initiatives.
* Implement and update disaster recovery procedures to ensure data integrity and availability.
* Collaborate with data architects, modelers, and IT teams to align project goals and optimize data workflows.
* Utilize languages and tools such as Python, SQL, and orchestration platforms like Dagster to automate and streamline data pipelines.
* Recommend improvements to enhance data reliability, efficiency, and overall quality across systems.
* Design and implement data pipelines and workflows using Dagster or equivalent orchestration tools.
**Benefits**
 Jobot offers a competitive salary range of $140,000 to $180,000 annually, commensurate with experience. Employees have the flexibility to work onsite in NYC or Boston, or remotely from anywhere in the United States, supporting a healthy work\-life balance. The organization provides comprehensive health, vision, and dental insurance plans for individuals and families, ensuring well\-being and peace of mind. Additional benefits include opportunities for professional development, a collaborative work environment, and the chance to contribute to groundbreaking advancements in biotech and drug discovery. The company values diversity and inclusion, fostering a workplace where all team members can thrive and make meaningful contributions.
 Equal Opportunity
 Jobot is an Equal Opportunity Employer committed to creating an inclusive environment for all employees and applicants. The organization considers candidates without regard to race, color, sex, sexual orientation, gender identity, religion, national origin, age (40 and over), disability, military status, genetic information, or any other protected characteristic under applicable federal, state, or local laws. Jobot strictly prohibits harassment or discrimination based on these categories. The company complies with all relevant laws and policies concerning employment and background checks, ensuring a fair and equitable hiring process for everyone. By applying, candidates acknowledge and agree to the organization's privacy policies and communication practices.</t>
        </is>
      </c>
    </row>
    <row r="61">
      <c r="A61" t="inlineStr">
        <is>
          <t>li-4376765623</t>
        </is>
      </c>
      <c r="B61" t="inlineStr">
        <is>
          <t>Data Engineer</t>
        </is>
      </c>
      <c r="C61" t="inlineStr">
        <is>
          <t>TabaPay</t>
        </is>
      </c>
      <c r="D61" t="inlineStr">
        <is>
          <t>linkedin</t>
        </is>
      </c>
      <c r="E61">
        <f>HYPERLINK("https://www.linkedin.com/jobs/view/4376765623", "https://www.linkedin.com/jobs/view/4376765623")</f>
        <v/>
      </c>
      <c r="F61">
        <f>HYPERLINK("https://tabapay.com/careers.html?gh_jid=4644670006&amp;urlHash=LXbU", "https://tabapay.com/careers.html?gh_jid=4644670006&amp;urlHash=LXbU")</f>
        <v/>
      </c>
      <c r="G61" t="inlineStr">
        <is>
          <t>Palo Alto, CA</t>
        </is>
      </c>
      <c r="H61" t="inlineStr"/>
      <c r="I61" t="inlineStr">
        <is>
          <t>**Who We Are** 
 The world is moving towards instant digital payments and TabaPay is leading the way. We help thousands of Fintechs in the US and Canada instantly move money in and out of accounts and we are actively expanding into other countries. Our customers represent the hottest verticals in the financial service industry such as neobanks, challenger brokers, gaming and wallets. TabaPay is a highly profitable rocketship that processes billions of dollars each year. To learn more visit www.tabapay.com.
**Who You Are** 
 TabaPay is looking for an experienced and proactive Data Engineer to join the team. We are looking for someone who can take initiative and operate independently all while taking pride in keeping our systems stable and trusted. If you are a data engineer who builds durable data systems with long\-term scalability in mind, we want to hear from you.
* Focus on solving problems using the simplest possible architecture.
* self\-direct within a broad definition of goals and objectives.
* Prioritize the availability of accurate and reliable data.
* Develop processes and monitor the health of the data warehouse.
* Collaborate with technical and business teams to understand their needs and build solutions.
**Responsibilities** 
* Develop and manage scalable and reliable ETL/ELT processes for loading data into data warehouses.
* Monitor performance and troubleshoot issues.
* Manage and optimize our data warehouse for performance and reliability.
* Maintain data integrity and consistency across systems.
* Collaborate with internal teams to understand data needs and deliver solutions.
* Stay current with industry trends and technologies in data engineering.
* Continuously improve data processes and infrastructure for efficiency and scalability.
* Document data engineering processes, designs, and architectures.
**Qualifications** 
* Fast learner with strong work ethics and high\-performance standards.
* Solve today’s problems and lay the foundation for the future.
* 4 years of experience in a fintech company or fast\-growing startup.
* BS or advanced degree in Computer Science, Mathematics, Computer Engineering, or a related field, or equivalent practical experience.
* Proficient in writing production\-quality code in Python. Go would be a plus.
* Strong debugging skills and the ability to diagnose and resolve issues effectively.
* Experience working with AWS.
 This role is located in Palo Alto, California \- 5x a week in office.
 The pay range for this position is $130,000; however, base pay offered may vary depending on job\-related knowledge, skills, and experience. In addition to a full range of medical, financial, and/or other benefits, dependent on the position offered.
**Benefits** 
 TabaPay offers the following benefits:
* 100% employer\-paid health care insurance including medical, dental, vision, and life insurance (for employee only)
* Employer 401K Matching
* Generous and Flexible PTO
 EEO Employer: TabaPay is an equal opportunity employer; all qualified applicants will receive consideration for employment without regard to race, color, religion, sex, sexual orientation, gender identity, national origin, disability, Veteran status, or any other protected classification.</t>
        </is>
      </c>
    </row>
    <row r="62">
      <c r="A62" t="inlineStr">
        <is>
          <t>li-4376767625</t>
        </is>
      </c>
      <c r="B62" t="inlineStr">
        <is>
          <t>Data Engineer</t>
        </is>
      </c>
      <c r="C62" t="inlineStr">
        <is>
          <t>AARATECH</t>
        </is>
      </c>
      <c r="D62" t="inlineStr">
        <is>
          <t>linkedin</t>
        </is>
      </c>
      <c r="E62">
        <f>HYPERLINK("https://www.linkedin.com/jobs/view/4376767625", "https://www.linkedin.com/jobs/view/4376767625")</f>
        <v/>
      </c>
      <c r="F62" t="inlineStr"/>
      <c r="G62" t="inlineStr"/>
      <c r="H62" t="inlineStr"/>
      <c r="I62"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63">
      <c r="A63" t="inlineStr">
        <is>
          <t>li-4340778299</t>
        </is>
      </c>
      <c r="B63" t="inlineStr">
        <is>
          <t>Data Engineer II (Full Time) United States</t>
        </is>
      </c>
      <c r="C63" t="inlineStr">
        <is>
          <t>Cisco</t>
        </is>
      </c>
      <c r="D63" t="inlineStr">
        <is>
          <t>linkedin</t>
        </is>
      </c>
      <c r="E63">
        <f>HYPERLINK("https://www.linkedin.com/jobs/view/4340778299", "https://www.linkedin.com/jobs/view/4340778299")</f>
        <v/>
      </c>
      <c r="F63">
        <f>HYPERLINK("https://careers.cisco.com/global/en/job/CISCISGLOBAL2001849EXTERNALENGLOBAL/Data-Engineer-II-Full-Time-United-States?utm_source=linkedin&amp;utm_medium=phenom-feeds&amp;urlHash=9H7R", "https://careers.cisco.com/global/en/job/CISCISGLOBAL2001849EXTERNALENGLOBAL/Data-Engineer-II-Full-Time-United-States?utm_source=linkedin&amp;utm_medium=phenom-feeds&amp;urlHash=9H7R")</f>
        <v/>
      </c>
      <c r="G63" t="inlineStr">
        <is>
          <t>Durham, NC</t>
        </is>
      </c>
      <c r="H63" t="inlineStr"/>
      <c r="I63"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At Cisco IT, you will join a collaborative group of builders, innovators, and change agents. Our team brings together expertise in: CRM architecture, Data governance, Sales and partner compensation and AI and automation
 We believe the best ideas come from diverse voices and bold thinking. You’ll have the support and resources to learn, grow, and make a meaningful impact.
**Your Impact**
**As a Data Engineer At Cisco, You Will**
* Build and support integrated data solutions that power business analytics and machine learning
* Ensure data is high\-quality, accessible, and easy to use
* Enable smarter decisions, optimize marketing investments, and enhance customer experiences
* Make complex data understandable and actionable
* Collaborate across teams to deliver meaningful solutions for a global community
**Minimum Qualifications**
* Enrolled in or recently graduated from a technical degree or certification program (e.g., Technical Boot Camp, Apprenticeship, Community College, or 4\-Year University)
* AI literacy and a cloud\-first mindset
* Familiarity with agile methodologies and data\-driven approaches
* Experience or familiarity with databases (e.g., MySQL, PostgreSQL, MongoDB) and big data frameworks (e.g., Hadoop, Spark)
* Able to legally live and work in the United States without visa support or sponsorship
**Preferred Qualifications**
* Experience with RESTful API design and development for data integration
* Experience with business intelligence tools such as Tableau
* Understanding of security best practices in data encryption, secure data transfer, and access controls
* Knowledge of full\-stack development for comprehensive data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4">
      <c r="A64" t="inlineStr">
        <is>
          <t>li-4353101298</t>
        </is>
      </c>
      <c r="B64" t="inlineStr">
        <is>
          <t>Data Engineer</t>
        </is>
      </c>
      <c r="C64" t="inlineStr">
        <is>
          <t>Avetta</t>
        </is>
      </c>
      <c r="D64" t="inlineStr">
        <is>
          <t>linkedin</t>
        </is>
      </c>
      <c r="E64">
        <f>HYPERLINK("https://www.linkedin.com/jobs/view/4353101298", "https://www.linkedin.com/jobs/view/4353101298")</f>
        <v/>
      </c>
      <c r="F64">
        <f>HYPERLINK("https://www.avetta.com/careers/job?gh_jid=7589158003&amp;gh_src=27dc96bf3us&amp;urlHash=GoOh", "https://www.avetta.com/careers/job?gh_jid=7589158003&amp;gh_src=27dc96bf3us&amp;urlHash=GoOh")</f>
        <v/>
      </c>
      <c r="G64" t="inlineStr"/>
      <c r="H64" t="inlineStr"/>
      <c r="I64" t="inlineStr">
        <is>
          <t>**If residing within commutable distance to one of our offices, a hybrid schedule would be required (3 days in office, 2 days work from home). Those outside of commutable distance may be considered on a remote basis.**
**Summary**
 Avetta’s SaaS platform connects the world’s leading organizations with qualified suppliers, contractors, and vendors. We bring unmatched visibility to companies through cloud\-based technology and human insights to improve supply chair risk and compliance. As a result, we foster sustainable growth for businesses and their supply chains globally. Our SaaS subscription\-based software is used by 85k\+ active customers in over 100 countries spanning across a wide range of industries.
 The
 **Data Engineer** 
 will own and evolve our modern analytics engineering platform. This role is primarily responsible for DBT and Fivetran platform ownership, ensuring reliable, scalable, and well\-governed data pipelines that power analytics and downstream use cases. As a senior team member, you will set technical standards, lead by example, and partner closely with analytics, the BI team and business stakeholders.
**Essential Duties And Responsibilities**
* Own the DBT and Fivetran platforms, including configuration, environment setup, access controls, and ongoing maintenance.
* Manage DBT Cloud environments, including job configuration, scheduling, orchestration, and dependency management.
* Configure and manage Fivetran connectors, sync schedules, schemas, transformations, and performance tuning.
* Build, operate, and optimize end\-to\-end ELT pipelines from source systems through Snowflake using Fivetran and DBT.
* Design and maintain robust orchestration patterns for DBT runs, incremental models, and downstream dependencies.
* Ensure pipelines are reliable, scalable, and cost\-efficient.
* Own and manage data platform infrastructure using Terraform to create Snowflake resources.
* Implement, maintain and own CI/CD pipelines using GitHub Actions for DBT deployments, testing, and environment promotion.
* Implement and maintain data quality solutions (e.g., freshness checks, anomaly detection).
* Build and manage monitoring and observability solutions for pipelines, jobs, and data SLAs.
* Define and track platform and data reliability metrics, alerting on failures, delays, or data issues.
* Own Snowflake administration, including warehouses, roles, permissions, resource monitoring, and cost optimization.
* Tune performance for DBT models and queries through clustering, warehouse sizing, and query optimization.
* Ensure security, governance, and best practices across Snowflake environments.
**Ideal Experience, Education \&amp; Training**
* 6 years of experience in data engineering or analytics engineering, with demonstrated senior\-level ownership is preferred.
* Bachelor's or Master’s Degree in Data Engineering, Computer Science, or related field is preferred.
* Certifications in DBT (Advanced), Snowflake (SnowPro), GitHub Actions Certification, AWS Certified Solutions Architect – Professional is preferred.
* Comfortable in supporting analytics\-ready DBT models, including staging, intermediate, and mart layers.
* Experience implementing data observability or data quality frameworks.
* Familiarity with modern metrics layers or semantic models.
* Experience supporting analytics and BI.
* Strong documentation and stakeholder communication skills.
* Aptitude for Agile delivery (e.g., JIRA) and backlog management in cross\-functional data teams.
 We also offer a comprehensive benefits package, which includes health, dental and vision insurance, 401(k), and PTO.
 Avetta is an equal opportunity employer and values diversity. We encourage individuals from all backgrounds and experiences to apply.
 To apply for the
 **Data Engineer** 
 position, please submit your online application by March 31, 2026\.</t>
        </is>
      </c>
    </row>
    <row r="65">
      <c r="A65" t="inlineStr">
        <is>
          <t>li-4357734498</t>
        </is>
      </c>
      <c r="B65" t="inlineStr">
        <is>
          <t>Data Engineer, Analytics &amp; Machine Learning Enablement</t>
        </is>
      </c>
      <c r="C65" t="inlineStr">
        <is>
          <t>Keeper Security, Inc.</t>
        </is>
      </c>
      <c r="D65" t="inlineStr">
        <is>
          <t>linkedin</t>
        </is>
      </c>
      <c r="E65">
        <f>HYPERLINK("https://www.linkedin.com/jobs/view/4357734498", "https://www.linkedin.com/jobs/view/4357734498")</f>
        <v/>
      </c>
      <c r="F65" t="inlineStr"/>
      <c r="G65" t="inlineStr">
        <is>
          <t>El Dorado Hills, CA</t>
        </is>
      </c>
      <c r="H65" t="inlineStr"/>
      <c r="I65" t="inlineStr">
        <is>
          <t>**Description**
 Keeper Security is hiring a Data Engineer to join our growing Data Engineering organization, with a focus on building analytics platforms and enabling machine\-learning\-driven insights across the business. This is a 100% remote position, with an opportunity to work a hybrid schedule for candidates based in the El Dorado Hills, CA or Chicago, IL metro areas.
 Keeper’s cybersecurity software is trusted by millions of people and thousands of organizations globally. Keeper is published in 23 languages and sold in over 150 countries. Join one of the fastest\-growing cybersecurity companies and help design and build data pipelines and models that power analytics, operational reporting, and downstream machine learning use cases.
**About Keeper**
 Keeper Security is transforming cybersecurity for organizations around the world with next\-generation privileged access management. Keeper’s zero\-trust and zero\-knowledge cybersecurity solutions are FedRAMP and StateRAMP Authorized, FIPS 140\-2 validated, as well as SOC 2 and ISO 27001 certified. Keeper deploys in minutes, not months, and seamlessly integrates with any tech stack to prevent breaches, reduce help desk costs and ensure compliance. Trusted by thousands of organizations to protect every user on every device, Keeper is the industry leader for best\-in\-class password management, secrets management, privileged access, secure remote access and encrypted messaging. Learn more at KeeperSecurity.com.
**About The Role**
 As a Data Engineer, you will design and maintain analytics data pipelines and data models that support reporting, dashboards, and ML\-adjacent workflows. You will work closely with data analysts, ML engineers, and business stakeholders to ensure data is reliable, well\-modeled, and accessible. This role is ideal for a mid\-level data engineer who is strong in analytics engineering and interested in supporting machine learning use cases without owning model development.
**Responsibilities**
* Build and maintain ELT pipelines that ingest and transform data from operational systems
* Develop analytics\-ready data models to support reporting, KPIs, and downstream ML use cases
* Collaborate with analysts and ML engineers to ensure data structures meet modeling and feature needs
* Implement data quality checks, validation, and testing to ensure accuracy and reliability
* Optimize data pipeline performance, scalability, and cost efficiency
* Support data preparation and feature engineering workflows for machine learning initiatives
* Document data models, transformations, and lineage to support reuse and data literacy
* Partner with security and platform teams to ensure data governance and privacy requirements are met
**Requirements**
* 3–5 years of experience in data engineering or backend data systems (SaaS experience preferred)
* Strong proficiency in SQL and experience designing analytics data models
* Working knowledge of Python for data processing or pipeline orchestration
* Experience working with cloud data warehouses such as Amazon Redshift (Snowflake or BigQuery acceptable)
* Familiarity with AWS data services such as S3, Glue, Lambda, or Step Functions
* Understanding of ELT best practices, data modeling, and schema design
* Exposure to supporting machine learning workflows through data preparation or feature engineering
* Knowledge of data security and privacy principles, including handling regulated data (PII, PHI)
* Strong software engineering fundamentals, including version control, testing, and CI/CD practices
* Bachelor’s degree in Computer Science, Engineering, Statistics, or a related field
* Due to FedRAMP requirements, candidates must be a U.S. Person
**Preferred Qualifications**
* Experience with DBT or analytics engineering frameworks
* Familiarity with feature stores or ML pipelines
* Experience supporting analytics or ML use cases for multiple business teams
* Interest in applied machine learning and data\-driven products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 Legal Basis
* Legitimate Interests (recruitment management, security and integrity of the hiring process)
* Contracting steps (for progressed candidates)
* Legal and regulatory compliance obligations; explicit consent where required
*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 International Transfers
 Your data may be accessed by Keeper entities globally as needed for the purposes of hiring and decision making. We protect any such data transfer between Keeper entities using appropriate safeguards under applicable data protection laws.
* Security
 We implement appropriate technical and organizational measures to protect your data, consistent with our industry leading security standards.
* Retention
 We keep your data for 24 months from your last application activity, then delete or anonymize it.
**Exceptions**
* You opt into our talent database for further retention by providing consent (extended retention)
* You're hired (transfers to employee records)
*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 Automated Decisions
 Keeper does not make hiring decisions using solely automated processing.
* Contact \- Candidates can send privacy questions to: privacy@keepersecurity.com</t>
        </is>
      </c>
    </row>
    <row r="66">
      <c r="A66" t="inlineStr">
        <is>
          <t>li-4377863203</t>
        </is>
      </c>
      <c r="B66" t="inlineStr">
        <is>
          <t>Data Engineer - Senior</t>
        </is>
      </c>
      <c r="C66" t="inlineStr">
        <is>
          <t>Connected Logistics</t>
        </is>
      </c>
      <c r="D66" t="inlineStr">
        <is>
          <t>linkedin</t>
        </is>
      </c>
      <c r="E66">
        <f>HYPERLINK("https://www.linkedin.com/jobs/view/4377863203", "https://www.linkedin.com/jobs/view/4377863203")</f>
        <v/>
      </c>
      <c r="F66" t="inlineStr"/>
      <c r="G66" t="inlineStr">
        <is>
          <t>Falls Church, VA</t>
        </is>
      </c>
      <c r="H66" t="inlineStr"/>
      <c r="I66" t="inlineStr">
        <is>
          <t>**Description**
*Contingent Upon Award*
**On\-site Hybrid**
**Who We Are**
**Connected Logistics** 
 builds secure, mission\-critical IT and logistics solutions for the U.S. Army and other federal stakeholders. Our team values integrity, excellence, teamwork, and professional courage delivering real impact for national security missions. Connected Logistics is seeking a Senior Data Engineer for our clients data governance and strategic alignment with the DoD data strategy, aiming to ensure that data is visible, accessible, understandable, linked, trusted, interoperable, and secure(VAULTIS).
**Key Responsibilities**
 The Senior Data Engineer provides expertise in:
* Experience designing, developing, and maintaining scalable data pipelines and architectures supporting enterprise data catalogs and federated data environments.
* Experience integrating structured and unstructured data from clinical, operational, and research systems (e.g., EHRs, data lakes, APIs).
* Experience implementing metadata harvesting, data lineage, and data quality enforcement aligned with enterprise governance frameworks.
* Experience supporting AI/ML readiness through feature engineering, data transformation, and pipeline automation.
* Experience working within federal healthcare environments, ensuring compliance with HIPAA, DoD, and DHA data standards.
**Requirements**
**Minimum Education Level:**
 Bachelor's Degree in Computer Science, Data Engineering, Information Systems, Systems, Software Engineering, or related technical discipline.
 Certifications in cloud platforms or data engineering technologies(e.g., AWS Data Analytics, Azure Data Engineer, Databricks) preferred.
**Minimum Experience**
 8 years (with at least 5 years designing and implementing enterprise\-scale data pipelines supporting healthcare or federal data programs).
**DHA Experience Preferred.**
**Total Rewards Statement:**
 We believe in fairness and clarity throughout our hiring process. The anticipated salary range for this position is
 **$128,000\.00\-$138,000\.00 USD** 
 . This is a good faith range based on factors such as your experience, geographic location, any applicable contractual requirements, and may vary slightly.
 Beyond salary, we provide a robust benefits package and encourage ongoing professional development, because your growth and well\-being matter to us. We’re excited to support you in building a rewarding career with us!
**Connected Logistics** 
 respects the need for confidentiality for all applicants.
**Connected Logistics** 
 offers an excellent benefits package that includes health, dental, vision, life and disability insurance, a great 401(k) package, and generous Paid Time Off.
**EQUAL OPPORTUNITY EMPLOYER.** 
 It is our policy to abide by all federal, state and local laws prohibiting employment discrimination solely on the basis of a person’s race, religious creed, color, national origin, ancestry, physical disability, mental condition (including, but not limited to, cancer related or HIV related), marital status, sex, gender (including sex stereotyping), age, sexual orientation, military status, or any other protected status except where a reasonable, bona fide occupational qualification exists.</t>
        </is>
      </c>
    </row>
    <row r="67">
      <c r="A67" t="inlineStr">
        <is>
          <t>li-4368562290</t>
        </is>
      </c>
      <c r="B67" t="inlineStr">
        <is>
          <t>Analytics Engineer</t>
        </is>
      </c>
      <c r="C67" t="inlineStr">
        <is>
          <t>Vanna Health</t>
        </is>
      </c>
      <c r="D67" t="inlineStr">
        <is>
          <t>linkedin</t>
        </is>
      </c>
      <c r="E67">
        <f>HYPERLINK("https://www.linkedin.com/jobs/view/4368562290", "https://www.linkedin.com/jobs/view/4368562290")</f>
        <v/>
      </c>
      <c r="F67" t="inlineStr"/>
      <c r="G67" t="inlineStr"/>
      <c r="H67" t="inlineStr"/>
      <c r="I67" t="inlineStr">
        <is>
          <t>Salary Range: $150k\-$185k per year
 Note: This is a remote position.
**About Vanna Health**
 Vanna is reimagining care and community for people living with serious mental illness (SMI).
 The current system is failing individuals with SMI, resulting in a high risk of loneliness (2\.3x), homelessness (6x), unemployment (30x), incarceration (25x), and reduced life expectancy (by 20 years). Vanna believes that no person is too ill to recover and that the solution is social, not just medical. Our mission is to empower people with SMI to flourish by finding purpose and a sense of belonging in their community.
 We are deploying community\-based care teams from diverse backgrounds that have a variety of lived experiences and know their communities inside and out. In close collaboration with existing community organizations and healthcare providers, our teams outreach and build trust with individuals to support the navigation of each individual’s personalized recovery journey.
 We are committed to providing individuals with culturally inclusive support for all races, ethnicities, religions, sexual orientations, gender identities, and other social factors, such as history of incarceration.
**About The Role**
 As Vanna continues to grow, we’re looking for an Analytics Engineer to own the core data models that power everything from internal decision\-making and client\-facing insights to machine learning models and user\-facing product features. You’ll work closely with the product, operations, and clinical teams to develop the data capabilities that enable our community\-based teams to provide compassionate care to our members living with severe mental illness.
 This is an opportunity to join a small but growing team, where you’ll play a key role in developing the next iteration of our foundational data capabilities as we continue to scale. You have a growth mindset and are excited about expanding your technical skills and stepping into new responsibilities as the team and company grow.
**Responsibilities**
* Own the input layer to our data platform
* Evolve our core data models to support emerging use cases
* Automate data flows, and layer in monitoring, alerting, and data quality tests to ensure data is accurate and up\-to\-date
* Work collaboratively across the entire Vanna team to design and implement core clinical, operational, financial, and product KPIs
* Build out our reporting and dashboarding layer in support of self\-service analytics
* Conduct ad\-hoc analyses for internal stakeholders and clients, and present findings in a way that drives maximum impact
**About You**
* 4\-6 years of analytics experience, including at least 1 year working with healthcare data
* Advanced SQL and dbt skills
* Experience working with analytical data stores like Delta Lake, Snowflake, BigQuery, etc.
* Familiarity with dashboarding tools
* Intermediate Python, or basic knowledge and a strong desire to learn
* Databricks experience strongly preferred
* Excellent communication skills and ability to collaborate on a growing team
* A detective mindset – you love getting to the root of problems and using data to solve them
**Benefits**
* Full health, dental, and vision benefits
* Health Savings Account (HSA)
* Flexible Spending Account (FSA) and Dependent Care FSA
* 401K
* Unlimited PTO</t>
        </is>
      </c>
    </row>
    <row r="68">
      <c r="A68" t="inlineStr">
        <is>
          <t>li-4377882596</t>
        </is>
      </c>
      <c r="B68" t="inlineStr">
        <is>
          <t>Data Engineer</t>
        </is>
      </c>
      <c r="C68" t="inlineStr">
        <is>
          <t>W Talent</t>
        </is>
      </c>
      <c r="D68" t="inlineStr">
        <is>
          <t>linkedin</t>
        </is>
      </c>
      <c r="E68">
        <f>HYPERLINK("https://www.linkedin.com/jobs/view/4377882596", "https://www.linkedin.com/jobs/view/4377882596")</f>
        <v/>
      </c>
      <c r="F68" t="inlineStr"/>
      <c r="G68" t="inlineStr">
        <is>
          <t>Cary, NC</t>
        </is>
      </c>
      <c r="H68" t="inlineStr"/>
      <c r="I68" t="inlineStr">
        <is>
          <t>**Job Title:** 
 Informatica MDM Data Engineer
**Location:** 
 Hybrid – 3 days onsite (Mon–Wed) in New Jersey or Cary, 2 days remote (Thu–Fri)
**Visa:** 
 Spousal visa acceptable (no other visa sponsorship available)
**About the Role** 
 We are working with a very well known insurance business seeking an experienced
 **Informatica MDM Data Engineer** 
 to join our US Data Platforms team supporting a large\-scale analytics and Global Party Management ecosystem.
 This role will focus on stabilizing, optimizing, and enhancing our Master Data Management (MDM) environment following a major production incident, while contributing to the evolution of our Customer 360 capabilities.
 You will work within a 7\-person Data Platform team (with an extended global team of \~20\), supporting mission\-critical systems managing:
* Billions of data transactions
* Enterprise\-scale customer environment (40M\+ customers)
 This is a highly operational, hands\-on role with significant impact across internal IT stakeholders.
 Key Responsibilities
**MDM Platform Ownership** 
* Configure and maintain
 **MDM Hub** 
 in Informatica (v10 or higher).
* Troubleshoot and resolve production failures and performance issues.
* Lead root cause analysis and remediation for major incidents.
* Optimize match/merge rules, survivorship logic, and data models.
* Support Customer 360 cloud transition initiatives.
**Operational Excellence** 
* Diagnose and resolve pipeline bottlenecks and data quality failures.
* Drive system stability and production reliability.
* Partner with vendor\-supported remote MDM teams.
* Monitor performance and implement tuning improvements.
**Technical Contribution** 
* Work across the broader data pipeline (mainframe integrations, analytics platform).
* Implement SQL\-based optimizations and data troubleshooting.
* Contribute to Java\-based enhancements and performance improvements where needed.
* Collaborate with analytics and internal IT consumers of Global Party data.
**Required Experience** 
* Strong hands\-on experience with
 **Informatica MDM (v10\+)**
* Proven experience configuring
 **MDM Hub**
* Demonstrated production support \&amp; operational troubleshooting experience
* Experience working with large\-scale enterprise data environments (tens of millions of records)
* Strong SQL skills
* Ability to diagnose and resolve performance and optimization issues
* Experience handling high\-volume data environments (billions of records/transactions)
* Strong stakeholder communication skills (internal IT\-facing role)
**Preferred Qualifications** 
* Java knowledge (performance tuning / optimizations beneficial)
* Exposure to full data pipeline architecture
* Experience in large enterprise environments (40M\+ customer scale)
* Experience with Customer 360 implementations
* Background in resolving major production incidents
**What We’re Looking For (Top 3 Priorities)** 
1. **Deep Informatica MDM expertise**
2. **Operational mindset** 
 – able to troubleshoot, stabilize, and optimize production systems
3. **Growth\-oriented personality** 
 – eager to learn, expand into full pipeline ownership, and increase impact over time</t>
        </is>
      </c>
    </row>
    <row r="69">
      <c r="A69" t="inlineStr">
        <is>
          <t>li-4329140140</t>
        </is>
      </c>
      <c r="B69" t="inlineStr">
        <is>
          <t>Data Engineer, Associate</t>
        </is>
      </c>
      <c r="C69" t="inlineStr">
        <is>
          <t>BlackRock</t>
        </is>
      </c>
      <c r="D69" t="inlineStr">
        <is>
          <t>linkedin</t>
        </is>
      </c>
      <c r="E69">
        <f>HYPERLINK("https://www.linkedin.com/jobs/view/4329140140", "https://www.linkedin.com/jobs/view/4329140140")</f>
        <v/>
      </c>
      <c r="F69">
        <f>HYPERLINK("https://careers.blackrock.com/job/-/-/45831/89800287648?source=LinkedIn&amp;urlHash=j2Vh", "https://careers.blackrock.com/job/-/-/45831/89800287648?source=LinkedIn&amp;urlHash=j2Vh")</f>
        <v/>
      </c>
      <c r="G69" t="inlineStr">
        <is>
          <t>New York, NY</t>
        </is>
      </c>
      <c r="H69" t="inlineStr"/>
      <c r="I69" t="inlineStr">
        <is>
          <t>**About This Role**
* Improve BlackRock’s ability to enhance our retail sales distribution capabilities and services suite by creating, expanding and optimizing our data and data pipeline architecture.
* You will create and operationalize data pipelines to enable squads to deliver high quality data\-driven product.
* You will be accountable for managing high\-quality datasets exposed for internal and external consumption by downstream users and applications.
* Top technical / programming skills – Python, Java and Scala with ability to work across big data frameworks such as Spark, Hadoop Suite, PySpark, Hive, Cloud Data Platforms Preferably Snowflake and SQL.  Experience working with flat files (e.g., csv, tsv, Excel), Database API sources is a must to both ingest and create transformations.
* Given the highly execution\-focused nature of the work, the ideal candidate will roll up their sleeves to ensure that their projects meet deadlines and will always look for ways to optimize processes in future cycles.
* The successful candidate will be highly motivated to create, optimize, or redesign data pipelines to support our next generation of products and data initiatives.
* You will be a builder and an owner of your work product.
 Responsibilities:
* Lead in the creation and maintenance of optimized data pipeline architectures on large and complex data sets.
* Assemble large, complex data sets that meet business requirements.
* Act as lead to identify, design, and implement internal process improvements and relay to relevant technology organization.
* Work with stakeholders to assist in data\-related technical issues and support their data infrastructure needs.
* Automate manual ingest processes and optimize data delivery subject to service level agreements; work with infrastructure on re\-design for greater scalability.
* Keep data separated and segregated according to relevant data policies.
* Demonstrated ability to join a complex global team, collaborate crossfunctionally (data scientists, platform engineers, business stakeholders), and take ownership of major components of the data platform ecosystem and develop data ready tools to support their job.
* Be up\-to\-date with the latest tech trends in the big\-data space and recommend them as needed.
* Identify, investigate, and resolve data discrepancies by finding the root cause of issues; work with partners across various cross\-functional teams to prevent future occurrences.
**Qualifications**
* Overall 4\+ years of hands\-on experience in computer/software engineering with majority in big data engineering.
* 4\+ years of strong Python or Scala programming skills (Core Python and PySpark) including hands\-on experience creating and supporting UDFs and modules like pytest.
* 4\+ years of experience with building and optimizing ‘big data’ pipelines, architectures, and data sets. Familiarity with data pipeline and workflow management tools (e.g., Airflow, DBT, Kafka).
* 4\+ years of hands\-on experience on developing on Spark in a production environment. Expertise on parallel execution, deciding resources and different modes of executing jobs is required.
* 4\+ years of experience using Hive (on Spark), Yarn (logs, DAG flow diagrams), Sqoop. Proficiency bucketing, partitioning, tuning and handling different file formats (ORC, PARQUET \&amp; AVRO).
* 4\+ years of experience using Transact SQL (e.g., MS SQ Server, MySQL), No\-SQL and GraphQL.
* Strong experience implementing solutions on Snowflake
* Experience with data quality and validation frameworks, especially Great Expectations for automated testing.
* Strong understanding and use of Swagger/OpenAPI for designing, documenting, and testing RESTful APIs.
* Experience in deployment, maintenance, and administration tasks related to Cloud (AWS, Azure Preferred), OpenStack, Docker, Kafka and Kubernetes. Familiarity with CI/CD pipelines for data pipeline automation and deployment (Jenkins, GitLab CI, Azure DevOps)
* Experience with data governance, metadata management, and data lineage using tools like Axon and Unity Catalog. Expertise in managing business glossaries, data access control, auditing, and ensuring centralized governance across data assets in both cloud and hybrid environments.
* Hands\-on experience with Databricks, including notebooks, workflows, and ML integrations.
* Experience with working with global teams across different time zones
* Plus \- Experience with Machine Learning and Artificial Intelligence
* Plus \- Experience with Generative Artificial Intelligence
 For New York, NY Only the salary range for this position is USD$132,500\.00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70">
      <c r="A70" t="inlineStr">
        <is>
          <t>li-4377859663</t>
        </is>
      </c>
      <c r="B70" t="inlineStr">
        <is>
          <t>Senior Data Engineer-AI/BI Analytics</t>
        </is>
      </c>
      <c r="C70" t="inlineStr">
        <is>
          <t>Bank of America</t>
        </is>
      </c>
      <c r="D70" t="inlineStr">
        <is>
          <t>linkedin</t>
        </is>
      </c>
      <c r="E70">
        <f>HYPERLINK("https://www.linkedin.com/jobs/view/4377859663", "https://www.linkedin.com/jobs/view/4377859663")</f>
        <v/>
      </c>
      <c r="F70">
        <f>HYPERLINK("https://careers.bankofamerica.com/en-us/job-detail/25045393/senior-data-engineer-ai-bi-analytics-multiple-locations&amp;urlHash=SAhX", "https://careers.bankofamerica.com/en-us/job-detail/25045393/senior-data-engineer-ai-bi-analytics-multiple-locations&amp;urlHash=SAhX")</f>
        <v/>
      </c>
      <c r="G70" t="inlineStr">
        <is>
          <t>Charlotte, NC</t>
        </is>
      </c>
      <c r="H70" t="inlineStr"/>
      <c r="I70"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**Position Summary:**
 Join a groundbreaking team at Bank of America, at the forefront of innovation in AI. We are building the next generation of Gen AI platform, empowering new AI initiatives across Consumer, Small Business, Global Banking, and Wealth organizations. This is a unique opportunity to contribute to a critical platform that will enable secure, scalable, and high\-performance AI capabilities across the organization. We value curiosity, collaboration, and a passion for pushing the boundaries of what’s possible with AI.
 This position is focused on design, build, and serve the Gen AI inferencing capabilities.
 This job is responsible for defining and leading the engineering approach for complex features to deliver significant business outcomes. Key responsibilities of the job include delivering complex features and technology, enabling development efficiencies, providing technical thought leadership based on conducting multiple software implementations, and applying both depth and breadth in a number of technical competencies. Additionally, this job is accountable for end\-to\-end solution design and delivery.
**Responsibilities:**
* Assembles large, complex data sets that meet functional and non\-functional requirements, ensuring that the design and engineering approach is consistent across multiple systems
* Maintains, improves, cleans, and manipulates large data for operational and analytics data systems, builds complex processes supporting data transformation, data structures, metadata, data quality controls, dependency, and workload management, and communicates required information for deployment, maintenance, and support of business functionality
* Utilizes multiple architectural components in the design and development of client requirements and collaborates with development teams to understand data requirements and ensure the data architecture is feasible to implement
* Defines and builds data pipelines to enable data\-informed decision making, ensuring adherence to release processes and risk management routines
* Contributes to existing test suites including integration, regression, and performance, analyzes test reports, identifies any test issues and errors, and leads triage of underlying causes
* Leads the identification of gaps in data management standards adherence and works with appropriate partners to develop plans to close gaps, leading concept testing and conducting research to prototype toolsets and improve existing processes
* Mentors Data Engineers in the delivery and release of continuous integration and continuous delivery events and defines key performance indicators and internal controls
* Ensures that the design and engineering approach for complex features are consistent with the larger portfolio solution. Accountable for the availability, stability, scalability, security, and recoverability enabled by the designs.
* Define the technology tool stack for the solution and evaluate and adapt new testing tool/framework/practices for team(s)
* Enables team(s)/applications with Continuous Integration/Continuous Development (CI/CD) capabilities and engages with other technical stakeholders pertaining to efficient functioning of CI\-CD pipeline
* Guides and influences team(s) on design and best practices for high code performance –e.g. pairing, code reviews
* Provides end\-to\-end delivery of complex features, including automation, for either a single team or multiple teams, at the program level
* Conducts research, design prototyping and other exploration activities such as evaluating new toolsets and components for release management, CI/CD, and features
* Works with stakeholders to establish high\-level solution needs and with architects for technical requirements
* Proficient written and verbal communication skills to support and shape the platform and clearly articulate technical designs and concepts; and to communicate effectively with all levels within the organization
* Design and execute the implementation plans to both move forward strategically, while at the same time ensuring the current technology stack is supporting current needs.
* Manage multiple priorities, and simultaneously engage with multiple teams worldwide.
* Coach and mentor team members
**Required qualifications:**
* 10\+ years strong experience designing and delivering AI, ML, Data platform, and advanced analytics platforms capabilities using open\-source technologies in large enterprise environment
* Experience with emerging technologies e.g. of GenAI (public and open source), MCP, Agents, AI BI etc.
* Hands\-on experience on data science, big data, cloud, governance technologies
* Experience architecting next generation AI analytical product delivery to all levels of users in organization using self\-service interfaces
* Proven track record in data, analytics, insight and AI/ML platforms supporting multiple business units.
* Experience in designing, developing, and maintaining software frameworks using Open\-Source technologies such as Python, Spark, Jupyter, FastAPI, LabelStud.io, Ragas etc.
* Strong working experience of how metadata management, semantic layers, labeling, annotations is important for enabling AI BI, MCP, Agents, Data Assistants etc.
* Experience with using various Open source and Cloud model for AI BI, Summarization etc., and tuning those models and deployment to provide higher throughput for latency and cost optimizations.
* Experience of building RAG with knowledge base, data sources and Vector Store platforms such as Redis, Solar, Postgres DB, FAISS, Teradata, Oracle, SQL Server, Hadoop etc.
* Hands on experienced building RAG, RAG Fusion, CAG etc.
* Experience with various inference metrics, and related monitoring and observability.
* Experience with serving multiple tenants/clients with model endpoints with secure boundaries.
* Experience with AI gateway, OPA, authentication \&amp; authorization, policy as code, API based systems Integration, cost management, and model routing
**Desired Qualifications**
* Experience developing Gen AI training and RAG platform with open\-source model, inferencing \&amp; servicing capabilities, MCP modules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Analytical Thinking
* Application Development
* Data Management
* Risk Management
* Solution Design
* Agile Practices
* Architecture
* Collaboration
* Decision Making
* DevOps Practices
* Business Acumen
* Data Quality Management
* Financial Management
* Solution Delivery Process
* Test Engineering
**Shift:**
 1st shift (United States of America)
**Hours Per Week:**
 40</t>
        </is>
      </c>
    </row>
    <row r="71">
      <c r="A71" t="inlineStr">
        <is>
          <t>li-4354844222</t>
        </is>
      </c>
      <c r="B71" t="inlineStr">
        <is>
          <t>Data Engineer II - Adobe Experience Platform</t>
        </is>
      </c>
      <c r="C71" t="inlineStr">
        <is>
          <t>GM Financial</t>
        </is>
      </c>
      <c r="D71" t="inlineStr">
        <is>
          <t>linkedin</t>
        </is>
      </c>
      <c r="E71">
        <f>HYPERLINK("https://www.linkedin.com/jobs/view/4354844222", "https://www.linkedin.com/jobs/view/4354844222")</f>
        <v/>
      </c>
      <c r="F71">
        <f>HYPERLINK("https://fa-exvu-saasfaprod1.fa.ocs.oraclecloud.com/hcmUI/CandidateExperience/en/job/1453/?utm_medium=jobboard&amp;utm_source=linkedin&amp;urlHash=2C96", "https://fa-exvu-saasfaprod1.fa.ocs.oraclecloud.com/hcmUI/CandidateExperience/en/job/1453/?utm_medium=jobboard&amp;utm_source=linkedin&amp;urlHash=2C96")</f>
        <v/>
      </c>
      <c r="G71" t="inlineStr">
        <is>
          <t>Irving, TX</t>
        </is>
      </c>
      <c r="H71" t="inlineStr"/>
      <c r="I71"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We are expanding our efforts into complementary data technologies for decision support in areas of ingesting and processing large data sets including data commonly referred to as semi\-structured or unstructured data. Our interests are in enabling data science and search\-based applications on large and low latent data sets in both a batch and streaming context for processing. To that end, this role will engage with team counterparts in exploring and deploying technologies for creating data sets using a combination of batch and streaming transformation processes. These data sets support both off\-line and in\-line machine learning training and model execution. Other data sets support search engine\-based analytics. Exploration and deployment of technologies activities include identifying opportunities that impact business strategy, collaborating on the selection of data solutions software, and contributing to the identification of hardware requirements based on business requirements. Responsibility also includes coding, testing, and documentation of new or modified scalable analytic data systems including automation for deployment and monitoring. This role partakes, along with team counterparts, in developing solutions in an end\-to\-end framework on a group of core data technologies.
**In This Role You Will**
* Contribute to the evaluation, research, experimentation efforts with batch and streaming data engineering technologies in a lab to keep pace with industry innovation
* Work with data engineering related groups to inform on and showcase capabilities of emerging technologies and to enable the adoption of these new technologies and associated techniques
* Contribute to the definition and refinement of processes and procedures for the data engineering practice
* Work closely with data scientists, data architects, ETL developers, other IT counterparts, and business partners to identify, capture, collect and format data from the external sources, internal systems, and the data warehouse to extract features of interest
* Code, test, deploy, monitor, document and troubleshoot data engineering processing and associated automation
**Qualifications**
**What makes you an ideal candidate?**
* ﻿Experience with Adobe solutions (ideally Adobe Experience Platform, XDM, RTCDP DTM/Launch) and REST APIs
* Digital technology solutions (DMPs, CDPs, Tag Management Platforms, Cross\-Device Tracking, SDKs, etc.) Knowledge of Real Time\-CDP and Journey Analytics solution
* SQL experience: querying data and sharing what insights can be derived
* Working knowledge of Agile development /SAFe, Scrum and Application Lifecycle Management.
* Experience with ingesting various source data formats such as JSON, Parquet, SequenceFile, Cloud Databases, MQ, Relational Databases such as Oracle.
* Experience with Cloud technologies (such as Azure, AWS, GCP) and native toolsets.
* Understanding of cloud computing technologies, business drivers and emerging computing trends.
* Thorough understanding of Hybrid Cloud Computing: virtualization technologies, Infrastructure as a Service, Platform as a Service and Software as a Service Cloud delivery models and the current competitive landscape.
* Working knowledge of Object Storage technologies to include but not limited to Data Lake Storage Gen2, S3, Minio, Ceph, ADLS etc.
* Strong background with source control management systems; Build Systems (Maven, Gradle, Webpack); Code Quality (Sonar); Artifact Repository Managers (Artifactory), Continuous Integration/ Continuous Deployment (Azure DevOps).
* Experience with processing large data sets using Hadoop, HDFS, Spark, Kafka, Flume or similar distributed systems.
* Experience with NoSQL data stores such as CosmosDB, MongoDB, Cassandra, Redis, Riak or other technologies that embed NoSQL with search such as MarkLogic or Lily Enterprise.
* Creating and maintaining ETL processes
* Knowledgeable of best practices in information technology governance and privacy compliance
* Troubleshoot complex problems and work across teams to meet commitments.
* Excellent computer skills and proficiency in digital data collection.
* Ability to work in an Agile/Scrum team environment
* Strong interpersonal, verbal, and writing skills.
* Understanding of big data platforms and architectures, data stream processing pipeline/platform, data lake and data lake houses
* Understanding of cloud solutions such as Google Cloud Platform, Microsoft Azure \&amp; Amazon AWS cloud architecture \&amp; services
* Understanding of GDPR, privacy \&amp; security topics
* Strong in the use of Microsoft Office software, data querying platforms (Databricks is a plus) and statistical programming tools such as Python
**Experience**
* 2\-4 years of hands\-on experience with data engineering required
* Bachelor’s degree in related field or equivalent experience required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2 days a week in office in Irving, TX</t>
        </is>
      </c>
    </row>
    <row r="72">
      <c r="A72" t="inlineStr">
        <is>
          <t>li-4341087254</t>
        </is>
      </c>
      <c r="B72" t="inlineStr">
        <is>
          <t>Data Engineer</t>
        </is>
      </c>
      <c r="C72" t="inlineStr">
        <is>
          <t>ECS</t>
        </is>
      </c>
      <c r="D72" t="inlineStr">
        <is>
          <t>linkedin</t>
        </is>
      </c>
      <c r="E72">
        <f>HYPERLINK("https://www.linkedin.com/jobs/view/4341087254", "https://www.linkedin.com/jobs/view/4341087254")</f>
        <v/>
      </c>
      <c r="F72">
        <f>HYPERLINK("https://myjobs.adp.com/ecsfederal/cx/job-details?reqId=5001166047506&amp;rb=LINKEDIN&amp;urlHash=uEJr", "https://myjobs.adp.com/ecsfederal/cx/job-details?reqId=5001166047506&amp;rb=LINKEDIN&amp;urlHash=uEJr")</f>
        <v/>
      </c>
      <c r="G72" t="inlineStr"/>
      <c r="H72" t="inlineStr"/>
      <c r="I72" t="inlineStr">
        <is>
          <t>**Job Description**
 ECS is seeking a
 ***Data Engineer***
 to work
 ***remotely***
 .
 The Data Engineer will support the design, development, and deployment of the foundational data pipelines, data products, and automation required to implement a scalable data mesh architecture at the Department of Homeland Security (DHS). This role is responsible for building secure and reliable ingestion frameworks, transforming mission data into reusable domain\-oriented data assets, integrating systems with modern platforms such as Databricks, Snowflake, and Palantir, and ensuring high standards of data quality, performance, lineage, and observability across the enterprise.
**Ideal Candidate Experience**
* Data Engineering \&amp; Pipeline Development: 5\-7\+ years building scalable ETL/ELT pipelines using Python, Spark, SQL, or similar technologies.
* Cloud Data Platforms (AWS preferred): 4\-6\+ years working with services such as S3, Glue, Lambda, Redshift, EMR, or equivalents.
* Databricks/Snowflake Engineering: 3\-5\+ years designing notebooks, Delta Lake pipelines, SQL transformations, Snowflake tasks/streams, and performance\-optimized warehouses.
* Palantir Integration (Foundry preferred): 2\-4\+ years integrating data sources, developing pipelines, or enabling interoperability between Palantir and broader data ecosystems.
* Data Quality, Cataloging \&amp; Lineage: 3\-5\+ years implementing data validation frameworks, metadata tracking, and governance\-aligned data documentation.
* API \&amp; System Integration: 3\-5\+ years integrating cloud, legacy, and cross\-domain systems using REST, event streaming, or messaging frameworks.
 Required Skills
* 7\+ years’ experience creating reliable, scalable, and secure data pipelines that ingest, transform, store, and make data available to the business in near‑real‑time.
* BS degree in Computer Science or related field/equivalent experience.
* Ability to obtain a DHS Public Trust.
 Desired Skills
* Proficiency in Python, PySpark/Spark SQL, and scalable data processing patterns.
* Hands\-on experience with Databricks notebooks, Delta Lake, Snowflake data modeling, and workflow orchestration tools such as Airflow, Databricks Jobs, or AWS Step Functions.
* Familiarity with Palantir Foundry data pipelines, ontology integration, or platform interoperability.
* Solid understanding of data mesh concepts, including domain ownership, data product design, and federated governance.
* Familiarity with semantic layer/knowledge graph technologies.
* Experience with data catalog tools (Glue Catalog, Collibra, Alation) and version\-controlled development.
* Knowledge of federal security and compliance frameworks.
* Strong communication and documentation skills to collaborate with data product owners, mission stakeholders, and cross\-functional engineering teams.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73">
      <c r="A73" t="inlineStr">
        <is>
          <t>li-4368848788</t>
        </is>
      </c>
      <c r="B73" t="inlineStr">
        <is>
          <t>Senior Data Engineer</t>
        </is>
      </c>
      <c r="C73" t="inlineStr">
        <is>
          <t>Connie Health</t>
        </is>
      </c>
      <c r="D73" t="inlineStr">
        <is>
          <t>linkedin</t>
        </is>
      </c>
      <c r="E73">
        <f>HYPERLINK("https://www.linkedin.com/jobs/view/4368848788", "https://www.linkedin.com/jobs/view/4368848788")</f>
        <v/>
      </c>
      <c r="F73" t="inlineStr"/>
      <c r="G73" t="inlineStr">
        <is>
          <t>Boston, MA</t>
        </is>
      </c>
      <c r="H73" t="inlineStr"/>
      <c r="I73" t="inlineStr">
        <is>
          <t>**Description**
**About Connie Health**
 Connie Health is a fast\-growing Medicare brokerage on a mission to empower older Americans to make confident, worry\-free Medicare plan decisions. We offer a tech\-enabled Medicare navigation platform that combines an AI\-driven technology with local Medicare experts to help people select optimal healthcare plans and navigate their benefits. Our culture is mission\-driven, collaborative, and innovative, as we strive to transform healthcare through data\-driven insights and personalized guidance. We value Relationships First, Data\-Driven Decision Making, and being Accountable in delivering unbiased, high\-quality advice to our customers.
**Role Overview**
 Connie Health is seeking a Senior Data Engineer to architect, build, and scale the data platform that powers our analytics, operations, and AI\-driven products. This role sits at the core of our data ecosystem and is responsible for designing reliable, performant, and secure data pipelines that integrate information from our CRM, third\-party partners, and internal systems into a unified, analytics\-ready platform.
 You will be a technical leader who sets standards for data modeling, pipeline reliability, and engineering best practices. Beyond building, you will partner closely with Analytics, Sales, Operations, Finance, Product, and Engineering to ensure that high\-quality, trustworthy data is available for decision\-making, experimentation, and financial reporting. The ideal candidate is equally comfortable with low\-level pipeline implementation and high\-level system design, and enjoys solving complex data infrastructure problems at scale.
 This is a hybrid role, based out of our Boston office near South Station.
**What You’ll Do**
* Design, build, and maintain scalable batch and streaming data pipelines that ingest data from Salesforce, product systems, and external partners into our Redshift data warehouse.
* Own the architecture and evolution of our data platform, including ingestion, transformation, orchestration, and data quality monitoring.
* Develop and maintain robust data models and transformation layers that serve analytics, finance, operations, and machine learning use cases.
* Establish and enforce best practices for data reliability, testing, observability, and documentation across the data stack.
* Partner with Analytics and Business teams to translate analytical requirements into well\-structured, performant datasets.
* Collaborate with Product and Engineering to instrument new features and ensure event data is accurate, complete, and analysis\-ready.
* Ensure data security, access controls, and compliance with HIPAA and other regulatory requirements for handling sensitive healthcare data.
**Requirements**
**Minimum Qualifications**
* Bachelor’s degree in Computer Science, Engineering, or a related quantitative field, or equivalent practical experience.
* 5\+ years of experience in Data Engineering or Backend Engineering with a strong data focus.
* Deep expertise with data warehouses (Redshift) and cloud platforms (AWS).
* Advanced SQL skills and strong proficiency in Python (or a similar language) for building and maintaining data pipelines.
* Experience with orchestration tools (Airflow) and transformation frameworks (dbt).
* Strong understanding of data modeling, dimensional design, and performance/cost optimization.
* Proven ability to design reliable, fault\-tolerant systems and troubleshoot complex data pipeline failures.
* Excellent communication skills, with the ability to work cross\-functionally and explain technical concepts clearly.
**Preferred Qualifications**
* Experience with HIPAA compliant data warehouses and data architectures.
* Experience with Salesforce data models.
* Experience with Looker and LookML.
* Experience with managed ingestion frameworks (Fivetran)
* Experience supporting real\-time or near–real\-time analytics use cases alongside batch warehousing.
* Prior ownership of SLA/SLOs for data availability, freshness, and accuracy.
* Experience building or operating feature stores or analytics layers that support machine learning models.
**Why Join Connie Health?**
* Competitive salary and equity packages.
* Generous vacation policy and holiday observances.
* Hybrid work schedule with designated in\-office days at our fully stocked office.
* Comprehensive health insurance plans.
* 401k with company match.
 We are an equal opportunity employer and value diversity at our company. We do not discriminate on the basis of race, religion, color, national origin, gender, sexual orientation, age, marital status, veteran status, or disability status.</t>
        </is>
      </c>
    </row>
    <row r="74">
      <c r="A74" t="inlineStr">
        <is>
          <t>li-4321961325</t>
        </is>
      </c>
      <c r="B74" t="inlineStr">
        <is>
          <t>Senior Analytics Engineer</t>
        </is>
      </c>
      <c r="C74" t="inlineStr">
        <is>
          <t>Bevi</t>
        </is>
      </c>
      <c r="D74" t="inlineStr">
        <is>
          <t>linkedin</t>
        </is>
      </c>
      <c r="E74">
        <f>HYPERLINK("https://www.linkedin.com/jobs/view/4321961325", "https://www.linkedin.com/jobs/view/4321961325")</f>
        <v/>
      </c>
      <c r="F74" t="inlineStr"/>
      <c r="G74" t="inlineStr">
        <is>
          <t>Boston, MA</t>
        </is>
      </c>
      <c r="H74" t="inlineStr"/>
      <c r="I74" t="inlineStr">
        <is>
          <t>Bevi is on a mission to transform how beverages are delivered and consumed. Our connected beverage platform eliminates the need for single\-use bottles and cans—making it easy, fun, and sustainable to stay hydrated. As the category leader in IoT\-enabled beverage technology, we're building a future where Bevi machines are everywhere people live, work, and connect. We've raised over $160M in venture capital, serve thousands of customers across the US, Canada, UK and Ireland, and we've been rapidly growing year over year—saving over 1 billion bottles from waste. In addition to driving hypergrowth with our current product line, Bevi is heavily investing in new product development.
 We are seeking a Senior Analytics Engineer to take on a senior technical leadership role within our high\-performing Data \&amp; Analytics team. This position is both strategic and hands\-on, spanning overall platform architecture design and governance as well as owning data engineering, analytics engineering, and ML engineering. The Senior Analytics Engineer will develop advanced data systems, like our proprietary streaming IOT data to support stakeholders in Software, Hardware, Product, and Operations. The right candidate combines deep technical expertise with innovation and operational excellence, thriving in a hands\-on role to deliver scalable, production\-ready, high\-impact data solutions.
**Your Day To Day**
* Design and build best\-in\-class reliable, scalable, and performant data architecture and data flows to support the democratization of data, analytics, AI, and ML initiatives.
* Partner with cross\-functional teams such as Software, Hardware, Product, and Operations to translate complex data needs into robust, production\-ready solutions.
* Identify, recommend, and implement the right tech stack to support streaming data \- at scale \- that integrates into our existing tech stack: FiveTran, Snowflake, DBT, Looker.
* Own data ingestion, modeling, transformation, and orchestration for key data assets including IOT: machine sensors, digital UI interactions, and beverage consumption.
* Define and enforce best practices for privacy, governance, and security to enable teams at all levels of data maturity to effectively leverage the platform.
* Collaborate with Analytics and Data Science team members to enable advanced analytics, experimentation, and AI/ML modeling.
* Provide technical leadership to engineers across the Data \&amp; Analytics organization.
* Stay current with emerging data technologies and recommend strategic improvements to the data platform.
**Who You Are**
* Bachelors degree in Computer Science, Information Systems, or similar; Masters degree preferred
* 4\-8 years of experience in data, data engineering, analytics engineering, or ML engineering
* Expert in streaming and batch IOT data pipelines for large\-scale, real\-time systems (eg Kafka, Spark, Influx).
* Hands\-on experience with cloud data platforms and modern engineering tools (eg FiveTran, Snowflake, DBT).
* Strong skills in SQL, Python, and building reliable, automated data workflows.
* Deep understanding of data modeling, ETL/ELT, and analytics pipeline design for self\-service data, analytics, and AI/ML applications.
* Experience ensuring data quality, governance, and observability across pipelines.
* Experience with data visualization tools and building the data models behind the scenes (eg Looker, PowerBI, Hex, DataDog, Grafana).
* Proven ability to translate complex stakeholder needs into scalable, high\-performance data solutions.
* Track record of mentoring engineers and driving innovation within high\-performing data teams.
 At Bevi, We Believe Compensation Is a Powerful Tool To Attract, Retain, And Grow Talent. Our Compensation Philosophy Centers On 5 Principles
* Market\-driven \- We anchor pay decisions in real\-time market data
* Performance\-based \- We reward individual impact, not just tenure
* Equitable \- We ensure fairness across teams, roles, and demographics
* Growth\-focused \- We invest in talent that scales with Bevi
* Total Rewards approach \- We strategically balance base pay, bonuses, benefits, and equity
 The posted compensation range reflects the salary\* for this position. Some roles may be eligible for a commission plan or a bonus incentive. All Bevi employees receive equity in the form of stock options. All full\-time employees are invited to participate in our Total Rewards plan, which includes health \&amp; medical benefits, flexible spending accounts, flexible PTO, and more. Offers to join Bevi are based on a few criteria, including the scope of the role, the candidate's work experience, targeted skills, internal equity of the team, and external market data.
* For Sales roles: The posted range reflects base salary plus commission which is the total potential on target earnings (OTE) for the position.
 Pay Range
 $140,250—$173,250 USD
**Benefits**
* Comprehensive medical, dental and vision insurance plans with BlueCross BlueShield, 95% paid by employer
* 401(k) with company match
* Flexible PTO plus 12 company holidays, and additional paid days for sick leave, etc
* Generous fully paid parental leave for both birth parents and non\-birth parents
* Fully employer paid disability and life insurances
* Wellness and fitness reimbursements
* Monthly stipends for cell phone use and commuting costs
* Onsite snacks, weekly catered lunch, and (of course) unlimited Bevi ... plus composting and terra\-cycling, too
* Happy hours, team\-building events, bagel breakfasts, Values awards \- and more.
**We’re supercharging our workflows:** 
 Bevi is currently in an exciting "build phase" of our 2026 roadmap to become a truly AI\-powered business. We aren't just looking for tool\-users; we’re looking for change\-makers who are as passionate about driving AI adoption as they are about sustainability. Join us as we build the future of hydration together.
*We're excited about supporting career growth and would love to be part of your professional journey. We know that talent comes in many forms, and we value individual accomplishments, specialized knowledge, and genuine passion over just checking boxes on a requirements list. If any of our positions interest you, please apply! Our recruiting team will contact you about next steps if we'd like to move forward together.*
*A member of the Bevi Talent team 'recruiting@bevi.co' will be reaching out about next steps if we would like to move forward.*
**Accommodations**
 Bevi is committed to an inclusive hiring process and we aim to provide accommodations for persons with disabilities. If you need any accommodations for the application or throughout the interview process please contact recruiting@bevi.co.</t>
        </is>
      </c>
    </row>
    <row r="75">
      <c r="A75" t="inlineStr">
        <is>
          <t>li-4377846876</t>
        </is>
      </c>
      <c r="B75" t="inlineStr">
        <is>
          <t>Senior Data Engineer-AI/BI Analytics</t>
        </is>
      </c>
      <c r="C75" t="inlineStr">
        <is>
          <t>Bank of America</t>
        </is>
      </c>
      <c r="D75" t="inlineStr">
        <is>
          <t>linkedin</t>
        </is>
      </c>
      <c r="E75">
        <f>HYPERLINK("https://www.linkedin.com/jobs/view/4377846876", "https://www.linkedin.com/jobs/view/4377846876")</f>
        <v/>
      </c>
      <c r="F75" t="inlineStr"/>
      <c r="G75" t="inlineStr">
        <is>
          <t>Jersey City, NJ</t>
        </is>
      </c>
      <c r="H75" t="inlineStr"/>
      <c r="I75"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**Position Summary:**
 Join a groundbreaking team at Bank of America, at the forefront of innovation in AI. We are building the next generation of Gen AI platform, empowering new AI initiatives across Consumer, Small Business, Global Banking, and Wealth organizations. This is a unique opportunity to contribute to a critical platform that will enable secure, scalable, and high\-performance AI capabilities across the organization. We value curiosity, collaboration, and a passion for pushing the boundaries of what’s possible with AI.
 This position is focused on design, build, and serve the Gen AI inferencing capabilities.
 This job is responsible for defining and leading the engineering approach for complex features to deliver significant business outcomes. Key responsibilities of the job include delivering complex features and technology, enabling development efficiencies, providing technical thought leadership based on conducting multiple software implementations, and applying both depth and breadth in a number of technical competencies. Additionally, this job is accountable for end\-to\-end solution design and delivery.
**Responsibilities:**
* Assembles large, complex data sets that meet functional and non\-functional requirements, ensuring that the design and engineering approach is consistent across multiple systems
* Maintains, improves, cleans, and manipulates large data for operational and analytics data systems, builds complex processes supporting data transformation, data structures, metadata, data quality controls, dependency, and workload management, and communicates required information for deployment, maintenance, and support of business functionality
* Utilizes multiple architectural components in the design and development of client requirements and collaborates with development teams to understand data requirements and ensure the data architecture is feasible to implement
* Defines and builds data pipelines to enable data\-informed decision making, ensuring adherence to release processes and risk management routines
* Contributes to existing test suites including integration, regression, and performance, analyzes test reports, identifies any test issues and errors, and leads triage of underlying causes
* Leads the identification of gaps in data management standards adherence and works with appropriate partners to develop plans to close gaps, leading concept testing and conducting research to prototype toolsets and improve existing processes
* Mentors Data Engineers in the delivery and release of continuous integration and continuous delivery events and defines key performance indicators and internal controls
* Ensures that the design and engineering approach for complex features are consistent with the larger portfolio solution. Accountable for the availability, stability, scalability, security, and recoverability enabled by the designs.
* Define the technology tool stack for the solution and evaluate and adapt new testing tool/framework/practices for team(s)
* Enables team(s)/applications with Continuous Integration/Continuous Development (CI/CD) capabilities and engages with other technical stakeholders pertaining to efficient functioning of CI\-CD pipeline
* Guides and influences team(s) on design and best practices for high code performance –e.g. pairing, code reviews
* Provides end\-to\-end delivery of complex features, including automation, for either a single team or multiple teams, at the program level
* Conducts research, design prototyping and other exploration activities such as evaluating new toolsets and components for release management, CI/CD, and features
* Works with stakeholders to establish high\-level solution needs and with architects for technical requirements
* Proficient written and verbal communication skills to support and shape the platform and clearly articulate technical designs and concepts; and to communicate effectively with all levels within the organization
* Design and execute the implementation plans to both move forward strategically, while at the same time ensuring the current technology stack is supporting current needs.
* Manage multiple priorities, and simultaneously engage with multiple teams worldwide.
* Coach and mentor team members
**Required qualifications:**
* 10\+ years strong experience designing and delivering AI, ML, Data platform, and advanced analytics platforms capabilities using open\-source technologies in large enterprise environment
* Experience with emerging technologies e.g. of GenAI (public and open source), MCP, Agents, AI BI etc.
* Hands\-on experience on data science, big data, cloud, governance technologies
* Experience architecting next generation AI analytical product delivery to all levels of users in organization using self\-service interfaces
* Proven track record in data, analytics, insight and AI/ML platforms supporting multiple business units.
* Experience in designing, developing, and maintaining software frameworks using Open\-Source technologies such as Python, Spark, Jupyter, FastAPI, LabelStud.io, Ragas etc.
* Strong working experience of how metadata management, semantic layers, labeling, annotations is important for enabling AI BI, MCP, Agents, Data Assistants etc.
* Experience with using various Open source and Cloud model for AI BI, Summarization etc., and tuning those models and deployment to provide higher throughput for latency and cost optimizations.
* Experience of building RAG with knowledge base, data sources and Vector Store platforms such as Redis, Solar, Postgres DB, FAISS, Teradata, Oracle, SQL Server, Hadoop etc.
* Hands on experienced building RAG, RAG Fusion, CAG etc.
* Experience with various inference metrics, and related monitoring and observability.
* Experience with serving multiple tenants/clients with model endpoints with secure boundaries.
* Experience with AI gateway, OPA, authentication \&amp; authorization, policy as code, API based systems Integration, cost management, and model routing
**Desired Qualifications**
* Experience developing Gen AI training and RAG platform with open\-source model, inferencing \&amp; servicing capabilities, MCP modules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Analytical Thinking
* Application Development
* Data Management
* Risk Management
* Solution Design
* Agile Practices
* Architecture
* Collaboration
* Decision Making
* DevOps Practices
* Business Acumen
* Data Quality Management
* Financial Management
* Solution Delivery Process
* Test Engineering
**Shift:**
 1st shift (United States of America)
**Hours Per Week:**
 40</t>
        </is>
      </c>
    </row>
    <row r="76">
      <c r="A76" t="inlineStr">
        <is>
          <t>li-4377847894</t>
        </is>
      </c>
      <c r="B76" t="inlineStr">
        <is>
          <t>Senior Data Engineer-AI/BI Analytics</t>
        </is>
      </c>
      <c r="C76" t="inlineStr">
        <is>
          <t>Bank of America</t>
        </is>
      </c>
      <c r="D76" t="inlineStr">
        <is>
          <t>linkedin</t>
        </is>
      </c>
      <c r="E76">
        <f>HYPERLINK("https://www.linkedin.com/jobs/view/4377847894", "https://www.linkedin.com/jobs/view/4377847894")</f>
        <v/>
      </c>
      <c r="F76">
        <f>HYPERLINK("https://careers.bankofamerica.com/en-us/job-detail/25045393/senior-data-engineer-ai-bi-analytics-multiple-locations&amp;urlHash=SAhX", "https://careers.bankofamerica.com/en-us/job-detail/25045393/senior-data-engineer-ai-bi-analytics-multiple-locations&amp;urlHash=SAhX")</f>
        <v/>
      </c>
      <c r="G76" t="inlineStr">
        <is>
          <t>Kennesaw, GA</t>
        </is>
      </c>
      <c r="H76" t="inlineStr"/>
      <c r="I76"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**Position Summary:**
 Join a groundbreaking team at Bank of America, at the forefront of innovation in AI. We are building the next generation of Gen AI platform, empowering new AI initiatives across Consumer, Small Business, Global Banking, and Wealth organizations. This is a unique opportunity to contribute to a critical platform that will enable secure, scalable, and high\-performance AI capabilities across the organization. We value curiosity, collaboration, and a passion for pushing the boundaries of what’s possible with AI.
 This position is focused on design, build, and serve the Gen AI inferencing capabilities.
 This job is responsible for defining and leading the engineering approach for complex features to deliver significant business outcomes. Key responsibilities of the job include delivering complex features and technology, enabling development efficiencies, providing technical thought leadership based on conducting multiple software implementations, and applying both depth and breadth in a number of technical competencies. Additionally, this job is accountable for end\-to\-end solution design and delivery.
**Responsibilities:**
* Assembles large, complex data sets that meet functional and non\-functional requirements, ensuring that the design and engineering approach is consistent across multiple systems
* Maintains, improves, cleans, and manipulates large data for operational and analytics data systems, builds complex processes supporting data transformation, data structures, metadata, data quality controls, dependency, and workload management, and communicates required information for deployment, maintenance, and support of business functionality
* Utilizes multiple architectural components in the design and development of client requirements and collaborates with development teams to understand data requirements and ensure the data architecture is feasible to implement
* Defines and builds data pipelines to enable data\-informed decision making, ensuring adherence to release processes and risk management routines
* Contributes to existing test suites including integration, regression, and performance, analyzes test reports, identifies any test issues and errors, and leads triage of underlying causes
* Leads the identification of gaps in data management standards adherence and works with appropriate partners to develop plans to close gaps, leading concept testing and conducting research to prototype toolsets and improve existing processes
* Mentors Data Engineers in the delivery and release of continuous integration and continuous delivery events and defines key performance indicators and internal controls
* Ensures that the design and engineering approach for complex features are consistent with the larger portfolio solution. Accountable for the availability, stability, scalability, security, and recoverability enabled by the designs.
* Define the technology tool stack for the solution and evaluate and adapt new testing tool/framework/practices for team(s)
* Enables team(s)/applications with Continuous Integration/Continuous Development (CI/CD) capabilities and engages with other technical stakeholders pertaining to efficient functioning of CI\-CD pipeline
* Guides and influences team(s) on design and best practices for high code performance –e.g. pairing, code reviews
* Provides end\-to\-end delivery of complex features, including automation, for either a single team or multiple teams, at the program level
* Conducts research, design prototyping and other exploration activities such as evaluating new toolsets and components for release management, CI/CD, and features
* Works with stakeholders to establish high\-level solution needs and with architects for technical requirements
* Proficient written and verbal communication skills to support and shape the platform and clearly articulate technical designs and concepts; and to communicate effectively with all levels within the organization
* Design and execute the implementation plans to both move forward strategically, while at the same time ensuring the current technology stack is supporting current needs.
* Manage multiple priorities, and simultaneously engage with multiple teams worldwide.
* Coach and mentor team members
**Required qualifications:**
* 10\+ years strong experience designing and delivering AI, ML, Data platform, and advanced analytics platforms capabilities using open\-source technologies in large enterprise environment
* Experience with emerging technologies e.g. of GenAI (public and open source), MCP, Agents, AI BI etc.
* Hands\-on experience on data science, big data, cloud, governance technologies
* Experience architecting next generation AI analytical product delivery to all levels of users in organization using self\-service interfaces
* Proven track record in data, analytics, insight and AI/ML platforms supporting multiple business units.
* Experience in designing, developing, and maintaining software frameworks using Open\-Source technologies such as Python, Spark, Jupyter, FastAPI, LabelStud.io, Ragas etc.
* Strong working experience of how metadata management, semantic layers, labeling, annotations is important for enabling AI BI, MCP, Agents, Data Assistants etc.
* Experience with using various Open source and Cloud model for AI BI, Summarization etc., and tuning those models and deployment to provide higher throughput for latency and cost optimizations.
* Experience of building RAG with knowledge base, data sources and Vector Store platforms such as Redis, Solar, Postgres DB, FAISS, Teradata, Oracle, SQL Server, Hadoop etc.
* Hands on experienced building RAG, RAG Fusion, CAG etc.
* Experience with various inference metrics, and related monitoring and observability.
* Experience with serving multiple tenants/clients with model endpoints with secure boundaries.
* Experience with AI gateway, OPA, authentication \&amp; authorization, policy as code, API based systems Integration, cost management, and model routing
**Desired Qualifications**
* Experience developing Gen AI training and RAG platform with open\-source model, inferencing \&amp; servicing capabilities, MCP modules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Analytical Thinking
* Application Development
* Data Management
* Risk Management
* Solution Design
* Agile Practices
* Architecture
* Collaboration
* Decision Making
* DevOps Practices
* Business Acumen
* Data Quality Management
* Financial Management
* Solution Delivery Process
* Test Engineering
**Shift:**
 1st shift (United States of America)
**Hours Per Week:**
 40</t>
        </is>
      </c>
    </row>
    <row r="77">
      <c r="A77" t="inlineStr">
        <is>
          <t>li-4375220644</t>
        </is>
      </c>
      <c r="B77" t="inlineStr">
        <is>
          <t>Senior Analytics Engineer</t>
        </is>
      </c>
      <c r="C77" t="inlineStr">
        <is>
          <t>Ladders</t>
        </is>
      </c>
      <c r="D77" t="inlineStr">
        <is>
          <t>linkedin</t>
        </is>
      </c>
      <c r="E77">
        <f>HYPERLINK("https://www.linkedin.com/jobs/view/4375220644", "https://www.linkedin.com/jobs/view/4375220644")</f>
        <v/>
      </c>
      <c r="F77">
        <f>HYPERLINK("https://www.theladders.com/linkedin/85568080?src=LinkedIn&amp;urlHash=-yTy", "https://www.theladders.com/linkedin/85568080?src=LinkedIn&amp;urlHash=-yTy")</f>
        <v/>
      </c>
      <c r="G77" t="inlineStr"/>
      <c r="H77" t="inlineStr"/>
      <c r="I77" t="inlineStr">
        <is>
          <t>For our client, we are seeking a Senior Analytics Engineer to join the team of a leader in the Enterprise Technology space. You’ll build and maintain systems that power mission\-critical Enterprise Technology workflows. You’ll collaborate with product and peers to design clean, scalable solutions. This role values craftsmanship, impact, and ownership.
 Location: Remote \- US based candidates only, no visa sponsorship available
 Compensation: $156,000 – $212,000 annually.
**Responsibilities**
* Partner with leaders to define and solve critical business challenges
* Present analytical insights and drive strategic decisions across business units
* Build and maintain data models to support analytics efforts
* Create self\-service dashboards enabling stakeholder independence
* Establish data quality standards for reliable metrics and insights
* Operate analytical workflows that scale and provide sustainable insights
* Lead high\-impact analytical projects that drive growth and efficiency
**Qualifications**
* 6\+ years in analytics engineering, data science, or related roles
* Expert\-level SQL; proficiency in data modeling principles
* Experience with dbt for building data transformation pipelines
* Strong visualization skills in Looker or similar BI platforms
* Hands\-on knowledge of cloud data warehouses like Databricks
* Ability to communicate technical findings effectively to diverse audiences
* Demonstrable impact on business outcomes, with strategic analysis experience
* Proactive in identifying opportunities and managing ambiguity
**Benefits**
* Comprehensive healthcare coverage (medical, dental, vision, pets included)
* Flexible vacation policy and take\-as\-you\-need time off
* Company\-wide winter slowdown week
* Volunteer Days Off for community service
* Stipend for home office setup
* Charity donation matching available
* Tailored professional development resources and coaching
* Regular remote team\-building activities and company off\-sites
 Our client is an equal opportunity employer. We encourage you to apply even if you don’t meet every qualification—your background could be exactly what this team needs.</t>
        </is>
      </c>
    </row>
    <row r="78">
      <c r="A78" t="inlineStr">
        <is>
          <t>li-4375230738</t>
        </is>
      </c>
      <c r="B78" t="inlineStr">
        <is>
          <t>Lead Data Platform Engineer</t>
        </is>
      </c>
      <c r="C78" t="inlineStr">
        <is>
          <t>Exactera</t>
        </is>
      </c>
      <c r="D78" t="inlineStr">
        <is>
          <t>linkedin</t>
        </is>
      </c>
      <c r="E78">
        <f>HYPERLINK("https://www.linkedin.com/jobs/view/4375230738", "https://www.linkedin.com/jobs/view/4375230738")</f>
        <v/>
      </c>
      <c r="F78" t="inlineStr"/>
      <c r="G78" t="inlineStr">
        <is>
          <t>San Diego, CA</t>
        </is>
      </c>
      <c r="H78" t="inlineStr"/>
      <c r="I78" t="inlineStr">
        <is>
          <t>**Compensation:** 
 Base, $210k \- $250k
**Type:** 
 Hybrid (2x week)
**The Role** 
 As Lead Data Platform Engineer, you'll architect and implement our centralized data platform on Databricks. You'll establish governance patterns using Unity Catalog, optimize for cost and performance at scale, and enable our existing Data Engineers to build confidently on the platform. This is a data infrastructure role—focused on pipelines, storage, governance, and platform operations.
**The Business Challenge** 
 We operate multiple product lines (Transfer Pricing, R\&amp;D Services, RoyaltyStat, Provisioning), each with distinct databases containing enterprise financial data—journal entries, general ledgers, and financial statements. Our immediate challenge is migrating multi\-terabyte datasets from legacy systems to a unified Databricks lakehouse while establishing governance patterns that enable multi\-product operations at scale.
**What You'll Build** 
* Data Structuring: Design data models and implement unified schemas across multiple disparate product lines.
* Unity Catalog Architecture: Design and implement multi\-catalog governance strategy supporting data isolation, cross\-product data sharing, and comprehensive lineage tracking across our product portfolio
* Delta Lake Optimization: Establish patterns for Z\-ordering, compaction, and liquid clustering at multi\-TB scale. Define table structures, partitioning strategies, and retention policies that balance query performance with storage costs
* ETL Pipeline Framework: Build declarative pipeline patterns using Delta Live Tables. Create orchestration workflows for ingesting data from internal sources such as SQL databases and S3
* Third Party Integrations: Integrate with third party data sources such as ERP systems (Netsuite etc.) and external data providers (S\&amp;P etc.) with automated ingest, robust error handling and monitoring.
* Platform Operations: Implement cost monitoring and optimization strategies, establish data quality frameworks, create self\-service patterns enabling Data Engineers to work independently while maintaining governance standards
**Business Problems You'll Solve** 
* Key Legacy Product Migrations: Lead the architecture for migrating multi\-terabyte datasets from legacy systems to Databricks—establishing patterns that will be reused across multiple product lines
* Multi\-Product Data Architecture: Design Unity Catalog structures enabling secure data separation between product lines while allowing controlled cross\-product analytics where appropriate
* Cost\-Efficient Scale: Build infrastructure that scales efficiently—through intelligent caching, query optimization, and compute management strategies that avoid linear cost growth
* Platform Reliability: Establish monitoring, alerting, and data quality validation ensuring the platform operates reliably as foundation for both analytics and AI workloads
**Required Experience** 
 Databricks Expertise (Required)
* Unity Catalog: Production experience with multi\-catalog governance, metastore design, and lineage tracking.
* Data Structuring: Experience designing and building unified schemas across multiple disparate product lines.
* Delta Lake: Expert\-level experience with Z\-ordering, compaction, liquid clustering, and performance tuning at multi\-TB scale
* Delta Live Tables: Strong hands\-on experience building declarative ETL pipelines, including change data capture and expectations/constraints
* Databricks Workflows: Experience with job orchestration, scheduling, and operational monitoring
* Business Intelligence: Experience enabling company\-wide analytics and reporting with modern business intelligence tools and maintaining source of truth data and metrics.
* PySpark \&amp; Databricks SQL: Strong proficiency for code review, performance tuning, and query optimization
 Core Platform Engineering
* 5\-8 years in data engineering or data platform roles, with 3\+ years hands\-on Databricks experience
* Track record leading at least one significant platform build or migration project
* AWS experience (S3, IAM, VPC) with ability to collaborate on infrastructure decisions
* Infrastructure\-as\-code experience (Terraform preferred)
 Technical Leadership
* Demonstrated ability architecting data platforms from first principles and defending technical decisions
* Strong written and verbal communication— document architecture decisions and present to both technical and business stakeholders
 Preferred But Not Required
* Experience with financial data, accounting systems (NetSuite), or enterprise ERP platforms
* Background building platforms that serve AI/ML workloads (experience preparing data for downstream ML consumption, RAG and retrieval, and LLMs.
* Understand advanced intelligence concepts such as relationship surfacing with knowledge graphs
* Familiarity with data governance frameworks and compliance requirements for regulated industries
**What We Offer** 
*(The following only applies to US\-based positions)* 
* A collaborative team culture with opportunities for career development.
* Ample opportunities to be recognized, build valuable skills, and grow your career.
* Generous vacation policy, including paid parental leave.
* Comprehensive health plans with FSA and HSA options.
* 401(k) retirement plan.
* Life and disability insurance coverage.
* Supplemental benefits like a dependent care savings plan, pet insurance, will preparation, and an employee assistance program.
**About Us** 
 At Exactera, a FinTech SaaS start\-up founded in 2016, we stand at the intersection of human and machine intelligence. Our corporate tax solutions are powered by AI and cloud\-based technologies, serving customers worldwide. With over $100 million in funding from Savant Venture Fund and Insight Partners, we are poised for growth. We are committed to diversity, inclusion, and equal opportunities for all.</t>
        </is>
      </c>
    </row>
    <row r="79">
      <c r="A79" t="inlineStr">
        <is>
          <t>li-4366188833</t>
        </is>
      </c>
      <c r="B79" t="inlineStr">
        <is>
          <t>Data Platform Engineer</t>
        </is>
      </c>
      <c r="C79" t="inlineStr">
        <is>
          <t>First Bank &amp; Trust</t>
        </is>
      </c>
      <c r="D79" t="inlineStr">
        <is>
          <t>linkedin</t>
        </is>
      </c>
      <c r="E79">
        <f>HYPERLINK("https://www.linkedin.com/jobs/view/4366188833", "https://www.linkedin.com/jobs/view/4366188833")</f>
        <v/>
      </c>
      <c r="F79">
        <f>HYPERLINK("https://bankeasy.wd5.myworkdayjobs.com/bank-easy-job-openings/job/Sioux-Falls-SD-I-229/Data-Platform-Engineer_R-100642?source=LinkedIn&amp;urlHash=aYiq", "https://bankeasy.wd5.myworkdayjobs.com/bank-easy-job-openings/job/Sioux-Falls-SD-I-229/Data-Platform-Engineer_R-100642?source=LinkedIn&amp;urlHash=aYiq")</f>
        <v/>
      </c>
      <c r="G79" t="inlineStr">
        <is>
          <t>Sioux Falls, SD</t>
        </is>
      </c>
      <c r="H79" t="inlineStr"/>
      <c r="I79" t="inlineStr">
        <is>
          <t>**Job Description**
 The primary responsibility for this position is to design, develop, and optimize data pipelines using Microsoft Fabric, ensuring high standards of data quality, governance, and scalability across the enterprise data platform.
**Qualifications:** 
 This person should have a bachelor’s degree in computer science, information systems, or a related field, and a minimum of 7 years’ experience in data engineering or platform development. Experience with Microsoft Fabric, data pipeline orchestration, and cloud\-based data solutions is preferred. The candidate must possess strong analytical and problem\-solving skills, excellent communication abilities, and a collaborative mindset. Special skill sets: Microsoft Fabric, MS SQL Server, Python, AI, machine learning, data pipeline design, data cleansing and transformation, data quality frameworks, metadata management, data cataloging, governance policy implementation, and platform scalability strategies.
**Principal Responsibilities**
* Design, build, and maintain robust data pipelines in Microsoft Fabric to support enterprise analytics and operational needs.
* Develop, implement, and maintain data management standards and best practices to ensure data integrity, quality, and security across the organization.
* Establish and monitor data quality metrics, proactively identifying and resolving data issues.
* Manage metadata and data cataloging processes to ensure data assets are discoverable, well\-documented, and compliant with organizational standards.
* Implement and enforce data governance policies, including data security, privacy, and compliance requirements.
* Collaborate with stakeholders to define and execute data strategy, focusing on platform scalability and future growth.
* Provide guidance and mentorship to team members on best practices in data engineering, quality, and governance.
* Stay current with emerging technologies, industry trends, and best practices in data platform engineering and Microsoft Fabric.
* Maintain comprehensive documentation for data pipelines, processes, and governance frameworks.
* Act in accordance with organizational policy and procedures as established and set forth in the employee handbook.
* Adhere to compliance procedures and participate in required compliance training.
**Compensation Grade**
 Salary Grade 7
*First Bank \&amp; Trust is an Equal Opportunity, Affirmative Action employer. All qualified applicants will receive consideration for employment without regard to race, color, religion, sex, sexual orientation, gender identity or expression, national origin, disability, or status as a protected veteran. Read our complete* 
 Equal Employment Opportunity Policy Statement
 *. Applicants who would like to request reasonable accommodation to the application or interview process should call Human Resources at 800\.843\.1552 or email hr@bankeasy.com.*</t>
        </is>
      </c>
    </row>
    <row r="80">
      <c r="A80" t="inlineStr">
        <is>
          <t>li-4361358665</t>
        </is>
      </c>
      <c r="B80" t="inlineStr">
        <is>
          <t>Azure Stack Data Engineer</t>
        </is>
      </c>
      <c r="C80" t="inlineStr">
        <is>
          <t>AAON, Inc.</t>
        </is>
      </c>
      <c r="D80" t="inlineStr">
        <is>
          <t>linkedin</t>
        </is>
      </c>
      <c r="E80">
        <f>HYPERLINK("https://www.linkedin.com/jobs/view/4361358665", "https://www.linkedin.com/jobs/view/4361358665")</f>
        <v/>
      </c>
      <c r="F80">
        <f>HYPERLINK("https://aaon.wd108.myworkdayjobs.com/AAON/job/Tulsa-OK/Azure-Stack-Data-Engineer_JR100223-1?source=LinkedIn&amp;urlHash=pa_4", "https://aaon.wd108.myworkdayjobs.com/AAON/job/Tulsa-OK/Azure-Stack-Data-Engineer_JR100223-1?source=LinkedIn&amp;urlHash=pa_4")</f>
        <v/>
      </c>
      <c r="G80" t="inlineStr">
        <is>
          <t>Tulsa, OK</t>
        </is>
      </c>
      <c r="H80" t="inlineStr"/>
      <c r="I80" t="inlineStr">
        <is>
          <t>**Job Description**
**Job Summary:**
 We are seeking an experienced Azure Stack Data Engineer to design, build, and optimize data solutions leveraging Microsoft Azure technologies. This role ensures secure, scalable, and efficient data pipelines and storage to enable advanced analytics and business intelligence. The ideal candidate combines strong technical expertise with business acumen and collaboration skills to deliver data\-driven insights across the enterprise.
**Essential Job Duties And Responsibilities**
* Data Architecture \&amp; Engineering
+ Design and implement data pipelines using Azure Data Factory, Azure Synapse, and Azure Functions.
+ Develop ETL processes for structured and unstructured data.
+ Optimize data storage in Azure Data Lake, Azure SQL, and related services.
* Integration \&amp; Automation
+ Integrate data from ERP systems (e.g., SAP), CRM (Dataverse), and legacy platforms.
+ Automate workflows using Azure Logic Apps and Event Hub for real\-time processing.
* Performance \&amp; Security
+ Ensure data quality, security, and compliance with organizational standards.
+ Implement monitoring and alerting for data pipelines and storage performance.
* Collaboration
+ Partner with data analysts, architects, and business stakeholders to translate requirements into technical solutions.
+ Support BI teams with optimized datasets for Power BI and other reporting tools.
**Competency Requirements**
* Technical Competencies
* Expertise in Azure services: Data Factory, Synapse Analytics, Data Lake, Azure SQL, and hybrid Azure Stack environments.
* Strong skills in ETL workflows, data modeling, and schema optimization.
* Proficiency in Python, SQL, and scripting for automation.
* Knowledge of cloud security principles and compliance frameworks.
* Business \&amp; Analytical Competencies
* Understands how data solutions impact business processes and decision\-making.
* Ability to analyze complex data challenges and propose scalable solutions.
* Leadership \&amp; Collaboration Competencies
* Communicates technical concepts clearly to non\-technical stakeholders.
* Works effectively in cross\-functional teams, fostering collaboration and knowledge sharing.
* Responds quickly to changing priorities and emerging technologies.
* Knows when to escalate and collaborate.
* Innovation Competencies
* Identifies opportunities for automation and process optimization.
* Keeps up with trends in AI, IoT, and advanced analytics to guide future solutions.
**Qualifications**
 Job Qualifications
* Bachelor’s degree in Computer Science, Information Systems, or related field.
* 3\+ years of experience in data engineering with Azure technologies.
* Familiarity with DevOps practices and CI/CD pipelines for data solutions.
* Exposure to Power BI, Fabric, and advanced analytics tools.
**Preferred Qualifications**
* Experience with Azure Stack Hub or hybrid cloud environments.
* Knowledge of containerization (Docker/Kubernetes) and microservices architecture.
**Work Environment**
 Work is primarily performed in a climate\-controlled office environment.
**Physical Demands**
* Sitting for prolonged periods
* View a computer monitor for long periods
* Cognitive ability to process complex information, analyze data, and solve problems.
**Disclaimer**
 Please note this job description is not designed to cover or contain a comprehensive listing of activities, duties or responsibilities that are required of the employee for this job. Duties, responsibilities and activities may change at any time with or without notice. This job description is not an exhaustive list of all functions that the employee may be required to perform, and the employee may be required to perform additional functions. The company reserves the right to revise this job description at any time. The employee must be able to perform the essential functions of the position satisfactorily. If requested, reasonable accommodation may be made to enable employees with disabilities to perform the essential functions of the job, absent undue hardship.</t>
        </is>
      </c>
    </row>
    <row r="81">
      <c r="A81" t="inlineStr">
        <is>
          <t>li-4309890211</t>
        </is>
      </c>
      <c r="B81" t="inlineStr">
        <is>
          <t>Senior Data Engineer</t>
        </is>
      </c>
      <c r="C81" t="inlineStr">
        <is>
          <t>Intrepid Direct Insurance</t>
        </is>
      </c>
      <c r="D81" t="inlineStr">
        <is>
          <t>linkedin</t>
        </is>
      </c>
      <c r="E81">
        <f>HYPERLINK("https://www.linkedin.com/jobs/view/4309890211", "https://www.linkedin.com/jobs/view/4309890211")</f>
        <v/>
      </c>
      <c r="F81" t="inlineStr"/>
      <c r="G81" t="inlineStr">
        <is>
          <t>Overland Park, KS</t>
        </is>
      </c>
      <c r="H81" t="inlineStr"/>
      <c r="I81" t="inlineStr">
        <is>
          <t>**Company Details**
 Intrepid Direct Insurance (IDI) is a rapidly growing direct to consumer property and casualty insurance company. A member of the W. R. Berkley Corporation, a fortune 500 company, rated A\+ (Superior) by A.M. Best, Intrepid Direct’s vision is to
 **make life better for business** 
 . The insurance industry has not evolved with innovation like other major industries. We’re here to change that. We are making life better for our customers, shareholders, and our team members by leveraging data and technology as insurance experts for our targeted customers. You will be part of a highly collaborative team of talented and focused professionals. Join a group that enjoys working together, trusts each other, and takes pride in our hard\-earned success.
 https://intrepiddirect.com/
 The Company is an equal employment opportunity employer.
**Responsibilities**
 Intrepid Direct Insurance is looking for an experienced
 **Senior Data Engineer** 
 to mentor, orchestrate, implement, and monitor the flowing through our organization. This opportunity will have a direct influence on how data is made available to our business units, as well as our customers. You’ll primarily be working with our operations and engineering teams to create and enhance data pipelines, conform and enrich data, and deliver information to business users. Learn the ins and outs of what we do so that you can focus on improving availability and quality of the data we use to service our customers.
**Key Functions Include But Are Not Limited To**
* Assist with long\-term strategic planning for modern data warehousing needs.
* Contribute to data modeling exercises and the buildout of our data warehouse.
* Monitor, support, and analyze existing pipelines and recommend performance and process improvements to address gaps in existing process.
* Automate manual processes owned by data team.
* Troubleshoot and remediate ingestion and reporting related issues.
* Design and build new pipelines to ingest data from additional disparate sources.
* Responsible for the accuracy and availability of data in our data warehouse.
* Collaborate with a multi\-disciplinary team to develop data\-driven solutions that align with our business and technical needs.
* Create and deploy reports as needed.
* Assist with cataloging and classifying existing data sets.
* Participate in peer reviews with emphasis on continuous improvement.
* Respond to regulatory requests for information.
* Assumes other tasks and duties as assigned by management.
* Mentor team members and advise on best practices.
**Qualifications**
* Bachelor’s degree in Mathematics, Statistics, Computer Science, or equivalent experience.
* 6\+ years of relevant data engineering experience.
* Analytical thinker with experience working in a fast\-paced, startup environment.
* Technical expertise with Microsoft SQL Server.
* Familiarity with ETL tools and concepts.
* Hands\-on experience with database design and data modeling, preferable experience with Data Vault methodology.
* Experience supporting and troubleshooting SSIS packages.
* Experience consuming event\-based data through APIs or queues.
* Experience in Agile software development.
* Experience with insurance data highly desired.
* Detail oriented, solid organizational, and problem\-solving.
* Strong written, visual, and verbal communication skills.
* Team oriented with a strong willingness to serve others in an agile startup environment.
* Flexible in assuming new responsibilities as they arise.
* Experience with Power Bi desired.
**Additional Company Details**
 We do not accept unsolicited resumes from third party recruiting agencies or firms.
 The actual salary for this position will be determined by a number of factors, including the scope, complexity and location of the role; the skills, education, training, credentials and experience of the candidate; and other conditions of employment.
**Sponsorship Details**
 Sponsorship not Offered for this Role</t>
        </is>
      </c>
    </row>
    <row r="82">
      <c r="A82" t="inlineStr">
        <is>
          <t>li-4376771340</t>
        </is>
      </c>
      <c r="B82" t="inlineStr">
        <is>
          <t>Lead Data Engineer</t>
        </is>
      </c>
      <c r="C82" t="inlineStr">
        <is>
          <t>Visa</t>
        </is>
      </c>
      <c r="D82" t="inlineStr">
        <is>
          <t>linkedin</t>
        </is>
      </c>
      <c r="E82">
        <f>HYPERLINK("https://www.linkedin.com/jobs/view/4376771340", "https://www.linkedin.com/jobs/view/4376771340")</f>
        <v/>
      </c>
      <c r="F82" t="inlineStr"/>
      <c r="G82" t="inlineStr">
        <is>
          <t>Bellevue, WA</t>
        </is>
      </c>
      <c r="H82" t="inlineStr"/>
      <c r="I82"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**Principal Data Engineering Lead** 
 is a senior technical leader responsible for guiding the design, development, and optimization of Visa’s large‑scale data platforms and cloud\-based analytics environments. This role provides architectural direction, leads complex engineering initiatives, and mentors teams while remaining deeply hands\-on with modern data technologies. The Lead Data Engineer drives technical best practices, ensures platform scalability, and influences data engineering strategy for key products and business domains.
**Responsibilities:**
* Lead the architecture and delivery of large\-scale, high\-performance data pipelines and processing frameworks across Hadoop and multi\-cloud environments.
* Design scalable data models, lakehouse structures, and distributed data processing solutions that support analytics, machine learning, and real\-time data needs.
* Provide technical leadership to Senior and Staff Data Engineers, conducting design reviews, guiding implementation decisions, and ensuring engineering excellence.
* Partner with cross\-functional teams to translate business and product requirements into robust technical designs and data solutions.
* Develop and improve engineering best practices for data governance, quality, observability, testing, and cloud resource optimization.
* Drive adoption of cloud\-native data technologies, automation frameworks, and reusable components that improve development velocity and system reliability.
* Lead complex data modernization efforts, including cloud migration, data lake/lakehouse consolidation, and performance optimization of critical pipelines.
* Evaluate new tools and technologies, influencing platform evolution within the scope of assigned domains or product areas.
* Collaborate with product, analytics, and platform teams to ensure alignment on data strategy and architectural roadmaps.
* Mentor engineers at all levels, providing technical coaching and fostering a culture of continuous improvement.
 This is a hybrid position. Expectation of days in the office will be confirmed by your Hiring Manager.
**Qualifications**
**Basic Qualifications:**
* 10\+ years of relevant work experience with a Bachelor’s Degree or at least 7 years of work experience with an Advanced degree (e.g. Masters, MBA, JD, MD) or 4 years of work experience with a PhD, OR 13\+ years of relevant work experience.
**Preferred Qualifications:**
* 12 or more years of relevant work experience with a Bachelor’s Degree or at least 7 or more years of work experience with an Advanced degree (e.g. Masters, MBA, JD, MD) or 4 years of work experience with a PhD, OR 13 or more years of relevant work experience.Advanced expertise in building and optimizing large\-scale distributed data systems using Hadoop, Spark, and modern lakehouse architectures.
* Strong programming proficiency in PySpark, Scala, and Python with experience implementing scalable, production\-grade data applications.
* Deep experience designing and tuning RDBMS, NoSQL, and distributed SQL systems.
* Mastery of SQL and distributed query engines such as Presto, Trino, Hive, and SparkSQL.
* Strong knowledge of data modeling, ETL/ELT design, and data warehousing methodologies.
* Proven experience architecting and operating data solutions on AWS, GCP, and Azure, including cloud data lakes, orchestration tools, and cost\-effective storage/compute designs.
* Advanced proficiency in Databricks, including:
* Expert in building and optimizing notebooks and production jobs
* Expert in Delta Lake design and optimization
* Expert in Cluster configuration and workspace administration
* Expert in CI/CD integration for data workloads
* Expert in performance tuning for large distributed jobs
* Expert in demonstrated ability to lead technical initiatives, communicate architectural decisions, and influence engineering direction across multiple teams.
* Strong problem\-solving skills with the ability to troubleshoot complex data and performance issues.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$173,100 to $276,800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3">
      <c r="A83" t="inlineStr">
        <is>
          <t>li-4377887174</t>
        </is>
      </c>
      <c r="B83" t="inlineStr">
        <is>
          <t>Staff Data Engineer - Technical Strategic Programs</t>
        </is>
      </c>
      <c r="C83" t="inlineStr">
        <is>
          <t>Intuit</t>
        </is>
      </c>
      <c r="D83" t="inlineStr">
        <is>
          <t>linkedin</t>
        </is>
      </c>
      <c r="E83">
        <f>HYPERLINK("https://www.linkedin.com/jobs/view/4377887174", "https://www.linkedin.com/jobs/view/4377887174")</f>
        <v/>
      </c>
      <c r="F83">
        <f>HYPERLINK("https://dsp.prng.co/aMDclnb&amp;urlHash=4hci", "https://dsp.prng.co/aMDclnb&amp;urlHash=4hci")</f>
        <v/>
      </c>
      <c r="G83" t="inlineStr">
        <is>
          <t>Mountain View, CA</t>
        </is>
      </c>
      <c r="H83" t="inlineStr"/>
      <c r="I83" t="inlineStr">
        <is>
          <t>**Overview**
 The Tech Strategic Programs organization delivers for Intuit and Tech Strategy by transforming and driving how our Technology ecosystem operates to accelerate outcomes for our customers. This small, yet mighty team works with senior leaders and partners across the company. We focus on strategic planning, the operating rhythm, executive narratives, workforce programs and delivering intelligent insights that accelerate execution across the tech portfolio and highest priority business growth areas.
 We are looking for a strategic and organized leader with a passion for innovation and data\-driven optimization. As a Data Engineer, you will work alongside senior leaders to deliver the foundational data architecture that allows Intuit to measure execution velocity and accelerate critical business outcomes.
**Responsibilities**
 In this role, you will:
* Build and Maintain Data Marts: Design, develop, and manage the tables and data marts that serve as the foundation for our team’s daily reporting. You will partner with data scientists, technical program managers, AI engineers, and other stakeholders to ensure our data is structured for speed and reusability.
* Own Data Quality \&amp; Reliability: Proactively monitor data pipelines, troubleshoot discrepancies, and debug issues quickly to ensure data integrity.
* Track Key Success Metrics: Implement and track leading indicators and success metrics, helping the organization understand whether initiatives are delivering the desired outcomes.
* Develop Execution Dashboards: Design and build intuitive, self\-service dashboards (using Tableau/Qlik) that allow stakeholders to monitor program health and execution velocity.
* Communicate Insights: Translate complex datasets into clear, concise summaries for business partners and leadership, highlighting trends, risks, and opportunities.
* Collaborate Cross\-Functionally: Partner with other analysts and data engineers across Intuit to share best practices, align on metric definitions, and drive cross\-team analytics projects.
**What You’ll Bring**
* Speed as a habit: Drive velocity in the organization by accelerating customer, business, and technology outcomes by identifying and driving key opportunities across the company
* Emerging technology mastery: Continuously explore emerging trends, tools, and techniques in Generative AI. Follow trends and research topics of leveraging AI/GenAI to improve workforce efficiency.
* Understands customer behaviors: Partner with cross\-functional partners to influence and drive end\-to\-end solutions for customer problems. Execute with a boundaryless mindset and contribute to solutions outside of your primary area of ownership
* Durable data solutions: Design and implement durable data solutions that will solve critical customer problems in a fast\-paced environment. Create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Be prepared to get hands\-on and debug complex issues or create fully working POCs which teams can take forward.
* Communicate effectively: Explain complex designs to both technical and non\-technical stakeholders and drive consensus.
**Qualifications**
* 7\+ years of experience in Data Analytics, Business Intelligence, Engineering or related technical field
* Bachelor's in Statistics, Mathematics, Computer Science, or related field.
* Proficient with unstructured data and turning raw data into a usable, high\-quality dataset ready for effective use
* Strong proficiency in visualization tools with hands\-on experience building complex dashboards in Tableau, Qlik, or PowerBI.
* Proven track records of developing and managing complex analytics data mart and data pipelines is a must\-have.
* Demonstrated experience with big data tools and frameworks such as Apache Spark, Hadoop or Databricks.
* Experience with data modeling, data warehousing, and building ETL pipelines.
* Experience in applying advanced analytics techniques such as python, ML models, LLM, etc., is a plus.
* Ability to create analytical framework for solving complex business problems with proven track record.
* Ability to manage multiple projects simultaneously to meet objectives.
* Outstanding communications skills with both technical and non\-technical. Be able to communicate effectively with senior executives.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
 Southern California $ 184,500\- 250,000</t>
        </is>
      </c>
    </row>
    <row r="84">
      <c r="A84" t="inlineStr">
        <is>
          <t>li-4362336090</t>
        </is>
      </c>
      <c r="B84" t="inlineStr">
        <is>
          <t>Senior Data Engineer – Data Group</t>
        </is>
      </c>
      <c r="C84" t="inlineStr">
        <is>
          <t>Trepp, Inc.</t>
        </is>
      </c>
      <c r="D84" t="inlineStr">
        <is>
          <t>linkedin</t>
        </is>
      </c>
      <c r="E84">
        <f>HYPERLINK("https://www.linkedin.com/jobs/view/4362336090", "https://www.linkedin.com/jobs/view/4362336090")</f>
        <v/>
      </c>
      <c r="F84" t="inlineStr"/>
      <c r="G84" t="inlineStr"/>
      <c r="H84" t="inlineStr"/>
      <c r="I84" t="inlineStr">
        <is>
          <t>**This position is based in Trepp's NYC office which operates in a hybrid work schedule.** 
 The
 **Data Operations Group** 
 at Trepp is responsible for creating and maintaining our data pipelines \&amp; workflows powering our core Product applications. Being a member of the Data Operations Group allows you the flexibility to learn and hone your technical skills on AWS cloud architectures, orchestration frameworks, databases, and data lake integrations. You will have the opportunity of working with and creating services and pipelines used by teams including Structured Finance Modelers, Technical Research, and other engineering groups including Platform APIs and data science. Trepp’s products focus on data and analytics in structured finance (CMBS \&amp; CLO), commercial real estate (CRE), and Banking \&amp; Lending. This team works closely with our Product Managers to refine \&amp; improve our product features, data capabilities and delivery, along with creating new Product Workflows.
**About this role**
 As a
 **Senior Data Engineer** 
 , you will play a critical role in architecting and developing complex backend systems that power Trepp’s core applications. This position demands strong technical expertise and hands\-on coding skills to design and implement scalable, efficient, and secure data pipelines. You will set the standard for engineering excellence by writing clean, maintainable code and championing best practices across the development lifecycle, including testing, performance optimization, and production support.
 In addition to building greenfield data pipelines and modernizing existing workflows, you will act as a technical leader and mentor within the team. This includes facilitating code reviews, providing constructive feedback, and guiding architectural decisions to ensure high\-quality outcomes. You will actively share knowledge through design discussions and technical workshops, helping team members grow their skills and unblock challenges quickly.
 As part of your responsibilities, you will evaluate emerging technologies, articulate trade\-offs, and recommend solutions that align with business objectives. Your ability to communicate technical concepts clearly to both engineering peers and non\-technical stakeholders will be essential in driving collaboration and delivering impactful results.
**Responsibilities**
* **Design and Develop Scalable Systems:** 
 Architect and implement robust backend systems and data pipelines that support Trepp’s core applications and analytics platforms.
* **Champion Coding Excellence:** 
 Write clean, efficient, and maintainable code while enforcing best practices in software engineering, including testing, performance optimization, and secure coding standards.
* **Lead Technical Decision\-Making:** 
 Evaluate emerging technologies, articulate trade\-offs, and recommend solutions that align with business objectives and long\-term technical strategy.
* **Mentor and Enable Team Growth:** 
 Facilitate code reviews, provide constructive feedback, and guide architectural discussions to help team members improve their technical skills and deliver high\-quality outcomes.
* **Collaborate Across Teams:** 
 Act as a technical liaison, working closely with engineering peers, product managers, and other stakeholders to address requirements and ensure seamless integration of solutions.
* **Ensure Operational Excellence:** 
 Identify critical infrastructure dependencies, plan upgrades, and implement monitoring, logging, and alerting strategies to maintain system reliability and performance.
* **Drive Continuous Improvement:** 
 Promote agile methodologies, iterative delivery, and a culture of learning through knowledge\-sharing sessions and technical workshops.
**Qualifications**
* Bachelor's or Master's degree in computer science or in a related field
* 6\+ years of experience building data and/or backend software systems
* 4\+ years of experience with Python, Nodejs, Java, or Scala
* 3\+ years of experience with SQL, AWS and common data services such as RDS, data storage
* Exposure to multiple, diverse technologies and processing environments
* Knowledge of components within a technical architecture
* Experience with Agile and SDLC, GitHub workflows (or similar) for CI/CD
* Strong understanding of backend application development methodologies
**Preferred Skills**
* Experience building data pipelines using Spark / Airflow
* Exposure to Infrastructure as Code technologies such as Terraform or AWS CDK
* Understanding of serverless architectures, containers, and modern application development practices
* Familiar with RESTful APIs services and best practices
* Experience working in Financial Services or related industry
**Salary Range**
* Base salary range: Starting from $165k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Dallas, and London office\-based positions:* 
 Trepp’s offices follow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85">
      <c r="A85" t="inlineStr">
        <is>
          <t>li-4377868396</t>
        </is>
      </c>
      <c r="B85" t="inlineStr">
        <is>
          <t>US_East | Data Engineer_L3</t>
        </is>
      </c>
      <c r="C85" t="inlineStr">
        <is>
          <t>Expedite Talent Solutions</t>
        </is>
      </c>
      <c r="D85" t="inlineStr">
        <is>
          <t>linkedin</t>
        </is>
      </c>
      <c r="E85">
        <f>HYPERLINK("https://www.linkedin.com/jobs/view/4377868396", "https://www.linkedin.com/jobs/view/4377868396")</f>
        <v/>
      </c>
      <c r="F85" t="inlineStr"/>
      <c r="G85" t="inlineStr">
        <is>
          <t>Bloomfield, NJ</t>
        </is>
      </c>
      <c r="H85" t="inlineStr"/>
      <c r="I85" t="inlineStr">
        <is>
          <t>"Possible 3 Month CTH \| No Fees \| Do Not Re\-Post\| Confidential
 TMR ID: L4TLHF
 Role: Integration Engineer MANUS AI Platform
 Work location: Bay Area
 Background and Meet and Greet: MANDATORY
**Job Description**
 "Integration Engineer MANUS AI Platform
 Location
 \[Remote / Hybrid /Offshore/ On site, e.g., SFO Bay Area, CA]
 Employment Type
 Full Time
 \_\_\_\_\_\_\_\_\_\_\_\_\_\_\_\_\_\_\_\_\_\_\_\_\_\_\_\_\_\_\_\_\_\_\_\_\_\_\_\_
**About The Role**
 We are looking for Integration Engineers to design, build, and maintain robust integrations between our internal systems (e.g., CRM, HRIS, data platforms, internal tools) and MANUS AI. You will own end to end integration workflows, including API design, data mapping, security, monitoring, and documentation, ensuring seamless and scalable automation across the organization.
 \_\_\_\_\_\_\_\_\_\_\_\_\_\_\_\_\_\_\_\_\_\_\_\_\_\_\_\_\_\_\_\_\_\_\_\_\_\_\_\_
 Key Responsibilities
 " Design and implement API driven integrations between MANUS AI and internal platforms (e.g., Salesforce, HubSpot, internal data warehouses, HR systems, ticketing tools).
 " Develop and maintain webhooks, event driven pipelines, and batch data flows to synchronize data between MANUS and downstream systems.
 " Define and document integration architecture, data models, error handling strategies, and retry mechanisms for reliability and observability.
 " Configure authentication, authorization, and secrets management (OAuth, API keys, SSO, environment variables) for secure access to MANUS and partner systems.
 " Collaborate with product, data, security, and operations teams to align integration requirements with business workflows and compliance needs.
 " Write clean, testable code and create automated tests, monitoring alerts, and runbooks for production grade integrations.
 " Troubleshoot integration issues, perform root cause analysis, and provide L2/L3 support for integration related incidents.
 " Maintain technical documentation, architecture diagrams, and integration playbooks for engineers and support teams.
 \_\_\_\_\_\_\_\_\_\_\_\_\_\_\_\_\_\_\_\_\_\_\_\_\_\_\_\_\_\_\_\_\_\_\_\_\_\_\_\_
**Required Qualifications**
 " Bachelors degree in Computer Science, Engineering, or related field, or equivalent professional experience.
 " 35\+ years of experience as a Software Engineer, Integration Engineer, or Backend Engineer building production systems.
 " Strong experience with RESTful APIs, webhooks, and event driven architectures.
 " Proficiency in at least one backend language (e.g., Python, Node.js, Java, Go) and modern frameworks.
 " Experience with cloud platforms (AWS, GCP, or Azure) and related services (queues, storage, serverless, etc.).
 " Familiarity with CI/CD pipelines, Git, and infrastructure as code (e.g., Terraform, CloudFormation).
 " Understanding of security best practices, including API security, secrets management, and compliance (e.g., SOC 2, GDPR).
 " Strong problem solving skills, ability to work independently, and collaborate effectively with cross functional teams.
 \_\_\_\_\_\_\_\_\_\_\_\_\_\_\_\_\_\_\_\_\_\_\_\_\_\_\_\_\_\_\_\_\_\_\_\_\_\_\_\_
**Preferred Qualifications**
 " Experience integrating AI / LLM platforms or workflow automation tools (e.g., AI agents, RPA, no code automation).
 " Familiarity with data modeling, ETL/ELT pipelines, and data warehouse concepts (e.g., Snowflake, BigQuery, Redshift).
 " Experience with observability tools (e.g., Datadog, Prometheus, Grafana, logging platforms).
 " Exposure to SaaS platforms (e.g., Salesforce, HubSpot, Workday, ServiceNow) and their APIs.
 " Interest in AI driven automation, workflow orchestration, and action engine style platforms like MANUS.
 "
**Key Responsibilities**
 "Key Responsibilities
 " Design and implement API driven integrations between MANUS AI and internal platforms (e.g., Salesforce, HubSpot, internal data warehouses, HR systems, ticketing tools).
 " Develop and maintain webhooks, event driven pipelines, and batch data flows to synchronize data between MANUS and downstream systems.
 " Define and document integration architecture, data models, error handling strategies, and retry mechanisms for reliability and observability.
 " Configure authentication, authorization, and secrets management (OAuth, API keys, SSO, environment variables) for secure access to MANUS and partner systems.
 " Collaborate with product, data, security, and operations teams to align integration requirements with business workflows and compliance needs.
 " Write clean, testable code and create automated tests, monitoring alerts, and runbooks for production grade integrations.
 " Troubleshoot integration issues, perform root cause analysis, and provide L2/L3 support for integration related incidents.
 " Maintain technical documentation, architecture diagrams, and integration playbooks for engineers and support teams.
 "
 What are the Mandatory skills and skill proficiencies required for this position?
 "Required Qualifications
 " Bachelors degree in Computer Science, Engineering, or related field, or equivalent professional experience.
 " 35\+ years of experience as a Software Engineer, Integration Engineer, or Backend Engineer building production systems.
 " Strong experience with RESTful APIs, webhooks, and event driven architectures.
 " Proficiency in at least one backend language (e.g., Python, Node.js, Java, Go) and modern frameworks.
 " Experience with cloud platforms (AWS, GCP, or Azure) and related services (queues, storage, serverless, etc.).
 " Familiarity with CI/CD pipelines, Git, and infrastructure as code (e.g., Terraform, CloudFormation).
 " Understanding of security best practices, including API security, secrets management, and compliance (e.g., SOC 2, GDPR).
 " Strong problem solving skills, ability to work independently, and collaborate effectively with cross functional teams.
 \_\_\_\_\_\_\_\_\_\_\_\_\_\_\_\_\_\_\_\_\_\_\_\_\_\_\_\_\_\_\_\_\_\_\_\_\_\_\_\_
 "
 What are the Optional skills and skill proficiencies for this position?
 Stretch Attitude
**The Following Details Must Accompany Your Submission**
 First Name, Middle name, and Last Name:
**City And State**
 Open to Relocate?
**Rate**
 Availability:
 Phone \#:
 Mobile \#:
**Email Address**
 Visa type:
**Visa Expiration Date**
 Hiring Status:
 Soemia Pineda \- ERM
* North America
 Tel.: \+\*\*\*"</t>
        </is>
      </c>
    </row>
    <row r="86">
      <c r="A86" t="inlineStr">
        <is>
          <t>li-4368280172</t>
        </is>
      </c>
      <c r="B86" t="inlineStr">
        <is>
          <t>Cloud Data Engineer, Professional Services, Google Public Sector</t>
        </is>
      </c>
      <c r="C86" t="inlineStr">
        <is>
          <t>Google</t>
        </is>
      </c>
      <c r="D86" t="inlineStr">
        <is>
          <t>linkedin</t>
        </is>
      </c>
      <c r="E86">
        <f>HYPERLINK("https://www.linkedin.com/jobs/view/4368280172", "https://www.linkedin.com/jobs/view/4368280172")</f>
        <v/>
      </c>
      <c r="F86">
        <f>HYPERLINK("https://careers.google.com/jobs/results/125903071237546694-cloud-data-engineer/?src=Online/LinkedIn/linkedin_us&amp;utm_source=linkedin&amp;utm_medium=jobposting&amp;utm_campaign=contract&amp;urlHash=7OpK", "https://careers.google.com/jobs/results/125903071237546694-cloud-data-engineer/?src=Online/LinkedIn/linkedin_us&amp;utm_source=linkedin&amp;utm_medium=jobposting&amp;utm_campaign=contract&amp;urlHash=7OpK")</f>
        <v/>
      </c>
      <c r="G86" t="inlineStr">
        <is>
          <t>Reston, VA</t>
        </is>
      </c>
      <c r="H86" t="inlineStr"/>
      <c r="I86" t="inlineStr">
        <is>
          <t>**Minimum qualifications:**
* Bachelor's degree in Computer Science or equivalent practical experience.
* 3 years of experience with relational database technologies such as PostgreSQL, MySQL, SQL Server, or Oracle.
* Experience working with business stakeholders to understand requirements, provide technical leadership, and educate teams on GCP best practices.
* Active, or the ability to obtain, a TS/SCI security clearance.
**Preferred qualifications:**
* Experience with database and AI integrations.
* Experience with database management tools for backups, recovery, snapshot management, sharding, partitioning and database performance tuning.
* Experience in database administration techniques including storage, clustering, availability, disaster recovery, security, logging, performance tuning, monitoring and auditing.
* Experience developing, deploying, and managing machine learning models, including experience writing software in one or more languages, such as Java, Python, or Golang.
* Experience working with cloud databases such as RDS, Aurora, ElastiCache, CloudSQL, AlloyDB, Datastore or Bigtable.
* Experience with machine learning operations (MLOps), data warehousing, and data pipeline development, including ETL and ELT.
**About The Job**
 As a Cloud Data Engineer, you will guide Public Sector customers to develop, configure and deploy their data and AI solutions. Together with the team, you will support customer implementations of Google Cloud products through architecture guidance, best practices, data migration, capacity planning, implementation, troubleshooting, monitoring, and more. You will consult with customers on how to best design their data and AI solutions including development and deployment of ML models, and integrations with leading Google technologies. You will travel to customer sites to deploy solutions and deliver workshops to educate and empower customers. Additionally, you will work closely with Product Management and Product Engineering to drive excellence in Google Cloud products and features. Your role requires the ability to travel up to 30% of the time.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Translate business requirements into conceptual, rational, and physical data models.
* Be highly collaborative and work closely with data producers and data consumers across public sector customers and teams to understand the data needs, provide consultation, and align data solutions.
* Analyze on\-premise and cloud database environments, consulting on the optimal design for performance and deployment on Google Cloud Platform. Design, build, and maintain data warehouse and pipeline solutions.
* Create and deliver best practices recommendations, tutorials, blog articles, sample code, and technical presentations, adapting to different levels of key business and technical stakeholders.
* Travel regularly (up to 30%)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li-4203583939</t>
        </is>
      </c>
      <c r="B87" t="inlineStr">
        <is>
          <t>Senior CX Analytics Engineer</t>
        </is>
      </c>
      <c r="C87" t="inlineStr">
        <is>
          <t>Coinbase</t>
        </is>
      </c>
      <c r="D87" t="inlineStr">
        <is>
          <t>linkedin</t>
        </is>
      </c>
      <c r="E87">
        <f>HYPERLINK("https://www.linkedin.com/jobs/view/4203583939", "https://www.linkedin.com/jobs/view/4203583939")</f>
        <v/>
      </c>
      <c r="F87" t="inlineStr"/>
      <c r="G87" t="inlineStr"/>
      <c r="H87" t="inlineStr"/>
      <c r="I8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The Coinbase Customer Experience (CX) organization plays an imperative role in achieving our mission. Our team is dedicated to eliminating customer defects, driving efficiency through automation, and optimizing support operations. We are seeking an experienced Senior Analytics Engineer to lead insights into our quality assurance and knowledge management functions. As a Senior Analytics Engineer on our team, you will own and drive projects that create meaningful business impact. You’ll have the opportunity to transform data into measurable actions that improve customer experiences and help shape our long\-term strategy to deliver maximum impact to our customers.
**What you’ll be doing (ie. job duties):** 
* Improve customer experiences by developing bar raising metrics, self\-service tools, and deep analyses that drive actionable insights
* Collaborate with stakeholders to manage a long\-term analytic roadmap that balances the tactical and strategic needs of the business
* Proactively identify opportunity areas for improvement including deep dive investigations and processes to better serve our customers
* Drive the vision, building, and adoption of self\-service analytic capabilities; develop these capabilities at scale
* Understand data resources and know when, how, and which best to use for each project
* Ability to frame and break down complex business problems into key components and recommend practical solutions
* Monitor key performance metrics and use data to identify actionable opportunities to increase efficiency and make high\-quality decisions that drive performance improvements
* Build a collaborative team environment that fosters efficient execution, innovation, and continuous improvement
* Develop and support the analytical technologies that give our team timely, flexible, and structured access to their data
* Guide code reviews, provide SQL and Python expertise, and create well\-maintained ETL jobs
* Maintain a high bar for statistical rigor on your team; ensure that we’re conducting experimentation and causal analyses that build confidence with your stakeholders
**What we look for in you (ie. job requirements):** 
* 5\+ years of relevant data analytics experience in an operational environment, with a strong focus on quality measures
* Experience transforming unstructured data into actionable insights, outlier based agent performance management, and web analytics
* Professional experience using advanced SQL and data modeling skills to process large, complex datasets
* Proficient using at least one data visualization product (Looker, Tableau, QuickSight, etc.)
* Excellent written and verbal communication skills, including experience meeting with and communicating information to senior leadership
* Highly collaborative, with an ability to optimally secure inputs from many cross\-functional partner teams
* Ability to think strategically, formulate appropriate analytical solutions, and execute in order to solve business needs
**Nice to haves:** 
* Report automation experience (e.g. using Python, R)
* Knowledge of AWS services and cloud computing
* Experience with descriptive and inferential statistics
* Experience with financial industry regulations
 ID: P62711
 Pay Transparency Notice: Depending on your work location, the target annual salary for this position can range as detailed below. Full time offers from Coinbase also include target bonus \+ target equity \+ benefits (including medical, dental, vision and 401(k)).
 Pay Range: : $167,280 USD \- $196,800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88">
      <c r="A88" t="inlineStr">
        <is>
          <t>li-4377845741</t>
        </is>
      </c>
      <c r="B88" t="inlineStr">
        <is>
          <t>Staff Analytics Engineer</t>
        </is>
      </c>
      <c r="C88" t="inlineStr">
        <is>
          <t>Harnham</t>
        </is>
      </c>
      <c r="D88" t="inlineStr">
        <is>
          <t>linkedin</t>
        </is>
      </c>
      <c r="E88">
        <f>HYPERLINK("https://www.linkedin.com/jobs/view/4377845741", "https://www.linkedin.com/jobs/view/4377845741")</f>
        <v/>
      </c>
      <c r="F88" t="inlineStr"/>
      <c r="G88" t="inlineStr"/>
      <c r="H88" t="inlineStr"/>
      <c r="I88" t="inlineStr">
        <is>
          <t>**Staff Analytics Engineer** 
**Location:** 
 Los Angeles, CA \| Hybrid
**Salary:** 
 $180–230k base
 We’re partnering with a rapidly scaling, mission\-driven advanced technology company operating at the intersection of AI, software, and complex real\-world systems. Their platform ingests and operationalizes high\-volume, real\-time data to support critical decision\-making in high\-stakes environments.
 As the organization grows, they are hiring a Staff Analytics Engineer to take ownership of core data domains and help shape the long\-term architecture of the data platform.
**The Opportunity** 
 This is a senior, high\-ownership role focused on building foundational data systems, not just reporting. You will define and evolve the ontologies and reusable data models that represent how the company operates across domains such as Finance, Supply Chain, Manufacturing, People, and Operations. These models will power internal applications, executive reporting, and operational workflows across the business.
 At the Staff level, you’ll influence platform direction, set engineering standards, and serve as a technical leader within the data organization.
**What You’ll Do** 
* Lead the design and implementation of scalable, domain\-level data models that serve as the backbone of the business
* Architect ingestion and transformation frameworks across diverse operational systems
* Set best practices for testing, version control, and CI/CD within analytics workflows
* Partner closely with engineering, product, and operations leaders to translate ambiguous needs into production\-grade data systems
* Drive roadmap decisions for the data platform, balancing immediate delivery with long\-term maintainability
* Mentor and raise the technical bar for analytics engineers across the team
* Push the organization beyond dashboards toward reusable data applications and self\-serve analytics at scale
**What They’re Looking For** 
* 7\+ years of experience in Analytics Engineering, Data Engineering, or similarly technical data roles
* Deep expertise in SQL and strong proficiency in Python or another programming language
* Proven experience designing scalable, reusable data models in complex environments
* Strong background with modern data stack tools such as dbt, Redshift, and enterprise BI platforms
* Experience shaping data architecture and influencing technical direction
* High ownership mindset with the ability to operate autonomously
* Strong stakeholder management skills with both technical and non\-technical leaders
* Ability to obtain and maintain a U.S. Secret security clearance
 This is an opportunity to define how data is modeled and operationalized inside a technically ambitious, fast\-scaling organization. If you’re excited by building durable systems that leadership relies on to run the business, this role offers significant scope and impact.</t>
        </is>
      </c>
    </row>
    <row r="89">
      <c r="A89" t="inlineStr">
        <is>
          <t>li-4355000733</t>
        </is>
      </c>
      <c r="B89" t="inlineStr">
        <is>
          <t>Sr. Data Engineer II - Technical Lead</t>
        </is>
      </c>
      <c r="C89" t="inlineStr">
        <is>
          <t>Zoro.com</t>
        </is>
      </c>
      <c r="D89" t="inlineStr">
        <is>
          <t>linkedin</t>
        </is>
      </c>
      <c r="E89">
        <f>HYPERLINK("https://www.linkedin.com/jobs/view/4355000733", "https://www.linkedin.com/jobs/view/4355000733")</f>
        <v/>
      </c>
      <c r="F89" t="inlineStr"/>
      <c r="G89" t="inlineStr">
        <is>
          <t>Chicago, IL</t>
        </is>
      </c>
      <c r="H89" t="inlineStr"/>
      <c r="I89" t="inlineStr">
        <is>
          <t>**Company Summary**
 Zoro.com is a leading eCommerce platform offering nearly 12 million tools, parts and supplies for our business customers. Launched in 2011, we brought a B2C\-like experience to the B2B industry, and continue to be at the forefront of digital innovation at the intersection of technology and distribution. We have rapidly grown to over $1 billion in annual revenue and we’re just getting started!
**Primary Function**
 As a Senior Data Engineer II – Technical Lead at Zoro, you will lead medium to large initiatives that span data platforms, data products, and AI\-enabled systems. You will design and build cloud\-native data pipelines, services, and interfaces that power analytics, machine learning, and AI agents across the organization.
 This role owns the technical direction of the team’s solutions, with explicit accountability for technical debt, architectural integrity, and long\-term scalability. You will play a central role in evolving Zoro’s data platform to support AI\-first use cases, including feature generation, agentic workflows, and model\-integrated data services.
 As a technical leader, you will mentor engineers, influence platform strategy, and partner deeply with product, analytics, and machine learning stakeholders to translate business problems into durable data and AI solutions.
**Duties And Responsibilities**
* Technical Leadership: Collaborate with Technical Leads and Staff Engineers to define and execute the technical vision for Data Engineering, making architectural and tooling decisions that balance innovation, reliability, and long\-term maintainability, including AI and agent enabled capabilities.
* Design and Architecture: Responsible for your team’s overall design and architecture of scalable, reliable, and high\-performance data systems to support business intelligence, analytics, and data science initiatives.
* Data Pipeline Development: Build, optimize, and operate batch and streaming data pipelines that are observable, testable, cost\-efficient, and explicitly designed to serve analytical, operational, and AI\-driven workloads.
* AI Enablement and Agentic Systems: Enable and build AI\-powered systems by using AI tools in daily engineering workflows, designing and integrating MCP servers or equivalent context layers, and creating AI agents that interact safely and reliably with data systems, APIs, and business processes.
* Software Craftsmanship: Champion high standards in software design, testing, CI/CD, and infrastructure\-as\-code, ensuring data and AI systems are secure, maintainable, and aligned with enterprise engineering standards.
* Data Governance and Trust: Embed data quality, lineage, access control, privacy, and correctness guarantees into data and AI architectures, establishing guardrails that ensure trustworthy and explainable use of data by humans and AI systems.
* Mentorship: Mentor and develop Data Engineers through technical guidance, design reviews, and hands\-on coaching, fostering a culture of intellectual curiosity, engineering rigor, and continuous improvement.
**Qualifications**
- Education: Master’s degree in Computer Science, Applied Mathematics, Engineering, or other technology related field or an equivalent of this educational requirement in working experience is also acceptable
- Experience: Minimum of 7 years of experience in Data Engineering or a related field, with at least 3 years in a leadership or senior technical role.
- Technical Skills:
* AI \&amp; Agent Systems: Hands\-on experience using AI tools as part of daily engineering workflows, designing or integrating MCP servers or equivalent context\-serving systems, and building, deploying, or integrating AI agents with an understanding of model lifecycle concerns including training, inference, monitoring, and operational reliability.
* Emerging Capabilities: Experience designing or operating modern AI\-adjacent data capabilities, including feature stores, vector databases, embedding pipelines, human\-in\-the\-loop or agentic workflows, and an understanding of cost management and performance optimization for AI workloads.
* Software Engineering: Expert\-level proficiency in at least one modern programming language with strong software design fundamentals.
* Data Modeling and Architecture: Expert\-level experience designing analytical and operational data models.
* Cloud Platforms: Expert level experience with cloud\-native infrastructure and managed data services.
* Data Pipelines: Expert level experience of batch and streaming architectures.
* Data Quality and Testing: Proven approaches to automated data validation and testing.
* Data Microservices: Experience building high\-performance, data\-backed APIs.
- Soft Skills:
* Problem\-Solving: Excellent problem\-solving skills and the ability to think critically and analytically.
* Communication: Excellent communication skills, with the ability to articulate complex technical concepts to non\-technical stakeholders.
* Organization: Strong organizational skills and the ability to manage multiple projects and priorities in a fast\-paced environment.
* Curiosity: A genuine curiosity about data and a proactive approach to exploring new tools and techniques.
* Leadership: Proven ability to lead, inspire, and mentor Data Engineers.
* Teamwork \&amp; Collaboration: Proven ability to form collaborative relationships with stakeholders across the organization.
**Total Rewards**
 Zoro’s total compensation plan includes our Zoro Incentive Plan (ZIP) that is designed to foster and reward our team members for strong performance. Total compensation will be highly competitive.
 In addition to competitive compensation, Zoro offers comprehensive benefits and perks including:
* Medical, dental, vision, and life insurance plans with coverage starting on day one of employment
* Maternity support programs, nursing benefits, and up to 14 weeks paid leave for birth parents and up to 4 weeks paid leave for non\-birth parents. We also support growing your family through access to adoption assistance program
* 6 free sessions each year with a licensed therapist and Wellhub portal membership to support your mental and emotional wellbeing
* At least 18 paid time off days annually for full\-time employees and 6 company holidays per year
* 6% company contribution to a 401K Retirement Savings Plan each pay period, no employee contribution required
* Tuition reimbursement, student loan refinancing and access to financial counseling, education, and tools
* Charitable Gift Program \- match gift to an eligible educational, cultural, community health, and human service organizations
* Employee discounts and admission to various civic and cultural institutions around Chicago
* Zoro office perks including coffee bar, beer on tap, unlimited snacks, access to the onsite gym, and incredible city skyline views
 For additional information and details regarding our benefits and our parent company, W. W. Grainger, please click on the link here.
 The pay range provided is not a guarantee of compensation. The range listed reflects the expected base pay for this position at the time of posting, based on the role's job grade. Actual compensation may vary depending on factors such as location, relevant experience and individual qualifications.
 Illinois
 $124,400—$207,300 USD
 Outside of Illinois
 $115,200—$191,900 USD
**Our Culture**
 Zoro was founded in 2011 with a simple idea: make it easy for businesses to get the tools, parts, and supplies they need to keep things running. We've grown by staying curious, moving quickly, and solving everyday challenges in smart, practical ways. Backed by W.W. Grainger and inspired by our endless assortment business model, we’re on a clear path toward our next big milestone: $2 billion in revenue—and beyond.
 At Zoro, we don’t just follow a playbook—we help build it. You’ll get to work on real problems with a supportive team that shares ideas freely, learns from each other, and celebrates wins together. Our culture is grounded in values that guide how we show up every day:
 **Winning \&amp; Learning Together** 
 ,
 **Being Customer Obsessed** 
 ,
 **Being Transparent** 
 , and
 **Taking Ownership** 
 . We don’t have all the answers, but we’re always asking good questions.
 Zoro’s culture has been recognized by Fortune, Best Places to Work, and Built In Chicago—but the recognition we care about most comes from our team members, who make this place what it is.
 We also know that flexibility matters. Our hybrid work model gives you space to focus and the flexibility to live your life — asking team members to be onsite at least two days a week. Our Chicago HQ (right above Ogilvie Transportation Center in the Accenture Tower) is always open and ready for connection, collaboration, or just a good cup of coffee.
 At Zoro, we’re growing fast toward big aspirations — and we’re continuously excited about the new challenges we get to solve together.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also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90">
      <c r="A90" t="inlineStr">
        <is>
          <t>li-4375216389</t>
        </is>
      </c>
      <c r="B90" t="inlineStr">
        <is>
          <t>Client Technology - Engineering - Data - Data Engineer</t>
        </is>
      </c>
      <c r="C90" t="inlineStr">
        <is>
          <t>EY</t>
        </is>
      </c>
      <c r="D90" t="inlineStr">
        <is>
          <t>linkedin</t>
        </is>
      </c>
      <c r="E90">
        <f>HYPERLINK("https://www.linkedin.com/jobs/view/4375216389", "https://www.linkedin.com/jobs/view/4375216389")</f>
        <v/>
      </c>
      <c r="F90" t="inlineStr"/>
      <c r="G90" t="inlineStr">
        <is>
          <t>Minneapolis, MN</t>
        </is>
      </c>
      <c r="H90" t="inlineStr"/>
      <c r="I90" t="inlineStr">
        <is>
          <t>At EY, we’re all in to shape your future with confidence.
 We’ll help you succeed in a globally connected powerhouse of diverse teams and take your career wherever you want it to go. Join EY and help to build a better working world.
 EY is a global leader in assurance, tax, transaction and advisory services. Technology is at the heart of what we do and deliver at EY. Technology solutions are integrated into the client services we deliver and are key to our innovation as an organization.
 Fueled by strategic investment in technology and innovation, Client Technology seeks to drive growth opportunities and solve complex business problems for our clients through building a robust platform for business and powerful product engines that are vital to innovation at scale. As part of Client Technology, you’ll work with technologists and business experts, blending EY’s deep industry knowledge and innovative ideas with our platforms, capabilities, and technical expertise. As a catalyst for change and growth, you’ll be at the forefront of integrating emerging technologies from AI to Data Analytics into every corner of what we do at EY. That means more growth for you, exciting learning opportunities, career choices, and the chance to make a real impact.
**The selected candidate**
* Needs to be hands\-on with design and implementation of scalable data pipelines, ETL processes, and data warehousing solutions to align with Azure Well\-Architected Framework (WAF) pillars
* Accountable for a suite of data models with relatively high complexity, leveraging a strong understanding of data modelling standards to ensure high quality
* Drive best practices for data security, data privacy, and data integrity
* Ensure the reliability and efficiency of data infrastructure in the Azure cloud
* Understands AI driven data engineering tools; and work on building cutting edge AI driven use cases and ensure availability of AI ready data
* Works with other departments across the business to help define and deliver business value, as well as interfacing and communicating with program teams, management and stakeholders to deliver large, complex projects
**Your Key Responsibilities Include**
* Leading the production of high\-quality data engineering deliverables, helping to ensure project timelines are met, and providing informal mentoring / training to junior members of the team
* Leading the design, development and implementation of processes to extract, transform and load data from disparate sources into a form that is consumable by analytics processes within a given project, reviewing deliverables to ensure high quality
* Develop and define future state data architectures aligned with industry best practices and organizational needs
* Proficient in defining Data Strategy, developing data architecture for modern data platforms, assessing enterprise existing data architecture and devise recommendations
* Leading translation of requirements, design and solution architecture deliverables into detailed design specifications
* Define and implement data management strategies to align with business objectives
* Leading the delivery of data quality reviews including data cleansing where required to ensure integrity and quality
* Evaluating and resolving issues regarding data quality reviews, cleansing, data integration and migration, leveraging advanced technical knowledge and showing technical leadership in aspects of data engineering while driving continuous improvement efforts
* Providing a leadership role for the work group, ensuring the appropriate expectations, principles, structures, tools and responsibilities are in place to deliver the project
* Analyzing the latest industry trends such as cloud computing and distributed processing and inferring potential impact on businesses (short and long\-term)
* Providing advanced technical expertise to maximize efficiency, reliability and value from current data engineering processes. Researching and monitoring existing client base and industry developments to identify potential new product opportunities from emerging technologies
* Developing strong working relationships with peers across engineering, collaborating to develop leading data engineering solutions
* Driving adherence to the relevant data engineering and data modeling processes, procedures, standards, and may input into the definition, maintenance and implementation of technology standards
**Skills And Attributes For Success**
* Data Architecture: Able to design and implement data architecture solutions that meet organizational needs by leveraging the Azure Well\-Architected Framework (WAF) pillars (Cost Optimization, Operational Excellence, Performance Efficiency, Reliability, and Security)
* Infrastructure Architecture Diagrams: Able to create and deliver Azure Infrastructure Architecture Diagrams (IAD) that visually represent the architecture of data solutions, ensuring clarity and alignment with best practices.
* Data Extraction \- Capability to design an efficient way of extracting high volumes structured and unstructured data with an automation CDC capability.
* Data Ingestion \- Capability to design efficient ingestion strategy for batch processing as well as stream processing of all verity of source data that produces on the transactional systems as fast as it is.
* Data Processing \- Capability to design and implement models, capabilities and solutions to process data within the enterprise (data validation, data quality, data profiling, etc.).
* Data Modeling \- Capability to design, develop and produce data models of relatively high complexity, leveraging a sound understanding of data modelling standards to ensure high quality.
* Data Store \- Capability to design data storage models, storage requirements and migration of data from one system to another.
* Data Consumption \- Capability to design data consumption mechanisms with APIs, Virtualization and Visualization tools.
* Data Governance \- Capability to design governance mechanism including data catalogue, lineage, classification, MDM, exploration.
* Data Security: Able to design and implement various authentication and authorization methods to ensure Data security
* Data Integration: Develop and manage data integration strategies, including ETL processes, to ensure seamless data flow and accessibility across systems.
**Required Technical Skills**
* Handson experience in building Data Architecture using various data architecture patterns like Data Mesh, Data Fabric, Data Lakehouse, Data observability \&amp; Data as a Service (DaaS)
* Proficient in Azure services (e.g., Azure Data Lake, Azure SQL Database, Azure Synapse Analytics) to build scalable and efficient data solutions.
* Experience in building data orchestration through Azure Data Factory, Function App, Logic App.
* Proficient in SQL and familiar with programming languages such as Python or Java
* Extensively worked on Databricks performance optimization (includes data Ingestion, transformation and consumption areas)
* Experience designing and building Data Platforms integrating disparate data sources
* Experience in design and development of various authentication and authorization methods to ensure data security.
* Expertise in working with MPP designs to speed the performance of huge databases that deal with massive amounts of data
* Expertise in Azure, Azure Databricks, Azure SQL, Spark
* Expertise developing dataflows using ADF and/or Databricks
* Advanced, hands\-on design and implementation experience of large analytic warehouse.
* Advanced, hands\-on experience in Spark architecture and implementation using several methods
* Experience in working with Distributed Message Systems like Kafka.
* Hands on experience on Python, PySpark or R.
* Expert in creating and analyzing complex SQL queries and procedures.
* Understanding of big data and distributed Architecture.
* Creating Ingestion workflows using Oozie or similar tools
* Knowledge of security measures like HTTPS and Kerberos
**Beneficial Technical Skills**
* Azure Data Lake Store, Databricks Delta Lakes
* Experience using NoSQL databases
* Advanced Analytics, ML and AI
* Knowledge in Graph Databases, preferably Neo4J, Cypher and CosmosDB
* Experience developing Microservices
**Education**
* B.E. / M.S. Computer Science, Data Analytics, Data Science, Engineering, IT, or related field preferred
* Big Data Certification from Microsoft/Cloudera/Hortonworks/Databricks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$122,200 to $228,600\. The base salary range for New York City Metro Area, Washington State and California (excluding Sacramento) is $146,700 to $259,700\.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1">
      <c r="A91" t="inlineStr">
        <is>
          <t>li-4357901070</t>
        </is>
      </c>
      <c r="B91" t="inlineStr">
        <is>
          <t>Principal Scientific Data Engineer – Informatics</t>
        </is>
      </c>
      <c r="C91" t="inlineStr">
        <is>
          <t>Kymera Therapeutics</t>
        </is>
      </c>
      <c r="D91" t="inlineStr">
        <is>
          <t>linkedin</t>
        </is>
      </c>
      <c r="E91">
        <f>HYPERLINK("https://www.linkedin.com/jobs/view/4357901070", "https://www.linkedin.com/jobs/view/4357901070")</f>
        <v/>
      </c>
      <c r="F91" t="inlineStr"/>
      <c r="G91" t="inlineStr"/>
      <c r="H91" t="inlineStr"/>
      <c r="I91" t="inlineStr">
        <is>
          <t>**Who we are:**
 Kymera is a clinical\-stage biotechnology company pioneering the field of targeted protein degradation (TPD) to develop medicines that address critical health problems and have the potential to dramatically improve patients’ lives. Kymera is deploying TPD to address disease targets and pathways inaccessible with conventional therapeutics. Having advanced the first degrader into the clinic for immunological diseases, Kymera is focused on building an industry\-leading pipeline of oral small molecule degraders to provide a new generation of convenient, highly effective therapies for patients with these conditions. Founded in 2016, Kymera has been recognized as one of Boston’s top workplaces for the past several years. For more information about our science, pipeline and people, please visit www.kymeratx.com or follow us on X (formerly Twitter) or LinkedIn.
**How we work:**
* PIONEER: We are courageous, resilient and rigorous in our mission to improve patients’ lives through our revolutionary degrader medicines.
* COLLABORATE: We value trust \+ transparency from everyone. Our goals are shared, our decisions data\-driven and our camaraderie genuine.
* BELONG: We recognize our differences, inviting curiosity and inclusivity, so that our people are valued, seen, and heard.
**How you’ll make an impact:**
 We are seeking a highly motivated Principal Scientific Data Engineer to lead and deliver Informatics solutions that directly support Research. This role is hands on and execution driven, with accountability for Informatics project delivery, operational data workflows, and close partnership with Research champions. The ideal candidate combines strong technical depth with pragmatic leadership, understands scientific data end to end, and can translate Research needs into scalable, reliable informatics capabilities.
* Lead and deliver Informatics projects supporting discovery from requirements through production. Act as a primary Informatics partner to Research champions; proactively identify opportunities to improve data storage, quality, and usability.
* Own and support day‑to‑day Research operations related to data management, automation, and scientific systems.
* Design, build, and maintain data pipelines, automation scripts, and analytical tools to improve operational efficiency.
* Administer, integrate, and optimize scientific data platforms (e.g., CDD Vault, D360, LiveDesign, or similar systems). Collaborate with IT and Cybersecurity on infrastructure, access controls, and system reliability.
* Manage external vendors and consultants: scope work, oversee delivery, review quality, and control costs.
* Work closely with IT/Informatics leadership to shape strategy and roadmap, with a strong focus on quality, scalability, maintainability, and future‑proofing.
**Skills and experience you’ll bring:**
* Master’s degree or higher in a relevant STEM field (e.g., Computer Science, Bioinformatics, Computational, Data Science, or related discipline).
* 8\+ years of relevant experience in Informatics, Data Engineering, or computational roles supporting scientific research.
* Demonstrated experience leading Informatics or data‑centric projects with cross‑functional stakeholders. Experience working with and managing external vendors and consultants.
* Advanced technical experience in:
+ R (including R Shiny for interactive applications)
+ Python
+ SQL and relational databases
+ Linux command\-line environments
* Experience managing and supporting scientific software platforms such as CDD, D360, LiveDesign, or equivalent systems.
* Strong background in data management, including data modeling, curation, validation, and lifecycle management. Proven experience wrangling and integrating open‑source or public scientific datasets.
* Working knowledge of AWS or cloud‑based infrastructure concepts.
 Preferred:
* Experience with budgeting, forecasting, and financial tracking for Informatics initiatives.
* Prior people management or technical mentorship experience.
* Familiarity with additional programming languages or frameworks beyond R and Python.
* Understanding of the Chemistry DMTA (Design‑Make‑Test‑Analyze) cycle and its data flows.
* Experience with proteomics data processing and analysis workflows.
* Exposure to modern data engineering or analytics stacks (e.g., workflow orchestration, APIs, containerization).
*Equal Employment Opportunity*
 Kymera Therapeutics is proud to be an equal opportunity employer, seeking to create a welcoming and diverse environment. All applicants will receive consideration for employment without regard to race, color, religion, creed, gender, national origin, age, disability, veteran status, pregnancy, sex, marital status, gender expression or identity, genetic information, sexual orientation, citizenship, or any other legally protected class.
**Compensation**
* Kymera offers a competitive compensation package that recognizes both results and capabilities through market\-based, performance\-driven pay.
* The anticipated base salary range for this role is $160,000 – $240,000, with eligibility for annual bonus, equity participation, and comprehensive benefits.
* Actual salary is based on a holistic evaluation of the specific role/level as well as each candidate’s depth of experience and the capabilities they bring to the position.</t>
        </is>
      </c>
    </row>
    <row r="92">
      <c r="A92" t="inlineStr">
        <is>
          <t>li-4282844260</t>
        </is>
      </c>
      <c r="B92" t="inlineStr">
        <is>
          <t>Databricks Data Engineer - Senior - Consulting - Location Open</t>
        </is>
      </c>
      <c r="C92" t="inlineStr">
        <is>
          <t>EY</t>
        </is>
      </c>
      <c r="D92" t="inlineStr">
        <is>
          <t>linkedin</t>
        </is>
      </c>
      <c r="E92">
        <f>HYPERLINK("https://www.linkedin.com/jobs/view/4282844260", "https://www.linkedin.com/jobs/view/4282844260")</f>
        <v/>
      </c>
      <c r="F92">
        <f>HYPERLINK("https://careers.ey.com/ey/job/New-York-Databricks-Data-Engineer-Senior-Consulting-Location-Open-NY-10001-8604/1236648701/?feedId=337401&amp;utm_source=LinkedInJobPostings&amp;utm_campaign=j2w_linkedin&amp;urlHash=uaVi", "https://careers.ey.com/ey/job/New-York-Databricks-Data-Engineer-Senior-Consulting-Location-Open-NY-10001-8604/1236648701/?feedId=337401&amp;utm_source=LinkedInJobPostings&amp;utm_campaign=j2w_linkedin&amp;urlHash=uaVi")</f>
        <v/>
      </c>
      <c r="G92" t="inlineStr">
        <is>
          <t>Memphis, TN</t>
        </is>
      </c>
      <c r="H92" t="inlineStr"/>
      <c r="I9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3">
      <c r="A93" t="inlineStr">
        <is>
          <t>li-4352410673</t>
        </is>
      </c>
      <c r="B93" t="inlineStr">
        <is>
          <t>Databricks Data Engineer - Manager - Consulting - Miami</t>
        </is>
      </c>
      <c r="C93" t="inlineStr">
        <is>
          <t>EY</t>
        </is>
      </c>
      <c r="D93" t="inlineStr">
        <is>
          <t>linkedin</t>
        </is>
      </c>
      <c r="E93">
        <f>HYPERLINK("https://www.linkedin.com/jobs/view/4352410673", "https://www.linkedin.com/jobs/view/4352410673")</f>
        <v/>
      </c>
      <c r="F93">
        <f>HYPERLINK("https://careers.ey.com/ey/job/Miami-Databricks-Data-Engineer-Manager-Consulting-Miami-FL-33136-4118/1274069001/?feedId=337401&amp;utm_source=LinkedInJobPostings&amp;utm_campaign=j2w_linkedin&amp;urlHash=Tlkk", "https://careers.ey.com/ey/job/Miami-Databricks-Data-Engineer-Manager-Consulting-Miami-FL-33136-4118/1274069001/?feedId=337401&amp;utm_source=LinkedInJobPostings&amp;utm_campaign=j2w_linkedin&amp;urlHash=Tlkk")</f>
        <v/>
      </c>
      <c r="G93" t="inlineStr">
        <is>
          <t>Rogers, AR</t>
        </is>
      </c>
      <c r="H93" t="inlineStr"/>
      <c r="I9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4">
      <c r="A94" t="inlineStr">
        <is>
          <t>li-4373157514</t>
        </is>
      </c>
      <c r="B94" t="inlineStr">
        <is>
          <t>Quantitative Data Engineer – Leading Macro Fund – NYC - Barclay Simpson</t>
        </is>
      </c>
      <c r="C94" t="inlineStr">
        <is>
          <t>Jobs via eFinancialCareers</t>
        </is>
      </c>
      <c r="D94" t="inlineStr">
        <is>
          <t>linkedin</t>
        </is>
      </c>
      <c r="E94">
        <f>HYPERLINK("https://www.linkedin.com/jobs/view/4373157514", "https://www.linkedin.com/jobs/view/4373157514")</f>
        <v/>
      </c>
      <c r="F94" t="inlineStr"/>
      <c r="G94" t="inlineStr">
        <is>
          <t>New York, NY</t>
        </is>
      </c>
      <c r="H94" t="inlineStr"/>
      <c r="I94" t="inlineStr">
        <is>
          <t>A technology\-driven investment firm is hiring a
 **Quantitative Data Engineer** 
 to help design and operate the data systems that underpin research and trading across global markets.
 This role sits at the intersection of
 **data engineering, quantitative research, and production trading systems** 
 . You’ll focus on building robust, high\-performance data pipelines and analytical frameworks that support model development, signal research, and live trading workflows.
**Role Focus**
 You will work directly with researchers, quantitative analysts, and engineers to translate complex research requirements into scalable data solutions. The position emphasizes
 **Python\-based data engineering, structured data modeling, and production reliability** 
 in a research\-driven environment.
**Key Responsibilities**
* Analyze research and trading workflows to design data pipelines that support quantitative modeling and time\-series analysis
* Build, test, and optimize Python\-based data systems used in research and production environments
* Develop reusable data frameworks, libraries, and services that improve researcher efficiency and data quality
* Partner with engineering and research teams to evolve data platforms as strategies and models change
* Own production data workflows, including monitoring, troubleshooting, and incident resolution
* Produce clear technical documentation covering system design, data contracts, and operational procedures
**Technical Profile**
* Bachelor’s degree in a technical discipline such as computer science, engineering, or a related field
* Strong Python development experience, including heavy use of numerical and data libraries
* Solid SQL skills and experience working with large, structured datasets
* Hands\-on experience with relational or NoSQL database systems
* Familiarity with workflow orchestration, containerization, or distributed systems is a plus
* Strong debugging, performance optimization, and systems\-level problem\-solving skills
* Ability to reason analytically about data quality, latency, and reliability
* Comfortable communicating technical concepts across engineering and research audiences</t>
        </is>
      </c>
    </row>
    <row r="95">
      <c r="A95" t="inlineStr">
        <is>
          <t>li-4352782975</t>
        </is>
      </c>
      <c r="B95" t="inlineStr">
        <is>
          <t>Lead Data Engineer - Hybrid (Raleigh or Jersey City)</t>
        </is>
      </c>
      <c r="C95" t="inlineStr">
        <is>
          <t>Arch Insurance Group Inc.</t>
        </is>
      </c>
      <c r="D95" t="inlineStr">
        <is>
          <t>linkedin</t>
        </is>
      </c>
      <c r="E95">
        <f>HYPERLINK("https://www.linkedin.com/jobs/view/4352782975", "https://www.linkedin.com/jobs/view/4352782975")</f>
        <v/>
      </c>
      <c r="F95" t="inlineStr"/>
      <c r="G95" t="inlineStr"/>
      <c r="H95" t="inlineStr"/>
      <c r="I95"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We are seeking a highly skilled and motivated Lead Data Engineer to oversee the technical design and implementation of data solutions, champion best practices in data management, and lead a team of developers. This role is critical in ensuring that our data initiatives align with business goals and that robust technical plans are in place to support our roadmap.
 We are seeking a hybrid (three\-times\-a\-week, in\-office) employee based in either the Raleigh, NC or Jersey City, NJ areas. Candidates must be available to participate in onsite interviews at one of these locations in order to be considered.
**Key Responsibilities**
* Lead the team in the process design, technical architecture, and engineering practices on new implementations and day to day support and operations.
* Provide technical guidance and mentorship to the team through knowledge sharing and day to day activities (design \&amp; code reviews, story/requirements definition, writing/maintaining wiki knowledge base)
* Ensure adherence to the company's architecture, data governance, quality, and security standards and create standards for the team where the broader company standards do not cover a specific area
* Collaborate with product owner/managers and stakeholders to align data initiatives with the product roadmap.
* Manage the complete implementation team (engineers, QA, and BSA)
* Keep data projects on track with defined milestones and deliverables including raising risks with suggestions on how to mitigate, work around, or resolve them
* Foster a collaborative culture by promoting data literacy and self\-service analytics across the organization
**Qualifications**
* Bachelor’s or Master’s degree in Computer Science, Data Engineering, or a related field.
* 7\+ years of experience in data engineering or data architecture roles.
* Strong expertise in SQL (MSSQL or Snowflake preferred) and ETL platforms (SSIS, Azure Data Factory, or Informatica)
* Excellent communication and stakeholder management skills.
* Able to articulate and demonstrate prior examples of implementing Proven experience leading technical teams and managing complex data projects.
**Preferred Qualifications**
* Experience with Agile methodologies and DevOps practices in an environment with multiple teams coordinating on a single system
* Insurance industry experience
 For individuals assigned or hired to work in the location(s) indicated below, the base salary range is provided. Range is as of the time of posting. Position is incentive eligible.
 $130,000 \- $175,000/year
*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pay range may be modified in the future.
* Arch is committed to helping employees succeed through our comprehensive benefits package that includes multiple medical plans plus dental, vision and prescription drug coverage; a competitive 401k with generous matching; PTO beginning at 20 days per year; up to 12 paid company holidays per year plus 2 paid days of Volunteer Time Offer; basic Life and AD\&amp;D Insurance as well as Short and Long\-Term Disability; Paid Parental Leave of up to 10 weeks; Student Loan Assistance and Tuition Reimbursement, Backup Child and Elder Care; and more.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14400 Arch Insurance Group Inc.</t>
        </is>
      </c>
    </row>
    <row r="96">
      <c r="A96" t="inlineStr">
        <is>
          <t>li-4368853041</t>
        </is>
      </c>
      <c r="B96" t="inlineStr">
        <is>
          <t>Data Engineer/Architect</t>
        </is>
      </c>
      <c r="C96" t="inlineStr">
        <is>
          <t>Accenture Federal Services</t>
        </is>
      </c>
      <c r="D96" t="inlineStr">
        <is>
          <t>linkedin</t>
        </is>
      </c>
      <c r="E96">
        <f>HYPERLINK("https://www.linkedin.com/jobs/view/4368853041", "https://www.linkedin.com/jobs/view/4368853041")</f>
        <v/>
      </c>
      <c r="F96">
        <f>HYPERLINK("https://boards.greenhouse.io/accenturefederalservices/jobs/4607396006?gh_jid=4607396006&amp;gh_src=17d6aa496us&amp;source=LinkedIn&amp;urlHash=aCZG", "https://boards.greenhouse.io/accenturefederalservices/jobs/4607396006?gh_jid=4607396006&amp;gh_src=17d6aa496us&amp;source=LinkedIn&amp;urlHash=aCZG")</f>
        <v/>
      </c>
      <c r="G96" t="inlineStr">
        <is>
          <t>Columbia, MD</t>
        </is>
      </c>
      <c r="H96" t="inlineStr"/>
      <c r="I96"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
 Join us to drive positive, lasting change that moves missions and the government forward!
 Accenture Federal Services is seeking a Data Engineer/Architect who will be responsible for formulating, designing and delivering AI/ML\-based decision\-making frameworks and models for business outcomes for Cyber Delivery. This person will measure and justify AI/ML based solution values. Responsible for designing data infrastructure strategies, including the overall enterprise data management framework, data security, and compliance. This role will focus on building and maintaining the technical infrastructure used to store, process, and analyze data.
**What you'll need:**
* 5 years of experience in IT, managing data and infrastructure
* 5 years of experience with building Big Data Platforms
* Experience making data accessible in Amazon Web Services (AWS)
* Experience with Data streaming technologies that are used to move data from a source to a target at high speeds, and process it in real\-time
* Working knowledge of containerized software development
**Desired Skills:**
* Self\-starter ability to switch directions and multi\-task
* Ability to communicate data management design solutions with team and customer
* Ability to design visualizations for data
* Familiarity with Agile Development Environment and Scaled Agile Framework (SAFe)
* Ability to formulate, design, and deliver AI/ML\-based decision\-making frameworks and models for business outcomes
**Security Clearance:**
* Needs active TS/SCI and a willingness to sit for a Poly
 \#clearancejobs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$126,300—$243,100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97">
      <c r="A97" t="inlineStr">
        <is>
          <t>li-4367464888</t>
        </is>
      </c>
      <c r="B97" t="inlineStr">
        <is>
          <t>Risk Technology - Lead Data Platform Engineer</t>
        </is>
      </c>
      <c r="C97" t="inlineStr">
        <is>
          <t>Selby Jennings</t>
        </is>
      </c>
      <c r="D97" t="inlineStr">
        <is>
          <t>linkedin</t>
        </is>
      </c>
      <c r="E97">
        <f>HYPERLINK("https://www.linkedin.com/jobs/view/4367464888", "https://www.linkedin.com/jobs/view/4367464888")</f>
        <v/>
      </c>
      <c r="F97" t="inlineStr"/>
      <c r="G97" t="inlineStr">
        <is>
          <t>Chicago, IL</t>
        </is>
      </c>
      <c r="H97" t="inlineStr"/>
      <c r="I97" t="inlineStr">
        <is>
          <t>**Data Platform Engineering Lead \-** 
**Role Overview** 
 We are seeking an experienced technical leader to drive the design and development of our next‑generation Data Platform\-a core strategic asset enabling scalable data onboarding, processing, and transformation across the organization. The ideal candidate combines deep engineering expertise, hands‑on distributed systems experience, and a proven record of managing high‑performing teams. Candidates from financial services\-especially hedge funds or similarly data‑intensive trading environments\-are strongly preferred.
 This role is hands‑on. Whether operating as a manager or as an IC technical lead, the candidate must actively contribute to architecture, coding, design reviews, and technical problem‑solving.
 The position requires onsite presence in Chicago or New York at least four days per week; candidates must be open to relocating.
 What You'll Do
* Build and enhance systems, tools, and frameworks supporting data engineers, analysts, and scientists.
* Architect and evolve distributed data systems to support enterprise‑scale workloads.
* Lead, manage, and mentor a team of developers while remaining deeply hands‑on in technical design and implementation.
* Plan, organize, and deliver development initiatives using Agile methodologies.
* Utilize AWS services for logging, monitoring, orchestration, and data storage.
* Investigate and resolve time‑critical production issues in a fast‑paced environment.
 Minimum Qualifications
* 6\+ years of hands‑on Python development experience.
* 6\+ years of experience working with SQL databases.
* 5\+ years building distributed systems with web‑service or event‑driven architectures.
* 5\+ years managing engineering teams, with demonstrated hands‑on technical involvement.
* 3\+ years of AWS development experience.
* Strong written and verbal communication skills.
* Bachelor's degree or higher in Computer Science or another STEM field.
* Willingness to work onsite in Chicago or New York at least four days per week and relocate if needed.
 Preferred Qualifications
* Experience in financial services\-ideally within a hedge fund or similar data‑intensive environment.
* 5\+ years working with big data technologies (e.g., Snowflake, Trino, Iceberg, DataHub, Airflow).
* Prior experience developing large‑scale, data‑centric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2026-02-25T17:18:03Z</dcterms:created>
  <dcterms:modified xsi:type="dcterms:W3CDTF">2026-02-25T17:18:03Z</dcterms:modified>
</cp:coreProperties>
</file>