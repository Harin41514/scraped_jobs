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77"/>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in-8634529536c8c49c</t>
        </is>
      </c>
      <c r="B2" t="inlineStr">
        <is>
          <t>Sr AI/ML Engineer - Remote Nationwide or Hybrid in MN/DC</t>
        </is>
      </c>
      <c r="C2" t="inlineStr">
        <is>
          <t>Optum</t>
        </is>
      </c>
      <c r="D2" t="inlineStr">
        <is>
          <t>indeed</t>
        </is>
      </c>
      <c r="E2" t="inlineStr"/>
      <c r="F2" t="inlineStr"/>
      <c r="G2" t="inlineStr">
        <is>
          <t>Minnetonka, MN, US</t>
        </is>
      </c>
      <c r="H2" s="1" t="n">
        <v>46077</v>
      </c>
      <c r="I2" t="inlineStr">
        <is>
          <t>Optum Tech is a global leader in health care innovation. Our teams develop cutting\-edge solutions that help people live healthier lives and help make the health system work better for everyone. From advanced data analytics and AI to cybersecurity, we use innovative approaches to solve some of health care's most complex challenges. Your contributions here have the potential to change lives. Ready to build the next breakthrough? Join us to start **Caring. Connecting. Growing together.**
At Optum, we are shaping the future of health care through technology that powers better outcomes for millions of people. As a Senior AI/ML engineer, you will provide team lead oversight for voice bots on omnichannel contact center platforms.
We're looking for a hands\-on technical leader to design, build, and productionize AI/ML and GenAI solutions that improve healthcare operations and patient outcomes. You will own end\-to\-end delivery\-from problem framing and data pipelines to models, and ongoing monitoring\-while mentoring a small team and partnering with product, data engineering, and clinical/operations stakeholders.
You'll enjoy the flexibility to work remotely \* from anywhere within the U.S. as you take on some tough challenges. For all hires in the Minneapolis or Washington, D.C. area, you will be required to work in the office a minimum of four days per week.
 **Primary Responsibilities:**
* Lead and contribute to the design and hands\-on implementation of AI/ML systems that enables Optum to deliver self\-service voice bot solutions
* Design, develop, and implement models using GenAI (LLMs, agentic frameworks) and/or traditional ML on the cloud
* Utilize version control tools such as GitHub for code management and collaboration, and manage multiple activities in a fast\-paced environment while adhering to best practices in coding and documentation
* Partner with product managers, data scientists, prompt designers, engineers, and business stakeholders to translate business requirements into scalable AI voice bot systems
* Leverage AI assisted tools for design, implementation, code reviews, and testing
* Ensure the delivery of high\-quality, maintainable, and efficient code and specifications. Lead by example to deliver product quality the first time
* Drive the full lifecycle of AI/ML initiatives\-from problem definition and data exploration to agent development, deployment, and monitoring. Define project scope, success metrics, and timelines in collaboration with cross\-functional teams and ensure timely delivery while not compromising on quality
* Stay ahead of the curve on emerging AI/ML technologies, tools, and research, and evaluate their applicability to business problems. Embrace and promote a culture of innovation through rapid iteration, experimentation and data driven decision\-making
* Be a trusted technical advisor to management, internal stakeholders, and customers
* Mentor and lead other engineers to reach their potential
* Uphold ethical AI principles by embedding fairness, transparency, and accountability throughout the model development lifecycle
You'll be rewarded and recognized for your performance in an environment that will challenge you and give you clear direction on what it takes to succeed in your role as well as provide development for other roles you may be interested in.
**Required Qualifications:**
* Undergraduate degree or equivalent experience
* 3\+ years of experience in Python programming
* 2\+ years of experience with Deploying and manage ML models on cloud platforms such as Microsoft Azure, AWS, Google Cloud Platform (GCP)
* 2\+ years of experience developing Voice bots
* 1\+ years DevOps experience
* 1\+ years of experience with Terraform scripts
* 1\+ years of Git action and CI/CD experience
 **Preferred Qualifications:**
* Prompt engineering experience
* Experience leveraging Large Language Models (LLMs)
* Experience working with various AI/ML infrastructure, tools and platforms across the full stack of AI/ML technology
* Experience with the challenges of delivering and monitoring LLM based cloud systems into production
* Proven solid communication skills with the ability to explain complex technical concepts to diverse audiences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$91,700 to $163,700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t>
        </is>
      </c>
    </row>
    <row r="3">
      <c r="A3" t="inlineStr">
        <is>
          <t>in-af7dfe7927229903</t>
        </is>
      </c>
      <c r="B3" t="inlineStr">
        <is>
          <t>Principal Applied Scientist, Experimentation Platform - CoreAI</t>
        </is>
      </c>
      <c r="C3" t="inlineStr">
        <is>
          <t>Microsoft</t>
        </is>
      </c>
      <c r="D3" t="inlineStr">
        <is>
          <t>indeed</t>
        </is>
      </c>
      <c r="E3" t="inlineStr"/>
      <c r="F3" t="inlineStr"/>
      <c r="G3" t="inlineStr">
        <is>
          <t>Redmond, WA, US</t>
        </is>
      </c>
      <c r="H3" s="1" t="n">
        <v>46076</v>
      </c>
      <c r="I3" t="inlineStr">
        <is>
          <t>**Overview** **Overview:** CoreAI sits at the center of Microsoft’s mission to redefine how software is built and experienced, providing the foundational platforms, services, and developer experiences that power the next generation of AI\-driven applications. As part of CoreAI, the Experimentation Platform (ExP) enables trustworthy, high\-scale online experimentation that accelerates product learning and drives progress across Microsoft’s AI ecosystem. You will play a pivotal role in shaping the technical direction of systems that help teams ship better AI experiences faster by providing the experimentation capabilities needed to evaluate, refine, and safely deploy new innovations.
**In this role, you will:**
* Push the envelope on online experimentation methodology and agent evaluations, advancing the state\-of\-the\-art by connecting product development needs, latest science techniques and platform opportunities
* Contribute to one of the highest\-scale experimentation platforms on the planet
* Collaborate closely with backend engineers, data scientists, site reliability engineers (SREs), and product managers to gather requirements, iterate on features, and deliver seamless, end\-to\-end user experiences.
* Collaborate closely with designers, UI\-experts, science leaders and engineers to ensure clear, actionable dashboards and visualizations that empower users to make trustworthy science\-informed decisions.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Collaborate with and bridge the gaps between researchers (e.g., across CoreAI, Microsoft Research \[MSR] and open source communities) to translate applied research into differentiated, production\-quality features
* Provide technical guidance and deep industry insight, advising cross\-functional teams on the adoption of cutting\-edge AI tools, technologies, and methodologies to ensure successful experimentation programs and uphold the highest standards of quality and scientific rigor.
* Ensure teams develop and apply advanced subject matter expertise across a diverse set of specialized tools and methods, driving measurable business outcomes and elevating the scope and impact of Microsoft’s experimentation initiatives.
* Interface with experimentation partners across Microsoft to translate requirements into platform capabilities and lower barriers requiring advanced subject matter expertise.
* Provide mentorship and coaching to less experienced and mid\-level team members by sharing expertise to build team capabilities and guiding team members in projects, and their careers
**Qualifications** **Required Minimum Qualifications:**
Bachelor's Degree in Statistics, Econometrics, Computer Science, Electrical or Computer Engineering, or related field AND 6\+ years related experience (e.g., statistics, predictive analytics, research) OR Master's Degree in Statistics, Econometrics, Computer Science, Electrical or Computer Engineering, or related field AND 4\+ years related experience (e.g., statistics, predictive analytics, research) OR Doctorate in Statistics, Econometrics, Computer Science, Electrical or Computer Engineering, or related field AND 3\+ years related experience (e.g., statistics, predictive analytics, research)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Doctorate in Statistics, Econometrics, Computer Science, Electrical or Computer Engineering, or related field AND 6\+ years related experience (e.g., statistics, predictive analytics, research)
* Experience with Agent based architectures, frameworks and technologies (such as MCP, A2A protocol, or Azure AI Foundry)
* 3\+ years of experience developing and deploying products or systems at multiple points in the product cycle from ideation to shipping as part of a product team.
* Proven track record designing and scaling online experimentation platforms that support high‑velocity A/B and multivariate testing across complex, multi‑team product ecosystems, including governance, guardrails, and causal inference best practices.
* Demonstrated thought leadership in product measurement strategy, with the ability to define north‑star metrics, architect measurement frameworks, and influence senior product and engineering leaders on how to interpret ambiguous or noisy data at scale.
* 5\+ years experience creating publications (e.g., patents, libraries, peer\-reviewed academic papers).
Applied Sciences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Applied Sciences IC6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4">
      <c r="A4" t="inlineStr">
        <is>
          <t>in-7727b77bfe2ee95c</t>
        </is>
      </c>
      <c r="B4" t="inlineStr">
        <is>
          <t>Applied Scientist II</t>
        </is>
      </c>
      <c r="C4" t="inlineStr">
        <is>
          <t>Microsoft</t>
        </is>
      </c>
      <c r="D4" t="inlineStr">
        <is>
          <t>indeed</t>
        </is>
      </c>
      <c r="E4" t="inlineStr"/>
      <c r="F4" t="inlineStr"/>
      <c r="G4" t="inlineStr">
        <is>
          <t>US</t>
        </is>
      </c>
      <c r="H4" s="1" t="n">
        <v>46064</v>
      </c>
      <c r="I4" t="inlineStr">
        <is>
          <t>**Overview**  
AI has created an unprecedented opportunity to make work better for hundreds of millions of people. Microsoft’s productivity division is hiring **Applied Scientists II** to help ensure we maximize this amazing opportunity. Our scientists collaborate closely with people across Microsoft’s product teams and Microsoft Research to see their ideas realized in products and services like M365, M365 Copilot, Office AI, and Office Products (Excel, PowerPoint, Word, etc.). They also contribute back to the scientific community through peer\-reviewed publications at top venues, scientific presentations, and beyond.
We are looking for **Applied Scientists II** who are creative, self\-driven, curious, people\-oriented and comfortable defining a path through ambiguity towards high\-level goals. Research areas of interest include but are certainly not limited to reinforcement learning, agentic systems multimodal modeling, post\-training techniques and their application, human\-centered artificial intelligence (AI), domain\-specific large language model (LLM) applications (e.g. long\-form writing assistance), personalization, computational social science, memory, agentic retrieval\-augmented generation (RAG), real\-time AI systems, collaborative AI, privacy\-preserving AI, trustworthy AI, data\-centric AI, AI flywheels, and multilingual AI.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Defining, leading, and helping to conduct research projects that simultaneously advance the state\-of\-the\-art and directly benefit Microsoft’s core productivity products.
* Shape product direction by integrating rigorous scientific methods into the product lifecycle.
* Collaborating and coordinating with people in a range of roles, including researchers, engineers, product managers, designers, and other key product stakeholders. Serving as a bridge between research and product.
* Teaching, guiding, and tutoring colleagues without research backgrounds in state\-of\-the\-art techniques and research best practices.
* Sharing your research with others via a range of means, including publication, to enable others to build on your work and to contribute to the understanding of our products as cutting\-edge and science driven.
* Effectively communicating with product leaders (and often Microsoft researchers (MSR)) throughout the planning and execution of applied research projects, which often involves learning and teaching complex concepts.
**Qualifications** **Required Qualifications:**
* Bachelor's Degree in Statistics, Econometrics, Computer Science, Electrical or Computer Engineering, or related field AND 2\+ years related experience (e.g., statistics, predictive analytics, research) OR Master's Degree in Statistics, Econometrics, Computer Science, Electrical or Computer Engineering, or related field AND 1\+ year(s) related experience (e.g., statistics, predictive analytics, research) OR Doctorate in Statistics, Econometrics, Computer Science, Electrical or Computer Engineering, or related field OR equivalent experience.
**Preferred Qualifications:**
* At least one internship or prior role at a leading technology company, or start\-up, or related organizations.
* A record of publications in top\-tier scientific venues (e.g., NeurIPS, ICML, ICLR, ACL, NAACL, KDD, WWW, CHI, PNAS, Nature, EMNLP, CVPR, ICCV, ECCV, CoRL).
* Proven real\-world impact from your research, demonstrated through shipped products, improved user experiences, or other measurable benefits for diverse stakeholders.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Applied Sciences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5">
      <c r="A5" t="inlineStr">
        <is>
          <t>in-9a2f2ce051578033</t>
        </is>
      </c>
      <c r="B5" t="inlineStr">
        <is>
          <t>AI Engineer - Manager</t>
        </is>
      </c>
      <c r="C5" t="inlineStr">
        <is>
          <t>PwC</t>
        </is>
      </c>
      <c r="D5" t="inlineStr">
        <is>
          <t>indeed</t>
        </is>
      </c>
      <c r="E5" t="inlineStr"/>
      <c r="F5" t="inlineStr"/>
      <c r="G5" t="inlineStr">
        <is>
          <t>Las Vegas, NV, US</t>
        </is>
      </c>
      <c r="H5" s="1" t="n">
        <v>46076</v>
      </c>
      <c r="I5"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6">
      <c r="A6" t="inlineStr">
        <is>
          <t>in-d5218947ad269561</t>
        </is>
      </c>
      <c r="B6" t="inlineStr">
        <is>
          <t>AI Engineer - Manager</t>
        </is>
      </c>
      <c r="C6" t="inlineStr">
        <is>
          <t>PwC</t>
        </is>
      </c>
      <c r="D6" t="inlineStr">
        <is>
          <t>indeed</t>
        </is>
      </c>
      <c r="E6" t="inlineStr"/>
      <c r="F6" t="inlineStr"/>
      <c r="G6" t="inlineStr">
        <is>
          <t>Toledo, OH, US</t>
        </is>
      </c>
      <c r="H6" s="1" t="n">
        <v>46076</v>
      </c>
      <c r="I6"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7">
      <c r="A7" t="inlineStr">
        <is>
          <t>in-b7a6fe08a7437c2a</t>
        </is>
      </c>
      <c r="B7" t="inlineStr">
        <is>
          <t>AI Engineer - Manager</t>
        </is>
      </c>
      <c r="C7" t="inlineStr">
        <is>
          <t>PwC</t>
        </is>
      </c>
      <c r="D7" t="inlineStr">
        <is>
          <t>indeed</t>
        </is>
      </c>
      <c r="E7" t="inlineStr"/>
      <c r="F7" t="inlineStr"/>
      <c r="G7" t="inlineStr">
        <is>
          <t>Philadelphia, PA, US</t>
        </is>
      </c>
      <c r="H7" s="1" t="n">
        <v>46076</v>
      </c>
      <c r="I7"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8">
      <c r="A8" t="inlineStr">
        <is>
          <t>in-e954384f48f6ca72</t>
        </is>
      </c>
      <c r="B8" t="inlineStr">
        <is>
          <t>AI Engineer - Manager</t>
        </is>
      </c>
      <c r="C8" t="inlineStr">
        <is>
          <t>PwC</t>
        </is>
      </c>
      <c r="D8" t="inlineStr">
        <is>
          <t>indeed</t>
        </is>
      </c>
      <c r="E8" t="inlineStr"/>
      <c r="F8" t="inlineStr"/>
      <c r="G8" t="inlineStr">
        <is>
          <t>Des Moines, IA, US</t>
        </is>
      </c>
      <c r="H8" s="1" t="n">
        <v>46076</v>
      </c>
      <c r="I8"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9">
      <c r="A9" t="inlineStr">
        <is>
          <t>in-f20ca2ee1df181f6</t>
        </is>
      </c>
      <c r="B9" t="inlineStr">
        <is>
          <t>AI Engineer - Manager</t>
        </is>
      </c>
      <c r="C9" t="inlineStr">
        <is>
          <t>PwC</t>
        </is>
      </c>
      <c r="D9" t="inlineStr">
        <is>
          <t>indeed</t>
        </is>
      </c>
      <c r="E9" t="inlineStr"/>
      <c r="F9" t="inlineStr"/>
      <c r="G9" t="inlineStr">
        <is>
          <t>Nashville, TN, US</t>
        </is>
      </c>
      <c r="H9" s="1" t="n">
        <v>46076</v>
      </c>
      <c r="I9"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0">
      <c r="A10" t="inlineStr">
        <is>
          <t>in-74ab9e3588af6118</t>
        </is>
      </c>
      <c r="B10" t="inlineStr">
        <is>
          <t>AI Engineer - Manager</t>
        </is>
      </c>
      <c r="C10" t="inlineStr">
        <is>
          <t>PwC</t>
        </is>
      </c>
      <c r="D10" t="inlineStr">
        <is>
          <t>indeed</t>
        </is>
      </c>
      <c r="E10" t="inlineStr"/>
      <c r="F10" t="inlineStr"/>
      <c r="G10" t="inlineStr">
        <is>
          <t>Fort Worth, TX, US</t>
        </is>
      </c>
      <c r="H10" s="1" t="n">
        <v>46076</v>
      </c>
      <c r="I10"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1">
      <c r="A11" t="inlineStr">
        <is>
          <t>in-b8f080fe1e404bcf</t>
        </is>
      </c>
      <c r="B11" t="inlineStr">
        <is>
          <t>AI Engineer - Manager</t>
        </is>
      </c>
      <c r="C11" t="inlineStr">
        <is>
          <t>PwC</t>
        </is>
      </c>
      <c r="D11" t="inlineStr">
        <is>
          <t>indeed</t>
        </is>
      </c>
      <c r="E11" t="inlineStr"/>
      <c r="F11" t="inlineStr"/>
      <c r="G11" t="inlineStr">
        <is>
          <t>New Orleans, LA, US</t>
        </is>
      </c>
      <c r="H11" s="1" t="n">
        <v>46076</v>
      </c>
      <c r="I11"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2">
      <c r="A12" t="inlineStr">
        <is>
          <t>in-2f215001ca12cd27</t>
        </is>
      </c>
      <c r="B12" t="inlineStr">
        <is>
          <t>AI Engineer - Manager</t>
        </is>
      </c>
      <c r="C12" t="inlineStr">
        <is>
          <t>PwC</t>
        </is>
      </c>
      <c r="D12" t="inlineStr">
        <is>
          <t>indeed</t>
        </is>
      </c>
      <c r="E12" t="inlineStr"/>
      <c r="F12" t="inlineStr"/>
      <c r="G12" t="inlineStr">
        <is>
          <t>Kansas City, MO, US</t>
        </is>
      </c>
      <c r="H12" s="1" t="n">
        <v>46076</v>
      </c>
      <c r="I12"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3">
      <c r="A13" t="inlineStr">
        <is>
          <t>in-94189b777b95f224</t>
        </is>
      </c>
      <c r="B13" t="inlineStr">
        <is>
          <t>AI Engineer - Manager</t>
        </is>
      </c>
      <c r="C13" t="inlineStr">
        <is>
          <t>PwC</t>
        </is>
      </c>
      <c r="D13" t="inlineStr">
        <is>
          <t>indeed</t>
        </is>
      </c>
      <c r="E13" t="inlineStr"/>
      <c r="F13" t="inlineStr"/>
      <c r="G13" t="inlineStr">
        <is>
          <t>Stamford, CT, US</t>
        </is>
      </c>
      <c r="H13" s="1" t="n">
        <v>46076</v>
      </c>
      <c r="I13"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4">
      <c r="A14" t="inlineStr">
        <is>
          <t>in-371ef424953e2dc5</t>
        </is>
      </c>
      <c r="B14" t="inlineStr">
        <is>
          <t>AI Engineer - Manager</t>
        </is>
      </c>
      <c r="C14" t="inlineStr">
        <is>
          <t>PwC</t>
        </is>
      </c>
      <c r="D14" t="inlineStr">
        <is>
          <t>indeed</t>
        </is>
      </c>
      <c r="E14" t="inlineStr"/>
      <c r="F14" t="inlineStr"/>
      <c r="G14" t="inlineStr">
        <is>
          <t>Fayetteville, AR, US</t>
        </is>
      </c>
      <c r="H14" s="1" t="n">
        <v>46076</v>
      </c>
      <c r="I14"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5">
      <c r="A15" t="inlineStr">
        <is>
          <t>in-8b0850ad2077d980</t>
        </is>
      </c>
      <c r="B15" t="inlineStr">
        <is>
          <t>AI Engineer - Manager</t>
        </is>
      </c>
      <c r="C15" t="inlineStr">
        <is>
          <t>PwC</t>
        </is>
      </c>
      <c r="D15" t="inlineStr">
        <is>
          <t>indeed</t>
        </is>
      </c>
      <c r="E15" t="inlineStr"/>
      <c r="F15" t="inlineStr"/>
      <c r="G15" t="inlineStr">
        <is>
          <t>Indianapolis, IN, US</t>
        </is>
      </c>
      <c r="H15" s="1" t="n">
        <v>46076</v>
      </c>
      <c r="I15"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6">
      <c r="A16" t="inlineStr">
        <is>
          <t>in-9e12221b08a8af2a</t>
        </is>
      </c>
      <c r="B16" t="inlineStr">
        <is>
          <t>AI Engineer - Manager</t>
        </is>
      </c>
      <c r="C16" t="inlineStr">
        <is>
          <t>PwC</t>
        </is>
      </c>
      <c r="D16" t="inlineStr">
        <is>
          <t>indeed</t>
        </is>
      </c>
      <c r="E16" t="inlineStr"/>
      <c r="F16" t="inlineStr"/>
      <c r="G16" t="inlineStr">
        <is>
          <t>Silicon Valley, CA, US</t>
        </is>
      </c>
      <c r="H16" s="1" t="n">
        <v>46076</v>
      </c>
      <c r="I16"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7">
      <c r="A17" t="inlineStr">
        <is>
          <t>in-5ce3861ed3cf8261</t>
        </is>
      </c>
      <c r="B17" t="inlineStr">
        <is>
          <t>AI Engineer - Manager</t>
        </is>
      </c>
      <c r="C17" t="inlineStr">
        <is>
          <t>PwC</t>
        </is>
      </c>
      <c r="D17" t="inlineStr">
        <is>
          <t>indeed</t>
        </is>
      </c>
      <c r="E17" t="inlineStr"/>
      <c r="F17" t="inlineStr"/>
      <c r="G17" t="inlineStr">
        <is>
          <t>Houston, TX, US</t>
        </is>
      </c>
      <c r="H17" s="1" t="n">
        <v>46076</v>
      </c>
      <c r="I17"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8">
      <c r="A18" t="inlineStr">
        <is>
          <t>in-6e15dc9089ebdd4f</t>
        </is>
      </c>
      <c r="B18" t="inlineStr">
        <is>
          <t>AI Engineer - Manager</t>
        </is>
      </c>
      <c r="C18" t="inlineStr">
        <is>
          <t>PwC</t>
        </is>
      </c>
      <c r="D18" t="inlineStr">
        <is>
          <t>indeed</t>
        </is>
      </c>
      <c r="E18" t="inlineStr"/>
      <c r="F18" t="inlineStr"/>
      <c r="G18" t="inlineStr">
        <is>
          <t>Spartanburg, SC, US</t>
        </is>
      </c>
      <c r="H18" s="1" t="n">
        <v>46076</v>
      </c>
      <c r="I18"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9">
      <c r="A19" t="inlineStr">
        <is>
          <t>in-e291fc2cd7f8f144</t>
        </is>
      </c>
      <c r="B19" t="inlineStr">
        <is>
          <t>AI Engineer - Manager</t>
        </is>
      </c>
      <c r="C19" t="inlineStr">
        <is>
          <t>PwC</t>
        </is>
      </c>
      <c r="D19" t="inlineStr">
        <is>
          <t>indeed</t>
        </is>
      </c>
      <c r="E19" t="inlineStr"/>
      <c r="F19" t="inlineStr"/>
      <c r="G19" t="inlineStr">
        <is>
          <t>Phoenix, AZ, US</t>
        </is>
      </c>
      <c r="H19" s="1" t="n">
        <v>46076</v>
      </c>
      <c r="I19"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20">
      <c r="A20" t="inlineStr">
        <is>
          <t>in-a21ddd00f7dd8b59</t>
        </is>
      </c>
      <c r="B20" t="inlineStr">
        <is>
          <t>AI Engineer - Manager</t>
        </is>
      </c>
      <c r="C20" t="inlineStr">
        <is>
          <t>PwC</t>
        </is>
      </c>
      <c r="D20" t="inlineStr">
        <is>
          <t>indeed</t>
        </is>
      </c>
      <c r="E20" t="inlineStr"/>
      <c r="F20" t="inlineStr"/>
      <c r="G20" t="inlineStr">
        <is>
          <t>Little Rock, AR, US</t>
        </is>
      </c>
      <c r="H20" s="1" t="n">
        <v>46076</v>
      </c>
      <c r="I20"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21">
      <c r="A21" t="inlineStr">
        <is>
          <t>in-8a3dcab0d472d1f4</t>
        </is>
      </c>
      <c r="B21" t="inlineStr">
        <is>
          <t>AI Engineer - Manager</t>
        </is>
      </c>
      <c r="C21" t="inlineStr">
        <is>
          <t>PwC</t>
        </is>
      </c>
      <c r="D21" t="inlineStr">
        <is>
          <t>indeed</t>
        </is>
      </c>
      <c r="E21" t="inlineStr"/>
      <c r="F21" t="inlineStr"/>
      <c r="G21" t="inlineStr">
        <is>
          <t>San Francisco, CA, US</t>
        </is>
      </c>
      <c r="H21" s="1" t="n">
        <v>46076</v>
      </c>
      <c r="I21"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22">
      <c r="A22" t="inlineStr">
        <is>
          <t>in-7322ed47d9eacfeb</t>
        </is>
      </c>
      <c r="B22" t="inlineStr">
        <is>
          <t>AI Engineer - Manager</t>
        </is>
      </c>
      <c r="C22" t="inlineStr">
        <is>
          <t>PwC</t>
        </is>
      </c>
      <c r="D22" t="inlineStr">
        <is>
          <t>indeed</t>
        </is>
      </c>
      <c r="E22" t="inlineStr"/>
      <c r="F22" t="inlineStr"/>
      <c r="G22" t="inlineStr">
        <is>
          <t>Los Angeles, CA, US</t>
        </is>
      </c>
      <c r="H22" s="1" t="n">
        <v>46076</v>
      </c>
      <c r="I22"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23">
      <c r="A23" t="inlineStr">
        <is>
          <t>in-5fdb6d0a56d456e4</t>
        </is>
      </c>
      <c r="B23" t="inlineStr">
        <is>
          <t>AI Engineer - Manager</t>
        </is>
      </c>
      <c r="C23" t="inlineStr">
        <is>
          <t>PwC</t>
        </is>
      </c>
      <c r="D23" t="inlineStr">
        <is>
          <t>indeed</t>
        </is>
      </c>
      <c r="E23" t="inlineStr"/>
      <c r="F23" t="inlineStr"/>
      <c r="G23" t="inlineStr">
        <is>
          <t>Minneapolis, MN, US</t>
        </is>
      </c>
      <c r="H23" s="1" t="n">
        <v>46076</v>
      </c>
      <c r="I23"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24">
      <c r="A24" t="inlineStr">
        <is>
          <t>in-4d767d1167baf2a4</t>
        </is>
      </c>
      <c r="B24" t="inlineStr">
        <is>
          <t>AI Engineer - Manager</t>
        </is>
      </c>
      <c r="C24" t="inlineStr">
        <is>
          <t>PwC</t>
        </is>
      </c>
      <c r="D24" t="inlineStr">
        <is>
          <t>indeed</t>
        </is>
      </c>
      <c r="E24" t="inlineStr"/>
      <c r="F24" t="inlineStr"/>
      <c r="G24" t="inlineStr">
        <is>
          <t>Portland, OR, US</t>
        </is>
      </c>
      <c r="H24" s="1" t="n">
        <v>46076</v>
      </c>
      <c r="I24"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25">
      <c r="A25" t="inlineStr">
        <is>
          <t>in-d504ec85825dcabd</t>
        </is>
      </c>
      <c r="B25" t="inlineStr">
        <is>
          <t>AI Engineer - Manager</t>
        </is>
      </c>
      <c r="C25" t="inlineStr">
        <is>
          <t>PwC</t>
        </is>
      </c>
      <c r="D25" t="inlineStr">
        <is>
          <t>indeed</t>
        </is>
      </c>
      <c r="E25" t="inlineStr"/>
      <c r="F25" t="inlineStr"/>
      <c r="G25" t="inlineStr">
        <is>
          <t>Greensboro, NC, US</t>
        </is>
      </c>
      <c r="H25" s="1" t="n">
        <v>46076</v>
      </c>
      <c r="I25"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26">
      <c r="A26" t="inlineStr">
        <is>
          <t>in-7ef4c091d6dd5a5c</t>
        </is>
      </c>
      <c r="B26" t="inlineStr">
        <is>
          <t>AI Engineer - Manager</t>
        </is>
      </c>
      <c r="C26" t="inlineStr">
        <is>
          <t>PwC</t>
        </is>
      </c>
      <c r="D26" t="inlineStr">
        <is>
          <t>indeed</t>
        </is>
      </c>
      <c r="E26" t="inlineStr"/>
      <c r="F26" t="inlineStr"/>
      <c r="G26" t="inlineStr">
        <is>
          <t>Atlanta, GA, US</t>
        </is>
      </c>
      <c r="H26" s="1" t="n">
        <v>46076</v>
      </c>
      <c r="I26"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27">
      <c r="A27" t="inlineStr">
        <is>
          <t>in-39e1e93aa7a8672e</t>
        </is>
      </c>
      <c r="B27" t="inlineStr">
        <is>
          <t>AI Engineer - Manager</t>
        </is>
      </c>
      <c r="C27" t="inlineStr">
        <is>
          <t>PwC</t>
        </is>
      </c>
      <c r="D27" t="inlineStr">
        <is>
          <t>indeed</t>
        </is>
      </c>
      <c r="E27" t="inlineStr"/>
      <c r="F27" t="inlineStr"/>
      <c r="G27" t="inlineStr">
        <is>
          <t>Montpelier, VT, US</t>
        </is>
      </c>
      <c r="H27" s="1" t="n">
        <v>46076</v>
      </c>
      <c r="I27"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28">
      <c r="A28" t="inlineStr">
        <is>
          <t>in-4062af7d6c619297</t>
        </is>
      </c>
      <c r="B28" t="inlineStr">
        <is>
          <t>AI Engineer - Manager</t>
        </is>
      </c>
      <c r="C28" t="inlineStr">
        <is>
          <t>PwC</t>
        </is>
      </c>
      <c r="D28" t="inlineStr">
        <is>
          <t>indeed</t>
        </is>
      </c>
      <c r="E28" t="inlineStr"/>
      <c r="F28" t="inlineStr"/>
      <c r="G28" t="inlineStr">
        <is>
          <t>Tulsa, OK, US</t>
        </is>
      </c>
      <c r="H28" s="1" t="n">
        <v>46076</v>
      </c>
      <c r="I28"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29">
      <c r="A29" t="inlineStr">
        <is>
          <t>in-78b5d74b1a4d10fb</t>
        </is>
      </c>
      <c r="B29" t="inlineStr">
        <is>
          <t>AI Engineer - Manager</t>
        </is>
      </c>
      <c r="C29" t="inlineStr">
        <is>
          <t>PwC</t>
        </is>
      </c>
      <c r="D29" t="inlineStr">
        <is>
          <t>indeed</t>
        </is>
      </c>
      <c r="E29" t="inlineStr"/>
      <c r="F29" t="inlineStr"/>
      <c r="G29" t="inlineStr">
        <is>
          <t>Birmingham, AL, US</t>
        </is>
      </c>
      <c r="H29" s="1" t="n">
        <v>46076</v>
      </c>
      <c r="I29"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0">
      <c r="A30" t="inlineStr">
        <is>
          <t>in-938ba3a84e01039f</t>
        </is>
      </c>
      <c r="B30" t="inlineStr">
        <is>
          <t>AI Engineer - Manager</t>
        </is>
      </c>
      <c r="C30" t="inlineStr">
        <is>
          <t>PwC</t>
        </is>
      </c>
      <c r="D30" t="inlineStr">
        <is>
          <t>indeed</t>
        </is>
      </c>
      <c r="E30" t="inlineStr"/>
      <c r="F30" t="inlineStr"/>
      <c r="G30" t="inlineStr">
        <is>
          <t>Seattle, WA, US</t>
        </is>
      </c>
      <c r="H30" s="1" t="n">
        <v>46076</v>
      </c>
      <c r="I30"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1">
      <c r="A31" t="inlineStr">
        <is>
          <t>in-623a2ea4632fdd7b</t>
        </is>
      </c>
      <c r="B31" t="inlineStr">
        <is>
          <t>AI Engineer - Manager</t>
        </is>
      </c>
      <c r="C31" t="inlineStr">
        <is>
          <t>PwC</t>
        </is>
      </c>
      <c r="D31" t="inlineStr">
        <is>
          <t>indeed</t>
        </is>
      </c>
      <c r="E31" t="inlineStr"/>
      <c r="F31" t="inlineStr"/>
      <c r="G31" t="inlineStr">
        <is>
          <t>Albany, NY, US</t>
        </is>
      </c>
      <c r="H31" s="1" t="n">
        <v>46076</v>
      </c>
      <c r="I31"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2">
      <c r="A32" t="inlineStr">
        <is>
          <t>in-3ac2332c8de9ad04</t>
        </is>
      </c>
      <c r="B32" t="inlineStr">
        <is>
          <t>AI Engineer - Manager</t>
        </is>
      </c>
      <c r="C32" t="inlineStr">
        <is>
          <t>PwC</t>
        </is>
      </c>
      <c r="D32" t="inlineStr">
        <is>
          <t>indeed</t>
        </is>
      </c>
      <c r="E32" t="inlineStr"/>
      <c r="F32" t="inlineStr"/>
      <c r="G32" t="inlineStr">
        <is>
          <t>New York, NY, US</t>
        </is>
      </c>
      <c r="H32" s="1" t="n">
        <v>46076</v>
      </c>
      <c r="I32"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3">
      <c r="A33" t="inlineStr">
        <is>
          <t>in-6914edb3cf16f23e</t>
        </is>
      </c>
      <c r="B33" t="inlineStr">
        <is>
          <t>AI Engineer - Manager</t>
        </is>
      </c>
      <c r="C33" t="inlineStr">
        <is>
          <t>PwC</t>
        </is>
      </c>
      <c r="D33" t="inlineStr">
        <is>
          <t>indeed</t>
        </is>
      </c>
      <c r="E33" t="inlineStr"/>
      <c r="F33" t="inlineStr"/>
      <c r="G33" t="inlineStr">
        <is>
          <t>Melville, NY, US</t>
        </is>
      </c>
      <c r="H33" s="1" t="n">
        <v>46076</v>
      </c>
      <c r="I33"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4">
      <c r="A34" t="inlineStr">
        <is>
          <t>in-a6a1a6fdb6811996</t>
        </is>
      </c>
      <c r="B34" t="inlineStr">
        <is>
          <t>AI Engineer - Manager</t>
        </is>
      </c>
      <c r="C34" t="inlineStr">
        <is>
          <t>PwC</t>
        </is>
      </c>
      <c r="D34" t="inlineStr">
        <is>
          <t>indeed</t>
        </is>
      </c>
      <c r="E34" t="inlineStr"/>
      <c r="F34" t="inlineStr"/>
      <c r="G34" t="inlineStr">
        <is>
          <t>Florham Park, NJ, US</t>
        </is>
      </c>
      <c r="H34" s="1" t="n">
        <v>46076</v>
      </c>
      <c r="I34"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5">
      <c r="A35" t="inlineStr">
        <is>
          <t>in-35a3f6076660dde3</t>
        </is>
      </c>
      <c r="B35" t="inlineStr">
        <is>
          <t>AI Engineer - Manager</t>
        </is>
      </c>
      <c r="C35" t="inlineStr">
        <is>
          <t>PwC</t>
        </is>
      </c>
      <c r="D35" t="inlineStr">
        <is>
          <t>indeed</t>
        </is>
      </c>
      <c r="E35" t="inlineStr"/>
      <c r="F35" t="inlineStr"/>
      <c r="G35" t="inlineStr">
        <is>
          <t>Salt Lake City, UT, US</t>
        </is>
      </c>
      <c r="H35" s="1" t="n">
        <v>46076</v>
      </c>
      <c r="I35"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6">
      <c r="A36" t="inlineStr">
        <is>
          <t>in-52bbedfbaee17833</t>
        </is>
      </c>
      <c r="B36" t="inlineStr">
        <is>
          <t>AI Engineer - Manager</t>
        </is>
      </c>
      <c r="C36" t="inlineStr">
        <is>
          <t>PwC</t>
        </is>
      </c>
      <c r="D36" t="inlineStr">
        <is>
          <t>indeed</t>
        </is>
      </c>
      <c r="E36" t="inlineStr"/>
      <c r="F36" t="inlineStr"/>
      <c r="G36" t="inlineStr">
        <is>
          <t>Denver, CO, US</t>
        </is>
      </c>
      <c r="H36" s="1" t="n">
        <v>46076</v>
      </c>
      <c r="I36"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7">
      <c r="A37" t="inlineStr">
        <is>
          <t>in-e84d174600b4be48</t>
        </is>
      </c>
      <c r="B37" t="inlineStr">
        <is>
          <t>AI Engineer - Manager</t>
        </is>
      </c>
      <c r="C37" t="inlineStr">
        <is>
          <t>PwC</t>
        </is>
      </c>
      <c r="D37" t="inlineStr">
        <is>
          <t>indeed</t>
        </is>
      </c>
      <c r="E37" t="inlineStr"/>
      <c r="F37" t="inlineStr"/>
      <c r="G37" t="inlineStr">
        <is>
          <t>Milwaukee, WI, US</t>
        </is>
      </c>
      <c r="H37" s="1" t="n">
        <v>46076</v>
      </c>
      <c r="I37"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8">
      <c r="A38" t="inlineStr">
        <is>
          <t>in-34a44ee7e02e5b53</t>
        </is>
      </c>
      <c r="B38" t="inlineStr">
        <is>
          <t>AI Engineer - Manager</t>
        </is>
      </c>
      <c r="C38" t="inlineStr">
        <is>
          <t>PwC</t>
        </is>
      </c>
      <c r="D38" t="inlineStr">
        <is>
          <t>indeed</t>
        </is>
      </c>
      <c r="E38" t="inlineStr"/>
      <c r="F38" t="inlineStr"/>
      <c r="G38" t="inlineStr">
        <is>
          <t>Jacksonville, FL, US</t>
        </is>
      </c>
      <c r="H38" s="1" t="n">
        <v>46076</v>
      </c>
      <c r="I38"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9">
      <c r="A39" t="inlineStr">
        <is>
          <t>in-482c80afd27d84ad</t>
        </is>
      </c>
      <c r="B39" t="inlineStr">
        <is>
          <t>AI Engineer - Manager</t>
        </is>
      </c>
      <c r="C39" t="inlineStr">
        <is>
          <t>PwC</t>
        </is>
      </c>
      <c r="D39" t="inlineStr">
        <is>
          <t>indeed</t>
        </is>
      </c>
      <c r="E39" t="inlineStr"/>
      <c r="F39" t="inlineStr"/>
      <c r="G39" t="inlineStr">
        <is>
          <t>Miami, FL, US</t>
        </is>
      </c>
      <c r="H39" s="1" t="n">
        <v>46076</v>
      </c>
      <c r="I39"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40">
      <c r="A40" t="inlineStr">
        <is>
          <t>in-41bfbd303c72ea28</t>
        </is>
      </c>
      <c r="B40" t="inlineStr">
        <is>
          <t>AI Engineer - Manager</t>
        </is>
      </c>
      <c r="C40" t="inlineStr">
        <is>
          <t>PwC</t>
        </is>
      </c>
      <c r="D40" t="inlineStr">
        <is>
          <t>indeed</t>
        </is>
      </c>
      <c r="E40" t="inlineStr"/>
      <c r="F40" t="inlineStr"/>
      <c r="G40" t="inlineStr">
        <is>
          <t>Pittsburgh, PA, US</t>
        </is>
      </c>
      <c r="H40" s="1" t="n">
        <v>46076</v>
      </c>
      <c r="I40"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41">
      <c r="A41" t="inlineStr">
        <is>
          <t>in-89075c1d79b8b256</t>
        </is>
      </c>
      <c r="B41" t="inlineStr">
        <is>
          <t>AI Engineer - Manager</t>
        </is>
      </c>
      <c r="C41" t="inlineStr">
        <is>
          <t>PwC</t>
        </is>
      </c>
      <c r="D41" t="inlineStr">
        <is>
          <t>indeed</t>
        </is>
      </c>
      <c r="E41" t="inlineStr"/>
      <c r="F41" t="inlineStr"/>
      <c r="G41" t="inlineStr">
        <is>
          <t>Buffalo, NY, US</t>
        </is>
      </c>
      <c r="H41" s="1" t="n">
        <v>46076</v>
      </c>
      <c r="I41"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42">
      <c r="A42" t="inlineStr">
        <is>
          <t>in-94835c3f56bc5dd6</t>
        </is>
      </c>
      <c r="B42" t="inlineStr">
        <is>
          <t>AI Engineer - Manager</t>
        </is>
      </c>
      <c r="C42" t="inlineStr">
        <is>
          <t>PwC</t>
        </is>
      </c>
      <c r="D42" t="inlineStr">
        <is>
          <t>indeed</t>
        </is>
      </c>
      <c r="E42" t="inlineStr"/>
      <c r="F42" t="inlineStr"/>
      <c r="G42" t="inlineStr">
        <is>
          <t>Grand Rapids, MI, US</t>
        </is>
      </c>
      <c r="H42" s="1" t="n">
        <v>46076</v>
      </c>
      <c r="I42"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43">
      <c r="A43" t="inlineStr">
        <is>
          <t>in-1217cc7b02e76dd4</t>
        </is>
      </c>
      <c r="B43" t="inlineStr">
        <is>
          <t>AI Engineer - Manager</t>
        </is>
      </c>
      <c r="C43" t="inlineStr">
        <is>
          <t>PwC</t>
        </is>
      </c>
      <c r="D43" t="inlineStr">
        <is>
          <t>indeed</t>
        </is>
      </c>
      <c r="E43" t="inlineStr"/>
      <c r="F43" t="inlineStr"/>
      <c r="G43" t="inlineStr">
        <is>
          <t>Tampa, FL, US</t>
        </is>
      </c>
      <c r="H43" s="1" t="n">
        <v>46076</v>
      </c>
      <c r="I43"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44">
      <c r="A44" t="inlineStr">
        <is>
          <t>in-cc9d8eb5849dd905</t>
        </is>
      </c>
      <c r="B44" t="inlineStr">
        <is>
          <t>AI Engineer - Manager</t>
        </is>
      </c>
      <c r="C44" t="inlineStr">
        <is>
          <t>PwC</t>
        </is>
      </c>
      <c r="D44" t="inlineStr">
        <is>
          <t>indeed</t>
        </is>
      </c>
      <c r="E44" t="inlineStr"/>
      <c r="F44" t="inlineStr"/>
      <c r="G44" t="inlineStr">
        <is>
          <t>Oklahoma City, OK, US</t>
        </is>
      </c>
      <c r="H44" s="1" t="n">
        <v>46076</v>
      </c>
      <c r="I44"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45">
      <c r="A45" t="inlineStr">
        <is>
          <t>in-0f81b395799bec33</t>
        </is>
      </c>
      <c r="B45" t="inlineStr">
        <is>
          <t>AI Engineer - Manager</t>
        </is>
      </c>
      <c r="C45" t="inlineStr">
        <is>
          <t>PwC</t>
        </is>
      </c>
      <c r="D45" t="inlineStr">
        <is>
          <t>indeed</t>
        </is>
      </c>
      <c r="E45" t="inlineStr"/>
      <c r="F45" t="inlineStr"/>
      <c r="G45" t="inlineStr">
        <is>
          <t>Hartford, CT, US</t>
        </is>
      </c>
      <c r="H45" s="1" t="n">
        <v>46076</v>
      </c>
      <c r="I45"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46">
      <c r="A46" t="inlineStr">
        <is>
          <t>in-e757d94e9d2fad81</t>
        </is>
      </c>
      <c r="B46" t="inlineStr">
        <is>
          <t>AI Engineer - Manager</t>
        </is>
      </c>
      <c r="C46" t="inlineStr">
        <is>
          <t>PwC</t>
        </is>
      </c>
      <c r="D46" t="inlineStr">
        <is>
          <t>indeed</t>
        </is>
      </c>
      <c r="E46" t="inlineStr"/>
      <c r="F46" t="inlineStr"/>
      <c r="G46" t="inlineStr">
        <is>
          <t>Louisville, KY, US</t>
        </is>
      </c>
      <c r="H46" s="1" t="n">
        <v>46076</v>
      </c>
      <c r="I46"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47">
      <c r="A47" t="inlineStr">
        <is>
          <t>in-91401d6b34675c88</t>
        </is>
      </c>
      <c r="B47" t="inlineStr">
        <is>
          <t>AI Engineer - Manager</t>
        </is>
      </c>
      <c r="C47" t="inlineStr">
        <is>
          <t>PwC</t>
        </is>
      </c>
      <c r="D47" t="inlineStr">
        <is>
          <t>indeed</t>
        </is>
      </c>
      <c r="E47" t="inlineStr"/>
      <c r="F47" t="inlineStr"/>
      <c r="G47" t="inlineStr">
        <is>
          <t>Washington, DC, US</t>
        </is>
      </c>
      <c r="H47" s="1" t="n">
        <v>46076</v>
      </c>
      <c r="I47"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48">
      <c r="A48" t="inlineStr">
        <is>
          <t>in-d59aabb87ff3d3c4</t>
        </is>
      </c>
      <c r="B48" t="inlineStr">
        <is>
          <t>AI Engineer - Manager</t>
        </is>
      </c>
      <c r="C48" t="inlineStr">
        <is>
          <t>PwC</t>
        </is>
      </c>
      <c r="D48" t="inlineStr">
        <is>
          <t>indeed</t>
        </is>
      </c>
      <c r="E48" t="inlineStr"/>
      <c r="F48" t="inlineStr"/>
      <c r="G48" t="inlineStr">
        <is>
          <t>Austin, TX, US</t>
        </is>
      </c>
      <c r="H48" s="1" t="n">
        <v>46076</v>
      </c>
      <c r="I48"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49">
      <c r="A49" t="inlineStr">
        <is>
          <t>in-138fbb581153344d</t>
        </is>
      </c>
      <c r="B49" t="inlineStr">
        <is>
          <t>AI Engineer - Manager</t>
        </is>
      </c>
      <c r="C49" t="inlineStr">
        <is>
          <t>PwC</t>
        </is>
      </c>
      <c r="D49" t="inlineStr">
        <is>
          <t>indeed</t>
        </is>
      </c>
      <c r="E49" t="inlineStr"/>
      <c r="F49" t="inlineStr"/>
      <c r="G49" t="inlineStr">
        <is>
          <t>Detroit, MI, US</t>
        </is>
      </c>
      <c r="H49" s="1" t="n">
        <v>46076</v>
      </c>
      <c r="I49"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50">
      <c r="A50" t="inlineStr">
        <is>
          <t>in-d8fdad69c73cffce</t>
        </is>
      </c>
      <c r="B50" t="inlineStr">
        <is>
          <t>AI Engineer - Manager</t>
        </is>
      </c>
      <c r="C50" t="inlineStr">
        <is>
          <t>PwC</t>
        </is>
      </c>
      <c r="D50" t="inlineStr">
        <is>
          <t>indeed</t>
        </is>
      </c>
      <c r="E50" t="inlineStr"/>
      <c r="F50" t="inlineStr"/>
      <c r="G50" t="inlineStr">
        <is>
          <t>Irvine, CA, US</t>
        </is>
      </c>
      <c r="H50" s="1" t="n">
        <v>46076</v>
      </c>
      <c r="I50"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51">
      <c r="A51" t="inlineStr">
        <is>
          <t>in-f11b8bbb8b12dc97</t>
        </is>
      </c>
      <c r="B51" t="inlineStr">
        <is>
          <t>AI Engineer - Manager</t>
        </is>
      </c>
      <c r="C51" t="inlineStr">
        <is>
          <t>PwC</t>
        </is>
      </c>
      <c r="D51" t="inlineStr">
        <is>
          <t>indeed</t>
        </is>
      </c>
      <c r="E51" t="inlineStr"/>
      <c r="F51" t="inlineStr"/>
      <c r="G51" t="inlineStr">
        <is>
          <t>Richmond, VA, US</t>
        </is>
      </c>
      <c r="H51" s="1" t="n">
        <v>46076</v>
      </c>
      <c r="I51"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52">
      <c r="A52" t="inlineStr">
        <is>
          <t>in-6d928a6bdedb3078</t>
        </is>
      </c>
      <c r="B52" t="inlineStr">
        <is>
          <t>AI Engineer - Senior Associate</t>
        </is>
      </c>
      <c r="C52" t="inlineStr">
        <is>
          <t>PwC</t>
        </is>
      </c>
      <c r="D52" t="inlineStr">
        <is>
          <t>indeed</t>
        </is>
      </c>
      <c r="E52" t="inlineStr"/>
      <c r="F52" t="inlineStr"/>
      <c r="G52" t="inlineStr">
        <is>
          <t>Pittsburgh, PA, US</t>
        </is>
      </c>
      <c r="H52" s="1" t="n">
        <v>46076</v>
      </c>
      <c r="I52"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53">
      <c r="A53" t="inlineStr">
        <is>
          <t>in-f0ba38ebbc7135f6</t>
        </is>
      </c>
      <c r="B53" t="inlineStr">
        <is>
          <t>AI Engineer - Senior Associate</t>
        </is>
      </c>
      <c r="C53" t="inlineStr">
        <is>
          <t>PwC</t>
        </is>
      </c>
      <c r="D53" t="inlineStr">
        <is>
          <t>indeed</t>
        </is>
      </c>
      <c r="E53" t="inlineStr"/>
      <c r="F53" t="inlineStr"/>
      <c r="G53" t="inlineStr">
        <is>
          <t>Philadelphia, PA, US</t>
        </is>
      </c>
      <c r="H53" s="1" t="n">
        <v>46076</v>
      </c>
      <c r="I53"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54">
      <c r="A54" t="inlineStr">
        <is>
          <t>in-188224eb066b4eb1</t>
        </is>
      </c>
      <c r="B54" t="inlineStr">
        <is>
          <t>AI Engineer - Manager</t>
        </is>
      </c>
      <c r="C54" t="inlineStr">
        <is>
          <t>PwC</t>
        </is>
      </c>
      <c r="D54" t="inlineStr">
        <is>
          <t>indeed</t>
        </is>
      </c>
      <c r="E54" t="inlineStr"/>
      <c r="F54" t="inlineStr"/>
      <c r="G54" t="inlineStr">
        <is>
          <t>San Antonio, TX, US</t>
        </is>
      </c>
      <c r="H54" s="1" t="n">
        <v>46076</v>
      </c>
      <c r="I54"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55">
      <c r="A55" t="inlineStr">
        <is>
          <t>in-1277ccbc1a6ef3d5</t>
        </is>
      </c>
      <c r="B55" t="inlineStr">
        <is>
          <t>AI Engineer - Manager</t>
        </is>
      </c>
      <c r="C55" t="inlineStr">
        <is>
          <t>PwC</t>
        </is>
      </c>
      <c r="D55" t="inlineStr">
        <is>
          <t>indeed</t>
        </is>
      </c>
      <c r="E55" t="inlineStr"/>
      <c r="F55" t="inlineStr"/>
      <c r="G55" t="inlineStr">
        <is>
          <t>Cleveland, OH, US</t>
        </is>
      </c>
      <c r="H55" s="1" t="n">
        <v>46076</v>
      </c>
      <c r="I55"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56">
      <c r="A56" t="inlineStr">
        <is>
          <t>in-442be80f8a768e76</t>
        </is>
      </c>
      <c r="B56" t="inlineStr">
        <is>
          <t>AI Engineer - Manager</t>
        </is>
      </c>
      <c r="C56" t="inlineStr">
        <is>
          <t>PwC</t>
        </is>
      </c>
      <c r="D56" t="inlineStr">
        <is>
          <t>indeed</t>
        </is>
      </c>
      <c r="E56" t="inlineStr"/>
      <c r="F56" t="inlineStr"/>
      <c r="G56" t="inlineStr">
        <is>
          <t>San Diego, CA, US</t>
        </is>
      </c>
      <c r="H56" s="1" t="n">
        <v>46076</v>
      </c>
      <c r="I56"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57">
      <c r="A57" t="inlineStr">
        <is>
          <t>in-d05e7cde4b392ece</t>
        </is>
      </c>
      <c r="B57" t="inlineStr">
        <is>
          <t>AI Engineer - Manager</t>
        </is>
      </c>
      <c r="C57" t="inlineStr">
        <is>
          <t>PwC</t>
        </is>
      </c>
      <c r="D57" t="inlineStr">
        <is>
          <t>indeed</t>
        </is>
      </c>
      <c r="E57" t="inlineStr"/>
      <c r="F57" t="inlineStr"/>
      <c r="G57" t="inlineStr">
        <is>
          <t>Chicago, IL, US</t>
        </is>
      </c>
      <c r="H57" s="1" t="n">
        <v>46076</v>
      </c>
      <c r="I57"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58">
      <c r="A58" t="inlineStr">
        <is>
          <t>in-33affa2138c2a93a</t>
        </is>
      </c>
      <c r="B58" t="inlineStr">
        <is>
          <t>AI Engineer - Senior Associate</t>
        </is>
      </c>
      <c r="C58" t="inlineStr">
        <is>
          <t>PwC</t>
        </is>
      </c>
      <c r="D58" t="inlineStr">
        <is>
          <t>indeed</t>
        </is>
      </c>
      <c r="E58" t="inlineStr"/>
      <c r="F58" t="inlineStr"/>
      <c r="G58" t="inlineStr">
        <is>
          <t>Los Angeles, CA, US</t>
        </is>
      </c>
      <c r="H58" s="1" t="n">
        <v>46076</v>
      </c>
      <c r="I58"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59">
      <c r="A59" t="inlineStr">
        <is>
          <t>in-8b821e10c8328eae</t>
        </is>
      </c>
      <c r="B59" t="inlineStr">
        <is>
          <t>AI Engineer - Manager</t>
        </is>
      </c>
      <c r="C59" t="inlineStr">
        <is>
          <t>PwC</t>
        </is>
      </c>
      <c r="D59" t="inlineStr">
        <is>
          <t>indeed</t>
        </is>
      </c>
      <c r="E59" t="inlineStr"/>
      <c r="F59" t="inlineStr"/>
      <c r="G59" t="inlineStr">
        <is>
          <t>Boston, MA, US</t>
        </is>
      </c>
      <c r="H59" s="1" t="n">
        <v>46076</v>
      </c>
      <c r="I59"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60">
      <c r="A60" t="inlineStr">
        <is>
          <t>in-abbe3c93bb1e2b77</t>
        </is>
      </c>
      <c r="B60" t="inlineStr">
        <is>
          <t>AI Engineer - Manager</t>
        </is>
      </c>
      <c r="C60" t="inlineStr">
        <is>
          <t>PwC</t>
        </is>
      </c>
      <c r="D60" t="inlineStr">
        <is>
          <t>indeed</t>
        </is>
      </c>
      <c r="E60" t="inlineStr"/>
      <c r="F60" t="inlineStr"/>
      <c r="G60" t="inlineStr">
        <is>
          <t>Raleigh, NC, US</t>
        </is>
      </c>
      <c r="H60" s="1" t="n">
        <v>46076</v>
      </c>
      <c r="I60"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61">
      <c r="A61" t="inlineStr">
        <is>
          <t>in-d10475e5cb90fbdf</t>
        </is>
      </c>
      <c r="B61" t="inlineStr">
        <is>
          <t>AI Engineer - Manager</t>
        </is>
      </c>
      <c r="C61" t="inlineStr">
        <is>
          <t>PwC</t>
        </is>
      </c>
      <c r="D61" t="inlineStr">
        <is>
          <t>indeed</t>
        </is>
      </c>
      <c r="E61" t="inlineStr"/>
      <c r="F61" t="inlineStr"/>
      <c r="G61" t="inlineStr">
        <is>
          <t>St. Louis, MO, US</t>
        </is>
      </c>
      <c r="H61" s="1" t="n">
        <v>46076</v>
      </c>
      <c r="I61"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62">
      <c r="A62" t="inlineStr">
        <is>
          <t>in-0827b7eca602b6f6</t>
        </is>
      </c>
      <c r="B62" t="inlineStr">
        <is>
          <t>AI Engineer - Manager</t>
        </is>
      </c>
      <c r="C62" t="inlineStr">
        <is>
          <t>PwC</t>
        </is>
      </c>
      <c r="D62" t="inlineStr">
        <is>
          <t>indeed</t>
        </is>
      </c>
      <c r="E62" t="inlineStr"/>
      <c r="F62" t="inlineStr"/>
      <c r="G62" t="inlineStr">
        <is>
          <t>Baltimore, MD, US</t>
        </is>
      </c>
      <c r="H62" s="1" t="n">
        <v>46076</v>
      </c>
      <c r="I62"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63">
      <c r="A63" t="inlineStr">
        <is>
          <t>in-57b080e63f07db3d</t>
        </is>
      </c>
      <c r="B63" t="inlineStr">
        <is>
          <t>AI Engineer - Senior Associate</t>
        </is>
      </c>
      <c r="C63" t="inlineStr">
        <is>
          <t>PwC</t>
        </is>
      </c>
      <c r="D63" t="inlineStr">
        <is>
          <t>indeed</t>
        </is>
      </c>
      <c r="E63" t="inlineStr"/>
      <c r="F63" t="inlineStr"/>
      <c r="G63" t="inlineStr">
        <is>
          <t>Phoenix, AZ, US</t>
        </is>
      </c>
      <c r="H63" s="1" t="n">
        <v>46076</v>
      </c>
      <c r="I63"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64">
      <c r="A64" t="inlineStr">
        <is>
          <t>in-541bafcdc91485aa</t>
        </is>
      </c>
      <c r="B64" t="inlineStr">
        <is>
          <t>AI Engineer - Manager</t>
        </is>
      </c>
      <c r="C64" t="inlineStr">
        <is>
          <t>PwC</t>
        </is>
      </c>
      <c r="D64" t="inlineStr">
        <is>
          <t>indeed</t>
        </is>
      </c>
      <c r="E64" t="inlineStr"/>
      <c r="F64" t="inlineStr"/>
      <c r="G64" t="inlineStr">
        <is>
          <t>Columbia, SC, US</t>
        </is>
      </c>
      <c r="H64" s="1" t="n">
        <v>46076</v>
      </c>
      <c r="I64"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65">
      <c r="A65" t="inlineStr">
        <is>
          <t>in-52808214bc714274</t>
        </is>
      </c>
      <c r="B65" t="inlineStr">
        <is>
          <t>AI Engineer - Manager</t>
        </is>
      </c>
      <c r="C65" t="inlineStr">
        <is>
          <t>PwC</t>
        </is>
      </c>
      <c r="D65" t="inlineStr">
        <is>
          <t>indeed</t>
        </is>
      </c>
      <c r="E65" t="inlineStr"/>
      <c r="F65" t="inlineStr"/>
      <c r="G65" t="inlineStr">
        <is>
          <t>Charlotte, NC, US</t>
        </is>
      </c>
      <c r="H65" s="1" t="n">
        <v>46076</v>
      </c>
      <c r="I65"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66">
      <c r="A66" t="inlineStr">
        <is>
          <t>in-3f42853269d4f371</t>
        </is>
      </c>
      <c r="B66" t="inlineStr">
        <is>
          <t>AI Engineer - Manager</t>
        </is>
      </c>
      <c r="C66" t="inlineStr">
        <is>
          <t>PwC</t>
        </is>
      </c>
      <c r="D66" t="inlineStr">
        <is>
          <t>indeed</t>
        </is>
      </c>
      <c r="E66" t="inlineStr"/>
      <c r="F66" t="inlineStr"/>
      <c r="G66" t="inlineStr">
        <is>
          <t>Rosemont, IL, US</t>
        </is>
      </c>
      <c r="H66" s="1" t="n">
        <v>46076</v>
      </c>
      <c r="I66"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67">
      <c r="A67" t="inlineStr">
        <is>
          <t>in-09849051e5d501b3</t>
        </is>
      </c>
      <c r="B67" t="inlineStr">
        <is>
          <t>AI Engineer - Manager</t>
        </is>
      </c>
      <c r="C67" t="inlineStr">
        <is>
          <t>PwC</t>
        </is>
      </c>
      <c r="D67" t="inlineStr">
        <is>
          <t>indeed</t>
        </is>
      </c>
      <c r="E67" t="inlineStr"/>
      <c r="F67" t="inlineStr"/>
      <c r="G67" t="inlineStr">
        <is>
          <t>Rochester, NY, US</t>
        </is>
      </c>
      <c r="H67" s="1" t="n">
        <v>46076</v>
      </c>
      <c r="I67"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68">
      <c r="A68" t="inlineStr">
        <is>
          <t>in-bd6b35aefe96571f</t>
        </is>
      </c>
      <c r="B68" t="inlineStr">
        <is>
          <t>AI Engineer - Manager</t>
        </is>
      </c>
      <c r="C68" t="inlineStr">
        <is>
          <t>PwC</t>
        </is>
      </c>
      <c r="D68" t="inlineStr">
        <is>
          <t>indeed</t>
        </is>
      </c>
      <c r="E68" t="inlineStr"/>
      <c r="F68" t="inlineStr"/>
      <c r="G68" t="inlineStr">
        <is>
          <t>Sacramento, CA, US</t>
        </is>
      </c>
      <c r="H68" s="1" t="n">
        <v>46076</v>
      </c>
      <c r="I68"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69">
      <c r="A69" t="inlineStr">
        <is>
          <t>in-3ad219a283046170</t>
        </is>
      </c>
      <c r="B69" t="inlineStr">
        <is>
          <t>AI Engineer - Manager</t>
        </is>
      </c>
      <c r="C69" t="inlineStr">
        <is>
          <t>PwC</t>
        </is>
      </c>
      <c r="D69" t="inlineStr">
        <is>
          <t>indeed</t>
        </is>
      </c>
      <c r="E69" t="inlineStr"/>
      <c r="F69" t="inlineStr"/>
      <c r="G69" t="inlineStr">
        <is>
          <t>Cincinnati, OH, US</t>
        </is>
      </c>
      <c r="H69" s="1" t="n">
        <v>46076</v>
      </c>
      <c r="I69"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70">
      <c r="A70" t="inlineStr">
        <is>
          <t>in-72495567a6bca3b6</t>
        </is>
      </c>
      <c r="B70" t="inlineStr">
        <is>
          <t>AI Engineer - Senior Associate</t>
        </is>
      </c>
      <c r="C70" t="inlineStr">
        <is>
          <t>PwC</t>
        </is>
      </c>
      <c r="D70" t="inlineStr">
        <is>
          <t>indeed</t>
        </is>
      </c>
      <c r="E70" t="inlineStr"/>
      <c r="F70" t="inlineStr"/>
      <c r="G70" t="inlineStr">
        <is>
          <t>Kansas City, MO, US</t>
        </is>
      </c>
      <c r="H70" s="1" t="n">
        <v>46076</v>
      </c>
      <c r="I70"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71">
      <c r="A71" t="inlineStr">
        <is>
          <t>in-0eee39b7174d59f2</t>
        </is>
      </c>
      <c r="B71" t="inlineStr">
        <is>
          <t>AI Engineer - Manager</t>
        </is>
      </c>
      <c r="C71" t="inlineStr">
        <is>
          <t>PwC</t>
        </is>
      </c>
      <c r="D71" t="inlineStr">
        <is>
          <t>indeed</t>
        </is>
      </c>
      <c r="E71" t="inlineStr"/>
      <c r="F71" t="inlineStr"/>
      <c r="G71" t="inlineStr">
        <is>
          <t>Dallas, TX, US</t>
        </is>
      </c>
      <c r="H71" s="1" t="n">
        <v>46076</v>
      </c>
      <c r="I71"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72">
      <c r="A72" t="inlineStr">
        <is>
          <t>in-999bf7f292b46cf7</t>
        </is>
      </c>
      <c r="B72" t="inlineStr">
        <is>
          <t>AI Engineer - Senior Associate</t>
        </is>
      </c>
      <c r="C72" t="inlineStr">
        <is>
          <t>PwC</t>
        </is>
      </c>
      <c r="D72" t="inlineStr">
        <is>
          <t>indeed</t>
        </is>
      </c>
      <c r="E72" t="inlineStr"/>
      <c r="F72" t="inlineStr"/>
      <c r="G72" t="inlineStr">
        <is>
          <t>New York, NY, US</t>
        </is>
      </c>
      <c r="H72" s="1" t="n">
        <v>46076</v>
      </c>
      <c r="I72"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73">
      <c r="A73" t="inlineStr">
        <is>
          <t>in-1d66736b11665e56</t>
        </is>
      </c>
      <c r="B73" t="inlineStr">
        <is>
          <t>AI Engineer - Manager</t>
        </is>
      </c>
      <c r="C73" t="inlineStr">
        <is>
          <t>PwC</t>
        </is>
      </c>
      <c r="D73" t="inlineStr">
        <is>
          <t>indeed</t>
        </is>
      </c>
      <c r="E73" t="inlineStr"/>
      <c r="F73" t="inlineStr"/>
      <c r="G73" t="inlineStr">
        <is>
          <t>Columbus, OH, US</t>
        </is>
      </c>
      <c r="H73" s="1" t="n">
        <v>46076</v>
      </c>
      <c r="I73"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74">
      <c r="A74" t="inlineStr">
        <is>
          <t>in-b3120e7c4fd17cb8</t>
        </is>
      </c>
      <c r="B74" t="inlineStr">
        <is>
          <t>AI Engineer - Senior Associate</t>
        </is>
      </c>
      <c r="C74" t="inlineStr">
        <is>
          <t>PwC</t>
        </is>
      </c>
      <c r="D74" t="inlineStr">
        <is>
          <t>indeed</t>
        </is>
      </c>
      <c r="E74" t="inlineStr"/>
      <c r="F74" t="inlineStr"/>
      <c r="G74" t="inlineStr">
        <is>
          <t>New Orleans, LA, US</t>
        </is>
      </c>
      <c r="H74" s="1" t="n">
        <v>46076</v>
      </c>
      <c r="I74"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75">
      <c r="A75" t="inlineStr">
        <is>
          <t>in-5b02bf96b70f41ce</t>
        </is>
      </c>
      <c r="B75" t="inlineStr">
        <is>
          <t>AI Engineer - Senior Associate</t>
        </is>
      </c>
      <c r="C75" t="inlineStr">
        <is>
          <t>PwC</t>
        </is>
      </c>
      <c r="D75" t="inlineStr">
        <is>
          <t>indeed</t>
        </is>
      </c>
      <c r="E75" t="inlineStr"/>
      <c r="F75" t="inlineStr"/>
      <c r="G75" t="inlineStr">
        <is>
          <t>Portland, OR, US</t>
        </is>
      </c>
      <c r="H75" s="1" t="n">
        <v>46076</v>
      </c>
      <c r="I75"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76">
      <c r="A76" t="inlineStr">
        <is>
          <t>in-a15c8597608caacd</t>
        </is>
      </c>
      <c r="B76" t="inlineStr">
        <is>
          <t>AI Engineer - Senior Associate</t>
        </is>
      </c>
      <c r="C76" t="inlineStr">
        <is>
          <t>PwC</t>
        </is>
      </c>
      <c r="D76" t="inlineStr">
        <is>
          <t>indeed</t>
        </is>
      </c>
      <c r="E76" t="inlineStr"/>
      <c r="F76" t="inlineStr"/>
      <c r="G76" t="inlineStr">
        <is>
          <t>Oklahoma City, OK, US</t>
        </is>
      </c>
      <c r="H76" s="1" t="n">
        <v>46076</v>
      </c>
      <c r="I76"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77">
      <c r="A77" t="inlineStr">
        <is>
          <t>in-af49b3f3698fc1e8</t>
        </is>
      </c>
      <c r="B77" t="inlineStr">
        <is>
          <t>AI Engineer - Senior Associate</t>
        </is>
      </c>
      <c r="C77" t="inlineStr">
        <is>
          <t>PwC</t>
        </is>
      </c>
      <c r="D77" t="inlineStr">
        <is>
          <t>indeed</t>
        </is>
      </c>
      <c r="E77" t="inlineStr"/>
      <c r="F77" t="inlineStr"/>
      <c r="G77" t="inlineStr">
        <is>
          <t>Montpelier, VT, US</t>
        </is>
      </c>
      <c r="H77" s="1" t="n">
        <v>46076</v>
      </c>
      <c r="I77"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78">
      <c r="A78" t="inlineStr">
        <is>
          <t>in-17f66a451dae602e</t>
        </is>
      </c>
      <c r="B78" t="inlineStr">
        <is>
          <t>AI Engineer - Senior Associate</t>
        </is>
      </c>
      <c r="C78" t="inlineStr">
        <is>
          <t>PwC</t>
        </is>
      </c>
      <c r="D78" t="inlineStr">
        <is>
          <t>indeed</t>
        </is>
      </c>
      <c r="E78" t="inlineStr"/>
      <c r="F78" t="inlineStr"/>
      <c r="G78" t="inlineStr">
        <is>
          <t>Little Rock, AR, US</t>
        </is>
      </c>
      <c r="H78" s="1" t="n">
        <v>46076</v>
      </c>
      <c r="I78"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79">
      <c r="A79" t="inlineStr">
        <is>
          <t>in-2ee796a49e8359d6</t>
        </is>
      </c>
      <c r="B79" t="inlineStr">
        <is>
          <t>AI Engineer - Senior Associate</t>
        </is>
      </c>
      <c r="C79" t="inlineStr">
        <is>
          <t>PwC</t>
        </is>
      </c>
      <c r="D79" t="inlineStr">
        <is>
          <t>indeed</t>
        </is>
      </c>
      <c r="E79" t="inlineStr"/>
      <c r="F79" t="inlineStr"/>
      <c r="G79" t="inlineStr">
        <is>
          <t>Melville, NY, US</t>
        </is>
      </c>
      <c r="H79" s="1" t="n">
        <v>46076</v>
      </c>
      <c r="I79"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80">
      <c r="A80" t="inlineStr">
        <is>
          <t>in-4a22ce222b5ad109</t>
        </is>
      </c>
      <c r="B80" t="inlineStr">
        <is>
          <t>AI Engineer - Senior Associate</t>
        </is>
      </c>
      <c r="C80" t="inlineStr">
        <is>
          <t>PwC</t>
        </is>
      </c>
      <c r="D80" t="inlineStr">
        <is>
          <t>indeed</t>
        </is>
      </c>
      <c r="E80" t="inlineStr"/>
      <c r="F80" t="inlineStr"/>
      <c r="G80" t="inlineStr">
        <is>
          <t>Birmingham, AL, US</t>
        </is>
      </c>
      <c r="H80" s="1" t="n">
        <v>46076</v>
      </c>
      <c r="I80"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81">
      <c r="A81" t="inlineStr">
        <is>
          <t>in-69997cfac24e5ac0</t>
        </is>
      </c>
      <c r="B81" t="inlineStr">
        <is>
          <t>AI Engineer - Senior Associate</t>
        </is>
      </c>
      <c r="C81" t="inlineStr">
        <is>
          <t>PwC</t>
        </is>
      </c>
      <c r="D81" t="inlineStr">
        <is>
          <t>indeed</t>
        </is>
      </c>
      <c r="E81" t="inlineStr"/>
      <c r="F81" t="inlineStr"/>
      <c r="G81" t="inlineStr">
        <is>
          <t>Nashville, TN, US</t>
        </is>
      </c>
      <c r="H81" s="1" t="n">
        <v>46076</v>
      </c>
      <c r="I81"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82">
      <c r="A82" t="inlineStr">
        <is>
          <t>in-629aa1fd99cde84d</t>
        </is>
      </c>
      <c r="B82" t="inlineStr">
        <is>
          <t>AI Engineer - Senior Associate</t>
        </is>
      </c>
      <c r="C82" t="inlineStr">
        <is>
          <t>PwC</t>
        </is>
      </c>
      <c r="D82" t="inlineStr">
        <is>
          <t>indeed</t>
        </is>
      </c>
      <c r="E82" t="inlineStr"/>
      <c r="F82" t="inlineStr"/>
      <c r="G82" t="inlineStr">
        <is>
          <t>Louisville, KY, US</t>
        </is>
      </c>
      <c r="H82" s="1" t="n">
        <v>46076</v>
      </c>
      <c r="I82"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83">
      <c r="A83" t="inlineStr">
        <is>
          <t>in-022c28e26b5ae5fc</t>
        </is>
      </c>
      <c r="B83" t="inlineStr">
        <is>
          <t>AI Engineer - Senior Associate</t>
        </is>
      </c>
      <c r="C83" t="inlineStr">
        <is>
          <t>PwC</t>
        </is>
      </c>
      <c r="D83" t="inlineStr">
        <is>
          <t>indeed</t>
        </is>
      </c>
      <c r="E83" t="inlineStr"/>
      <c r="F83" t="inlineStr"/>
      <c r="G83" t="inlineStr">
        <is>
          <t>Minneapolis, MN, US</t>
        </is>
      </c>
      <c r="H83" s="1" t="n">
        <v>46076</v>
      </c>
      <c r="I83"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84">
      <c r="A84" t="inlineStr">
        <is>
          <t>in-0cdb6335bad9c008</t>
        </is>
      </c>
      <c r="B84" t="inlineStr">
        <is>
          <t>AI Engineer - Senior Associate</t>
        </is>
      </c>
      <c r="C84" t="inlineStr">
        <is>
          <t>PwC</t>
        </is>
      </c>
      <c r="D84" t="inlineStr">
        <is>
          <t>indeed</t>
        </is>
      </c>
      <c r="E84" t="inlineStr"/>
      <c r="F84" t="inlineStr"/>
      <c r="G84" t="inlineStr">
        <is>
          <t>Fayetteville, AR, US</t>
        </is>
      </c>
      <c r="H84" s="1" t="n">
        <v>46076</v>
      </c>
      <c r="I84"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85">
      <c r="A85" t="inlineStr">
        <is>
          <t>in-4d7f97df13870169</t>
        </is>
      </c>
      <c r="B85" t="inlineStr">
        <is>
          <t>AI Engineer - Senior Associate</t>
        </is>
      </c>
      <c r="C85" t="inlineStr">
        <is>
          <t>PwC</t>
        </is>
      </c>
      <c r="D85" t="inlineStr">
        <is>
          <t>indeed</t>
        </is>
      </c>
      <c r="E85" t="inlineStr"/>
      <c r="F85" t="inlineStr"/>
      <c r="G85" t="inlineStr">
        <is>
          <t>Milwaukee, WI, US</t>
        </is>
      </c>
      <c r="H85" s="1" t="n">
        <v>46076</v>
      </c>
      <c r="I85"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86">
      <c r="A86" t="inlineStr">
        <is>
          <t>in-7a4b82cd9ab2a9b4</t>
        </is>
      </c>
      <c r="B86" t="inlineStr">
        <is>
          <t>AI Engineer - Senior Associate</t>
        </is>
      </c>
      <c r="C86" t="inlineStr">
        <is>
          <t>PwC</t>
        </is>
      </c>
      <c r="D86" t="inlineStr">
        <is>
          <t>indeed</t>
        </is>
      </c>
      <c r="E86" t="inlineStr"/>
      <c r="F86" t="inlineStr"/>
      <c r="G86" t="inlineStr">
        <is>
          <t>Miami, FL, US</t>
        </is>
      </c>
      <c r="H86" s="1" t="n">
        <v>46076</v>
      </c>
      <c r="I86"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87">
      <c r="A87" t="inlineStr">
        <is>
          <t>in-c71a379f64e26f04</t>
        </is>
      </c>
      <c r="B87" t="inlineStr">
        <is>
          <t>AI Engineer - Senior Associate</t>
        </is>
      </c>
      <c r="C87" t="inlineStr">
        <is>
          <t>PwC</t>
        </is>
      </c>
      <c r="D87" t="inlineStr">
        <is>
          <t>indeed</t>
        </is>
      </c>
      <c r="E87" t="inlineStr"/>
      <c r="F87" t="inlineStr"/>
      <c r="G87" t="inlineStr">
        <is>
          <t>Indianapolis, IN, US</t>
        </is>
      </c>
      <c r="H87" s="1" t="n">
        <v>46076</v>
      </c>
      <c r="I87"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88">
      <c r="A88" t="inlineStr">
        <is>
          <t>in-428ae0cdf8a1d0b8</t>
        </is>
      </c>
      <c r="B88" t="inlineStr">
        <is>
          <t>AI Engineer - Senior Associate</t>
        </is>
      </c>
      <c r="C88" t="inlineStr">
        <is>
          <t>PwC</t>
        </is>
      </c>
      <c r="D88" t="inlineStr">
        <is>
          <t>indeed</t>
        </is>
      </c>
      <c r="E88" t="inlineStr"/>
      <c r="F88" t="inlineStr"/>
      <c r="G88" t="inlineStr">
        <is>
          <t>Spartanburg, SC, US</t>
        </is>
      </c>
      <c r="H88" s="1" t="n">
        <v>46076</v>
      </c>
      <c r="I88"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89">
      <c r="A89" t="inlineStr">
        <is>
          <t>in-980432f7d9c2712b</t>
        </is>
      </c>
      <c r="B89" t="inlineStr">
        <is>
          <t>AI Engineer - Senior Associate</t>
        </is>
      </c>
      <c r="C89" t="inlineStr">
        <is>
          <t>PwC</t>
        </is>
      </c>
      <c r="D89" t="inlineStr">
        <is>
          <t>indeed</t>
        </is>
      </c>
      <c r="E89" t="inlineStr"/>
      <c r="F89" t="inlineStr"/>
      <c r="G89" t="inlineStr">
        <is>
          <t>Florham Park, NJ, US</t>
        </is>
      </c>
      <c r="H89" s="1" t="n">
        <v>46076</v>
      </c>
      <c r="I89"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90">
      <c r="A90" t="inlineStr">
        <is>
          <t>in-04c887230e2329f8</t>
        </is>
      </c>
      <c r="B90" t="inlineStr">
        <is>
          <t>AI Engineer - Senior Associate</t>
        </is>
      </c>
      <c r="C90" t="inlineStr">
        <is>
          <t>PwC</t>
        </is>
      </c>
      <c r="D90" t="inlineStr">
        <is>
          <t>indeed</t>
        </is>
      </c>
      <c r="E90" t="inlineStr"/>
      <c r="F90" t="inlineStr"/>
      <c r="G90" t="inlineStr">
        <is>
          <t>Las Vegas, NV, US</t>
        </is>
      </c>
      <c r="H90" s="1" t="n">
        <v>46076</v>
      </c>
      <c r="I90"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91">
      <c r="A91" t="inlineStr">
        <is>
          <t>in-6aefe58f5368dbe6</t>
        </is>
      </c>
      <c r="B91" t="inlineStr">
        <is>
          <t>AI Engineer - Senior Associate</t>
        </is>
      </c>
      <c r="C91" t="inlineStr">
        <is>
          <t>PwC</t>
        </is>
      </c>
      <c r="D91" t="inlineStr">
        <is>
          <t>indeed</t>
        </is>
      </c>
      <c r="E91" t="inlineStr"/>
      <c r="F91" t="inlineStr"/>
      <c r="G91" t="inlineStr">
        <is>
          <t>San Francisco, CA, US</t>
        </is>
      </c>
      <c r="H91" s="1" t="n">
        <v>46076</v>
      </c>
      <c r="I91"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92">
      <c r="A92" t="inlineStr">
        <is>
          <t>in-017a1ada026bebc5</t>
        </is>
      </c>
      <c r="B92" t="inlineStr">
        <is>
          <t>AI Engineer - Senior Associate</t>
        </is>
      </c>
      <c r="C92" t="inlineStr">
        <is>
          <t>PwC</t>
        </is>
      </c>
      <c r="D92" t="inlineStr">
        <is>
          <t>indeed</t>
        </is>
      </c>
      <c r="E92" t="inlineStr"/>
      <c r="F92" t="inlineStr"/>
      <c r="G92" t="inlineStr">
        <is>
          <t>Buffalo, NY, US</t>
        </is>
      </c>
      <c r="H92" s="1" t="n">
        <v>46076</v>
      </c>
      <c r="I92"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93">
      <c r="A93" t="inlineStr">
        <is>
          <t>in-91ea954cdddde583</t>
        </is>
      </c>
      <c r="B93" t="inlineStr">
        <is>
          <t>AI Engineer - Senior Associate</t>
        </is>
      </c>
      <c r="C93" t="inlineStr">
        <is>
          <t>PwC</t>
        </is>
      </c>
      <c r="D93" t="inlineStr">
        <is>
          <t>indeed</t>
        </is>
      </c>
      <c r="E93" t="inlineStr"/>
      <c r="F93" t="inlineStr"/>
      <c r="G93" t="inlineStr">
        <is>
          <t>San Antonio, TX, US</t>
        </is>
      </c>
      <c r="H93" s="1" t="n">
        <v>46076</v>
      </c>
      <c r="I93"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94">
      <c r="A94" t="inlineStr">
        <is>
          <t>in-95111db2e41c53ec</t>
        </is>
      </c>
      <c r="B94" t="inlineStr">
        <is>
          <t>AI Engineer - Senior Associate</t>
        </is>
      </c>
      <c r="C94" t="inlineStr">
        <is>
          <t>PwC</t>
        </is>
      </c>
      <c r="D94" t="inlineStr">
        <is>
          <t>indeed</t>
        </is>
      </c>
      <c r="E94" t="inlineStr"/>
      <c r="F94" t="inlineStr"/>
      <c r="G94" t="inlineStr">
        <is>
          <t>Raleigh, NC, US</t>
        </is>
      </c>
      <c r="H94" s="1" t="n">
        <v>46076</v>
      </c>
      <c r="I94"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95">
      <c r="A95" t="inlineStr">
        <is>
          <t>in-ee8a52f68d276603</t>
        </is>
      </c>
      <c r="B95" t="inlineStr">
        <is>
          <t>AI Engineer - Senior Associate</t>
        </is>
      </c>
      <c r="C95" t="inlineStr">
        <is>
          <t>PwC</t>
        </is>
      </c>
      <c r="D95" t="inlineStr">
        <is>
          <t>indeed</t>
        </is>
      </c>
      <c r="E95" t="inlineStr"/>
      <c r="F95" t="inlineStr"/>
      <c r="G95" t="inlineStr">
        <is>
          <t>Tulsa, OK, US</t>
        </is>
      </c>
      <c r="H95" s="1" t="n">
        <v>46076</v>
      </c>
      <c r="I95"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96">
      <c r="A96" t="inlineStr">
        <is>
          <t>in-0f8ac58940d304af</t>
        </is>
      </c>
      <c r="B96" t="inlineStr">
        <is>
          <t>AI Engineer - Senior Associate</t>
        </is>
      </c>
      <c r="C96" t="inlineStr">
        <is>
          <t>PwC</t>
        </is>
      </c>
      <c r="D96" t="inlineStr">
        <is>
          <t>indeed</t>
        </is>
      </c>
      <c r="E96" t="inlineStr"/>
      <c r="F96" t="inlineStr"/>
      <c r="G96" t="inlineStr">
        <is>
          <t>Austin, TX, US</t>
        </is>
      </c>
      <c r="H96" s="1" t="n">
        <v>46076</v>
      </c>
      <c r="I96"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97">
      <c r="A97" t="inlineStr">
        <is>
          <t>in-f8004e93d03287e6</t>
        </is>
      </c>
      <c r="B97" t="inlineStr">
        <is>
          <t>AI Engineer - Senior Associate</t>
        </is>
      </c>
      <c r="C97" t="inlineStr">
        <is>
          <t>PwC</t>
        </is>
      </c>
      <c r="D97" t="inlineStr">
        <is>
          <t>indeed</t>
        </is>
      </c>
      <c r="E97" t="inlineStr"/>
      <c r="F97" t="inlineStr"/>
      <c r="G97" t="inlineStr">
        <is>
          <t>Detroit, MI, US</t>
        </is>
      </c>
      <c r="H97" s="1" t="n">
        <v>46076</v>
      </c>
      <c r="I97"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98">
      <c r="A98" t="inlineStr">
        <is>
          <t>in-256a59e3a91fb649</t>
        </is>
      </c>
      <c r="B98" t="inlineStr">
        <is>
          <t>AI Engineer - Senior Associate</t>
        </is>
      </c>
      <c r="C98" t="inlineStr">
        <is>
          <t>PwC</t>
        </is>
      </c>
      <c r="D98" t="inlineStr">
        <is>
          <t>indeed</t>
        </is>
      </c>
      <c r="E98" t="inlineStr"/>
      <c r="F98" t="inlineStr"/>
      <c r="G98" t="inlineStr">
        <is>
          <t>Atlanta, GA, US</t>
        </is>
      </c>
      <c r="H98" s="1" t="n">
        <v>46076</v>
      </c>
      <c r="I98"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99">
      <c r="A99" t="inlineStr">
        <is>
          <t>in-158a31b1298add15</t>
        </is>
      </c>
      <c r="B99" t="inlineStr">
        <is>
          <t>AI Engineer - Senior Associate</t>
        </is>
      </c>
      <c r="C99" t="inlineStr">
        <is>
          <t>PwC</t>
        </is>
      </c>
      <c r="D99" t="inlineStr">
        <is>
          <t>indeed</t>
        </is>
      </c>
      <c r="E99" t="inlineStr"/>
      <c r="F99" t="inlineStr"/>
      <c r="G99" t="inlineStr">
        <is>
          <t>Cincinnati, OH, US</t>
        </is>
      </c>
      <c r="H99" s="1" t="n">
        <v>46076</v>
      </c>
      <c r="I99"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00">
      <c r="A100" t="inlineStr">
        <is>
          <t>in-f32650f49e9106bd</t>
        </is>
      </c>
      <c r="B100" t="inlineStr">
        <is>
          <t>AI Engineer - Senior Associate</t>
        </is>
      </c>
      <c r="C100" t="inlineStr">
        <is>
          <t>PwC</t>
        </is>
      </c>
      <c r="D100" t="inlineStr">
        <is>
          <t>indeed</t>
        </is>
      </c>
      <c r="E100" t="inlineStr"/>
      <c r="F100" t="inlineStr"/>
      <c r="G100" t="inlineStr">
        <is>
          <t>Rosemont, IL, US</t>
        </is>
      </c>
      <c r="H100" s="1" t="n">
        <v>46076</v>
      </c>
      <c r="I100"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01">
      <c r="A101" t="inlineStr">
        <is>
          <t>in-507617a37674b05d</t>
        </is>
      </c>
      <c r="B101" t="inlineStr">
        <is>
          <t>AI Engineer - Senior Associate</t>
        </is>
      </c>
      <c r="C101" t="inlineStr">
        <is>
          <t>PwC</t>
        </is>
      </c>
      <c r="D101" t="inlineStr">
        <is>
          <t>indeed</t>
        </is>
      </c>
      <c r="E101" t="inlineStr"/>
      <c r="F101" t="inlineStr"/>
      <c r="G101" t="inlineStr">
        <is>
          <t>Columbus, OH, US</t>
        </is>
      </c>
      <c r="H101" s="1" t="n">
        <v>46076</v>
      </c>
      <c r="I101"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02">
      <c r="A102" t="inlineStr">
        <is>
          <t>in-437dc00590032905</t>
        </is>
      </c>
      <c r="B102" t="inlineStr">
        <is>
          <t>AI Engineer - Senior Associate</t>
        </is>
      </c>
      <c r="C102" t="inlineStr">
        <is>
          <t>PwC</t>
        </is>
      </c>
      <c r="D102" t="inlineStr">
        <is>
          <t>indeed</t>
        </is>
      </c>
      <c r="E102" t="inlineStr"/>
      <c r="F102" t="inlineStr"/>
      <c r="G102" t="inlineStr">
        <is>
          <t>Houston, TX, US</t>
        </is>
      </c>
      <c r="H102" s="1" t="n">
        <v>46076</v>
      </c>
      <c r="I102"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03">
      <c r="A103" t="inlineStr">
        <is>
          <t>in-edaafbbb34975381</t>
        </is>
      </c>
      <c r="B103" t="inlineStr">
        <is>
          <t>AI Engineer - Senior Associate</t>
        </is>
      </c>
      <c r="C103" t="inlineStr">
        <is>
          <t>PwC</t>
        </is>
      </c>
      <c r="D103" t="inlineStr">
        <is>
          <t>indeed</t>
        </is>
      </c>
      <c r="E103" t="inlineStr"/>
      <c r="F103" t="inlineStr"/>
      <c r="G103" t="inlineStr">
        <is>
          <t>Stamford, CT, US</t>
        </is>
      </c>
      <c r="H103" s="1" t="n">
        <v>46076</v>
      </c>
      <c r="I103"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04">
      <c r="A104" t="inlineStr">
        <is>
          <t>in-876d142f966aefca</t>
        </is>
      </c>
      <c r="B104" t="inlineStr">
        <is>
          <t>AI Engineer - Senior Associate</t>
        </is>
      </c>
      <c r="C104" t="inlineStr">
        <is>
          <t>PwC</t>
        </is>
      </c>
      <c r="D104" t="inlineStr">
        <is>
          <t>indeed</t>
        </is>
      </c>
      <c r="E104" t="inlineStr"/>
      <c r="F104" t="inlineStr"/>
      <c r="G104" t="inlineStr">
        <is>
          <t>Jacksonville, FL, US</t>
        </is>
      </c>
      <c r="H104" s="1" t="n">
        <v>46076</v>
      </c>
      <c r="I104"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05">
      <c r="A105" t="inlineStr">
        <is>
          <t>in-9835877a10c98aee</t>
        </is>
      </c>
      <c r="B105" t="inlineStr">
        <is>
          <t>AI Engineer - Senior Associate</t>
        </is>
      </c>
      <c r="C105" t="inlineStr">
        <is>
          <t>PwC</t>
        </is>
      </c>
      <c r="D105" t="inlineStr">
        <is>
          <t>indeed</t>
        </is>
      </c>
      <c r="E105" t="inlineStr"/>
      <c r="F105" t="inlineStr"/>
      <c r="G105" t="inlineStr">
        <is>
          <t>Silicon Valley, CA, US</t>
        </is>
      </c>
      <c r="H105" s="1" t="n">
        <v>46076</v>
      </c>
      <c r="I105"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06">
      <c r="A106" t="inlineStr">
        <is>
          <t>in-1f22823afe9480ce</t>
        </is>
      </c>
      <c r="B106" t="inlineStr">
        <is>
          <t>AI Engineer - Senior Associate</t>
        </is>
      </c>
      <c r="C106" t="inlineStr">
        <is>
          <t>PwC</t>
        </is>
      </c>
      <c r="D106" t="inlineStr">
        <is>
          <t>indeed</t>
        </is>
      </c>
      <c r="E106" t="inlineStr"/>
      <c r="F106" t="inlineStr"/>
      <c r="G106" t="inlineStr">
        <is>
          <t>Cleveland, OH, US</t>
        </is>
      </c>
      <c r="H106" s="1" t="n">
        <v>46076</v>
      </c>
      <c r="I106"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07">
      <c r="A107" t="inlineStr">
        <is>
          <t>in-d058f793ab791ad9</t>
        </is>
      </c>
      <c r="B107" t="inlineStr">
        <is>
          <t>AI Engineer - Senior Associate</t>
        </is>
      </c>
      <c r="C107" t="inlineStr">
        <is>
          <t>PwC</t>
        </is>
      </c>
      <c r="D107" t="inlineStr">
        <is>
          <t>indeed</t>
        </is>
      </c>
      <c r="E107" t="inlineStr"/>
      <c r="F107" t="inlineStr"/>
      <c r="G107" t="inlineStr">
        <is>
          <t>Tampa, FL, US</t>
        </is>
      </c>
      <c r="H107" s="1" t="n">
        <v>46076</v>
      </c>
      <c r="I107"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08">
      <c r="A108" t="inlineStr">
        <is>
          <t>in-060479a899fc87cf</t>
        </is>
      </c>
      <c r="B108" t="inlineStr">
        <is>
          <t>AI Engineer - Senior Associate</t>
        </is>
      </c>
      <c r="C108" t="inlineStr">
        <is>
          <t>PwC</t>
        </is>
      </c>
      <c r="D108" t="inlineStr">
        <is>
          <t>indeed</t>
        </is>
      </c>
      <c r="E108" t="inlineStr"/>
      <c r="F108" t="inlineStr"/>
      <c r="G108" t="inlineStr">
        <is>
          <t>Denver, CO, US</t>
        </is>
      </c>
      <c r="H108" s="1" t="n">
        <v>46076</v>
      </c>
      <c r="I108"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09">
      <c r="A109" t="inlineStr">
        <is>
          <t>in-c9027423eeb81609</t>
        </is>
      </c>
      <c r="B109" t="inlineStr">
        <is>
          <t>AI Engineer - Senior Associate</t>
        </is>
      </c>
      <c r="C109" t="inlineStr">
        <is>
          <t>PwC</t>
        </is>
      </c>
      <c r="D109" t="inlineStr">
        <is>
          <t>indeed</t>
        </is>
      </c>
      <c r="E109" t="inlineStr"/>
      <c r="F109" t="inlineStr"/>
      <c r="G109" t="inlineStr">
        <is>
          <t>Fort Worth, TX, US</t>
        </is>
      </c>
      <c r="H109" s="1" t="n">
        <v>46076</v>
      </c>
      <c r="I109"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10">
      <c r="A110" t="inlineStr">
        <is>
          <t>in-6a2a564de80049d8</t>
        </is>
      </c>
      <c r="B110" t="inlineStr">
        <is>
          <t>AI Engineer - Senior Associate</t>
        </is>
      </c>
      <c r="C110" t="inlineStr">
        <is>
          <t>PwC</t>
        </is>
      </c>
      <c r="D110" t="inlineStr">
        <is>
          <t>indeed</t>
        </is>
      </c>
      <c r="E110" t="inlineStr"/>
      <c r="F110" t="inlineStr"/>
      <c r="G110" t="inlineStr">
        <is>
          <t>St. Louis, MO, US</t>
        </is>
      </c>
      <c r="H110" s="1" t="n">
        <v>46076</v>
      </c>
      <c r="I110"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11">
      <c r="A111" t="inlineStr">
        <is>
          <t>in-29c6e5a38ec77fda</t>
        </is>
      </c>
      <c r="B111" t="inlineStr">
        <is>
          <t>AI Engineer - Senior Associate</t>
        </is>
      </c>
      <c r="C111" t="inlineStr">
        <is>
          <t>PwC</t>
        </is>
      </c>
      <c r="D111" t="inlineStr">
        <is>
          <t>indeed</t>
        </is>
      </c>
      <c r="E111" t="inlineStr"/>
      <c r="F111" t="inlineStr"/>
      <c r="G111" t="inlineStr">
        <is>
          <t>Seattle, WA, US</t>
        </is>
      </c>
      <c r="H111" s="1" t="n">
        <v>46076</v>
      </c>
      <c r="I111"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12">
      <c r="A112" t="inlineStr">
        <is>
          <t>in-36e13be20ee83ddb</t>
        </is>
      </c>
      <c r="B112" t="inlineStr">
        <is>
          <t>AI Engineer - Senior Associate</t>
        </is>
      </c>
      <c r="C112" t="inlineStr">
        <is>
          <t>PwC</t>
        </is>
      </c>
      <c r="D112" t="inlineStr">
        <is>
          <t>indeed</t>
        </is>
      </c>
      <c r="E112" t="inlineStr"/>
      <c r="F112" t="inlineStr"/>
      <c r="G112" t="inlineStr">
        <is>
          <t>Des Moines, IA, US</t>
        </is>
      </c>
      <c r="H112" s="1" t="n">
        <v>46076</v>
      </c>
      <c r="I112"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13">
      <c r="A113" t="inlineStr">
        <is>
          <t>in-9149fedc2dbc8ffc</t>
        </is>
      </c>
      <c r="B113" t="inlineStr">
        <is>
          <t>AI Engineer - Senior Associate</t>
        </is>
      </c>
      <c r="C113" t="inlineStr">
        <is>
          <t>PwC</t>
        </is>
      </c>
      <c r="D113" t="inlineStr">
        <is>
          <t>indeed</t>
        </is>
      </c>
      <c r="E113" t="inlineStr"/>
      <c r="F113" t="inlineStr"/>
      <c r="G113" t="inlineStr">
        <is>
          <t>Salt Lake City, UT, US</t>
        </is>
      </c>
      <c r="H113" s="1" t="n">
        <v>46076</v>
      </c>
      <c r="I113"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14">
      <c r="A114" t="inlineStr">
        <is>
          <t>in-72bfc016f12e83f0</t>
        </is>
      </c>
      <c r="B114" t="inlineStr">
        <is>
          <t>AI Engineer - Senior Associate</t>
        </is>
      </c>
      <c r="C114" t="inlineStr">
        <is>
          <t>PwC</t>
        </is>
      </c>
      <c r="D114" t="inlineStr">
        <is>
          <t>indeed</t>
        </is>
      </c>
      <c r="E114" t="inlineStr"/>
      <c r="F114" t="inlineStr"/>
      <c r="G114" t="inlineStr">
        <is>
          <t>Irvine, CA, US</t>
        </is>
      </c>
      <c r="H114" s="1" t="n">
        <v>46076</v>
      </c>
      <c r="I114"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15">
      <c r="A115" t="inlineStr">
        <is>
          <t>in-cd5e106fc8645ef7</t>
        </is>
      </c>
      <c r="B115" t="inlineStr">
        <is>
          <t>AI Engineer - Senior Associate</t>
        </is>
      </c>
      <c r="C115" t="inlineStr">
        <is>
          <t>PwC</t>
        </is>
      </c>
      <c r="D115" t="inlineStr">
        <is>
          <t>indeed</t>
        </is>
      </c>
      <c r="E115" t="inlineStr"/>
      <c r="F115" t="inlineStr"/>
      <c r="G115" t="inlineStr">
        <is>
          <t>Hartford, CT, US</t>
        </is>
      </c>
      <c r="H115" s="1" t="n">
        <v>46076</v>
      </c>
      <c r="I115"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16">
      <c r="A116" t="inlineStr">
        <is>
          <t>in-512bac5a4bf13e58</t>
        </is>
      </c>
      <c r="B116" t="inlineStr">
        <is>
          <t>AI Engineer - Senior Associate</t>
        </is>
      </c>
      <c r="C116" t="inlineStr">
        <is>
          <t>PwC</t>
        </is>
      </c>
      <c r="D116" t="inlineStr">
        <is>
          <t>indeed</t>
        </is>
      </c>
      <c r="E116" t="inlineStr"/>
      <c r="F116" t="inlineStr"/>
      <c r="G116" t="inlineStr">
        <is>
          <t>Richmond, VA, US</t>
        </is>
      </c>
      <c r="H116" s="1" t="n">
        <v>46076</v>
      </c>
      <c r="I116"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17">
      <c r="A117" t="inlineStr">
        <is>
          <t>in-4a4e65a2495ac5e1</t>
        </is>
      </c>
      <c r="B117" t="inlineStr">
        <is>
          <t>AI Engineer - Senior Associate</t>
        </is>
      </c>
      <c r="C117" t="inlineStr">
        <is>
          <t>PwC</t>
        </is>
      </c>
      <c r="D117" t="inlineStr">
        <is>
          <t>indeed</t>
        </is>
      </c>
      <c r="E117" t="inlineStr"/>
      <c r="F117" t="inlineStr"/>
      <c r="G117" t="inlineStr">
        <is>
          <t>Grand Rapids, MI, US</t>
        </is>
      </c>
      <c r="H117" s="1" t="n">
        <v>46076</v>
      </c>
      <c r="I117"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18">
      <c r="A118" t="inlineStr">
        <is>
          <t>in-982214696cff405d</t>
        </is>
      </c>
      <c r="B118" t="inlineStr">
        <is>
          <t>AI Engineer - Senior Associate</t>
        </is>
      </c>
      <c r="C118" t="inlineStr">
        <is>
          <t>PwC</t>
        </is>
      </c>
      <c r="D118" t="inlineStr">
        <is>
          <t>indeed</t>
        </is>
      </c>
      <c r="E118" t="inlineStr"/>
      <c r="F118" t="inlineStr"/>
      <c r="G118" t="inlineStr">
        <is>
          <t>Toledo, OH, US</t>
        </is>
      </c>
      <c r="H118" s="1" t="n">
        <v>46076</v>
      </c>
      <c r="I118"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19">
      <c r="A119" t="inlineStr">
        <is>
          <t>in-003cdb85d5f83a01</t>
        </is>
      </c>
      <c r="B119" t="inlineStr">
        <is>
          <t>AI Engineer - Senior Associate</t>
        </is>
      </c>
      <c r="C119" t="inlineStr">
        <is>
          <t>PwC</t>
        </is>
      </c>
      <c r="D119" t="inlineStr">
        <is>
          <t>indeed</t>
        </is>
      </c>
      <c r="E119" t="inlineStr"/>
      <c r="F119" t="inlineStr"/>
      <c r="G119" t="inlineStr">
        <is>
          <t>Columbia, SC, US</t>
        </is>
      </c>
      <c r="H119" s="1" t="n">
        <v>46076</v>
      </c>
      <c r="I119"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20">
      <c r="A120" t="inlineStr">
        <is>
          <t>in-11ea2fe091a7dc1f</t>
        </is>
      </c>
      <c r="B120" t="inlineStr">
        <is>
          <t>AI Engineer - Senior Associate</t>
        </is>
      </c>
      <c r="C120" t="inlineStr">
        <is>
          <t>PwC</t>
        </is>
      </c>
      <c r="D120" t="inlineStr">
        <is>
          <t>indeed</t>
        </is>
      </c>
      <c r="E120" t="inlineStr"/>
      <c r="F120" t="inlineStr"/>
      <c r="G120" t="inlineStr">
        <is>
          <t>Washington, DC, US</t>
        </is>
      </c>
      <c r="H120" s="1" t="n">
        <v>46076</v>
      </c>
      <c r="I120"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21">
      <c r="A121" t="inlineStr">
        <is>
          <t>in-264e9c0309626ab4</t>
        </is>
      </c>
      <c r="B121" t="inlineStr">
        <is>
          <t>AI Engineer - Senior Associate</t>
        </is>
      </c>
      <c r="C121" t="inlineStr">
        <is>
          <t>PwC</t>
        </is>
      </c>
      <c r="D121" t="inlineStr">
        <is>
          <t>indeed</t>
        </is>
      </c>
      <c r="E121" t="inlineStr"/>
      <c r="F121" t="inlineStr"/>
      <c r="G121" t="inlineStr">
        <is>
          <t>Boston, MA, US</t>
        </is>
      </c>
      <c r="H121" s="1" t="n">
        <v>46076</v>
      </c>
      <c r="I121"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22">
      <c r="A122" t="inlineStr">
        <is>
          <t>in-99c1c8fc5cea4bdb</t>
        </is>
      </c>
      <c r="B122" t="inlineStr">
        <is>
          <t>AI Engineer - Senior Associate</t>
        </is>
      </c>
      <c r="C122" t="inlineStr">
        <is>
          <t>PwC</t>
        </is>
      </c>
      <c r="D122" t="inlineStr">
        <is>
          <t>indeed</t>
        </is>
      </c>
      <c r="E122" t="inlineStr"/>
      <c r="F122" t="inlineStr"/>
      <c r="G122" t="inlineStr">
        <is>
          <t>Baltimore, MD, US</t>
        </is>
      </c>
      <c r="H122" s="1" t="n">
        <v>46076</v>
      </c>
      <c r="I122"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23">
      <c r="A123" t="inlineStr">
        <is>
          <t>in-59179effe27fc6d6</t>
        </is>
      </c>
      <c r="B123" t="inlineStr">
        <is>
          <t>AI Engineer - Senior Associate</t>
        </is>
      </c>
      <c r="C123" t="inlineStr">
        <is>
          <t>PwC</t>
        </is>
      </c>
      <c r="D123" t="inlineStr">
        <is>
          <t>indeed</t>
        </is>
      </c>
      <c r="E123" t="inlineStr"/>
      <c r="F123" t="inlineStr"/>
      <c r="G123" t="inlineStr">
        <is>
          <t>Greensboro, NC, US</t>
        </is>
      </c>
      <c r="H123" s="1" t="n">
        <v>46076</v>
      </c>
      <c r="I123"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24">
      <c r="A124" t="inlineStr">
        <is>
          <t>in-34ec549bae805da0</t>
        </is>
      </c>
      <c r="B124" t="inlineStr">
        <is>
          <t>AI Engineer - Senior Associate</t>
        </is>
      </c>
      <c r="C124" t="inlineStr">
        <is>
          <t>PwC</t>
        </is>
      </c>
      <c r="D124" t="inlineStr">
        <is>
          <t>indeed</t>
        </is>
      </c>
      <c r="E124" t="inlineStr"/>
      <c r="F124" t="inlineStr"/>
      <c r="G124" t="inlineStr">
        <is>
          <t>Albany, NY, US</t>
        </is>
      </c>
      <c r="H124" s="1" t="n">
        <v>46076</v>
      </c>
      <c r="I124"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25">
      <c r="A125" t="inlineStr">
        <is>
          <t>in-c1ffbabc4bd96ea7</t>
        </is>
      </c>
      <c r="B125" t="inlineStr">
        <is>
          <t>AI Engineer - Senior Associate</t>
        </is>
      </c>
      <c r="C125" t="inlineStr">
        <is>
          <t>PwC</t>
        </is>
      </c>
      <c r="D125" t="inlineStr">
        <is>
          <t>indeed</t>
        </is>
      </c>
      <c r="E125" t="inlineStr"/>
      <c r="F125" t="inlineStr"/>
      <c r="G125" t="inlineStr">
        <is>
          <t>Charlotte, NC, US</t>
        </is>
      </c>
      <c r="H125" s="1" t="n">
        <v>46076</v>
      </c>
      <c r="I125"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26">
      <c r="A126" t="inlineStr">
        <is>
          <t>in-a84dfddc8b1d02a5</t>
        </is>
      </c>
      <c r="B126" t="inlineStr">
        <is>
          <t>AI Engineer - Senior Associate</t>
        </is>
      </c>
      <c r="C126" t="inlineStr">
        <is>
          <t>PwC</t>
        </is>
      </c>
      <c r="D126" t="inlineStr">
        <is>
          <t>indeed</t>
        </is>
      </c>
      <c r="E126" t="inlineStr"/>
      <c r="F126" t="inlineStr"/>
      <c r="G126" t="inlineStr">
        <is>
          <t>Dallas, TX, US</t>
        </is>
      </c>
      <c r="H126" s="1" t="n">
        <v>46076</v>
      </c>
      <c r="I126"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27">
      <c r="A127" t="inlineStr">
        <is>
          <t>in-cc8504ee2f22292d</t>
        </is>
      </c>
      <c r="B127" t="inlineStr">
        <is>
          <t>AI Engineer - Senior Associate</t>
        </is>
      </c>
      <c r="C127" t="inlineStr">
        <is>
          <t>PwC</t>
        </is>
      </c>
      <c r="D127" t="inlineStr">
        <is>
          <t>indeed</t>
        </is>
      </c>
      <c r="E127" t="inlineStr"/>
      <c r="F127" t="inlineStr"/>
      <c r="G127" t="inlineStr">
        <is>
          <t>Sacramento, CA, US</t>
        </is>
      </c>
      <c r="H127" s="1" t="n">
        <v>46076</v>
      </c>
      <c r="I127"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28">
      <c r="A128" t="inlineStr">
        <is>
          <t>in-bfb58c10c2914c5b</t>
        </is>
      </c>
      <c r="B128" t="inlineStr">
        <is>
          <t>AI Engineer - Senior Associate</t>
        </is>
      </c>
      <c r="C128" t="inlineStr">
        <is>
          <t>PwC</t>
        </is>
      </c>
      <c r="D128" t="inlineStr">
        <is>
          <t>indeed</t>
        </is>
      </c>
      <c r="E128" t="inlineStr"/>
      <c r="F128" t="inlineStr"/>
      <c r="G128" t="inlineStr">
        <is>
          <t>Rochester, NY, US</t>
        </is>
      </c>
      <c r="H128" s="1" t="n">
        <v>46076</v>
      </c>
      <c r="I128"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29">
      <c r="A129" t="inlineStr">
        <is>
          <t>in-b5e35eb90937b088</t>
        </is>
      </c>
      <c r="B129" t="inlineStr">
        <is>
          <t>AI Engineer - Senior Associate</t>
        </is>
      </c>
      <c r="C129" t="inlineStr">
        <is>
          <t>PwC</t>
        </is>
      </c>
      <c r="D129" t="inlineStr">
        <is>
          <t>indeed</t>
        </is>
      </c>
      <c r="E129" t="inlineStr"/>
      <c r="F129" t="inlineStr"/>
      <c r="G129" t="inlineStr">
        <is>
          <t>San Diego, CA, US</t>
        </is>
      </c>
      <c r="H129" s="1" t="n">
        <v>46076</v>
      </c>
      <c r="I129"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30">
      <c r="A130" t="inlineStr">
        <is>
          <t>in-28f3437e0f7968c9</t>
        </is>
      </c>
      <c r="B130" t="inlineStr">
        <is>
          <t>AI Engineer - Senior Associate</t>
        </is>
      </c>
      <c r="C130" t="inlineStr">
        <is>
          <t>PwC</t>
        </is>
      </c>
      <c r="D130" t="inlineStr">
        <is>
          <t>indeed</t>
        </is>
      </c>
      <c r="E130" t="inlineStr"/>
      <c r="F130" t="inlineStr"/>
      <c r="G130" t="inlineStr">
        <is>
          <t>Chicago, IL, US</t>
        </is>
      </c>
      <c r="H130" s="1" t="n">
        <v>46076</v>
      </c>
      <c r="I130"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131">
      <c r="A131" t="inlineStr">
        <is>
          <t>in-67e260954602eecc</t>
        </is>
      </c>
      <c r="B131" t="inlineStr">
        <is>
          <t>Identity AI / ML Engineer</t>
        </is>
      </c>
      <c r="C131" t="inlineStr">
        <is>
          <t>Openkyber</t>
        </is>
      </c>
      <c r="D131" t="inlineStr">
        <is>
          <t>indeed</t>
        </is>
      </c>
      <c r="E131" t="inlineStr"/>
      <c r="F131" t="inlineStr"/>
      <c r="G131" t="inlineStr">
        <is>
          <t>AK, US</t>
        </is>
      </c>
      <c r="H131" s="1" t="n">
        <v>46077</v>
      </c>
      <c r="I131" t="inlineStr">
        <is>
          <t>This is OpenKyber from OpenKyber. We currently have an opportunity with one of our direct clients and would like to share the details with you. Please review the information below and let me know if you are interested. If you would like to be considered, kindly share your updated resume at Job Title: Lead AI/ML Engineer GL 29 Location: Remote Contract \- W2 Only Primary Responsibilities: AI Project Execution \&amp; Delivery: Lead the end\-to\-end execution of high\-priority AI/ML projects, ensuring they are delivered on time, within budget, and to the highest technical standards. Translate the enterprise AI strategy and product roadmaps into detailed project plans, technical specifications, and actionable backlogs for engineering teams. Serve as the primary technical point of contact for project stakeholders, managing dependencies, mitigating risks, and communicating progress effectively. RAG Decision Clarity\- Ability to design, implement, and explain complete GenAI/RAG solutions independently, from business problem to production deployment, strong understanding of when to use RAG and when not to, ability to justify design choices instead of using GenAI by default. Embedding \&amp; Vector Search Expertise Hands\-on experience with embedding models, vector dimensions, similarity metrics, and internal workings of vector databases. Chunking \&amp; Context preservation\- expertise in multiple chunking strategies with clear understanding of context loss and mitigation techniques. Metadata vs Semantic search Understanding\- clear distinction between metadata\-based filtering and semantic retrieval, and ability to apply each appropriately. Agentic Architecture Ability to design agent workflows with clearly defined responsibilities, avoids unnecessary or misaligned use of agents. Multimodal document processing\- experience in handling texts, tables, and images. AI Governance \&amp; AIRB Facilitation: Manage the day\-to\-day operations of the AI Review Board (AIRB) submission process, acting as a hands\-on guide for Data Science and product teams. Facilitate the preparation of all required documentation for AIRB reviews, ensuring submissions are complete, clear, and proactively address potential ethical, compliance, and technical concerns. Implement and enforce the governance framework, ensuring teams adhere to established standards and best practices for responsible AI. Team Leadership \&amp; Technical Mentorship: Provide direct line management, technical leadership, and mentorship to a team of senior AI/ML Engineers and Data Scientists. Foster a culture of engineering excellence, collaboration, and continuous improvement within the team and enterprise. Conduct code reviews, design sessions, and technical deep dives to ensure the quality, scalability, and robustness of AI solutions. Hands\-on MLOps \&amp; Engineering Practice: Drive the practical implementation of the MLOps strategy, directly overseeing the construction and optimization of CI/CD pipelines for AI/ML systems using tools like GitHub Actions. Enforce rigorous engineering hygiene, including version control for code, data, and models (Git, DVC), and the application of Infrastructure as Code (IaC) principles. Lead the technical implementation of production monitoring solutions to track model performance, identify drift, and ensure the long\-term reliability of deployed AI systems. Required Qualifications: Proven AI/ML Leadership: 10\-15 years of experience in the AI/ML field, with at least 4\-5 years in a leadership or management role leading technical teams in the delivery of complex AI solutions. Experience with AI Governance: Direct, hands\-on experience successfully navigating an internal AI ethics, risk, or governance review process for multiple projects. Strong Project Management Skills: Demonstrated ability to manage complex technical projects from conception to deployment, with expertise in agile methodologies. Expertise in the ML Lifecycle: Deep, practical knowledge of the entire machine learning lifecycle, from data acquisition and feature engineering to model deployment and post\-launch monitoring. Hands\-on MLOps Experience: Proven experience building and managing CI/CD pipelines and MLOps workflows for machine learning. Strong Technical Foundation: Proficient in Python, common ML frameworks (e.g., TensorFlow, PyTorch, scikit\-learn), and cloud platforms (AWS, Azure, or Google Cloud Platform). Preferred Qualifications: Advanced Degree: A Master's or Ph.D. in a relevant quantitative field. Healthcare Domain Experience: Experience developing and deploying AI/ML solutions within a healthcare or other highly regulated environment. Product Mindset: Experience working closely with product managers to define and deliver AI\-powered features and products. Expertise in GenAI Operations: Specific experience in the operational challenges of deploying and managing LLM\-based applications in production. Mentorship and Talent Development: A passion for coaching and developing technical talent, with a track record of growing senior engineers into tech leads. Educational Qualifications: Required \- Bachelor's degree in Computer Science, Information Technology, Computer Engineering or closely related or equivalent. Preferred \- Master's degree in Management Information Systems (MIS), Computer Science, Big Data or Analytics or equivalent. Travel: Open to travel based up on the nature of the engagement. Thanks \&amp; Regards OpenKyber Sr. Talent Acquisition Specialist (w): (E): 2260 Haggerty Road, Suite 285 Northville, MI 48167 Equal Employment Opportunity OpenKyber employment does not discriminate on the basis of race, religion, gender, sexual orientation, age or any other basis as covered by federal, state, or local law. Employment decisions are based solely on qualifications, merit and business needs.
**For applications and inquiries, contact:** hirings@openkyber.com</t>
        </is>
      </c>
    </row>
    <row r="132">
      <c r="A132" t="inlineStr">
        <is>
          <t>in-3e157ff608452ead</t>
        </is>
      </c>
      <c r="B132" t="inlineStr">
        <is>
          <t>Identity AI / ML Engineer</t>
        </is>
      </c>
      <c r="C132" t="inlineStr">
        <is>
          <t>Openkyber</t>
        </is>
      </c>
      <c r="D132" t="inlineStr">
        <is>
          <t>indeed</t>
        </is>
      </c>
      <c r="E132" t="inlineStr"/>
      <c r="F132" t="inlineStr"/>
      <c r="G132" t="inlineStr">
        <is>
          <t>AK, US</t>
        </is>
      </c>
      <c r="H132" s="1" t="n">
        <v>46077</v>
      </c>
      <c r="I132" t="inlineStr">
        <is>
          <t>Position Purpose We are seeking a highly skilled Senior AI Engineer to join our ML/AI team, focusing on the exploration and implementation of Machine Learning, Generative AI, and other innovative technologies. This role will be instrumental in building interfaces that expose the use of AI technologies. The ideal candidate for this role is a seasoned full\-stack software engineer with a passion for innovation and a track record of integrating AI into real\-world applications. This candidate brings extensive experience in building scalable, event\-driven systems over the web, leveraging classical AI mechanisms such as using transformers, invoking them for inferences, and returning data formatted back to clients. Proficiency in cloud platforms, particularly Google Cloud Platform (Google Cloud Platform), is essential. Additionally, they should be familiar with dynamic real\-time APIs, using cloud functions, Kubernetes, Cloud Run, or similar technologies. With a collaborative mindset, this individual thrives in a team environment, working closely with a lead engineer, product owner, and data scientist to deliver high\-quality solutions. Proficiency in Python for back\-end development is essential, ensuring seamless integration across the stack. Excellent communication skills and a knack for problem\-solving effectively contribute to the team's success by translating complex technical concepts into actionable strategies. Responsibilities : Independent Execution: Demonstrate the ability to execute tasks and projects independently, driving them from inception to completion with minimal supervision. Exhibit self\-reliance and resourcefulness in problem\-solving, leveraging technical expertise to overcome challenges effectively. Take ownership of assigned responsibilities and deliverables, ensuring they are completed accurately and on schedule. Design and whiteboard solutions, collaborating with the team to develop and implement innovative approaches. Cloud Solutions Development: Take an active role in the design and implementation of Cloud solutions, particularly on Google Cloud Platform (Google Cloud Platform) and Vertex AI, for assigned projects or components within the team. Guide the full lifecycle of development, from initial design to production deployment, ensuring quality and efficiency. Design and whiteboard solutions, collaborating with the team to develop and implement innovative approaches. Experience with dynamic event driven APIs, utilizing technologies such as Cloud Functions, Kubernetes, Cloud Run, or similar platforms. Continuous Learning and Improvement: Stay abreast of emerging technologies and industry trends to evolve the team's capabilities continually. Foster a culture of curiosity and learning, encouraging experimentation and growth. Requirements : Bachelor's degree in Computer Science, Engineering, or related field. Minimum of 5 years of experience in back\-end software development, with a strong focus on Python, Cloud solutions and development\-to\-production lifecycle. Proficient in a Cloud Platform (Google Cloud Platform is a plus). Hands\-on experience in building/deploying resilient event driven solutions. Passion for learning and applying new technologies, with the ability to inspire and drive innovation within the team. Excellent communication, collaboration, and problem\-solving skills. Experience with AI is a plus. Experience with deploying and supporting Machine Learning/Large Language Models a plus.
**For applications and inquiries, contact:** hirings@openkyber.com</t>
        </is>
      </c>
    </row>
    <row r="133">
      <c r="A133" t="inlineStr">
        <is>
          <t>in-9aa5154b6fa49141</t>
        </is>
      </c>
      <c r="B133" t="inlineStr">
        <is>
          <t>Identity AI / ML Engineer</t>
        </is>
      </c>
      <c r="C133" t="inlineStr">
        <is>
          <t>Openkyber</t>
        </is>
      </c>
      <c r="D133" t="inlineStr">
        <is>
          <t>indeed</t>
        </is>
      </c>
      <c r="E133" t="inlineStr"/>
      <c r="F133" t="inlineStr"/>
      <c r="G133" t="inlineStr">
        <is>
          <t>AK, US</t>
        </is>
      </c>
      <c r="H133" s="1" t="n">
        <v>46077</v>
      </c>
      <c r="I133" t="inlineStr">
        <is>
          <t>Senior Python Engineer / Senior AI ML Engineer Birmingham, AL Long term Contract Position Purpose We are seeking a highly skilled Senior AI Engineer to join our ML/AI team, focusing on the exploration and implementation of Machine Learning, Generative AI, and other innovative technologies. This role will be instrumental in building interfaces that expose the use of AI technologies. The ideal candidate for this role is a seasoned full\-stack software engineer with a passion for innovation and a track record of integrating AI into real\-world applications. This candidate brings extensive experience in building scalable, event\-driven systems over the web, leveraging classical AI mechanisms such as using transformers, invoking them for inferences, and returning data formatted back to clients. Proficiency in cloud platforms, particularly Google Cloud Platform (Google Cloud Platform), is essential. Additionally, they should be familiar with dynamic real\-time APIs, using cloud functions, Kubernetes, Cloud Run, or similar technologies. With a collaborative mindset, this individual thrives in a team environment, working closely with a lead engineer, product owner, and data scientist to deliver high\-quality solutions. Proficiency in Python for back\-end development is essential, ensuring seamless integration across the stack. Excellent communication skills and a knack for problem\-solving effectively contribute to the team's success by translating complex technical concepts into actionable strategies. Responsibilities : Independent Execution: Demonstrate the ability to execute tasks and projects independently, driving them from inception to completion with minimal supervision. Exhibit self\-reliance and resourcefulness in problem\-solving, leveraging technical expertise to overcome challenges effectively. Take ownership of assigned responsibilities and deliverables, ensuring they are completed accurately and on schedule. Design and whiteboard solutions, collaborating with the team to develop and implement innovative approaches. Cloud Solutions Development: Take an active role in the design and implementation of Cloud solutions, particularly on Google Cloud Platform (Google Cloud Platform) and Vertex AI, for assigned projects or components within the team. Guide the full lifecycle of development, from initial design to production deployment, ensuring quality and efficiency. Design and whiteboard solutions, collaborating with the team to develop and implement innovative approaches. Experience with dynamic event driven APIs, utilizing technologies such as Cloud Functions, Kubernetes, Cloud Run, or similar platforms. Continuous Learning and Improvement: Stay abreast of emerging technologies and industry trends to evolve the team's capabilities continually. Foster a culture of curiosity and learning, encouraging experimentation and growth. Requirements : Bachelor's degree in Computer Science, Engineering, or related field. Minimum of 5 years of experience in back\-end software development, with a strong focus on Python, Cloud solutions and development\-to\-production lifecycle. Proficient in a Cloud Platform (Google Cloud Platform is a plus). Hands\-on experience in building/deploying resilient event driven solutions. Passion for learning and applying new technologies, with the ability to inspire and drive innovation within the team. Excellent communication, collaboration, and problem\-solving skills. Experience with AI is a plus. Experience with deploying and supporting Machine Learning/Large Language Models a plus.
**For applications and inquiries, contact:** hirings@openkyber.com</t>
        </is>
      </c>
    </row>
    <row r="134">
      <c r="A134" t="inlineStr">
        <is>
          <t>in-1a28d6b16a1f5de1</t>
        </is>
      </c>
      <c r="B134" t="inlineStr">
        <is>
          <t>Staff AI Engineer</t>
        </is>
      </c>
      <c r="C134" t="inlineStr">
        <is>
          <t>Openkyber</t>
        </is>
      </c>
      <c r="D134" t="inlineStr">
        <is>
          <t>indeed</t>
        </is>
      </c>
      <c r="E134" t="inlineStr"/>
      <c r="F134" t="inlineStr"/>
      <c r="G134" t="inlineStr">
        <is>
          <t>AK, US</t>
        </is>
      </c>
      <c r="H134" s="1" t="n">
        <v>46077</v>
      </c>
      <c r="I134" t="inlineStr">
        <is>
          <t>**Title: Lead ML Engineer Location: Remote Duration: 6 Months \+ Job Description**
We are seeking a highly skilled and communicative Machine Learning Engineer (8\+ years of experience) to join our AI team. In this role, you will bridge the gap between cutting\-edge AI research and practical, user\-facing applications. You will be responsible for designing, building, and deploying Generative AI models (LLMs, Diffusion Models) to solve complex business problems, while effectively communicating technical advancements to non\-technical stakeholders. The ideal candidate is both a hands\-on coder passionate about ML, Gen AI and a proactive collaborator who excels at explaining complex AI concepts to diverse teams.
**Roles \&amp; Responsibilities Key Responsibilities**
* GenAI Development: Architect, fine\-tune, and deploy Large Language Models (LLMs) and Generative AI techniques (e.g., RAG, PEFT/SFT) to improve business applications.
* Production Deployment: Build and maintain high\-performance, scalable ML pipelines and GPU\-based inference systems in cloud environments (AWS/Google Cloud Platform/Azure).
* Collaboration \&amp; Communication: Work closely with product managers, data scientists, and engineers to translate business requirements into technical specifications.
* Stakeholder Engagement: Clearly present AI methodologies, performance results, and technical trade\-offs to non\-technical stakeholders and leadership.
* Model Optimization: Implement prompt engineering, adversarial testing, and model optimization strategies to ensure high\-quality, efficient, and safe outputs.
* Stay Updated: Actively keep up with the latest advancements in GenAI research and incorporate them into our production systems.
* Team and project Coordination: Define project scope, timelines, deliverables, success metrics, co\-ordinate with and guide offshore technical team on project deliverables.
**Required Skills \&amp; Qualifications**
* Experience: 10\+ years of experience as an ML Engineer, with at least 1\-2 years dedicated to Generative AI or NLP projects, and good experience on AWS cloud platform.
* Technical Expertise: Strong proficiency in Python, and IDEs such as Cursor/AWS Kiro, deep learning frameworks (PyTorch or TensorFlow or), utilizing GitHub co\-pilot etc.
* GenAI Proficiency: Hands\-on experience with LLMs (e.g., GPT\-4, Llama), RAG architectures, LangChain, Vector Databases, Knowledge graphs, and Agentic AI
* MLOps and LLM Ops: Familiarity with Docker, Kubernetes, and CI/CD tools for ML.
* AWS Skills: S3, Lambda, Glue, AWS Sage maker, and AWS Bedrock platform
* Communication Skills: Excellent verbal and written communication skills; ability to articulate complex technical concepts simply.
* Stakeholder Management: Able to collaborate with key business/client stakeholders and manage their expectations
* Problem\-Solving: Proven ability to work independently in a fast\-paced environment and troubleshoot issues.
**Preferred Qualifications**
* Engineering degree in computer science or equivalent, and relevant certification in Machine learning
* Experience in banking or financial services domain Payments industry.
**For applications and inquiries, contact:** hirings@openkyber.com</t>
        </is>
      </c>
    </row>
    <row r="135">
      <c r="A135" t="inlineStr">
        <is>
          <t>in-f836fc84892ec33f</t>
        </is>
      </c>
      <c r="B135" t="inlineStr">
        <is>
          <t>Machine Learning Engineer</t>
        </is>
      </c>
      <c r="C135" t="inlineStr">
        <is>
          <t>CVS Health</t>
        </is>
      </c>
      <c r="D135" t="inlineStr">
        <is>
          <t>indeed</t>
        </is>
      </c>
      <c r="E135" t="inlineStr"/>
      <c r="F135" t="inlineStr"/>
      <c r="G135" t="inlineStr">
        <is>
          <t>New York, NY, US</t>
        </is>
      </c>
      <c r="H135" s="1" t="n">
        <v>46077</v>
      </c>
      <c r="I135"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**About the Role**
At CVS Health, we’re reshaping the future of CRM Marketing through AI\-driven optimization and decision\-making to better serve millions of customers nationwide. We’re looking for a **Machine Learning Engineer** to help build and scale the next generation of data science and AI products in the journey. In this role, you’ll leverage your engineering background and expertise in ML to work on complex technical problems, build new features, and improve existing products. Your solutions will impact tens of millions of customers, influencing how they manage their health and everyday purchases.
Collaborating closely with data science, data engineering, marketing, operations, and other cross\-functional teams, you’ll architect, develop, deploy, and operationalize ML systems that transform first\-party data and measurement signals into reliable decision engines \- reducing cycle times, increasing impact, and enabling closed\-loop, in\-flight optimization. You will also continuously improve model deployment pipelines, strengthening ML infrastructure, and integrating emerging AI technologies into real business workflows.
If you are excited by hard problems, large scale of data and systems, and shipping models that actually get used, this is the job.
**What You’ll Do**
* Architect, design, build, and test end to end pipelines leveraging artificial intelligence, machine learning, reinforcement learning to drive CRM Marketing optimization and automation including customer targeting, content recommendation, frequency optimization, propensity, uplift and LTV models etc.
* Implement CICD for ML including automated testing, model versioning, monitoring, and orchestration for models in production
* Lead the design of Agentic AI solutions to marketing workflow automation, optimize ML infrastructure, and guide the development of data preparation and model optimization strategies.
* Collaborate with Data Science, Engineering, and business teams to turn prototypes into production\-ready solutions that meet business needs and drive measurable outcomes
* Provide technical leadership on complex projects. Mentor other engineers and data scientists in best practices, code quality, and scalable architecture. Influence our ML and data roadmap.
**What We’re Looking For**
**Must\-Have**
* 3\+ years of hands\-on experience developing machine learning systems in production environment
* 3\+ years of Python programming experience. Familiarity with ML frameworks (e.g., PyTorch, TensorFlow) and MLOps platforms (e.g., Kubeflow, Vertex)
* 2\+ years of SQL experience working with large\-scale data (e.g., Snowflake, BigQuery)
* 2\+ years of leading design and architecture of new and existing system experience
* Strong background in one or more of the following: reinforcement learning, causal inference, LLM, MCP
* Experience as a mentor or tech lead
* Ability to work and influence cross\-functionally with strong communication skills
**Preferred**
* Proficiency with full\-stack framework (e.g, Node.js, React)
* Experience with real time scoring using tools like Spark, Kafka, Airflow
* Solid backend engineering skills in Python, including APIs and data modeling
* A/B testing and experimentation experience
**Education**
* Bachelor’s degree in Computer Science, Engineering, Math, Statistics, or related field (or equivalent experience)
* Master’s degree preferred
**Anticipated Weekly Hours**
40**Time Type**
Full time**Pay Range**
The typical pay range for this role is:
$86,520\.00 \- $173,040\.00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03/29/2026
Qualified applicants with arrest or conviction records will be considered for employment in accordance with all federal, state and local laws.</t>
        </is>
      </c>
    </row>
    <row r="136">
      <c r="A136" t="inlineStr">
        <is>
          <t>in-bd00aaacf52a8fb2</t>
        </is>
      </c>
      <c r="B136" t="inlineStr">
        <is>
          <t>Senior Applied Scientist</t>
        </is>
      </c>
      <c r="C136" t="inlineStr">
        <is>
          <t>Microsoft</t>
        </is>
      </c>
      <c r="D136" t="inlineStr">
        <is>
          <t>indeed</t>
        </is>
      </c>
      <c r="E136" t="inlineStr"/>
      <c r="F136" t="inlineStr"/>
      <c r="G136" t="inlineStr">
        <is>
          <t>Redmond, WA, US</t>
        </is>
      </c>
      <c r="H136" s="1" t="n">
        <v>46072</v>
      </c>
      <c r="I136" t="inlineStr">
        <is>
          <t>**Overview**  
You’ll join the asset generation team in Microsoft AI focusing on image and video retrieval, recommendation and generation. You will build core generative AI solutions that power customer\-facing AI solutions and services for Microsoft Advertising at Bing platforms. In this role, you’ll combine solid computer vision skills with applied ML expertise to design, prototype, evaluate and ship production systems—using techniques like knowledge distillation, prompt engineering, reinforcement learning, image/video processing and rigorous evaluation/metrics to continuously improve image and video asset qualities. You’ll partner closely across product, research, and service engineering to deliver the innovative and robust solutions for enterprise customers.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Research, develop, and build effective and innovative production\-grade generative AI and classical computer vision systems, with end\-to\-end ownership from concept through deployment and service operations.
* Lead technical design for core GenAI capabilities on image and video assets (e.g., image and video generation, super\-resolution and summarization) and make data\-driven tradeoffs across quality, latency, cost, and safety.
* Define and improve model and system quality using evaluation frameworks, experiment design, and metric evaluation; ensure robust testing and regression coverage.
* Collaborate with the partner teams to build solutions that meet enterprise requirements and align with customer needs and make business impact.
**Qualifications** **Required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**Preferred Qualifications:**
* Master's Degree in Statistics, Econometrics, Computer Science, Electrical or Computer Engineering, or related field AND 6\+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 Demonstrated solid modelling skills in training and inferencing on online and offline computer vision models and related performance optimization for latency and artifact.
* Experience with prompt engineering, knowledge distillation and post\-training.
* Experience building and shipping generative AI systems (including image and video systems).
* Familiarity with compliance and security standards in enterprise AI solutions.
* Track record of delivering enterprise\-facing AI products at scale.
* Experience building and operating ML/AI systems in cloud environments; familiarity with MLOps practices (Azure a plus).
* Experience in publishing papers in top\-tier computer vision and machine learning conferences such as CVPR, ICML, ICCV, Neurips and ICLR.
\#MicrosoftAI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37">
      <c r="A137" t="inlineStr">
        <is>
          <t>in-570bd35f5b52b0c6</t>
        </is>
      </c>
      <c r="B137" t="inlineStr">
        <is>
          <t>Principal Applied Scientist</t>
        </is>
      </c>
      <c r="C137" t="inlineStr">
        <is>
          <t>Microsoft</t>
        </is>
      </c>
      <c r="D137" t="inlineStr">
        <is>
          <t>indeed</t>
        </is>
      </c>
      <c r="E137" t="inlineStr"/>
      <c r="F137" t="inlineStr"/>
      <c r="G137" t="inlineStr">
        <is>
          <t>Redmond, WA, US</t>
        </is>
      </c>
      <c r="H137" s="1" t="n">
        <v>46071</v>
      </c>
      <c r="I137" t="inlineStr">
        <is>
          <t>**Overview**  
As a **Principal** **Applied Scientist** on the Copilot Agentic Security team, you will serve as a **scientific and technical leader** advancing the foundations that secure Microsoft’s agentic and autonomous AI systems. You will define **what to measure, how to measure it, and how to validate mitigations at scale**, shaping how Copilot evaluates and reduces real‑world security risk.
You will operate across the full security lifecycle—**attack simulation threat pattern discovery mitigation design empirical validation continuous measurement**—with ownership of **end‑to‑end evaluation strategies** rather than isolated experiments. Your work informs **durable, reusable defenses** that integrate into Copilot’s orchestration layers, shared services, and emerging agents.
At IC6, success is not only producing strong scientific artifacts, but **setting scientific direction**, influencing engineering and security strategy, and ensuring that mitigation decisions are grounded in **objective evidence, robust metrics, and reproducible methodology**.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**Scientific Leadership \&amp; Direction**
* Lead the **design of scientific approaches** for evaluating agentic security risks, including defining metrics, experimental methodology, and validation criteria.
* Serve as a **scientific authority** for how Copilot measures security quality, mitigation effectiveness, and residual risk over time.
* Identify gaps in existing evaluation approaches and **invent new methodologies** where current techniques are insufficient.
**Applied Modeling \&amp; Experimentation**
* Develop and apply advanced techniques in **machine learning, generative modeling, and empirical evaluation** to identify and characterize risks in agentic and autonomous systems.
* Build **reproducible experiments, datasets, and scorecards** that quantify system vulnerabilities and mitigation performance across realistic threat scenarios.
* Investigate **model behaviors, failure modes, and threat classes** emerging from MSRC cases, red‑team exercises, and internal adversarial testing.
**Evaluation \&amp; Risk Measurement**
* Design and operate **end‑to‑end evaluation pipelines** that measure agentic security quality across Copilot orchestration components and shared services.
* Translate top security risks into **measurable scientific requirements**, evaluation rubrics, and success criteria aligned with Copilot’s protection lifecycle.
* Use telemetry and real‑world signals to **continuously tune scoring functions, alerting thresholds, and validation loops**.
**Mitigation Science \&amp; Validation**
* Partner with engineering and adversarial testing to close the loop from **threat discovery mitigation design empirical validation**.
* Prototype and validate mitigation approaches, balancing **security effectiveness, model behavior, system performance, COGS, and latency**.
* Analyze incidents and vulnerability reports to **generalize categorical mitigations** that eliminate classes of threats rather than single exploits.
**Cross‑Functional Influence**
* Work closely with engineering to ensure scientific outputs are **operationalized into production‑grade services and reusable platform components**.
* Collaborate with PM/TPM and partner security teams (e.g., MSRC, Microsoft AI Security, Azure Security) to align scientific insights with roadmap decisions.
* Communicate findings, tradeoffs, and impact clearly to **senior engineering leadership and stakeholders**.
**Qualifications** **Required Qualifications:**
* Bachelor's Degree in Statistics, Econometrics, Computer Science, Electrical or Computer Engineering, or related field AND 6\+ years related experience (e.g., statistics, predictive analytics, research)
	+ OR Master's Degree in Statistics, Econometrics, Computer Science, Electrical or Computer Engineering, or related field AND 4\+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 **Experience designing and executing scientific experiments** for complex, real‑world systems, including defining metrics, evaluation methodology, and validation criteria.
* **Experience building or applying ML models or statistical techniques** to analyze system behavior, detect failure modes, or evaluate mitigation effectiveness.
* **Proficiency in one or more programming languages** such as **Python**, **C\+\+**, **C\#**, or **Java**, including building reproducible analysis or evaluation pipelines.
* **Experience designing or evaluating algorithms, metrics, datasets, or data pipelines** used to assess system quality, safety, or security.
* Ability to meet **Microsoft, customer, and/or government security screening requirements**.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Master's Degree in Statistics, Econometrics, Computer Science, Electrical or Computer Engineering, or related field AND 9\+ years related experience (e.g., statistics, predictive analytics, research)
	+ OR Doctorate in Statistics, Econometrics, Computer Science, Electrical or Computer Engineering, or related field AND 6\+ years related experience (e.g., statistics, predictive analytics, research)
	+ OR equivalent experience.
* 5\+ years experience creating publications (e.g., patents, libraries, peer\-reviewed academic papers).
* 2\+ years experience presenting at conferences or other events in the outside research/industry community as an invited speaker.
* 5\+ years experience conducting research as part of a research program (in academic or industry settings).
* 3\+ years experience developing and deploying live production systems, as part of a product team.
* 3\+ years experience developing and deploying products or systems at multiple points in the product cycle from ideation to shipping.
* Ability to operate effectively in **highly ambiguous, fast‑evolving security environments**, particularly those involving autonomous or generative AI systems.
* Willingness to engage deeply across organizational boundaries to drive durable security outcomes.
* Work‑site requirements vary by location and follow organizational guidance.
* This role may involve working with **sensitive or confidential AI model data** in accordance with Microsoft Responsible AI and Security policies.
\#DataScience,\# AppliedScience, \#Copilot, \#LLM, \#Agent, \#Security  
Applied Sciences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38">
      <c r="A138" t="inlineStr">
        <is>
          <t>in-26f540a821d7d2a6</t>
        </is>
      </c>
      <c r="B138" t="inlineStr">
        <is>
          <t>Principal Applied Scientist</t>
        </is>
      </c>
      <c r="C138" t="inlineStr">
        <is>
          <t>Microsoft</t>
        </is>
      </c>
      <c r="D138" t="inlineStr">
        <is>
          <t>indeed</t>
        </is>
      </c>
      <c r="E138" t="inlineStr"/>
      <c r="F138" t="inlineStr"/>
      <c r="G138" t="inlineStr">
        <is>
          <t>US</t>
        </is>
      </c>
      <c r="H138" s="1" t="n">
        <v>46069</v>
      </c>
      <c r="I138"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Our team builds and operates the end\-to\-end measurement stack for Microsoft Security’s AI agents. We build and collaborate with industry on security domain benchmarks for foundation model comparisons, empowering product teams to build at the frontier edge of AI while driving progress in model research and development. We build rigorous evaluations of complete agentic systems, ensuring only the best solutions reach our customers. As a Principal Applied Scientist, you will define and drive the evaluation strategy for AI security agents across multiple products and orchestration frameworks. You will help set technical direction for how we measure agent capabilities at scale. You will also influence product roadmaps through evaluation insights, partner with product and engineering to translate results into readiness gates, model selection criteria, and go/no\-go decisions that enable teams to ship, safe, reliable security agents.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You will be part of an Applied Science evaluations team working on high\-impact AI initiatives that define how security AI agents are measured, trusted, and shipped. You will lead technical direction for evaluation strategy, set standards adopted across teams, and mentor others in evaluation methodology.
Responsibilities include:
* Technical Leadership \&amp; Ownership: Define and drive technical strategy for security agent evaluations across Microsoft Security.
* Lead assessments of full agent systems, set evaluation standards adopted by multiple product groups, and translate findings into exec\-ready recommendations and deployment quality gates
* Agentic System Evaluation \&amp; Measurement: Define evaluation methodology for agent actions in realistic security scenarios covering planning, tool use, reasoning, robustness, and failure modes.
* Establish metrics that directly influence product readiness and release decisions.
* Evaluation Infrastructure \&amp; Harnesses: Architect reusable evaluation platform and harnesses across orchestration frameworks.
* Enable controlled testing on production\-representative data with appropriate privacy controls.
* Collect trajectories, telemetry, and results at scale
* Data \&amp; Signals for Evaluation: Set data standards and governance for agent evaluation datasets and grading rubrics.
* Ensure reproducibility, privacy\-preserving data practices, and long\-term reuse across evaluation scenarios.
* Research \&amp; Innovation: Collaborate with cross\-functional teams to advance evaluation research, prototype novel methods, and land them into the evaluation platform used by product teams.
* Contribute to publications and external partnerships where appropriate.
**Qualifications** **Required/minimum qualifications**
* Bachelor's Degree in Statistics, Econometrics, Computer Science, Electrical or Computer Engineering, or related field AND 6\+ years related experience (e.g., statistics, predictive analytics, research) OR Master's Degree in Statistics, Econometrics, Computer Science, Electrical or Computer Engineering, or related field AND 4\+ years related experience (e.g., statistics, predictive analytics, research) OR Doctorate in Statistics, Econometrics, Computer Science, Electrical or Computer Engineering, or related field AND 3\+ years related experience (e.g., statistics, predictive analytics, research) OR equivalent experience.
**Other Requirements**
* Candidates must be able to meet Microsoft, customer and/or government security screening requirements are required for this role. These requirements include, but are not limited to the following specialized security screenings:
* + Microsoft Cloud Background Check: This position will be required to pass the Microsoft Cloud background check upon hire/transfer and every two years thereafter.
**Additional or preferred qualifications*** Master's Degree in Statistics, Econometrics, Computer Science, Electrical or Computer Engineering, or related field AND 9\+ years related experience (e.g., statistics, predictive analytics, research) OR Doctorate in Statistics, Econometrics, Computer Science, Electrical or Computer Engineering, or related field AND 6\+ years related experience (e.g., statistics, predictive analytics, research) OR equivalent experience.
* Demonstrated experience shipping ML systems in production with experiment design, evaluation, and measurement methodology.
* Ability to design controlled experiments and ablations to isolate system behavior
* Experience in cybersecurity or security\-adjacent domains (safety, abuse/fraud, or risk)
* Track record of technical leadership across teams in the form of setting standards and driving alignment in ambiguity
* Deep expertise across multiple security domains (detection, investigation, response, threat intelligence, automation)
* Experience evaluating LLM\-based systems and agentic workflows, including tool use, planning, reasoning, and robustness.
* Track record of setting evaluation standards adopted across orgs, mentoring ICs in methodology, and driving executive\-level decisions through rigorous experimental analysis.
\#MSFTSecurity \#MSECAI
Applied Sciences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39">
      <c r="A139" t="inlineStr">
        <is>
          <t>in-0fc2f8fd7bae8d02</t>
        </is>
      </c>
      <c r="B139" t="inlineStr">
        <is>
          <t>Senior Applied Scientist</t>
        </is>
      </c>
      <c r="C139" t="inlineStr">
        <is>
          <t>Microsoft</t>
        </is>
      </c>
      <c r="D139" t="inlineStr">
        <is>
          <t>indeed</t>
        </is>
      </c>
      <c r="E139" t="inlineStr"/>
      <c r="F139" t="inlineStr"/>
      <c r="G139" t="inlineStr">
        <is>
          <t>Redmond, WA, US</t>
        </is>
      </c>
      <c r="H139" s="1" t="n">
        <v>46069</v>
      </c>
      <c r="I139"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We are looking for a Senior Applied Scientists to join a multidisciplinary squad to reshape how we defend Microsoft. You will actively innovate by leveraging and building upon a broad set of research from Microsoft, academia, and industry to develop novel methods, tools, and frameworks for demonstrating and enhancing defensive capabilities. You will collaborate with internal and external partners to apply your research to real\-world scenarios and challenges. You will have the opportunity to publish your work in top\-tier venues and contribute to the scientific community and the broader society. For those passionate about making a meaningful impact in the security industry, don’t miss this opportunity to join the team working on the latest AI technology and applicability.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**Responsibilities:**
* Conduct cutting\-edge research that builds towards transformative defensive security capabilities with demonstrated scientific rigor.
* Champion innovative principles and forward\-looking concepts guided by research trends in academia, OSS and industry. Form strategic partnerships with thought leaders across the company, in the industry and across domains.
* Work with defenders, threat hunters, PMs, and engineers to turn research into effective solutions that improve our ability to protect ourselves.
* Share research findings and innovations through open\-source releases, blog posts, patents, and industry conferences.
* Participate in partnerships with academia and industry to advance the state of the art in the field.
Embody our culture and values
 **Qualifications** **Required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Statistics, Econometrics, Computer Science, Electrical or Computer Engineering, or related field AND 6\+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 3\+ years experience conducting research as part of a research program (in academic or industry settings).
* 3\+ years of experience in Python, PyTorch, TensorFlow, or other machine learning frameworks.
* 2\+ years of experience in Python.
* 2\+ years of experience building customer solutions or open\-source projects using ML/generative AI and/or multi\-agent frameworks such as AutoGen, LangChain, LangGraph, crewAI, or equivalent.
* Excellent written and verbal communication skills, ability to simplify and explain complex ideas. 3\+ years experience creating publications (e.g., patents, libraries, peer\-reviewed academic papers).
* 1\+ year(s) experience developing and deploying products or systems at multiple points in the product cycle from ideation to shipping.
* Experience in cyber security and safety domains, such as malware detection, fraud prevention, cyber\-physical systems, adversary tradecraft, emerging threats or SOC operations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40">
      <c r="A140" t="inlineStr">
        <is>
          <t>in-d4504260e59ea543</t>
        </is>
      </c>
      <c r="B140" t="inlineStr">
        <is>
          <t>Sr. Applied Scientist, Sponsored Products Off-Search Sourcing</t>
        </is>
      </c>
      <c r="C140" t="inlineStr">
        <is>
          <t>Amazon.com</t>
        </is>
      </c>
      <c r="D140" t="inlineStr">
        <is>
          <t>indeed</t>
        </is>
      </c>
      <c r="E140" t="inlineStr"/>
      <c r="F140" t="inlineStr"/>
      <c r="G140" t="inlineStr">
        <is>
          <t>Palo Alto, CA, US</t>
        </is>
      </c>
      <c r="H140" s="1" t="n">
        <v>46049</v>
      </c>
      <c r="I140"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141">
      <c r="A141" t="inlineStr">
        <is>
          <t>in-972411a486b6f962</t>
        </is>
      </c>
      <c r="B141" t="inlineStr">
        <is>
          <t>Sr. Applied Scientist, Sponsored Products Off-Search Sourcing</t>
        </is>
      </c>
      <c r="C141" t="inlineStr">
        <is>
          <t>Amazon.com</t>
        </is>
      </c>
      <c r="D141" t="inlineStr">
        <is>
          <t>indeed</t>
        </is>
      </c>
      <c r="E141" t="inlineStr"/>
      <c r="F141" t="inlineStr"/>
      <c r="G141" t="inlineStr">
        <is>
          <t>Seattle, WA, US</t>
        </is>
      </c>
      <c r="H141" s="1" t="n">
        <v>46049</v>
      </c>
      <c r="I141"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142">
      <c r="A142" t="inlineStr">
        <is>
          <t>in-26fe9ce6d13bb33f</t>
        </is>
      </c>
      <c r="B142" t="inlineStr">
        <is>
          <t>Sr. Applied Scientist, Sponsored Products Off-Search Sourcing</t>
        </is>
      </c>
      <c r="C142" t="inlineStr">
        <is>
          <t>Amazon.com</t>
        </is>
      </c>
      <c r="D142" t="inlineStr">
        <is>
          <t>indeed</t>
        </is>
      </c>
      <c r="E142" t="inlineStr"/>
      <c r="F142" t="inlineStr"/>
      <c r="G142" t="inlineStr">
        <is>
          <t>New York, NY, US</t>
        </is>
      </c>
      <c r="H142" s="1" t="n">
        <v>46049</v>
      </c>
      <c r="I142"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143">
      <c r="A143" t="inlineStr">
        <is>
          <t>in-ad6b21b38462c644</t>
        </is>
      </c>
      <c r="B143" t="inlineStr">
        <is>
          <t>Applied Scientist, Amazon Connect</t>
        </is>
      </c>
      <c r="C143" t="inlineStr">
        <is>
          <t>Amazon Web Services</t>
        </is>
      </c>
      <c r="D143" t="inlineStr">
        <is>
          <t>indeed</t>
        </is>
      </c>
      <c r="E143" t="inlineStr"/>
      <c r="F143" t="inlineStr"/>
      <c r="G143" t="inlineStr">
        <is>
          <t>New York, NY, US</t>
        </is>
      </c>
      <c r="H143" s="1" t="n">
        <v>46047</v>
      </c>
      <c r="I143"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44">
      <c r="A144" t="inlineStr">
        <is>
          <t>in-571c396865f372d1</t>
        </is>
      </c>
      <c r="B144" t="inlineStr">
        <is>
          <t>Applied Scientist II, Prime Video Personalization and Discovery Science</t>
        </is>
      </c>
      <c r="C144" t="inlineStr">
        <is>
          <t>Amazon.com</t>
        </is>
      </c>
      <c r="D144" t="inlineStr">
        <is>
          <t>indeed</t>
        </is>
      </c>
      <c r="E144" t="inlineStr"/>
      <c r="F144" t="inlineStr"/>
      <c r="G144" t="inlineStr">
        <is>
          <t>Sunnyvale, CA, US</t>
        </is>
      </c>
      <c r="H144" s="1" t="n">
        <v>46047</v>
      </c>
      <c r="I14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45">
      <c r="A145" t="inlineStr">
        <is>
          <t>in-c9e564b327b8c63a</t>
        </is>
      </c>
      <c r="B145" t="inlineStr">
        <is>
          <t>Applied Scientist, Amazon Connect</t>
        </is>
      </c>
      <c r="C145" t="inlineStr">
        <is>
          <t>Amazon Web Services</t>
        </is>
      </c>
      <c r="D145" t="inlineStr">
        <is>
          <t>indeed</t>
        </is>
      </c>
      <c r="E145" t="inlineStr"/>
      <c r="F145" t="inlineStr"/>
      <c r="G145" t="inlineStr">
        <is>
          <t>Seattle, WA, US</t>
        </is>
      </c>
      <c r="H145" s="1" t="n">
        <v>46047</v>
      </c>
      <c r="I145"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46">
      <c r="A146" t="inlineStr">
        <is>
          <t>in-3cec8816d50f0fbe</t>
        </is>
      </c>
      <c r="B146" t="inlineStr">
        <is>
          <t>Applied Scientist II, Prime Video Personalization and Discovery Science</t>
        </is>
      </c>
      <c r="C146" t="inlineStr">
        <is>
          <t>Amazon.com</t>
        </is>
      </c>
      <c r="D146" t="inlineStr">
        <is>
          <t>indeed</t>
        </is>
      </c>
      <c r="E146" t="inlineStr"/>
      <c r="F146" t="inlineStr"/>
      <c r="G146" t="inlineStr">
        <is>
          <t>Seattle, WA, US</t>
        </is>
      </c>
      <c r="H146" s="1" t="n">
        <v>46047</v>
      </c>
      <c r="I14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47">
      <c r="A147" t="inlineStr">
        <is>
          <t>in-4cb42d934880eba4</t>
        </is>
      </c>
      <c r="B147" t="inlineStr">
        <is>
          <t>Applied Scientist II, Prime Video Personalization and Discovery Science</t>
        </is>
      </c>
      <c r="C147" t="inlineStr">
        <is>
          <t>Amazon.com</t>
        </is>
      </c>
      <c r="D147" t="inlineStr">
        <is>
          <t>indeed</t>
        </is>
      </c>
      <c r="E147" t="inlineStr"/>
      <c r="F147" t="inlineStr"/>
      <c r="G147" t="inlineStr">
        <is>
          <t>New York, NY, US</t>
        </is>
      </c>
      <c r="H147" s="1" t="n">
        <v>46047</v>
      </c>
      <c r="I14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48">
      <c r="A148" t="inlineStr">
        <is>
          <t>in-c76cccc0fc067223</t>
        </is>
      </c>
      <c r="B148" t="inlineStr">
        <is>
          <t>Applied Scientist, Safety ML</t>
        </is>
      </c>
      <c r="C148" t="inlineStr">
        <is>
          <t>Amazon.com</t>
        </is>
      </c>
      <c r="D148" t="inlineStr">
        <is>
          <t>indeed</t>
        </is>
      </c>
      <c r="E148" t="inlineStr"/>
      <c r="F148" t="inlineStr"/>
      <c r="G148" t="inlineStr">
        <is>
          <t>San Francisco, CA, US</t>
        </is>
      </c>
      <c r="H148" s="1" t="n">
        <v>46037</v>
      </c>
      <c r="I14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149">
      <c r="A149" t="inlineStr">
        <is>
          <t>in-c797d0bc63821b88</t>
        </is>
      </c>
      <c r="B149" t="inlineStr">
        <is>
          <t>Applied Scientist, Safety ML</t>
        </is>
      </c>
      <c r="C149" t="inlineStr">
        <is>
          <t>Amazon.com</t>
        </is>
      </c>
      <c r="D149" t="inlineStr">
        <is>
          <t>indeed</t>
        </is>
      </c>
      <c r="E149" t="inlineStr"/>
      <c r="F149" t="inlineStr"/>
      <c r="G149" t="inlineStr">
        <is>
          <t>Seattle, WA, US</t>
        </is>
      </c>
      <c r="H149" s="1" t="n">
        <v>46037</v>
      </c>
      <c r="I14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150">
      <c r="A150" t="inlineStr">
        <is>
          <t>in-3c043ff4d7e87785</t>
        </is>
      </c>
      <c r="B150" t="inlineStr">
        <is>
          <t>Applied Scientist, LLM Code Agents, Kiro Science</t>
        </is>
      </c>
      <c r="C150" t="inlineStr">
        <is>
          <t>Amazon.com</t>
        </is>
      </c>
      <c r="D150" t="inlineStr">
        <is>
          <t>indeed</t>
        </is>
      </c>
      <c r="E150" t="inlineStr"/>
      <c r="F150" t="inlineStr"/>
      <c r="G150" t="inlineStr">
        <is>
          <t>Seattle, WA, US</t>
        </is>
      </c>
      <c r="H150" s="1" t="n">
        <v>46035</v>
      </c>
      <c r="I150"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151">
      <c r="A151" t="inlineStr">
        <is>
          <t>in-4f236ea12209ed84</t>
        </is>
      </c>
      <c r="B151" t="inlineStr">
        <is>
          <t>Applied Scientist, LLM Code Agents, Kiro Science</t>
        </is>
      </c>
      <c r="C151" t="inlineStr">
        <is>
          <t>Amazon.com</t>
        </is>
      </c>
      <c r="D151" t="inlineStr">
        <is>
          <t>indeed</t>
        </is>
      </c>
      <c r="E151" t="inlineStr"/>
      <c r="F151" t="inlineStr"/>
      <c r="G151" t="inlineStr">
        <is>
          <t>Santa Clara, CA, US</t>
        </is>
      </c>
      <c r="H151" s="1" t="n">
        <v>46035</v>
      </c>
      <c r="I151"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152">
      <c r="A152" t="inlineStr">
        <is>
          <t>in-46554f3189f9912b</t>
        </is>
      </c>
      <c r="B152" t="inlineStr">
        <is>
          <t>Applied Scientist II, Prime Video Personalization and Discovery Science</t>
        </is>
      </c>
      <c r="C152" t="inlineStr">
        <is>
          <t>Amazon.com</t>
        </is>
      </c>
      <c r="D152" t="inlineStr">
        <is>
          <t>indeed</t>
        </is>
      </c>
      <c r="E152" t="inlineStr"/>
      <c r="F152" t="inlineStr"/>
      <c r="G152" t="inlineStr">
        <is>
          <t>Seattle, WA, US</t>
        </is>
      </c>
      <c r="H152" s="1" t="n">
        <v>46034</v>
      </c>
      <c r="I15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53">
      <c r="A153" t="inlineStr">
        <is>
          <t>in-f2a7cb169857f455</t>
        </is>
      </c>
      <c r="B153" t="inlineStr">
        <is>
          <t>Applied Scientist II, Prime Video Personalization and Discovery Science</t>
        </is>
      </c>
      <c r="C153" t="inlineStr">
        <is>
          <t>Amazon.com</t>
        </is>
      </c>
      <c r="D153" t="inlineStr">
        <is>
          <t>indeed</t>
        </is>
      </c>
      <c r="E153" t="inlineStr"/>
      <c r="F153" t="inlineStr"/>
      <c r="G153" t="inlineStr">
        <is>
          <t>Sunnyvale, CA, US</t>
        </is>
      </c>
      <c r="H153" s="1" t="n">
        <v>46034</v>
      </c>
      <c r="I15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54">
      <c r="A154" t="inlineStr">
        <is>
          <t>in-5edf64a771385db9</t>
        </is>
      </c>
      <c r="B154" t="inlineStr">
        <is>
          <t>Applied Scientist, AWS Applied AI Solutions</t>
        </is>
      </c>
      <c r="C154" t="inlineStr">
        <is>
          <t>Amazon Web Services</t>
        </is>
      </c>
      <c r="D154" t="inlineStr">
        <is>
          <t>indeed</t>
        </is>
      </c>
      <c r="E154" t="inlineStr"/>
      <c r="F154" t="inlineStr"/>
      <c r="G154" t="inlineStr">
        <is>
          <t>New York, NY, US</t>
        </is>
      </c>
      <c r="H154" s="1" t="n">
        <v>46030</v>
      </c>
      <c r="I154"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55">
      <c r="A155" t="inlineStr">
        <is>
          <t>in-79cd05f12d04d96b</t>
        </is>
      </c>
      <c r="B155" t="inlineStr">
        <is>
          <t>Applied Scientist, AWS Applied AI Solutions</t>
        </is>
      </c>
      <c r="C155" t="inlineStr">
        <is>
          <t>Amazon Web Services</t>
        </is>
      </c>
      <c r="D155" t="inlineStr">
        <is>
          <t>indeed</t>
        </is>
      </c>
      <c r="E155" t="inlineStr"/>
      <c r="F155" t="inlineStr"/>
      <c r="G155" t="inlineStr">
        <is>
          <t>Seattle, WA, US</t>
        </is>
      </c>
      <c r="H155" s="1" t="n">
        <v>46030</v>
      </c>
      <c r="I155"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56">
      <c r="A156" t="inlineStr">
        <is>
          <t>in-ba269f008e614691</t>
        </is>
      </c>
      <c r="B156" t="inlineStr">
        <is>
          <t>Senior Applied Scientist, Sponsored Products and Brands, Off-Search</t>
        </is>
      </c>
      <c r="C156" t="inlineStr">
        <is>
          <t>Amazon.com</t>
        </is>
      </c>
      <c r="D156" t="inlineStr">
        <is>
          <t>indeed</t>
        </is>
      </c>
      <c r="E156" t="inlineStr"/>
      <c r="F156" t="inlineStr"/>
      <c r="G156" t="inlineStr">
        <is>
          <t>New York, NY, US</t>
        </is>
      </c>
      <c r="H156" s="1" t="n">
        <v>46017</v>
      </c>
      <c r="I156"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7">
      <c r="A157" t="inlineStr">
        <is>
          <t>in-f9cecda23b030687</t>
        </is>
      </c>
      <c r="B157" t="inlineStr">
        <is>
          <t>Senior Applied Scientist, Sponsored Products and Brands, Off-Search</t>
        </is>
      </c>
      <c r="C157" t="inlineStr">
        <is>
          <t>Amazon.com</t>
        </is>
      </c>
      <c r="D157" t="inlineStr">
        <is>
          <t>indeed</t>
        </is>
      </c>
      <c r="E157" t="inlineStr"/>
      <c r="F157" t="inlineStr"/>
      <c r="G157" t="inlineStr">
        <is>
          <t>Palo Alto, CA, US</t>
        </is>
      </c>
      <c r="H157" s="1" t="n">
        <v>46017</v>
      </c>
      <c r="I157"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8">
      <c r="A158" t="inlineStr">
        <is>
          <t>in-a176c4ce94c11053</t>
        </is>
      </c>
      <c r="B158" t="inlineStr">
        <is>
          <t>Senior Applied Scientist, Sponsored Products and Brands, Off-Search</t>
        </is>
      </c>
      <c r="C158" t="inlineStr">
        <is>
          <t>Amazon.com</t>
        </is>
      </c>
      <c r="D158" t="inlineStr">
        <is>
          <t>indeed</t>
        </is>
      </c>
      <c r="E158" t="inlineStr"/>
      <c r="F158" t="inlineStr"/>
      <c r="G158" t="inlineStr">
        <is>
          <t>Seattle, WA, US</t>
        </is>
      </c>
      <c r="H158" s="1" t="n">
        <v>46017</v>
      </c>
      <c r="I158"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9">
      <c r="A159" t="inlineStr">
        <is>
          <t>in-ee168c378aa558b3</t>
        </is>
      </c>
      <c r="B159" t="inlineStr">
        <is>
          <t>Principal Applied Scientist, Kiro Science</t>
        </is>
      </c>
      <c r="C159" t="inlineStr">
        <is>
          <t>Amazon Web Services</t>
        </is>
      </c>
      <c r="D159" t="inlineStr">
        <is>
          <t>indeed</t>
        </is>
      </c>
      <c r="E159" t="inlineStr"/>
      <c r="F159" t="inlineStr"/>
      <c r="G159" t="inlineStr">
        <is>
          <t>New York, NY, US</t>
        </is>
      </c>
      <c r="H159" s="1" t="n">
        <v>45999</v>
      </c>
      <c r="I159"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160">
      <c r="A160" t="inlineStr">
        <is>
          <t>in-be0573e9ef4d4dc0</t>
        </is>
      </c>
      <c r="B160" t="inlineStr">
        <is>
          <t>Principal Applied Scientist, Kiro Science</t>
        </is>
      </c>
      <c r="C160" t="inlineStr">
        <is>
          <t>Amazon Web Services</t>
        </is>
      </c>
      <c r="D160" t="inlineStr">
        <is>
          <t>indeed</t>
        </is>
      </c>
      <c r="E160" t="inlineStr"/>
      <c r="F160" t="inlineStr"/>
      <c r="G160" t="inlineStr">
        <is>
          <t>Santa Clara, CA, US</t>
        </is>
      </c>
      <c r="H160" s="1" t="n">
        <v>45999</v>
      </c>
      <c r="I160"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161">
      <c r="A161" t="inlineStr">
        <is>
          <t>in-f88a6d66e87b6481</t>
        </is>
      </c>
      <c r="B161" t="inlineStr">
        <is>
          <t>Sr. Applied Scientist, Amazon Ads</t>
        </is>
      </c>
      <c r="C161" t="inlineStr">
        <is>
          <t>Amazon.com</t>
        </is>
      </c>
      <c r="D161" t="inlineStr">
        <is>
          <t>indeed</t>
        </is>
      </c>
      <c r="E161" t="inlineStr"/>
      <c r="F161" t="inlineStr"/>
      <c r="G161" t="inlineStr">
        <is>
          <t>New York, NY, US</t>
        </is>
      </c>
      <c r="H161" s="1" t="n">
        <v>45998</v>
      </c>
      <c r="I16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2">
      <c r="A162" t="inlineStr">
        <is>
          <t>in-0c5e48c88325bdaa</t>
        </is>
      </c>
      <c r="B162" t="inlineStr">
        <is>
          <t>Sr. Applied Scientist, Amazon Ads</t>
        </is>
      </c>
      <c r="C162" t="inlineStr">
        <is>
          <t>Amazon.com</t>
        </is>
      </c>
      <c r="D162" t="inlineStr">
        <is>
          <t>indeed</t>
        </is>
      </c>
      <c r="E162" t="inlineStr"/>
      <c r="F162" t="inlineStr"/>
      <c r="G162" t="inlineStr">
        <is>
          <t>Santa Monica, CA, US</t>
        </is>
      </c>
      <c r="H162" s="1" t="n">
        <v>45998</v>
      </c>
      <c r="I16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3">
      <c r="A163" t="inlineStr">
        <is>
          <t>in-f8b2397b5c4aaae1</t>
        </is>
      </c>
      <c r="B163" t="inlineStr">
        <is>
          <t>Sr. Applied Scientist, Amazon Ads</t>
        </is>
      </c>
      <c r="C163" t="inlineStr">
        <is>
          <t>Amazon.com</t>
        </is>
      </c>
      <c r="D163" t="inlineStr">
        <is>
          <t>indeed</t>
        </is>
      </c>
      <c r="E163" t="inlineStr"/>
      <c r="F163" t="inlineStr"/>
      <c r="G163" t="inlineStr">
        <is>
          <t>Palo Alto, CA, US</t>
        </is>
      </c>
      <c r="H163" s="1" t="n">
        <v>45998</v>
      </c>
      <c r="I16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4">
      <c r="A164" t="inlineStr">
        <is>
          <t>in-bcec2599d8989356</t>
        </is>
      </c>
      <c r="B164" t="inlineStr">
        <is>
          <t>Sr. Applied Scientist, Amazon Ads</t>
        </is>
      </c>
      <c r="C164" t="inlineStr">
        <is>
          <t>Amazon.com</t>
        </is>
      </c>
      <c r="D164" t="inlineStr">
        <is>
          <t>indeed</t>
        </is>
      </c>
      <c r="E164" t="inlineStr"/>
      <c r="F164" t="inlineStr"/>
      <c r="G164" t="inlineStr">
        <is>
          <t>Boulder, CO, US</t>
        </is>
      </c>
      <c r="H164" s="1" t="n">
        <v>45998</v>
      </c>
      <c r="I16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5">
      <c r="A165" t="inlineStr">
        <is>
          <t>in-98c33c6a195c830c</t>
        </is>
      </c>
      <c r="B165" t="inlineStr">
        <is>
          <t>Sr. Applied Scientist, Amazon Ads</t>
        </is>
      </c>
      <c r="C165" t="inlineStr">
        <is>
          <t>Amazon.com</t>
        </is>
      </c>
      <c r="D165" t="inlineStr">
        <is>
          <t>indeed</t>
        </is>
      </c>
      <c r="E165" t="inlineStr"/>
      <c r="F165" t="inlineStr"/>
      <c r="G165" t="inlineStr">
        <is>
          <t>Corvallis, OR, US</t>
        </is>
      </c>
      <c r="H165" s="1" t="n">
        <v>45998</v>
      </c>
      <c r="I16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6">
      <c r="A166" t="inlineStr">
        <is>
          <t>in-c9817e8b032729d0</t>
        </is>
      </c>
      <c r="B166" t="inlineStr">
        <is>
          <t>Sr. Applied Scientist, Amazon Ads</t>
        </is>
      </c>
      <c r="C166" t="inlineStr">
        <is>
          <t>Amazon.com</t>
        </is>
      </c>
      <c r="D166" t="inlineStr">
        <is>
          <t>indeed</t>
        </is>
      </c>
      <c r="E166" t="inlineStr"/>
      <c r="F166" t="inlineStr"/>
      <c r="G166" t="inlineStr">
        <is>
          <t>Brooklyn, NY, US</t>
        </is>
      </c>
      <c r="H166" s="1" t="n">
        <v>45998</v>
      </c>
      <c r="I16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7">
      <c r="A167" t="inlineStr">
        <is>
          <t>in-da0b7c2260adab53</t>
        </is>
      </c>
      <c r="B167" t="inlineStr">
        <is>
          <t>Sr. Applied Scientist, Amazon Ads</t>
        </is>
      </c>
      <c r="C167" t="inlineStr">
        <is>
          <t>Amazon.com</t>
        </is>
      </c>
      <c r="D167" t="inlineStr">
        <is>
          <t>indeed</t>
        </is>
      </c>
      <c r="E167" t="inlineStr"/>
      <c r="F167" t="inlineStr"/>
      <c r="G167" t="inlineStr">
        <is>
          <t>Seattle, WA, US</t>
        </is>
      </c>
      <c r="H167" s="1" t="n">
        <v>45998</v>
      </c>
      <c r="I16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8">
      <c r="A168" t="inlineStr">
        <is>
          <t>in-5c2551587950b152</t>
        </is>
      </c>
      <c r="B168" t="inlineStr">
        <is>
          <t>Sr. Applied Scientist, Amazon Ads</t>
        </is>
      </c>
      <c r="C168" t="inlineStr">
        <is>
          <t>Amazon.com</t>
        </is>
      </c>
      <c r="D168" t="inlineStr">
        <is>
          <t>indeed</t>
        </is>
      </c>
      <c r="E168" t="inlineStr"/>
      <c r="F168" t="inlineStr"/>
      <c r="G168" t="inlineStr">
        <is>
          <t>Sunnyvale, CA, US</t>
        </is>
      </c>
      <c r="H168" s="1" t="n">
        <v>45998</v>
      </c>
      <c r="I16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9">
      <c r="A169" t="inlineStr">
        <is>
          <t>in-3e506e932e33a87c</t>
        </is>
      </c>
      <c r="B169" t="inlineStr">
        <is>
          <t>Sr. Applied Scientist, Amazon Ads</t>
        </is>
      </c>
      <c r="C169" t="inlineStr">
        <is>
          <t>Amazon.com</t>
        </is>
      </c>
      <c r="D169" t="inlineStr">
        <is>
          <t>indeed</t>
        </is>
      </c>
      <c r="E169" t="inlineStr"/>
      <c r="F169" t="inlineStr"/>
      <c r="G169" t="inlineStr">
        <is>
          <t>Tukwila, WA, US</t>
        </is>
      </c>
      <c r="H169" s="1" t="n">
        <v>45998</v>
      </c>
      <c r="I16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70">
      <c r="A170" t="inlineStr">
        <is>
          <t>in-76ef0390dac23926</t>
        </is>
      </c>
      <c r="B170" t="inlineStr">
        <is>
          <t>Sr. Applied Scientist, Amazon Ads</t>
        </is>
      </c>
      <c r="C170" t="inlineStr">
        <is>
          <t>Amazon.com</t>
        </is>
      </c>
      <c r="D170" t="inlineStr">
        <is>
          <t>indeed</t>
        </is>
      </c>
      <c r="E170" t="inlineStr"/>
      <c r="F170" t="inlineStr"/>
      <c r="G170" t="inlineStr">
        <is>
          <t>Boston, MA, US</t>
        </is>
      </c>
      <c r="H170" s="1" t="n">
        <v>45998</v>
      </c>
      <c r="I17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71">
      <c r="A171" t="inlineStr">
        <is>
          <t>in-7a41dbf99d511552</t>
        </is>
      </c>
      <c r="B171" t="inlineStr">
        <is>
          <t>Principal Applied Scientist, Sponsored Products and Brands</t>
        </is>
      </c>
      <c r="C171" t="inlineStr">
        <is>
          <t>Amazon.com</t>
        </is>
      </c>
      <c r="D171" t="inlineStr">
        <is>
          <t>indeed</t>
        </is>
      </c>
      <c r="E171" t="inlineStr"/>
      <c r="F171" t="inlineStr"/>
      <c r="G171" t="inlineStr">
        <is>
          <t>Seattle, WA, US</t>
        </is>
      </c>
      <c r="H171" s="1" t="n">
        <v>45979</v>
      </c>
      <c r="I171"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2">
      <c r="A172" t="inlineStr">
        <is>
          <t>in-c11e252b1769b052</t>
        </is>
      </c>
      <c r="B172" t="inlineStr">
        <is>
          <t>Principal Applied Scientist, Sponsored Products and Brands</t>
        </is>
      </c>
      <c r="C172" t="inlineStr">
        <is>
          <t>Amazon.com</t>
        </is>
      </c>
      <c r="D172" t="inlineStr">
        <is>
          <t>indeed</t>
        </is>
      </c>
      <c r="E172" t="inlineStr"/>
      <c r="F172" t="inlineStr"/>
      <c r="G172" t="inlineStr">
        <is>
          <t>New York, NY, US</t>
        </is>
      </c>
      <c r="H172" s="1" t="n">
        <v>45979</v>
      </c>
      <c r="I172"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3">
      <c r="A173" t="inlineStr">
        <is>
          <t>in-64dd3d50513a565d</t>
        </is>
      </c>
      <c r="B173" t="inlineStr">
        <is>
          <t>Senior Applied Scientist, Sponsored Products and Brands</t>
        </is>
      </c>
      <c r="C173" t="inlineStr">
        <is>
          <t>Amazon.com</t>
        </is>
      </c>
      <c r="D173" t="inlineStr">
        <is>
          <t>indeed</t>
        </is>
      </c>
      <c r="E173" t="inlineStr"/>
      <c r="F173" t="inlineStr"/>
      <c r="G173" t="inlineStr">
        <is>
          <t>New York, NY, US</t>
        </is>
      </c>
      <c r="H173" s="1" t="n">
        <v>45979</v>
      </c>
      <c r="I173"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174">
      <c r="A174" t="inlineStr">
        <is>
          <t>in-ecbe25d49c5aa7ac</t>
        </is>
      </c>
      <c r="B174" t="inlineStr">
        <is>
          <t>Senior Applied Scientist, Sponsored Products and Brands</t>
        </is>
      </c>
      <c r="C174" t="inlineStr">
        <is>
          <t>Amazon.com</t>
        </is>
      </c>
      <c r="D174" t="inlineStr">
        <is>
          <t>indeed</t>
        </is>
      </c>
      <c r="E174" t="inlineStr"/>
      <c r="F174" t="inlineStr"/>
      <c r="G174" t="inlineStr">
        <is>
          <t>Seattle, WA, US</t>
        </is>
      </c>
      <c r="H174" s="1" t="n">
        <v>45979</v>
      </c>
      <c r="I174"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175">
      <c r="A175" t="inlineStr">
        <is>
          <t>in-7e02de7f62e95ae9</t>
        </is>
      </c>
      <c r="B175" t="inlineStr">
        <is>
          <t>Sr. Applied Scientist, Sponsored Products</t>
        </is>
      </c>
      <c r="C175" t="inlineStr">
        <is>
          <t>Amazon.com</t>
        </is>
      </c>
      <c r="D175" t="inlineStr">
        <is>
          <t>indeed</t>
        </is>
      </c>
      <c r="E175" t="inlineStr"/>
      <c r="F175" t="inlineStr"/>
      <c r="G175" t="inlineStr">
        <is>
          <t>New York, NY, US</t>
        </is>
      </c>
      <c r="H175" s="1" t="n">
        <v>45976</v>
      </c>
      <c r="I175"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176">
      <c r="A176" t="inlineStr">
        <is>
          <t>in-e69de29457ba448f</t>
        </is>
      </c>
      <c r="B176" t="inlineStr">
        <is>
          <t>Sr. Applied Scientist, Sponsored Products</t>
        </is>
      </c>
      <c r="C176" t="inlineStr">
        <is>
          <t>Amazon.com</t>
        </is>
      </c>
      <c r="D176" t="inlineStr">
        <is>
          <t>indeed</t>
        </is>
      </c>
      <c r="E176" t="inlineStr"/>
      <c r="F176" t="inlineStr"/>
      <c r="G176" t="inlineStr">
        <is>
          <t>Arlington, VA, US</t>
        </is>
      </c>
      <c r="H176" s="1" t="n">
        <v>45976</v>
      </c>
      <c r="I176"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177">
      <c r="A177" t="inlineStr">
        <is>
          <t>in-f0c9d19beb492067</t>
        </is>
      </c>
      <c r="B177" t="inlineStr">
        <is>
          <t>Sr. Applied Scientist, Sponsored Products</t>
        </is>
      </c>
      <c r="C177" t="inlineStr">
        <is>
          <t>Amazon.com</t>
        </is>
      </c>
      <c r="D177" t="inlineStr">
        <is>
          <t>indeed</t>
        </is>
      </c>
      <c r="E177" t="inlineStr"/>
      <c r="F177" t="inlineStr"/>
      <c r="G177" t="inlineStr">
        <is>
          <t>Seattle, WA, US</t>
        </is>
      </c>
      <c r="H177" s="1" t="n">
        <v>45976</v>
      </c>
      <c r="I177"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178">
      <c r="A178" t="inlineStr">
        <is>
          <t>in-93610bc84eaac52a</t>
        </is>
      </c>
      <c r="B178" t="inlineStr">
        <is>
          <t>Applied Scientist, AWS Agentic AI</t>
        </is>
      </c>
      <c r="C178" t="inlineStr">
        <is>
          <t>Amazon Web Services</t>
        </is>
      </c>
      <c r="D178" t="inlineStr">
        <is>
          <t>indeed</t>
        </is>
      </c>
      <c r="E178" t="inlineStr"/>
      <c r="F178" t="inlineStr"/>
      <c r="G178" t="inlineStr">
        <is>
          <t>Seattle, WA, US</t>
        </is>
      </c>
      <c r="H178" s="1" t="n">
        <v>45962</v>
      </c>
      <c r="I178"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9">
      <c r="A179" t="inlineStr">
        <is>
          <t>in-0fae428008f34d86</t>
        </is>
      </c>
      <c r="B179" t="inlineStr">
        <is>
          <t>Applied Scientist, AWS Agentic AI</t>
        </is>
      </c>
      <c r="C179" t="inlineStr">
        <is>
          <t>Amazon Web Services</t>
        </is>
      </c>
      <c r="D179" t="inlineStr">
        <is>
          <t>indeed</t>
        </is>
      </c>
      <c r="E179" t="inlineStr"/>
      <c r="F179" t="inlineStr"/>
      <c r="G179" t="inlineStr">
        <is>
          <t>Santa Clara, CA, US</t>
        </is>
      </c>
      <c r="H179" s="1" t="n">
        <v>45962</v>
      </c>
      <c r="I179"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0">
      <c r="A180" t="inlineStr">
        <is>
          <t>in-b291bd6f6148b4e9</t>
        </is>
      </c>
      <c r="B180" t="inlineStr">
        <is>
          <t>Applied Scientist, AWS Agentic AI</t>
        </is>
      </c>
      <c r="C180" t="inlineStr">
        <is>
          <t>Amazon Web Services</t>
        </is>
      </c>
      <c r="D180" t="inlineStr">
        <is>
          <t>indeed</t>
        </is>
      </c>
      <c r="E180" t="inlineStr"/>
      <c r="F180" t="inlineStr"/>
      <c r="G180" t="inlineStr">
        <is>
          <t>New York, NY, US</t>
        </is>
      </c>
      <c r="H180" s="1" t="n">
        <v>45962</v>
      </c>
      <c r="I180"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1">
      <c r="A181" t="inlineStr">
        <is>
          <t>in-50cdf6ae8522bb9c</t>
        </is>
      </c>
      <c r="B181" t="inlineStr">
        <is>
          <t>Principal Applied Scientist, Advertiser Growth, Amazon Sponsored Products &amp; Brands</t>
        </is>
      </c>
      <c r="C181" t="inlineStr">
        <is>
          <t>Amazon.com</t>
        </is>
      </c>
      <c r="D181" t="inlineStr">
        <is>
          <t>indeed</t>
        </is>
      </c>
      <c r="E181" t="inlineStr"/>
      <c r="F181" t="inlineStr"/>
      <c r="G181" t="inlineStr">
        <is>
          <t>Palo Alto, CA, US</t>
        </is>
      </c>
      <c r="H181" s="1" t="n">
        <v>45942</v>
      </c>
      <c r="I181"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2">
      <c r="A182" t="inlineStr">
        <is>
          <t>in-ac207eb6669efbab</t>
        </is>
      </c>
      <c r="B182" t="inlineStr">
        <is>
          <t>Principal Applied Scientist, Advertiser Growth, Amazon Sponsored Products &amp; Brands</t>
        </is>
      </c>
      <c r="C182" t="inlineStr">
        <is>
          <t>Amazon.com</t>
        </is>
      </c>
      <c r="D182" t="inlineStr">
        <is>
          <t>indeed</t>
        </is>
      </c>
      <c r="E182" t="inlineStr"/>
      <c r="F182" t="inlineStr"/>
      <c r="G182" t="inlineStr">
        <is>
          <t>Seattle, WA, US</t>
        </is>
      </c>
      <c r="H182" s="1" t="n">
        <v>45942</v>
      </c>
      <c r="I182"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3">
      <c r="A183" t="inlineStr">
        <is>
          <t>in-37851469749411d7</t>
        </is>
      </c>
      <c r="B183" t="inlineStr">
        <is>
          <t>Principal Applied Scientist, Advertiser Growth, Amazon Sponsored Products &amp; Brands</t>
        </is>
      </c>
      <c r="C183" t="inlineStr">
        <is>
          <t>Amazon.com</t>
        </is>
      </c>
      <c r="D183" t="inlineStr">
        <is>
          <t>indeed</t>
        </is>
      </c>
      <c r="E183" t="inlineStr"/>
      <c r="F183" t="inlineStr"/>
      <c r="G183" t="inlineStr">
        <is>
          <t>New York, NY, US</t>
        </is>
      </c>
      <c r="H183" s="1" t="n">
        <v>45942</v>
      </c>
      <c r="I183"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4">
      <c r="A184" t="inlineStr">
        <is>
          <t>in-801b37f233d32cf6</t>
        </is>
      </c>
      <c r="B184" t="inlineStr">
        <is>
          <t>Applied Scientist II, Prime Video - Personalization and Discovery Science, Personalization and Discovery Science</t>
        </is>
      </c>
      <c r="C184" t="inlineStr">
        <is>
          <t>Amazon.com</t>
        </is>
      </c>
      <c r="D184" t="inlineStr">
        <is>
          <t>indeed</t>
        </is>
      </c>
      <c r="E184" t="inlineStr"/>
      <c r="F184" t="inlineStr"/>
      <c r="G184" t="inlineStr">
        <is>
          <t>New York, NY, US</t>
        </is>
      </c>
      <c r="H184" s="1" t="n">
        <v>45930</v>
      </c>
      <c r="I18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5">
      <c r="A185" t="inlineStr">
        <is>
          <t>in-4291e25a7906b836</t>
        </is>
      </c>
      <c r="B185" t="inlineStr">
        <is>
          <t>Applied Scientist II, Prime Video - Personalization and Discovery Science, Personalization and Discovery Science</t>
        </is>
      </c>
      <c r="C185" t="inlineStr">
        <is>
          <t>Amazon.com</t>
        </is>
      </c>
      <c r="D185" t="inlineStr">
        <is>
          <t>indeed</t>
        </is>
      </c>
      <c r="E185" t="inlineStr"/>
      <c r="F185" t="inlineStr"/>
      <c r="G185" t="inlineStr">
        <is>
          <t>Seattle, WA, US</t>
        </is>
      </c>
      <c r="H185" s="1" t="n">
        <v>45930</v>
      </c>
      <c r="I18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6">
      <c r="A186" t="inlineStr">
        <is>
          <t>in-be40aa565ffe3e6a</t>
        </is>
      </c>
      <c r="B186" t="inlineStr">
        <is>
          <t>Applied Scientist II, Prime Video - Personalization and Discovery Science, Personalization and Discovery Science</t>
        </is>
      </c>
      <c r="C186" t="inlineStr">
        <is>
          <t>Amazon.com</t>
        </is>
      </c>
      <c r="D186" t="inlineStr">
        <is>
          <t>indeed</t>
        </is>
      </c>
      <c r="E186" t="inlineStr"/>
      <c r="F186" t="inlineStr"/>
      <c r="G186" t="inlineStr">
        <is>
          <t>Sunnyvale, CA, US</t>
        </is>
      </c>
      <c r="H186" s="1" t="n">
        <v>45930</v>
      </c>
      <c r="I18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7">
      <c r="A187" t="inlineStr">
        <is>
          <t>in-81a97661b88207cb</t>
        </is>
      </c>
      <c r="B187" t="inlineStr">
        <is>
          <t>Applied Scientist, Workplace Health &amp; Safety</t>
        </is>
      </c>
      <c r="C187" t="inlineStr">
        <is>
          <t>Amazon.com</t>
        </is>
      </c>
      <c r="D187" t="inlineStr">
        <is>
          <t>indeed</t>
        </is>
      </c>
      <c r="E187" t="inlineStr"/>
      <c r="F187" t="inlineStr"/>
      <c r="G187" t="inlineStr">
        <is>
          <t>Bellevue, WA, US</t>
        </is>
      </c>
      <c r="H187" s="1" t="n">
        <v>45917</v>
      </c>
      <c r="I187"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8">
      <c r="A188" t="inlineStr">
        <is>
          <t>in-30dc68692d13ff8f</t>
        </is>
      </c>
      <c r="B188" t="inlineStr">
        <is>
          <t>Applied Scientist, Workplace Health &amp; Safety</t>
        </is>
      </c>
      <c r="C188" t="inlineStr">
        <is>
          <t>Amazon.com</t>
        </is>
      </c>
      <c r="D188" t="inlineStr">
        <is>
          <t>indeed</t>
        </is>
      </c>
      <c r="E188" t="inlineStr"/>
      <c r="F188" t="inlineStr"/>
      <c r="G188" t="inlineStr">
        <is>
          <t>Nashville, TN, US</t>
        </is>
      </c>
      <c r="H188" s="1" t="n">
        <v>45917</v>
      </c>
      <c r="I188"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9">
      <c r="A189" t="inlineStr">
        <is>
          <t>in-b08e042cf272617c</t>
        </is>
      </c>
      <c r="B189" t="inlineStr">
        <is>
          <t>Sr. Applied Scientist, Prime Video - Personalization and Discovery Science</t>
        </is>
      </c>
      <c r="C189" t="inlineStr">
        <is>
          <t>Amazon.com</t>
        </is>
      </c>
      <c r="D189" t="inlineStr">
        <is>
          <t>indeed</t>
        </is>
      </c>
      <c r="E189" t="inlineStr"/>
      <c r="F189" t="inlineStr"/>
      <c r="G189" t="inlineStr">
        <is>
          <t>New York, NY, US</t>
        </is>
      </c>
      <c r="H189" s="1" t="n">
        <v>45896</v>
      </c>
      <c r="I18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190">
      <c r="A190" t="inlineStr">
        <is>
          <t>in-bf84df6e78feab0f</t>
        </is>
      </c>
      <c r="B190" t="inlineStr">
        <is>
          <t>Sr. Applied Scientist, Prime Video - Personalization and Discovery Science</t>
        </is>
      </c>
      <c r="C190" t="inlineStr">
        <is>
          <t>Amazon.com</t>
        </is>
      </c>
      <c r="D190" t="inlineStr">
        <is>
          <t>indeed</t>
        </is>
      </c>
      <c r="E190" t="inlineStr"/>
      <c r="F190" t="inlineStr"/>
      <c r="G190" t="inlineStr">
        <is>
          <t>Seattle, WA, US</t>
        </is>
      </c>
      <c r="H190" s="1" t="n">
        <v>45896</v>
      </c>
      <c r="I19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191">
      <c r="A191" t="inlineStr">
        <is>
          <t>in-79033347522f9619</t>
        </is>
      </c>
      <c r="B191" t="inlineStr">
        <is>
          <t>Sr. Applied Scientist, Prime Video - Personalization and Discovery Science</t>
        </is>
      </c>
      <c r="C191" t="inlineStr">
        <is>
          <t>Amazon.com</t>
        </is>
      </c>
      <c r="D191" t="inlineStr">
        <is>
          <t>indeed</t>
        </is>
      </c>
      <c r="E191" t="inlineStr"/>
      <c r="F191" t="inlineStr"/>
      <c r="G191" t="inlineStr">
        <is>
          <t>Sunnyvale, CA, US</t>
        </is>
      </c>
      <c r="H191" s="1" t="n">
        <v>45896</v>
      </c>
      <c r="I19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192">
      <c r="A192" t="inlineStr">
        <is>
          <t>in-243d12b5767fa969</t>
        </is>
      </c>
      <c r="B192" t="inlineStr">
        <is>
          <t>Applied Scientist II, Prime Video - Personalization and Discovery Science</t>
        </is>
      </c>
      <c r="C192" t="inlineStr">
        <is>
          <t>Amazon.com</t>
        </is>
      </c>
      <c r="D192" t="inlineStr">
        <is>
          <t>indeed</t>
        </is>
      </c>
      <c r="E192" t="inlineStr"/>
      <c r="F192" t="inlineStr"/>
      <c r="G192" t="inlineStr">
        <is>
          <t>Seattle, WA, US</t>
        </is>
      </c>
      <c r="H192" s="1" t="n">
        <v>45881</v>
      </c>
      <c r="I19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3">
      <c r="A193" t="inlineStr">
        <is>
          <t>in-3880ddd0e4a51902</t>
        </is>
      </c>
      <c r="B193" t="inlineStr">
        <is>
          <t>Sr. Applied Scientist, Prime Video - Personalization and Discovery Science</t>
        </is>
      </c>
      <c r="C193" t="inlineStr">
        <is>
          <t>Amazon.com</t>
        </is>
      </c>
      <c r="D193" t="inlineStr">
        <is>
          <t>indeed</t>
        </is>
      </c>
      <c r="E193" t="inlineStr"/>
      <c r="F193" t="inlineStr"/>
      <c r="G193" t="inlineStr">
        <is>
          <t>New York, NY, US</t>
        </is>
      </c>
      <c r="H193" s="1" t="n">
        <v>45881</v>
      </c>
      <c r="I19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4">
      <c r="A194" t="inlineStr">
        <is>
          <t>in-8f886876fba73a5e</t>
        </is>
      </c>
      <c r="B194" t="inlineStr">
        <is>
          <t>Sr. Applied Scientist, Prime Video - Personalization and Discovery Science</t>
        </is>
      </c>
      <c r="C194" t="inlineStr">
        <is>
          <t>Amazon.com</t>
        </is>
      </c>
      <c r="D194" t="inlineStr">
        <is>
          <t>indeed</t>
        </is>
      </c>
      <c r="E194" t="inlineStr"/>
      <c r="F194" t="inlineStr"/>
      <c r="G194" t="inlineStr">
        <is>
          <t>Sunnyvale, CA, US</t>
        </is>
      </c>
      <c r="H194" s="1" t="n">
        <v>45881</v>
      </c>
      <c r="I19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5">
      <c r="A195" t="inlineStr">
        <is>
          <t>in-ff3470df798ece5d</t>
        </is>
      </c>
      <c r="B195" t="inlineStr">
        <is>
          <t>Applied Scientist II, Prime Video - Personalization and Discovery Science</t>
        </is>
      </c>
      <c r="C195" t="inlineStr">
        <is>
          <t>Amazon.com</t>
        </is>
      </c>
      <c r="D195" t="inlineStr">
        <is>
          <t>indeed</t>
        </is>
      </c>
      <c r="E195" t="inlineStr"/>
      <c r="F195" t="inlineStr"/>
      <c r="G195" t="inlineStr">
        <is>
          <t>New York, NY, US</t>
        </is>
      </c>
      <c r="H195" s="1" t="n">
        <v>45881</v>
      </c>
      <c r="I19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6">
      <c r="A196" t="inlineStr">
        <is>
          <t>in-956435d6999ff1ac</t>
        </is>
      </c>
      <c r="B196" t="inlineStr">
        <is>
          <t>Applied Scientist II, Prime Video - Personalization and Discovery Science</t>
        </is>
      </c>
      <c r="C196" t="inlineStr">
        <is>
          <t>Amazon.com</t>
        </is>
      </c>
      <c r="D196" t="inlineStr">
        <is>
          <t>indeed</t>
        </is>
      </c>
      <c r="E196" t="inlineStr"/>
      <c r="F196" t="inlineStr"/>
      <c r="G196" t="inlineStr">
        <is>
          <t>Sunnyvale, CA, US</t>
        </is>
      </c>
      <c r="H196" s="1" t="n">
        <v>45881</v>
      </c>
      <c r="I19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7">
      <c r="A197" t="inlineStr">
        <is>
          <t>in-32b8970badac5eb1</t>
        </is>
      </c>
      <c r="B197" t="inlineStr">
        <is>
          <t>Sr. Applied Scientist, Prime Video - Personalization and Discovery Science</t>
        </is>
      </c>
      <c r="C197" t="inlineStr">
        <is>
          <t>Amazon.com</t>
        </is>
      </c>
      <c r="D197" t="inlineStr">
        <is>
          <t>indeed</t>
        </is>
      </c>
      <c r="E197" t="inlineStr"/>
      <c r="F197" t="inlineStr"/>
      <c r="G197" t="inlineStr">
        <is>
          <t>Seattle, WA, US</t>
        </is>
      </c>
      <c r="H197" s="1" t="n">
        <v>45881</v>
      </c>
      <c r="I19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8">
      <c r="A198" t="inlineStr">
        <is>
          <t>in-92745dccb2fea014</t>
        </is>
      </c>
      <c r="B198" t="inlineStr">
        <is>
          <t>Applied Scientist III, StoreGen</t>
        </is>
      </c>
      <c r="C198" t="inlineStr">
        <is>
          <t>Amazon.com</t>
        </is>
      </c>
      <c r="D198" t="inlineStr">
        <is>
          <t>indeed</t>
        </is>
      </c>
      <c r="E198" t="inlineStr"/>
      <c r="F198" t="inlineStr"/>
      <c r="G198" t="inlineStr">
        <is>
          <t>Seattle, WA, US</t>
        </is>
      </c>
      <c r="H198" s="1" t="n">
        <v>45868</v>
      </c>
      <c r="I198"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9">
      <c r="A199" t="inlineStr">
        <is>
          <t>in-2123b133f9085034</t>
        </is>
      </c>
      <c r="B199" t="inlineStr">
        <is>
          <t>Applied Scientist III, StoreGen</t>
        </is>
      </c>
      <c r="C199" t="inlineStr">
        <is>
          <t>Amazon.com</t>
        </is>
      </c>
      <c r="D199" t="inlineStr">
        <is>
          <t>indeed</t>
        </is>
      </c>
      <c r="E199" t="inlineStr"/>
      <c r="F199" t="inlineStr"/>
      <c r="G199" t="inlineStr">
        <is>
          <t>Sunnyvale, CA, US</t>
        </is>
      </c>
      <c r="H199" s="1" t="n">
        <v>45868</v>
      </c>
      <c r="I199"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0">
      <c r="A200" t="inlineStr">
        <is>
          <t>in-4d97c82eceddcbec</t>
        </is>
      </c>
      <c r="B200" t="inlineStr">
        <is>
          <t>Sr. Applied Scientist, Amazon Advertising</t>
        </is>
      </c>
      <c r="C200" t="inlineStr">
        <is>
          <t>Amazon.com</t>
        </is>
      </c>
      <c r="D200" t="inlineStr">
        <is>
          <t>indeed</t>
        </is>
      </c>
      <c r="E200" t="inlineStr"/>
      <c r="F200" t="inlineStr"/>
      <c r="G200" t="inlineStr">
        <is>
          <t>West Hollywood, CA, US</t>
        </is>
      </c>
      <c r="H200" s="1" t="n">
        <v>45851</v>
      </c>
      <c r="I20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1">
      <c r="A201" t="inlineStr">
        <is>
          <t>in-79f1fc79855b0e7b</t>
        </is>
      </c>
      <c r="B201" t="inlineStr">
        <is>
          <t>Sr. Applied Scientist, Amazon Advertising</t>
        </is>
      </c>
      <c r="C201" t="inlineStr">
        <is>
          <t>Amazon.com</t>
        </is>
      </c>
      <c r="D201" t="inlineStr">
        <is>
          <t>indeed</t>
        </is>
      </c>
      <c r="E201" t="inlineStr"/>
      <c r="F201" t="inlineStr"/>
      <c r="G201" t="inlineStr">
        <is>
          <t>New York, NY, US</t>
        </is>
      </c>
      <c r="H201" s="1" t="n">
        <v>45851</v>
      </c>
      <c r="I20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2">
      <c r="A202" t="inlineStr">
        <is>
          <t>in-365f702d4c6502f8</t>
        </is>
      </c>
      <c r="B202" t="inlineStr">
        <is>
          <t>Sr. Applied Scientist, Amazon Advertising</t>
        </is>
      </c>
      <c r="C202" t="inlineStr">
        <is>
          <t>Amazon.com</t>
        </is>
      </c>
      <c r="D202" t="inlineStr">
        <is>
          <t>indeed</t>
        </is>
      </c>
      <c r="E202" t="inlineStr"/>
      <c r="F202" t="inlineStr"/>
      <c r="G202" t="inlineStr">
        <is>
          <t>Palo Alto, CA, US</t>
        </is>
      </c>
      <c r="H202" s="1" t="n">
        <v>45851</v>
      </c>
      <c r="I20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3">
      <c r="A203" t="inlineStr">
        <is>
          <t>in-b2a56d60c7b7b3d6</t>
        </is>
      </c>
      <c r="B203" t="inlineStr">
        <is>
          <t>Sr. Applied Scientist, Amazon Advertising</t>
        </is>
      </c>
      <c r="C203" t="inlineStr">
        <is>
          <t>Amazon.com</t>
        </is>
      </c>
      <c r="D203" t="inlineStr">
        <is>
          <t>indeed</t>
        </is>
      </c>
      <c r="E203" t="inlineStr"/>
      <c r="F203" t="inlineStr"/>
      <c r="G203" t="inlineStr">
        <is>
          <t>Los Angeles, CA, US</t>
        </is>
      </c>
      <c r="H203" s="1" t="n">
        <v>45851</v>
      </c>
      <c r="I20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4">
      <c r="A204" t="inlineStr">
        <is>
          <t>in-4d5f77b9d591ac8d</t>
        </is>
      </c>
      <c r="B204" t="inlineStr">
        <is>
          <t>Sr. Applied Scientist, Amazon Advertising</t>
        </is>
      </c>
      <c r="C204" t="inlineStr">
        <is>
          <t>Amazon.com</t>
        </is>
      </c>
      <c r="D204" t="inlineStr">
        <is>
          <t>indeed</t>
        </is>
      </c>
      <c r="E204" t="inlineStr"/>
      <c r="F204" t="inlineStr"/>
      <c r="G204" t="inlineStr">
        <is>
          <t>Seattle, WA, US</t>
        </is>
      </c>
      <c r="H204" s="1" t="n">
        <v>45851</v>
      </c>
      <c r="I20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5">
      <c r="A205" t="inlineStr">
        <is>
          <t>in-1c17754586e3b505</t>
        </is>
      </c>
      <c r="B205" t="inlineStr">
        <is>
          <t>Sr. Applied Scientist, Amazon Advertising</t>
        </is>
      </c>
      <c r="C205" t="inlineStr">
        <is>
          <t>Amazon.com</t>
        </is>
      </c>
      <c r="D205" t="inlineStr">
        <is>
          <t>indeed</t>
        </is>
      </c>
      <c r="E205" t="inlineStr"/>
      <c r="F205" t="inlineStr"/>
      <c r="G205" t="inlineStr">
        <is>
          <t>Arlington, VA, US</t>
        </is>
      </c>
      <c r="H205" s="1" t="n">
        <v>45851</v>
      </c>
      <c r="I20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6">
      <c r="A206" t="inlineStr">
        <is>
          <t>in-62f8db63f2f00c23</t>
        </is>
      </c>
      <c r="B206" t="inlineStr">
        <is>
          <t>Sr. Applied Scientist, Amazon Advertising</t>
        </is>
      </c>
      <c r="C206" t="inlineStr">
        <is>
          <t>Amazon.com</t>
        </is>
      </c>
      <c r="D206" t="inlineStr">
        <is>
          <t>indeed</t>
        </is>
      </c>
      <c r="E206" t="inlineStr"/>
      <c r="F206" t="inlineStr"/>
      <c r="G206" t="inlineStr">
        <is>
          <t>Simi Valley, CA, US</t>
        </is>
      </c>
      <c r="H206" s="1" t="n">
        <v>45851</v>
      </c>
      <c r="I20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7">
      <c r="A207" t="inlineStr">
        <is>
          <t>in-6836675d1f49f6eb</t>
        </is>
      </c>
      <c r="B207" t="inlineStr">
        <is>
          <t>Sr. Applied Scientist, Amazon Advertising</t>
        </is>
      </c>
      <c r="C207" t="inlineStr">
        <is>
          <t>Amazon.com</t>
        </is>
      </c>
      <c r="D207" t="inlineStr">
        <is>
          <t>indeed</t>
        </is>
      </c>
      <c r="E207" t="inlineStr"/>
      <c r="F207" t="inlineStr"/>
      <c r="G207" t="inlineStr">
        <is>
          <t>Austin, TX, US</t>
        </is>
      </c>
      <c r="H207" s="1" t="n">
        <v>45851</v>
      </c>
      <c r="I20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8">
      <c r="A208" t="inlineStr">
        <is>
          <t>in-8cb81e52dff3c511</t>
        </is>
      </c>
      <c r="B208" t="inlineStr">
        <is>
          <t>Senior Applied Scientist, Delivery Foundation Model</t>
        </is>
      </c>
      <c r="C208" t="inlineStr">
        <is>
          <t>Amazon.com</t>
        </is>
      </c>
      <c r="D208" t="inlineStr">
        <is>
          <t>indeed</t>
        </is>
      </c>
      <c r="E208" t="inlineStr"/>
      <c r="F208" t="inlineStr"/>
      <c r="G208" t="inlineStr">
        <is>
          <t>Santa Clara, CA, US</t>
        </is>
      </c>
      <c r="H208" s="1" t="n">
        <v>45806</v>
      </c>
      <c r="I20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9">
      <c r="A209" t="inlineStr">
        <is>
          <t>in-e0556118b775f04c</t>
        </is>
      </c>
      <c r="B209" t="inlineStr">
        <is>
          <t>Senior Applied Scientist, Delivery Foundation Model</t>
        </is>
      </c>
      <c r="C209" t="inlineStr">
        <is>
          <t>Amazon.com</t>
        </is>
      </c>
      <c r="D209" t="inlineStr">
        <is>
          <t>indeed</t>
        </is>
      </c>
      <c r="E209" t="inlineStr"/>
      <c r="F209" t="inlineStr"/>
      <c r="G209" t="inlineStr">
        <is>
          <t>New York, NY, US</t>
        </is>
      </c>
      <c r="H209" s="1" t="n">
        <v>45806</v>
      </c>
      <c r="I20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0">
      <c r="A210" t="inlineStr">
        <is>
          <t>in-ea50648da7e7f141</t>
        </is>
      </c>
      <c r="B210" t="inlineStr">
        <is>
          <t>Senior Applied Scientist, Delivery Foundation Model</t>
        </is>
      </c>
      <c r="C210" t="inlineStr">
        <is>
          <t>Amazon.com</t>
        </is>
      </c>
      <c r="D210" t="inlineStr">
        <is>
          <t>indeed</t>
        </is>
      </c>
      <c r="E210" t="inlineStr"/>
      <c r="F210" t="inlineStr"/>
      <c r="G210" t="inlineStr">
        <is>
          <t>Bellevue, WA, US</t>
        </is>
      </c>
      <c r="H210" s="1" t="n">
        <v>45806</v>
      </c>
      <c r="I21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1">
      <c r="A211" t="inlineStr">
        <is>
          <t>in-7d9e35512fed55ed</t>
        </is>
      </c>
      <c r="B211" t="inlineStr">
        <is>
          <t>Sr. Applied Scientist - Privacy, Privacy Engineering</t>
        </is>
      </c>
      <c r="C211" t="inlineStr">
        <is>
          <t>Amazon.com</t>
        </is>
      </c>
      <c r="D211" t="inlineStr">
        <is>
          <t>indeed</t>
        </is>
      </c>
      <c r="E211" t="inlineStr"/>
      <c r="F211" t="inlineStr"/>
      <c r="G211" t="inlineStr">
        <is>
          <t>San Francisco, CA, US</t>
        </is>
      </c>
      <c r="H211" s="1" t="n">
        <v>45787</v>
      </c>
      <c r="I211"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2">
      <c r="A212" t="inlineStr">
        <is>
          <t>in-311f2193b86bb4d1</t>
        </is>
      </c>
      <c r="B212" t="inlineStr">
        <is>
          <t>Sr. Applied Scientist - Privacy, Privacy Engineering</t>
        </is>
      </c>
      <c r="C212" t="inlineStr">
        <is>
          <t>Amazon.com</t>
        </is>
      </c>
      <c r="D212" t="inlineStr">
        <is>
          <t>indeed</t>
        </is>
      </c>
      <c r="E212" t="inlineStr"/>
      <c r="F212" t="inlineStr"/>
      <c r="G212" t="inlineStr">
        <is>
          <t>Sunnyvale, CA, US</t>
        </is>
      </c>
      <c r="H212" s="1" t="n">
        <v>45787</v>
      </c>
      <c r="I212"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3">
      <c r="A213" t="inlineStr">
        <is>
          <t>in-b6109d97c31bd374</t>
        </is>
      </c>
      <c r="B213" t="inlineStr">
        <is>
          <t>Sr. Applied Scientist - Privacy, Privacy Engineering</t>
        </is>
      </c>
      <c r="C213" t="inlineStr">
        <is>
          <t>Amazon.com</t>
        </is>
      </c>
      <c r="D213" t="inlineStr">
        <is>
          <t>indeed</t>
        </is>
      </c>
      <c r="E213" t="inlineStr"/>
      <c r="F213" t="inlineStr"/>
      <c r="G213" t="inlineStr">
        <is>
          <t>Santa Clara, CA, US</t>
        </is>
      </c>
      <c r="H213" s="1" t="n">
        <v>45787</v>
      </c>
      <c r="I213"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4">
      <c r="A214" t="inlineStr">
        <is>
          <t>in-a454fb8d5153e89c</t>
        </is>
      </c>
      <c r="B214" t="inlineStr">
        <is>
          <t>Sr. Applied Scientist - Privacy, Privacy Engineering</t>
        </is>
      </c>
      <c r="C214" t="inlineStr">
        <is>
          <t>Amazon.com</t>
        </is>
      </c>
      <c r="D214" t="inlineStr">
        <is>
          <t>indeed</t>
        </is>
      </c>
      <c r="E214" t="inlineStr"/>
      <c r="F214" t="inlineStr"/>
      <c r="G214" t="inlineStr">
        <is>
          <t>Seattle, WA, US</t>
        </is>
      </c>
      <c r="H214" s="1" t="n">
        <v>45787</v>
      </c>
      <c r="I214"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5">
      <c r="A215" t="inlineStr">
        <is>
          <t>in-030013dc9d5218c7</t>
        </is>
      </c>
      <c r="B215" t="inlineStr">
        <is>
          <t>Senior AI/ML Engineer (AI Automation)</t>
        </is>
      </c>
      <c r="C215" t="inlineStr">
        <is>
          <t>Spanidea Systems</t>
        </is>
      </c>
      <c r="D215" t="inlineStr">
        <is>
          <t>indeed</t>
        </is>
      </c>
      <c r="E215" t="inlineStr"/>
      <c r="F215" t="inlineStr"/>
      <c r="G215" t="inlineStr">
        <is>
          <t>Santa Clara, CA, US</t>
        </is>
      </c>
      <c r="H215" s="1" t="n">
        <v>46078</v>
      </c>
      <c r="I215" t="inlineStr">
        <is>
          <t>**No C2C or vendor involvement. No sponsorship provided.**
**Role: Senior AI / ML Engineer (Automation \&amp; Agentic AI)**
**Experience:** 10\+ years  
**Location:** Santa Clara, CA (Hybrid)
**Role Overview**
We are looking for a highly experienced **AI / ML Engineer** with a strong **data engineering and applied AI background** to lead automation initiatives across **code generation and test automation**. This role will work closely with core engineering teams to design, build, and scale **AI\-driven and agentic automation solutions** that improve developer productivity and software quality.
**Key Responsibilities**
* Lead and drive **AI\-powered automation** initiatives for **code generation, refactoring, and test automation**
* Design and implement **Agentic AI systems** using modern LLM frameworks and orchestration tools
* Collaborate with engineering teams to embed AI/ML solutions into existing development and CI/CD workflows
* Build, train, fine\-tune, and evaluate ML and LLM models using structured and unstructured data
* Apply advanced **data engineering and MLOps practices** to ensure scalable and reliable AI solutions
* Stay current with the **latest AI/ML, LLM, and Agentic AI advancements** and translate them into practical implementations
* Define best practices, architectures, and governance for AI\-driven automation
**Required Qualifications**
* 12\+ years of experience in **AI/ML engineering**, with a strong **data\-centric background**
* Deep expertise in **machine learning, deep learning, and LLM\-based systems**
* Hands\-on experience with **code generation, test automation, or developer productivity tools**
* Strong understanding of **Agentic AI concepts**, multi\-agent systems, and AI orchestration
* Proficiency in **Python** and modern ML frameworks (TensorFlow, PyTorch, etc.)
* Experience working with large datasets, data pipelines, and feature engineering
* Solid knowledge of **MLOps**, model deployment, and monitoring in production environments
* Ability to work cross\-functionally with senior engineering stakeholders
* Background in software engineering, DevOps, or CI/CD automation
* Experience implementing AI governance, security, and compliance best practices \#IT
Job Types: Full\-time, Contract
Pay: $120,000\.00 \- $180,000\.00 per year
Benefits:
* Employee assistance program
* Health insurance
* Professional development assistance
* Referral program
Experience:
* Built LLM agents for code, refactor \&amp; test automation: 5 years (Required)
* Designed agentic AI for CI/CD test automation at scale apps: 5 years (Required)
* AI/ML: 10 years (Required)
* Leadership: 3 years (Required)
Work Location: Hybrid remote in Santa Clara, CA 95056</t>
        </is>
      </c>
    </row>
    <row r="216">
      <c r="A216" t="inlineStr">
        <is>
          <t>in-e79984737d2c8dff</t>
        </is>
      </c>
      <c r="B216" t="inlineStr">
        <is>
          <t>Senior AI Engineer</t>
        </is>
      </c>
      <c r="C216" t="inlineStr">
        <is>
          <t>MRO Corporation</t>
        </is>
      </c>
      <c r="D216" t="inlineStr">
        <is>
          <t>indeed</t>
        </is>
      </c>
      <c r="E216" t="inlineStr"/>
      <c r="F216" t="inlineStr"/>
      <c r="G216" t="inlineStr">
        <is>
          <t>Norristown, PA, US</t>
        </is>
      </c>
      <c r="H216" s="1" t="n">
        <v>46078</v>
      </c>
      <c r="I216" t="inlineStr">
        <is>
          <t>This role focuses on deploying AI\-powered solutions to extract structured data from unstructured medical charts. The AI Engineer will work with technical and clinical teams to bring AI models into real\-world use, improving efficiency in healthcare data processing while ensuring accuracy, usability and responsible AI practices.
**Essential Functions:**
* Develop, test, and deploy LLM\-powered extraction pipelines for clinical text at scale.
* Automate prompt execution, result validation, and error handling to enhance reliability.
* Monitor and maintain production AI models, ensuring uptime, accuracy, and compliance.
* Work with product, data, engineering, and clinical teams to integrate AI outputs into real\-world solutions.
* Evaluate and integrate third\-party AI solutions when appropriate.
* Stay current with advancements in LLM deployment, model serving, and responsible AI practices.
* As a growth organization, roles and responsibilities often evolve and adapt over time. As such, this job description may not comprehensively account for future activities, responsibilities, and priorities—these may evolve right along with us!
**Required Abilities, Education, and Skills:**
* 5\+ years of experience in AI deployment or applied Machine Learning.
* Strong software engineering foundation with proficiency in Python.
* Familiarity with cloud platforms, data engineering and pipeline automation.
* Bachelor’s degree in Computer Science, AI, a related field, or equivalent work experience.
* Strong cross\-functional collaboration skills.
* Proven track record of thriving in a start\-up environment.
**Preferred Abilities, Education and Skills:**
* Experience deploying LLMs in production environments.
* Advanced degree in Computer Science or related field.
* Experience integrating AI with healthcare data (EHRs, clinical databases).
* Experience working in regulated industries with an understanding of security, compliance, and responsible AI.</t>
        </is>
      </c>
    </row>
    <row r="217">
      <c r="A217" t="inlineStr">
        <is>
          <t>in-c3b97c85b8f51a48</t>
        </is>
      </c>
      <c r="B217" t="inlineStr">
        <is>
          <t>Identity AI / ML Engineer</t>
        </is>
      </c>
      <c r="C217" t="inlineStr">
        <is>
          <t>Openkyber</t>
        </is>
      </c>
      <c r="D217" t="inlineStr">
        <is>
          <t>indeed</t>
        </is>
      </c>
      <c r="E217" t="inlineStr"/>
      <c r="F217" t="inlineStr"/>
      <c r="G217" t="inlineStr">
        <is>
          <t>AK, US</t>
        </is>
      </c>
      <c r="H217" s="1" t="n">
        <v>46077</v>
      </c>
      <c r="I217" t="inlineStr">
        <is>
          <t>Skills : Senior lead with broad understanding of AI space and expertise in creating/ holding executive briefings. 12\+ years of experience with a high\-level individual contributor or lead researcher responsible for architecting the core intelligence of a product Architectural Leadership: Design and lead the development of end\-to\-end ML systems, from data ingestion to MLOps orchestration and real\-time inference. State\-of\-the\-Art (SOTA) Implementation: Stay ahead of the curve in Generative AI, Computer Vision, or NLP, adapting the latest research papers into production\-ready features. Optimization \&amp; Scaling: Solve complex bottlenecks related to model latency, cost\-efficiency (e.g., quantization, pruning), and large\-scale distributed training. Technical Mentorship: Review code and model architectures, setting the standard for rigorous testing, evaluation frameworks, and Responsible AI practices. Cross\-Functional Strategy: Partner with Product and Engineering leads to determine the technical feasibility of "moonshot" AI features 1\. Languages: Expert\- level Python, C\+\+, or Java. 2\. Frameworks: PyTorch, TensorFlow, JAX.
**For applications and inquiries, contact:** hirings@openkyber.com</t>
        </is>
      </c>
    </row>
    <row r="218">
      <c r="A218" t="inlineStr">
        <is>
          <t>in-309fccf7732425bc</t>
        </is>
      </c>
      <c r="B218" t="inlineStr">
        <is>
          <t>Identity AI / ML Engineer</t>
        </is>
      </c>
      <c r="C218" t="inlineStr">
        <is>
          <t>Openkyber</t>
        </is>
      </c>
      <c r="D218" t="inlineStr">
        <is>
          <t>indeed</t>
        </is>
      </c>
      <c r="E218" t="inlineStr"/>
      <c r="F218" t="inlineStr"/>
      <c r="G218" t="inlineStr">
        <is>
          <t>AK, US</t>
        </is>
      </c>
      <c r="H218" s="1" t="n">
        <v>46077</v>
      </c>
      <c r="I218" t="inlineStr">
        <is>
          <t>**Title:** Cyber Security Engineer \- ( AI/ML, PeopleSoft \&amp; MuleSoft stack ) :: Remote
Candidate must live in California 6\+ months Skype Minimum 8 years of experience \- Senior Cyber Security Engineer with HR / Payroll and other general enterprise systems background and PeopleSoft HCM experience IT Security Engineer with current experience assessing risk of AI tools and technology and securing enterprise systems and experience with artificial intelligence implementations (AI/ML)
AI/ML background with risk assessments, governance and making recommendations on overall AI direction within Cyber Security Team 5\+ years (current) with PeopleSoft and MuleSoft stack experience related to Cyber Security Analysis: experience with batch processing , API integrations , connectors, integration broker AWS Cloud experience within Cyber Security Provide IT Security guidance during the design and implementation of business services to ensure appropriate security controls and related processes are documented and implemented
**For applications and inquiries, contact:** hirings@openkyber.com</t>
        </is>
      </c>
    </row>
    <row r="219">
      <c r="A219" t="inlineStr">
        <is>
          <t>in-5796028492fb0d0d</t>
        </is>
      </c>
      <c r="B219" t="inlineStr">
        <is>
          <t>Identity AI / ML Engineer</t>
        </is>
      </c>
      <c r="C219" t="inlineStr">
        <is>
          <t>Openkyber</t>
        </is>
      </c>
      <c r="D219" t="inlineStr">
        <is>
          <t>indeed</t>
        </is>
      </c>
      <c r="E219" t="inlineStr"/>
      <c r="F219" t="inlineStr"/>
      <c r="G219" t="inlineStr">
        <is>
          <t>AK, US</t>
        </is>
      </c>
      <c r="H219" s="1" t="n">
        <v>46077</v>
      </c>
      <c r="I219" t="inlineStr">
        <is>
          <t>AI/ML Engineer (5 12 years) Mandatory Skills: \- Model development \&amp; deployment \- REST API integration for ML models Preferred Skills: \- Experience with NLP, deep learning \- Cloud ML platforms (AWS SageMaker, Azure AI) Expert (12\+ years) Mandatory Skills: \- Designing scalable ML systems \- Advanced statistical modeling Preferred Skills: \- Leadership in AI strategy
**For applications and inquiries, contact:** hirings@openkyber.com</t>
        </is>
      </c>
    </row>
    <row r="220">
      <c r="A220" t="inlineStr">
        <is>
          <t>in-743c280c13b7cc89</t>
        </is>
      </c>
      <c r="B220" t="inlineStr">
        <is>
          <t>Identity AI / ML Engineer</t>
        </is>
      </c>
      <c r="C220" t="inlineStr">
        <is>
          <t>Openkyber</t>
        </is>
      </c>
      <c r="D220" t="inlineStr">
        <is>
          <t>indeed</t>
        </is>
      </c>
      <c r="E220" t="inlineStr"/>
      <c r="F220" t="inlineStr"/>
      <c r="G220" t="inlineStr">
        <is>
          <t>AK, US</t>
        </is>
      </c>
      <c r="H220" s="1" t="n">
        <v>46077</v>
      </c>
      <c r="I220" t="inlineStr">
        <is>
          <t>Need California Locals who can go F2F Interview Role : Data Engineer with AI/ML \&amp; CRM Location : Sunnyvale, CA ( F2F / Need Loclas /Onsite from day 1 ) Duration : 12 Months We have open demand for Senior Data Engineer (6\+ Years Exp) with AI/ML Focus (SQL, Informatica or similar, Python, Basic understanding of Java) for SCV location. Please share suitable profiles and internal feedback. Thanks \&amp; Regards OpenKyber Phone: Ext 403 Email : hirings@openkyber.com
**For applications and inquiries, contact:** hirings@openkyber.com</t>
        </is>
      </c>
    </row>
    <row r="221">
      <c r="A221" t="inlineStr">
        <is>
          <t>in-a9e1cd565dccf3c0</t>
        </is>
      </c>
      <c r="B221" t="inlineStr">
        <is>
          <t>Identity AI / ML Engineer</t>
        </is>
      </c>
      <c r="C221" t="inlineStr">
        <is>
          <t>Openkyber</t>
        </is>
      </c>
      <c r="D221" t="inlineStr">
        <is>
          <t>indeed</t>
        </is>
      </c>
      <c r="E221" t="inlineStr"/>
      <c r="F221" t="inlineStr"/>
      <c r="G221" t="inlineStr">
        <is>
          <t>AK, US</t>
        </is>
      </c>
      <c r="H221" s="1" t="n">
        <v>46077</v>
      </c>
      <c r="I221" t="inlineStr">
        <is>
          <t>**Role :** Data Engineer with AI/ML  
**Location :** Sunnyvale, CA (Face 2 Face Interview/F2F/Onsite) \- Only Locals to California  
**Duration :**12\+ Months
Senior Data Engineer who has AI first mindset with exceptional programming skills in Python (Advanced) and Golang (Hands\-on) who can work independently, drive automation, and build scalable systems from scratch.
**What candidate will be working on:**
* Design and build scalable, AI\-enabled data platforms from the ground up
* Build and optimize complex SQL transformations and data models
* Architect data pipelines that power AI/ML use cases
* Implement workflow orchestration using Airflow
* Develop transformations with dbt and manage warehousing in Snowflake
**What We're Looking For**
* Advanced proficiency in Python (production\-grade coding required)
* Hands\-on experience with Golang
* Advanced SQL skills (complex joins, performance tuning, optimization)
* Experience with modern data stack: Airflow, Snowflake, dbt
* Experience building AI/ML\-ready data infrastructure
* Cloud\-native mindset (AWS/Google Cloud Platform/Azure)
* Strong ownership \- able to design, decide, and deliver independently
**Screening Focus**
* Live Python coding assessment
* Advanced SQL problem\-solving
* Data modelling \&amp; system design discussion
Regards, OpenKyber
**For applications and inquiries, contact:** hirings@openkyber.com</t>
        </is>
      </c>
    </row>
    <row r="222">
      <c r="A222" t="inlineStr">
        <is>
          <t>in-8faa61b345eed39a</t>
        </is>
      </c>
      <c r="B222" t="inlineStr">
        <is>
          <t>Identity AI / ML Engineer</t>
        </is>
      </c>
      <c r="C222" t="inlineStr">
        <is>
          <t>Openkyber</t>
        </is>
      </c>
      <c r="D222" t="inlineStr">
        <is>
          <t>indeed</t>
        </is>
      </c>
      <c r="E222" t="inlineStr"/>
      <c r="F222" t="inlineStr"/>
      <c r="G222" t="inlineStr">
        <is>
          <t>AK, US</t>
        </is>
      </c>
      <c r="H222" s="1" t="n">
        <v>46077</v>
      </c>
      <c r="I222" t="inlineStr">
        <is>
          <t>Required: 13\+ years No H1's
Job Description: Analyze large and complex datasets to derive actionable insights and inform business strategies. Develop and implement advanced machine learning models and algorithms. Collaborate with cross\-functional teams to understand business needs and provide data\-driven solutions. Communicate findings and recommendations to stakeholders and executive leadership. Stay updated with the latest trends and technologies in data science and machine learning.
**Basic Qualifications:** Proficient in Python, Pandas, NumPy, Scikit\-Learn, PySpark Bachelors degree in Computer Science, Statistics, Applied Mathematics, or a related field. Minimum of 8 years of experience in a data science role. Proficiency in programming languages such as Python or R.. Strong understanding of machine learning techniques and algorithms.
**Preferred Qualifications:** Experience with modern ML frameworks such as PyTorch, TensorFlow Experience with big data technologies such as PySpark Experience with ML model training within cloud infra such as Azure, AWS, Google Cloud Platform Proven track record of successfully deploying and optimizing ML models in a production environment. Excellent communication and visualization skills to effectively present data insights to non\-technical stakeholders.
**For applications and inquiries, contact:** hirings@openkyber.com</t>
        </is>
      </c>
    </row>
    <row r="223">
      <c r="A223" t="inlineStr">
        <is>
          <t>in-e5bf8098c3949a12</t>
        </is>
      </c>
      <c r="B223" t="inlineStr">
        <is>
          <t>Identity AI / ML Engineer</t>
        </is>
      </c>
      <c r="C223" t="inlineStr">
        <is>
          <t>Openkyber</t>
        </is>
      </c>
      <c r="D223" t="inlineStr">
        <is>
          <t>indeed</t>
        </is>
      </c>
      <c r="E223" t="inlineStr"/>
      <c r="F223" t="inlineStr"/>
      <c r="G223" t="inlineStr">
        <is>
          <t>AK, US</t>
        </is>
      </c>
      <c r="H223" s="1" t="n">
        <v>46077</v>
      </c>
      <c r="I223" t="inlineStr">
        <is>
          <t>**Job Summary:** Experience with 12\+ experience and Design, develop, and deploy Machine Learning and AI models to solve business problems and integrate them into production systems.
**Key Responsibilities:**
* Build and deploy ML/DL models.
* Develop end\-to\-end ML pipelines.
* Perform data preprocessing, feature engineering, and model tuning.
* Deploy models using MLOps practices.
* Collaborate with data and software teams.
**Required Skills:** Strong Python programming. Experience with TensorFlow / PyTorch / Scikit\-learn Knowledge of NLP/Deep Learning. Experience with Docker \&amp; Kubernetes Exposure to cloud platforms like AWS / Microsoft Azure / Google Cloud Platform.
**Education:** Bachelor's/Master's in Computer Science or related field.
**For applications and inquiries, contact:** hirings@openkyber.com</t>
        </is>
      </c>
    </row>
    <row r="224">
      <c r="A224" t="inlineStr">
        <is>
          <t>in-c221ef16ccbbda81</t>
        </is>
      </c>
      <c r="B224" t="inlineStr">
        <is>
          <t>Staff AI Engineer</t>
        </is>
      </c>
      <c r="C224" t="inlineStr">
        <is>
          <t>Openkyber</t>
        </is>
      </c>
      <c r="D224" t="inlineStr">
        <is>
          <t>indeed</t>
        </is>
      </c>
      <c r="E224" t="inlineStr"/>
      <c r="F224" t="inlineStr"/>
      <c r="G224" t="inlineStr">
        <is>
          <t>AK, US</t>
        </is>
      </c>
      <c r="H224" s="1" t="n">
        <v>46077</v>
      </c>
      <c r="I224" t="inlineStr">
        <is>
          <t>**Job Title:** Sr Engineer GenAI \&amp; MLOps (AWS)  
**Location:** Atlanta, GA  
**Duration:** Long Term Contract
**Role Summary:** Seeking a Senior GenAI \&amp; MLOps Engineer to design, deploy, and scale Generative AI and ML solutions on AWS. The role focuses on building production\-grade ML/LLM pipelines, automating model lifecycle, deploying scalable AI services, and ensuring governance and compliance standards.  
**Key Responsibilities:**
* Build and manage end\-to\-end MLOps pipelines for training, deployment, monitoring, and retraining.
* Deploy and optimize Generative AI/LLM applications, including RAG\-based solutions.
* Productionize ML models and enable scalable inference services.
* Implement CI/CD automation for ML workflows.
* Monitor model performance, drift detection, and automated retraining.
* Implement AI/ML governance, security, compliance, and responsible AI controls.
* Collaborate with data science and DevOps teams to integrate AI solutions.
**Required Skills:**
* Strong experience in Generative AI, LLMs, Prompt Engineering, and RAG frameworks
* Hands\-on expertise in MLOps and ML lifecycle management
* AWS services: SageMaker, Bedrock, Lambda, EKS/ECS, S3, Step Functions, API Gateway, CloudWatch, IAM, AWS Organizations \&amp; governance controls
* Programming: Python, PyTorch/TensorFlow
* Frameworks: LangChain or LlamaIndex
* API development using FastAPI/Flask
* Containerization: Docker, Kubernetes
* Infrastructure \&amp; CI/CD: Terraform/CloudFormation, Jenkins/GitHub Actions
* Knowledge of model governance, access control, data security, and compliance practices
**Experience:** 8\+ years in software/ML engineering with strong experience in cloud\-based ML deployments and governance practices.
**For applications and inquiries, contact:** hirings@openkyber.com</t>
        </is>
      </c>
    </row>
    <row r="225">
      <c r="A225" t="inlineStr">
        <is>
          <t>in-d2ac359c3da21f7e</t>
        </is>
      </c>
      <c r="B225" t="inlineStr">
        <is>
          <t>Staff AI Engineer</t>
        </is>
      </c>
      <c r="C225" t="inlineStr">
        <is>
          <t>Openkyber</t>
        </is>
      </c>
      <c r="D225" t="inlineStr">
        <is>
          <t>indeed</t>
        </is>
      </c>
      <c r="E225" t="inlineStr"/>
      <c r="F225" t="inlineStr"/>
      <c r="G225" t="inlineStr">
        <is>
          <t>AK, US</t>
        </is>
      </c>
      <c r="H225" s="1" t="n">
        <v>46077</v>
      </c>
      <c r="I225" t="inlineStr">
        <is>
          <t>**Title :** NCDHHS\-Child Support\-Lead Full 791947  
**Location :** Raleigh,NC  
**Duration :** 12 \+ Months  
**Job Type :** C  
**Description :**
The NC Department of Health and Human Services (NC DHHS)/Child Support requires a Lead Full Stack Java Developer for a Child Support System Enhancement Effort. The Child Support System Enhancement Effort aims to transform existing functionality from a legacy mainframe system into an enhanced, web\-based platform. This transformation is a continuation of the current enhancement effort and will improve user experience by integrating with the existing web\-based application in an Agile development environment.
The Lead Full Stack Java Developer will lead the enhancement effort to build a user\-friendly web\-based platform. This role requires expertise in full\-stack development, architecture design, and Agile collaboration. The Lead Developer will focus on improving efficiency and leveraging AI\-powered development practices to deliver high\-quality solutions.
The Lead Full Stack Java Developer will design and develop robust backend services using Java(8\+ or higher), Spring Boot, and Spring Data JPA/Hibernate, alongside building responsive front\-end interfaces with JavaScript, HTML5, CSS, and Bootstrap.
Responsibilities include creating RESTful APIs, integrating external systems via SOAP/REST web services and messaging platforms, and using AI tools to accelerate development\-including code generation, code transformation, automated unit test creation, security vulnerability detection, and intelligent suggestions within IDEs.
Additional duties include conducting unit and automated testing, supporting data migration to relational databases (DB2, PostgreSQL, Oracle), and contributing to CI/CD pipeline development.
The Lead Full Stack Java Developer will have strong experience in Java full\-stack development, Spring Framework, and RESTful API design, combined with front\-end proficiency in JavaScript, HTML5, CSS, and Bootstrap. Expertise in relational databases, writing SQL queries and stored procedures, and familiarity with testing frameworks (JUnit, Mockito, Selenium) is essential.
Knowledge of DevOps practices including Git\-based version control, CI/CD pipelines (Jenkins, GitHub Actions), and build tools(Maven/Gradle) is required. Secure coding practices and strong problem\-solving, communication, and collaboration skills are critical for success.
Experience with agentic AI integration in the development lifecycle\-such as code generation, code transformation (COBOL to Java), test script generation, unit testing, security scanning, and use of AI\-assisted IDE is highly desired. Additional expertise in applying agentic AI for tasks like intelligent code refactoring, and automated documentation will be a strong advantage.
Familiarity with message queues (JMS, RabbitMQ, Kafka), data migration strategies, and performance tuning will be a strong plus.
* Experience with Backend (Java 8\+ or higher, Spring Framework, Spring Boot, Spring Data JPA/Hibernate/REST): 10 Years
* Experience with Frontend (JavaScript, HTML5, CSS, Bootstrap or similar technologies): 4 Years
* Experience with Databases development (DB2, Oracle, PostgreSQL or other databases, Writing SQL, Stored Procs): 4 Years
* Experience with Integration with external systems using web services and messaging platforms: 4 Years
* Experience with DevOps/CI/CD (Git, CI/CD (Jenkins, GitHub Actions), Maven/Gradle or similar tools and technologies): 3 Years
* Experience with Agile \&amp; Collaboration: 4 Years
* Experience with Mainframe System Modernization: 1 Year (Highly desired)
* Experience with AI in Development: 1 Year (Highly desired)
* Experience with Data Migration: 1 Year (Highly desired)
* Experience with React, Angular and similar UI framework: 1 Year (Highly desired)
**For applications and inquiries, contact:** hirings@openkyber.com</t>
        </is>
      </c>
    </row>
    <row r="226">
      <c r="A226" t="inlineStr">
        <is>
          <t>in-0b430f22c88aef8b</t>
        </is>
      </c>
      <c r="B226" t="inlineStr">
        <is>
          <t>Staff AI Engineer</t>
        </is>
      </c>
      <c r="C226" t="inlineStr">
        <is>
          <t>Openkyber</t>
        </is>
      </c>
      <c r="D226" t="inlineStr">
        <is>
          <t>indeed</t>
        </is>
      </c>
      <c r="E226" t="inlineStr"/>
      <c r="F226" t="inlineStr"/>
      <c r="G226" t="inlineStr">
        <is>
          <t>AK, US</t>
        </is>
      </c>
      <c r="H226" s="1" t="n">
        <v>46077</v>
      </c>
      <c r="I226" t="inlineStr">
        <is>
          <t>Location: Iselin, NJ Salary: $76\.00 USD Hourly \- $82\.00 USD Hourly
Description: Lead Cybersecurity Research Consultant (Contingent Worker) Location: Iselin, NJ
About the Role In this contingent assignment, you will provide technical leadership on large\-scale, complex software engineering and cybersecurity initiatives. You'll assess multifaceted technical challenges, collaborate with cross\-functional partners, and guide strategic decision\-making across projects with broad organizational impact. As the Lead Cybersecurity Research Consultant , you will be the senior subject matter expert for all security\-related work within the team. You will drive research, define security frameworks, and ensure that AI\-powered solutions meet rigorous cybersecurity standards.
**Responsibilities Cybersecurity Leadership:**
* Serve as the primary technical authority on cybersecurity, including threat modeling, secure architecture, risk evaluation, and compliance.
* Provide expert consultation on complex engineering problems involving ambiguous, cross\-functional, or unprecedented factors.
**Security Research \&amp; Strategy:**
* Lead research on emerging threats, vulnerabilities, and attack vectors, and convert findings into actionable security requirements for AI systems and engineering solutions.
* Develop and maintain data\-driven security frameworks (e.g., risk scoring models such as the Cyber Risk Rubric) used to prioritize and triage risks.
**AI \&amp; Security Collaboration:**
* Partner closely with the Lead AI/ML Engineer to design experiments, validate model behavior, and evaluate security accuracy and robustness.
* Ensure cybersecurity principles and best practices are integrated across AI model development, testing, and deployment.
**Cross\-Functional Enablement:**
* Act as the key liaison between the AI development team and the broader cybersecurity organization, ensuring alignment with policies, procedures, and regulatory expectations.
* Mentor engineers and team members to elevate overall security expertise and build a strong security\-aware culture.
**Minimum Qualifications:**
5\+ years of software engineering experience , or equivalent experience gained through industry work, consulting, military service, technical training, or education.
By providing your phone number, you consent to: (1\) receive automated text messages and calls from OpenKyber and its affiliates (collectively "OpenKyber") to such phone number regarding job opportunities, your job application, and for other related purposes. Message \&amp; data rates apply and message frequency may vary. Consistent with OpenKyber's Privacy Policy, information obtained from your consent will not be shared with third parties for marketing/promotional purposes. Reply STOP to opt out of receiving telephone calls and text messages from OpenKyber and HELP for help.
Contact: This job and many more are available through OpenKyber. Please apply with us today!
**For applications and inquiries, contact:** hirings@openkyber.com</t>
        </is>
      </c>
    </row>
    <row r="227">
      <c r="A227" t="inlineStr">
        <is>
          <t>in-3506537325f5f8c0</t>
        </is>
      </c>
      <c r="B227" t="inlineStr">
        <is>
          <t>Staff AI Engineer</t>
        </is>
      </c>
      <c r="C227" t="inlineStr">
        <is>
          <t>Openkyber</t>
        </is>
      </c>
      <c r="D227" t="inlineStr">
        <is>
          <t>indeed</t>
        </is>
      </c>
      <c r="E227" t="inlineStr"/>
      <c r="F227" t="inlineStr"/>
      <c r="G227" t="inlineStr">
        <is>
          <t>AK, US</t>
        </is>
      </c>
      <c r="H227" s="1" t="n">
        <v>46077</v>
      </c>
      <c r="I227" t="inlineStr">
        <is>
          <t>**Job Title: Senior Python Developer (AWS \&amp; AI)**
**Location:** Remote
We are seeking a skilled Software Developer with strong experience in Python, Data Analytics, and AWS Cloud, along with hands\-on exposure to AI/ML and Generative AI tools. Experience in building AWS infrastructure, Java and React, and strong practice of BDD/TDD testing methodologies is essential. This role focuses on building scalable, secure, and intelligent cloud\-based applications with high engineering quality.
**Key Responsibilities**:
* Develop and maintain applications using Python.
* Analyze and visualize data to support business insights.
* Design, build, and manage AWS infrastructure (VPC, EC2, S3, Lambda, RDS, IAM, etc.).
* Implement Infrastructure as Code (Terraform/CloudFormation/CDK).
* Build and integrate AI/ML and Generative AI solutions.
* Develop RESTful APIs and microservices.
* Write and maintain automated tests using BDD/TDD practices.
* Ensure high code quality through unit, integration, and acceptance testing.
* Optimize system performance, scalability, and security.
* Support CI/CD pipelines and DevOps practices.
* Collaborate with cross\-functional teams.
**Required Skills**: Strong proficiency in Python. Experience in Data Analytics (Pandas, NumPy, SQL). Hands\-on experience with AWS Cloud \&amp; Infrastructure. Proven experience in BDD/TDD and automated testing frameworks (PyTest, JUnit, Cucumber, Behave, etc.). Knowledge of AI/ML frameworks (TensorFlow, PyTorch, Scikit\-learn). Experience with Gen AI tools/APIs (OpenAI, AWS Bedrock, LangChain). Familiarity with Git, CI/CD, and DevOps tools. Strong analytical and communication skills.**Preferred / Added Value Skills**: Java (Spring Boot, Microservices). React.js and modern frontend development. Full\-stack development experience. Docker \&amp; Kubernetes. MLOps and model deployment. Performance and security testing experience. AWS / Cloud / AI certifications.
**For applications and inquiries, contact:** hirings@openkyber.com</t>
        </is>
      </c>
    </row>
    <row r="228">
      <c r="A228" t="inlineStr">
        <is>
          <t>in-a0363ac302223b62</t>
        </is>
      </c>
      <c r="B228" t="inlineStr">
        <is>
          <t>Staff AI Engineer</t>
        </is>
      </c>
      <c r="C228" t="inlineStr">
        <is>
          <t>Openkyber</t>
        </is>
      </c>
      <c r="D228" t="inlineStr">
        <is>
          <t>indeed</t>
        </is>
      </c>
      <c r="E228" t="inlineStr"/>
      <c r="F228" t="inlineStr"/>
      <c r="G228" t="inlineStr">
        <is>
          <t>AK, US</t>
        </is>
      </c>
      <c r="H228" s="1" t="n">
        <v>46077</v>
      </c>
      <c r="I228" t="inlineStr">
        <is>
          <t>**Location:** Iselin, NJ  
**Salary:** $76\.00 USD Hourly \- $82\.00 USD Hourly
**Description:**
Lead Cybersecurity Research Consultant (Contingent Worker) Location: Iselin, NJ
About the Role In this contingent assignment, you will provide technical leadership on large\-scale, complex software engineering and cybersecurity initiatives. You'll assess multifaceted technical challenges, collaborate with cross\-functional partners, and guide strategic decision\-making across projects with broad organizational impact. As the Lead Cybersecurity Research Consultant , you will be the senior subject matter expert for all security\-related work within the team. You will drive research, define security frameworks, and ensure that AI\-powered solutions meet rigorous cybersecurity standards.
**Responsibilities**
* **Cybersecurity Leadership:** Serve as the primary technical authority on cybersecurity, including threat modeling, secure architecture, risk evaluation, and compliance.
* **Provide expert consultation** on complex engineering problems involving ambiguous, cross\-functional, or unprecedented factors.
* **Security Research \&amp; Strategy**: Lead research on emerging threats, vulnerabilities, and attack vectors, and convert findings into actionable security requirements for AI systems and engineering solutions.
* Develop and maintain data\-driven security frameworks (e.g., risk scoring models such as the Cyber Risk Rubric) used to prioritize and triage risks.
* **AI \&amp; Security Collaboration**: Partner closely with the Lead AI/ML Engineer to design experiments, validate model behavior, and evaluate security accuracy and robustness.
* Ensure cybersecurity principles and best practices are integrated across AI model development, testing, and deployment.
* **Cross\-Functional Enablement**: Act as the key liaison between the AI development team and the broader cybersecurity organization, ensuring alignment with policies, procedures, and regulatory expectations.
* Mentor engineers and team members to elevate overall security expertise and build a strong security\-aware culture.
**Minimum Qualifications**
5\+ years of software engineering experience , or equivalent experience gained through industry work, consulting, military service, technical training, or education.
By providing your phone number, you consent to: (1\) receive automated text messages and calls from OpenKyber and its affiliates regarding job opportunities, your job application, and for other related purposes. Message \&amp; data rates apply and message frequency may vary. Consistent with OpenKyber's Privacy Policy, information obtained from your consent will not be shared with third parties for marketing/promotional purposes. Reply STOP to opt out of receiving telephone calls and text messages from OpenKyber and HELP for help.
Contact: This job and many more are available through OpenKyber. Please apply with us today!
**For applications and inquiries, contact:** hirings@openkyber.com</t>
        </is>
      </c>
    </row>
    <row r="229">
      <c r="A229" t="inlineStr">
        <is>
          <t>in-6d022eafd11813c2</t>
        </is>
      </c>
      <c r="B229" t="inlineStr">
        <is>
          <t>Lead AI Engineer</t>
        </is>
      </c>
      <c r="C229" t="inlineStr">
        <is>
          <t>Openkyber</t>
        </is>
      </c>
      <c r="D229" t="inlineStr">
        <is>
          <t>indeed</t>
        </is>
      </c>
      <c r="E229" t="inlineStr"/>
      <c r="F229" t="inlineStr"/>
      <c r="G229" t="inlineStr">
        <is>
          <t>AK, US</t>
        </is>
      </c>
      <c r="H229" s="1" t="n">
        <v>46077</v>
      </c>
      <c r="I229" t="inlineStr">
        <is>
          <t>**Senior UI/UX Developer \- AI Assisted Design \&amp; Development Job Summary:** Seeking a Senior UI/UX Developer to help modernize a legacy system into a scalable web\-based platform. The role involves designing accessible, responsive interfaces, creating wireframes and prototypes, and collaborating with backend teams in an Agile environment.
**Key Responsibilities:**
* Design and develop responsive UI using HTML5, CSS3, JavaScript, Bootstrap, and frameworks like React, Angular, or Vue.
* Create wireframes, prototypes, and user\-centered design solutions.
* Integrate UI with REST APIs and optimize performance and accessibility (WCAG).
* Replace legacy interfaces with modern, user\-friendly designs.
* Work in Agile teams and use Git/CI/CD workflows.
* Utilize AI\-assisted tools for UI/UX and development improvements.
**Required Skills:**
* Strong Hand\-on experience in UI/UX or front\-end development.
* Strong experience with JavaScript frameworks (React, Angular, or Vue).
* UI/UX design experience (wireframing, prototyping, responsive design).
* Experience with HTML5, CSS3, Bootstrap, and REST APIs.
* Knowledge of testing tools (Jasmine, Jest, Selenium or similar).
* Familiarity with AI\-assisted development tools
**For applications and inquiries, contact:** hirings@openkyber.com</t>
        </is>
      </c>
    </row>
    <row r="230">
      <c r="A230" t="inlineStr">
        <is>
          <t>in-28c5f9db463cff38</t>
        </is>
      </c>
      <c r="B230" t="inlineStr">
        <is>
          <t>Machine Learning Engineer, YouTube Live Discovery</t>
        </is>
      </c>
      <c r="C230" t="inlineStr">
        <is>
          <t>Youtube</t>
        </is>
      </c>
      <c r="D230" t="inlineStr">
        <is>
          <t>indeed</t>
        </is>
      </c>
      <c r="E230" t="inlineStr"/>
      <c r="F230" t="inlineStr"/>
      <c r="G230" t="inlineStr">
        <is>
          <t>Mountain View, CA, US</t>
        </is>
      </c>
      <c r="H230" s="1" t="n">
        <v>46077</v>
      </c>
      <c r="I230" t="inlineStr">
        <is>
          <t>### **Minimum qualifications:**
* Bachelor's degree or equivalent practical experience.
* 8 years of experience with software development in one or more programming languages (e.g., Python, C, C\+\+, Java, JavaScript).
* 3 years of experience in a technical leadership role.
### **Preferred qualifications:**
* Master's degree or PhD in Computer Science or related technical field.
* 3 years of experience working in a complex, matrixed organization.
* 3 years of experience with ML classification systems, ranking and recommendation systems or similar.
* Experience in computer vision/NLP/ML/data mining areas.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Work on improving ML algorithms and end\-to\-end solutions to empower live recommendations and to grow live ecosystems responsibly.
* Set up growth metrics and goals, do the analysis and research to identify the growth areas and lead a team of engineers to iterate multiple experiments.
* Communicate across multiple YouTube engineering teams and lead to align with the design direction and future plan of your projects.
* Work closely with the YouTube discovery teams (Home/WatchNext/Notifications/Living Room/etc), Live infra and experience teams, collaborate closely with Google Deepmind teams, YouTube knowledge and YouTube (TnS) Trust and Safety.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31">
      <c r="A231" t="inlineStr">
        <is>
          <t>in-a0f267e906ad1c32</t>
        </is>
      </c>
      <c r="B231" t="inlineStr">
        <is>
          <t>Principal Machine Learning Engineer</t>
        </is>
      </c>
      <c r="C231" t="inlineStr">
        <is>
          <t>Disney Entertainment Television</t>
        </is>
      </c>
      <c r="D231" t="inlineStr">
        <is>
          <t>indeed</t>
        </is>
      </c>
      <c r="E231" t="inlineStr"/>
      <c r="F231" t="inlineStr"/>
      <c r="G231" t="inlineStr">
        <is>
          <t>New York, NY, US</t>
        </is>
      </c>
      <c r="H231" s="1" t="n">
        <v>46077</v>
      </c>
      <c r="I231" t="inlineStr">
        <is>
          <t>**Department/Group Overview:**
The cross\-media measurement and advanced analytics organization is responsible for data strategy \&amp; management, cross\-platform content measurement, Content marketing measurement, and linear and digital inventory forecasting. The team provides advanced analytics and actionable insights related to Disney entertainment's content, monetization, and audience development.
**The Data and Analytics Operations team is part of the Cross\-Media Measurement and Advanced Analytics organization (CMAA)**. Reporting to the Executive Director of Data and Analytics Operations, this team leverages advanced machine learning techniques to deliver a robust suite of analytics solutions. Their portfolio includes descriptive, predictive, and prescriptive analytics, underpinned by strong data management practices and an interoperability layer. These capabilities are structured to support a range of business goals, such as content production, marketing and monetization.
**Job Summary:**
The Principal Machine Learning Engineer is a highly experienced individual contributor responsible for defining technical direction and delivering the most complex machine learning systems across cross\-media measurement and advanced analytics. This role applies machine learning techniques in code (e.g., deep learning/neural networks where appropriate, supervised/unsupervised learning, and advanced modeling frameworks) to build predictive systems at scale and to develop descriptive, predictive, and prescriptive algorithms for high\-impact business use cases. The position also sets standards for the data architecture and engineering foundations required to capture, manage, store, and utilize structured and unstructured data across distributed cloud and platform environments, ensuring compatibility, operability, governance, and long\-term reliability.
**Responsibilities and Duties of the Role:**
* Define architecture and long\-range technical strategy for ML systems and enabling platforms (training/inference orchestration, feature foundations, serving patterns, interoperability layers) across the measurement ecosystem.
* Lead development and productionization of next\-generation ML approaches for identity resolution, audience modeling, and cross\-platform measurement; translate advanced algorithms into scalable, production\-quality implementations.
* Guide major data engineering and platform investments required for ML: distributed processing patterns, data routing/storage strategies, data integrity controls, and automation across internal/external data sources.
* Establish enterprise\-grade MLOps, governance, and assurance processes: CI/CD standards, automated evaluation, model versioning/registry practices, drift detection, monitoring, and operational excellence.
* Lead cross\-organization technical decision\-making: align stakeholders, define success metrics, and drive complex trade\-offs to deliver durable, scalable ML solutions.
* Coach and develop senior technical talent: mentor Staff/Senior engineers, set engineering standards, and build communities of practice.
* Champion privacy, security, and responsible AI: ensure privacy\-by\-design, PII safeguards, and audit readiness (GDPR/CCPA) for ML and data workflows.
**Required Education, Experience/Skills/Training:**
**Minimum Qualifications:**
* **Must have 10\+ years of professional experience delivering production ML systems at scale, including significant ownership of architecture and platform strategy**
* **Must have expert coding skills in Python and strong SQL; proven software engineering maturity (testing, CI/CD, design reviews, documentation)**
* **Demonstrated ability to apply ML techniques in code to build predictive systems at scale (including deep learning where appropriate)**
* Proven ability to influence across teams and drive organizational standards for data/ML reliability, governance, and interoperability
* Deep experience with distributed compute/data platforms and performance optimization
**Preferred Qualifications:**
* 12\+ years total experience, with hands\-on work in media, advertising technology, or cross\-platform audience measurement
* **Flagship production experience with deep\-learning, genAI, or retrieval\-augmented systems (PyTorch, vector databases) and real\-time data pipelines (Kafka, Pub/Sub, Kinesis)**
* **Strong understanding with modern MLOps stacks (e.g., MLflow, Kubeflow, Vertex AI, SageMaker) and model\-governance practices (metadata, lineage, drift detection)**
* Certifications such as Google Professional Machine Learning Engineer, AWS Certified Machine Learning – Specialty, or equivalent cloud/data credentials
* Contributions to open\-source ML or data\-engineering projects, conference presentations, or peer\-reviewed publications
* Experience in media/ad tech, identity graphs, audience measurement, or interoperability layers
* Experience with modern MLOps platforms (MLflow, Kubeflow, Vertex AI, SageMaker) and model governance practices
**Required Education:**
* Bachelor's degree in a relevant technical or science field (e.g. computer science, data science, mathematics, or a related discipline)
**Preferred Education:**
* Master’s degree or PhD in a relevant field (e.g., Applied Math, Computer Science, Computational Science, Operation Research, Data Science)
\#DISNEYTECH
The hiring range for this position in New York City is $217,300\.00 \- $265,000\.00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232">
      <c r="A232" t="inlineStr">
        <is>
          <t>in-615e823153281af9</t>
        </is>
      </c>
      <c r="B232" t="inlineStr">
        <is>
          <t>Senior Machine Learning Engineer, Quantized Inference</t>
        </is>
      </c>
      <c r="C232" t="inlineStr">
        <is>
          <t>NVIDIA</t>
        </is>
      </c>
      <c r="D232" t="inlineStr">
        <is>
          <t>indeed</t>
        </is>
      </c>
      <c r="E232" t="inlineStr"/>
      <c r="F232" t="inlineStr"/>
      <c r="G232" t="inlineStr">
        <is>
          <t>Redmond, WA, US</t>
        </is>
      </c>
      <c r="H232" s="1" t="n">
        <v>46077</v>
      </c>
      <c r="I232" t="inlineStr">
        <is>
          <t>We are now looking for a Senior Machine Learning Engineer for Quantized Inference! NVIDIA is seeking machine learning engineers to accelerate the discovery and deployment of efficient inference recipes for LLMs. A recipe defines which operators are transformed into low\-precision or sparsified variants unlocking throughput and latency gains without regressing accuracy nor verbosity. Recipes may incorporate techniques such as rotations, block scaling to attenuate outlier impact, or improved calibration data drawn from SFT/RL pipelines.
Pushing the frontier of inference efficiency requires a holistic view of the workload. The candidate will navigate the full design space: identifying which layers are sensitive to quantization relative to their inference cost, diagnosing why specific recipes fail, and adapting training techniques such as quantization\-aware distillation or targeted fine\-tuning to recover accuracy where needed. Our team develops quantized and sparse recipes that ship and run at scale across NVIDIA's LLM product portfolio. Our recipes directly determine the cost and latency of serving models to millions of users. We collaborate with inference framework teams (vLLM, TRT\-LLM) to ensure recipes translate into real throughput gains, and with post\-training teams to source calibration data and co\-design quantization\-aware training curricula.
What you'll be doing:* Prototype state\-of\-the\-art quantization and sparsity recipes applied to LLM workloads
* Design and execute post\-training quantization or quantization\-aware distillation experiments: prepare SFT/RL calibration datasets, manage checkpoint\-level eval sweeps, and iterate on recipes based on results
* Run accuracy and verbosity evaluations of quantized/sparsified LLM workloads at cluster scale
* Develop data analysis tooling and visualizations for numerics debugging
* Participate in code reviews and incorporate feedback
* Contribute improvements upstream to open\-source inference and optimization libraries; publish findings at ML conferences where appropriate
What we need to see:* Proficient in Python and PyTorch
* Experience with quantization, sparsity, or other model compression techniques
* Ability to design and run rigorous experiments: controlled ablations, statistical significance, reproducibility
* Familiarity with LLM evaluation methodology (benchmarks, human\-preference proxies, verbosity metrics)
* MS/PhD in Computer Science, Computer Engineering, Machine Learning, or equivalent experience.
* 3\+ years of experience in an applied ML role
* Demonstrated ability to move fast with ambiguous requirements, with strong written and verbal communication
Ways to stand out from the crowd:* Published work or production experience in post\-training quantization or quantization\-aware training
* Experience with SFT, RLHF/DPO, or distillation pipelines
* Familiarity with inference serving frameworks (vLLM, TRT\-LLM, SGLang)
* Track record of debugging numerical issues in mixed\-precision training or inference
Your base salary will be determined based on your location, experience, and the pay of employees in similar positions. The base salary range is 152,000 USD \- 241,500 USD for Level 3, and 184,000 USD \- 287,500 USD for Level 4\.
You will also be eligible for equity and benefits.
Applications for this job will be accepted at least until March 1,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row>
    <row r="233">
      <c r="A233" t="inlineStr">
        <is>
          <t>in-500e920dbd12dded</t>
        </is>
      </c>
      <c r="B233" t="inlineStr">
        <is>
          <t>Member of Technical Staff, Applied AI Engineer</t>
        </is>
      </c>
      <c r="C233" t="inlineStr">
        <is>
          <t>Microsoft</t>
        </is>
      </c>
      <c r="D233" t="inlineStr">
        <is>
          <t>indeed</t>
        </is>
      </c>
      <c r="E233" t="inlineStr"/>
      <c r="F233" t="inlineStr"/>
      <c r="G233" t="inlineStr">
        <is>
          <t>Mountain View, CA, US</t>
        </is>
      </c>
      <c r="H233" s="1" t="n">
        <v>46072</v>
      </c>
      <c r="I233" t="inlineStr">
        <is>
          <t>**Overview**  
We’re hiring a **Applied AI Engineer** to join a fast‑moving, high‑ownership team building next‑generation AI assistant and productivity capabilities. This role blends **LLM product engineering, evaluation science, hillclimbing, and internal tool building** with the pace and creativity of a startup.
You’ll work across the entire lifecycle of features from early prototypes to production‑grade systems and help define how millions of users interact with AI.  
**Responsibilities**  
**LLM Feature \&amp; Agent Development**
Design and ship **LLM‑powered assistant features**, including conversational flows, agentic behaviors, retrieval pipelines, and multimodal interactions.* Build **prompt architectures**, system instructions, and orchestration logic that ensure reliability, grounding, and personality consistency.
* Prototype new capabilities rapidly and iterate based on user signals and evaluation data.
**Evaluation, Hillclimbing \&amp; Quality Systems**
Build and maintain **evaluation frameworks** for correctness, safety, grounding, and UX quality.* Run **hillclimbing loops** across prompts, models, and tool‑use strategies to continuously improve assistant performance.
* Analyze failure modes, design mitigations, and drive systematic improvements across the stack.
**LLM Tooling \&amp; Internal Infrastructure*** Develop internal tools for prompt experimentation, model comparison telemetry and debugging automated eval pipelines
* Create reusable frameworks that accelerate the entire AI org’s ability to ship high‑quality assistant features.
**Applied ML \&amp; Product Integration*** Integrate LLMs with product surfaces, APIs, and backend systems.
* Build lightweight ML components (ranking, classification, summarization, personalization) that enhance assistant intelligence.
* Collaborate with PM, design, and research to turn ambiguous ideas into polished user experiences.
**High‑Velocity Teamwork**
Operate with **startup‑founder energy**: bias for action, rapid iteration, and comfort with ambiguity.* Work closely with researchers, engineers, and product leaders in a **fast‑moving AI team** where ideas ship quickly and impact is immediate.
* Contribute to a culture of experimentation, clarity, and high‑quality execution.
* Build **prompt architectures**, system instructions, and orchestration logic that ensure reliability, grounding, and personality consistency.
* Prototype new capabilities rapidly and iterate based on user signals and evaluation data.
**Qualifications**  
**Required/minimum qualifications*** Doctorate in Data Science, Mathematics, Statistics, Econometrics, Economics, Operations Research, Computer Science, or related field OR Master's Degree in Data Science, Mathematics, Statistics, Econometrics, Economics, Operations Research, Computer Science, or related field AND 1\+ year(s) data\-science experience (e.g., managing structured and unstructured data, applying statistical techniques and reporting results) or consulting experience OR Bachelor's Degree in Data Science, Mathematics, Statistics, Econometrics, Economics, Operations Research, Computer Science, or related field AND 2\+ years data\-science experience (e.g., managing structured and unstructured data, applying statistical techniques and reporting results) OR equivalent experience.
**Preferred Qualifications*** Doctorate in Data Science, Mathematics, Statistics, Econometrics, Economics, Operations Research, Computer Science, or related field AND 1\+ year(s) data\-science experience (e.g., managing structured and unstructured data, applying statistical techniques and reporting results) OR Master's Degree in Data Science, Mathematics, Statistics, Econometrics, Economics, Operations Research, Computer Science, or related field AND 3\+ years data\-science experience (e.g., managing structured and unstructured data, applying statistical techniques and reporting results) OR Bachelor's Degree in Data Science, Mathematics, Statistics, Econometrics, Economics, Operations Research, Computer Science, or related field AND 5\+ years data\-science experience (e.g., managing structured and unstructured data, applying statistical techniques and reporting results) OR equivalent experience.
* 2\+ years shipping production\-level code, models, or data analysis.
* 1\+ years using AI\-assisted coding and analysis techniques.
* Experience working on small teams and mid\-stage startup environments.
* Experience working on AI products.
* PhD in engineering, applied math, statistics, or related analytical field.
* 4\+ years shipping production\-level code, models, or data analysis.
* Deep experience building from zero\-to\-one.
* Hands on work hillclimbing AI evaluations.
Data Science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Data Science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234">
      <c r="A234" t="inlineStr">
        <is>
          <t>in-dbbfd5a9b8d40bad</t>
        </is>
      </c>
      <c r="B234" t="inlineStr">
        <is>
          <t>Applied Scientist, Alexa Smart Home</t>
        </is>
      </c>
      <c r="C234" t="inlineStr">
        <is>
          <t>Amazon.com</t>
        </is>
      </c>
      <c r="D234" t="inlineStr">
        <is>
          <t>indeed</t>
        </is>
      </c>
      <c r="E234" t="inlineStr"/>
      <c r="F234" t="inlineStr"/>
      <c r="G234" t="inlineStr">
        <is>
          <t>Seattle, WA, US</t>
        </is>
      </c>
      <c r="H234" s="1" t="n">
        <v>46033</v>
      </c>
      <c r="I234"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235">
      <c r="A235" t="inlineStr">
        <is>
          <t>in-1248099aec5f8f63</t>
        </is>
      </c>
      <c r="B235" t="inlineStr">
        <is>
          <t>Applied Scientist, Alexa Smart Home</t>
        </is>
      </c>
      <c r="C235" t="inlineStr">
        <is>
          <t>Amazon.com</t>
        </is>
      </c>
      <c r="D235" t="inlineStr">
        <is>
          <t>indeed</t>
        </is>
      </c>
      <c r="E235" t="inlineStr"/>
      <c r="F235" t="inlineStr"/>
      <c r="G235" t="inlineStr">
        <is>
          <t>Sunnyvale, CA, US</t>
        </is>
      </c>
      <c r="H235" s="1" t="n">
        <v>46033</v>
      </c>
      <c r="I235"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236">
      <c r="A236" t="inlineStr">
        <is>
          <t>in-981e6b805d8558a0</t>
        </is>
      </c>
      <c r="B236" t="inlineStr">
        <is>
          <t>ML Engineer, GO-AI Technology &amp; Development Team</t>
        </is>
      </c>
      <c r="C236" t="inlineStr">
        <is>
          <t>Amazon.com</t>
        </is>
      </c>
      <c r="D236" t="inlineStr">
        <is>
          <t>indeed</t>
        </is>
      </c>
      <c r="E236" t="inlineStr"/>
      <c r="F236" t="inlineStr"/>
      <c r="G236" t="inlineStr">
        <is>
          <t>Reading, MA, US</t>
        </is>
      </c>
      <c r="H236" s="1" t="n">
        <v>45998</v>
      </c>
      <c r="I236"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237">
      <c r="A237" t="inlineStr">
        <is>
          <t>in-26866fd1dd19b237</t>
        </is>
      </c>
      <c r="B237" t="inlineStr">
        <is>
          <t>ML Engineer, GO-AI Technology &amp; Development Team</t>
        </is>
      </c>
      <c r="C237" t="inlineStr">
        <is>
          <t>Amazon.com</t>
        </is>
      </c>
      <c r="D237" t="inlineStr">
        <is>
          <t>indeed</t>
        </is>
      </c>
      <c r="E237" t="inlineStr"/>
      <c r="F237" t="inlineStr"/>
      <c r="G237" t="inlineStr">
        <is>
          <t>Boston, MA, US</t>
        </is>
      </c>
      <c r="H237" s="1" t="n">
        <v>45998</v>
      </c>
      <c r="I237"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238">
      <c r="A238" t="inlineStr">
        <is>
          <t>in-0a84bd29acc8df33</t>
        </is>
      </c>
      <c r="B238" t="inlineStr">
        <is>
          <t>ML Engineer, GO-AI Technology &amp; Development Team</t>
        </is>
      </c>
      <c r="C238" t="inlineStr">
        <is>
          <t>Amazon.com</t>
        </is>
      </c>
      <c r="D238" t="inlineStr">
        <is>
          <t>indeed</t>
        </is>
      </c>
      <c r="E238" t="inlineStr"/>
      <c r="F238" t="inlineStr"/>
      <c r="G238" t="inlineStr">
        <is>
          <t>Seattle, WA, US</t>
        </is>
      </c>
      <c r="H238" s="1" t="n">
        <v>45998</v>
      </c>
      <c r="I238"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239">
      <c r="A239" t="inlineStr">
        <is>
          <t>in-a52989dfef07b4f6</t>
        </is>
      </c>
      <c r="B239" t="inlineStr">
        <is>
          <t>ML Engineer, GO-AI Technology &amp; Development Team</t>
        </is>
      </c>
      <c r="C239" t="inlineStr">
        <is>
          <t>Amazon.com</t>
        </is>
      </c>
      <c r="D239" t="inlineStr">
        <is>
          <t>indeed</t>
        </is>
      </c>
      <c r="E239" t="inlineStr"/>
      <c r="F239" t="inlineStr"/>
      <c r="G239" t="inlineStr">
        <is>
          <t>Westborough, MA, US</t>
        </is>
      </c>
      <c r="H239" s="1" t="n">
        <v>45998</v>
      </c>
      <c r="I239"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240">
      <c r="A240" t="inlineStr">
        <is>
          <t>in-8634529536c8c49c</t>
        </is>
      </c>
      <c r="B240" t="inlineStr">
        <is>
          <t>Sr AI/ML Engineer - Remote Nationwide or Hybrid in MN/DC</t>
        </is>
      </c>
      <c r="C240" t="inlineStr">
        <is>
          <t>Optum</t>
        </is>
      </c>
      <c r="D240" t="inlineStr">
        <is>
          <t>indeed</t>
        </is>
      </c>
      <c r="E240">
        <f>HYPERLINK("https://www.indeed.com/viewjob?jk=8634529536c8c49c", "https://www.indeed.com/viewjob?jk=8634529536c8c49c")</f>
        <v/>
      </c>
      <c r="F240">
        <f>HYPERLINK("https://uhg.taleo.net/careersection/10000/jobdetail.ftl?job=2346872&amp;lang=en", "https://uhg.taleo.net/careersection/10000/jobdetail.ftl?job=2346872&amp;lang=en")</f>
        <v/>
      </c>
      <c r="G240" t="inlineStr">
        <is>
          <t>Minnetonka, MN, US</t>
        </is>
      </c>
      <c r="H240" s="2" t="n">
        <v>46077</v>
      </c>
      <c r="I240" t="inlineStr">
        <is>
          <t>Optum Tech is a global leader in health care innovation. Our teams develop cutting\-edge solutions that help people live healthier lives and help make the health system work better for everyone. From advanced data analytics and AI to cybersecurity, we use innovative approaches to solve some of health care's most complex challenges. Your contributions here have the potential to change lives. Ready to build the next breakthrough? Join us to start **Caring. Connecting. Growing together.**
At Optum, we are shaping the future of health care through technology that powers better outcomes for millions of people. As a Senior AI/ML engineer, you will provide team lead oversight for voice bots on omnichannel contact center platforms.
We're looking for a hands\-on technical leader to design, build, and productionize AI/ML and GenAI solutions that improve healthcare operations and patient outcomes. You will own end\-to\-end delivery\-from problem framing and data pipelines to models, and ongoing monitoring\-while mentoring a small team and partnering with product, data engineering, and clinical/operations stakeholders.
You'll enjoy the flexibility to work remotely \* from anywhere within the U.S. as you take on some tough challenges. For all hires in the Minneapolis or Washington, D.C. area, you will be required to work in the office a minimum of four days per week.
 **Primary Responsibilities:**
* Lead and contribute to the design and hands\-on implementation of AI/ML systems that enables Optum to deliver self\-service voice bot solutions
* Design, develop, and implement models using GenAI (LLMs, agentic frameworks) and/or traditional ML on the cloud
* Utilize version control tools such as GitHub for code management and collaboration, and manage multiple activities in a fast\-paced environment while adhering to best practices in coding and documentation
* Partner with product managers, data scientists, prompt designers, engineers, and business stakeholders to translate business requirements into scalable AI voice bot systems
* Leverage AI assisted tools for design, implementation, code reviews, and testing
* Ensure the delivery of high\-quality, maintainable, and efficient code and specifications. Lead by example to deliver product quality the first time
* Drive the full lifecycle of AI/ML initiatives\-from problem definition and data exploration to agent development, deployment, and monitoring. Define project scope, success metrics, and timelines in collaboration with cross\-functional teams and ensure timely delivery while not compromising on quality
* Stay ahead of the curve on emerging AI/ML technologies, tools, and research, and evaluate their applicability to business problems. Embrace and promote a culture of innovation through rapid iteration, experimentation and data driven decision\-making
* Be a trusted technical advisor to management, internal stakeholders, and customers
* Mentor and lead other engineers to reach their potential
* Uphold ethical AI principles by embedding fairness, transparency, and accountability throughout the model development lifecycle
You'll be rewarded and recognized for your performance in an environment that will challenge you and give you clear direction on what it takes to succeed in your role as well as provide development for other roles you may be interested in.
**Required Qualifications:**
* Undergraduate degree or equivalent experience
* 3\+ years of experience in Python programming
* 2\+ years of experience with Deploying and manage ML models on cloud platforms such as Microsoft Azure, AWS, Google Cloud Platform (GCP)
* 2\+ years of experience developing Voice bots
* 1\+ years DevOps experience
* 1\+ years of experience with Terraform scripts
* 1\+ years of Git action and CI/CD experience
 **Preferred Qualifications:**
* Prompt engineering experience
* Experience leveraging Large Language Models (LLMs)
* Experience working with various AI/ML infrastructure, tools and platforms across the full stack of AI/ML technology
* Experience with the challenges of delivering and monitoring LLM based cloud systems into production
* Proven solid communication skills with the ability to explain complex technical concepts to diverse audiences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$91,700 to $163,700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t>
        </is>
      </c>
    </row>
    <row r="241">
      <c r="A241" t="inlineStr">
        <is>
          <t>in-af7dfe7927229903</t>
        </is>
      </c>
      <c r="B241" t="inlineStr">
        <is>
          <t>Principal Applied Scientist, Experimentation Platform - CoreAI</t>
        </is>
      </c>
      <c r="C241" t="inlineStr">
        <is>
          <t>Microsoft</t>
        </is>
      </c>
      <c r="D241" t="inlineStr">
        <is>
          <t>indeed</t>
        </is>
      </c>
      <c r="E241">
        <f>HYPERLINK("https://www.indeed.com/viewjob?jk=af7dfe7927229903", "https://www.indeed.com/viewjob?jk=af7dfe7927229903")</f>
        <v/>
      </c>
      <c r="F241">
        <f>HYPERLINK("https://apply.careers.microsoft.com/careers/job/1970393556803649?utm_source=indeed&amp;domain=microsoft.com", "https://apply.careers.microsoft.com/careers/job/1970393556803649?utm_source=indeed&amp;domain=microsoft.com")</f>
        <v/>
      </c>
      <c r="G241" t="inlineStr">
        <is>
          <t>Redmond, WA, US</t>
        </is>
      </c>
      <c r="H241" s="2" t="n">
        <v>46076</v>
      </c>
      <c r="I241" t="inlineStr">
        <is>
          <t>**Overview** **Overview:** CoreAI sits at the center of Microsoft’s mission to redefine how software is built and experienced, providing the foundational platforms, services, and developer experiences that power the next generation of AI\-driven applications. As part of CoreAI, the Experimentation Platform (ExP) enables trustworthy, high\-scale online experimentation that accelerates product learning and drives progress across Microsoft’s AI ecosystem. You will play a pivotal role in shaping the technical direction of systems that help teams ship better AI experiences faster by providing the experimentation capabilities needed to evaluate, refine, and safely deploy new innovations.
**In this role, you will:**
* Push the envelope on online experimentation methodology and agent evaluations, advancing the state\-of\-the\-art by connecting product development needs, latest science techniques and platform opportunities
* Contribute to one of the highest\-scale experimentation platforms on the planet
* Collaborate closely with backend engineers, data scientists, site reliability engineers (SREs), and product managers to gather requirements, iterate on features, and deliver seamless, end\-to\-end user experiences.
* Collaborate closely with designers, UI\-experts, science leaders and engineers to ensure clear, actionable dashboards and visualizations that empower users to make trustworthy science\-informed decisions.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Collaborate with and bridge the gaps between researchers (e.g., across CoreAI, Microsoft Research \[MSR] and open source communities) to translate applied research into differentiated, production\-quality features
* Provide technical guidance and deep industry insight, advising cross\-functional teams on the adoption of cutting\-edge AI tools, technologies, and methodologies to ensure successful experimentation programs and uphold the highest standards of quality and scientific rigor.
* Ensure teams develop and apply advanced subject matter expertise across a diverse set of specialized tools and methods, driving measurable business outcomes and elevating the scope and impact of Microsoft’s experimentation initiatives.
* Interface with experimentation partners across Microsoft to translate requirements into platform capabilities and lower barriers requiring advanced subject matter expertise.
* Provide mentorship and coaching to less experienced and mid\-level team members by sharing expertise to build team capabilities and guiding team members in projects, and their careers
**Qualifications** **Required Minimum Qualifications:**
Bachelor's Degree in Statistics, Econometrics, Computer Science, Electrical or Computer Engineering, or related field AND 6\+ years related experience (e.g., statistics, predictive analytics, research) OR Master's Degree in Statistics, Econometrics, Computer Science, Electrical or Computer Engineering, or related field AND 4\+ years related experience (e.g., statistics, predictive analytics, research) OR Doctorate in Statistics, Econometrics, Computer Science, Electrical or Computer Engineering, or related field AND 3\+ years related experience (e.g., statistics, predictive analytics, research)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Doctorate in Statistics, Econometrics, Computer Science, Electrical or Computer Engineering, or related field AND 6\+ years related experience (e.g., statistics, predictive analytics, research)
* Experience with Agent based architectures, frameworks and technologies (such as MCP, A2A protocol, or Azure AI Foundry)
* 3\+ years of experience developing and deploying products or systems at multiple points in the product cycle from ideation to shipping as part of a product team.
* Proven track record designing and scaling online experimentation platforms that support high‑velocity A/B and multivariate testing across complex, multi‑team product ecosystems, including governance, guardrails, and causal inference best practices.
* Demonstrated thought leadership in product measurement strategy, with the ability to define north‑star metrics, architect measurement frameworks, and influence senior product and engineering leaders on how to interpret ambiguous or noisy data at scale.
* 5\+ years experience creating publications (e.g., patents, libraries, peer\-reviewed academic papers).
Applied Sciences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Applied Sciences IC6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242">
      <c r="A242" t="inlineStr">
        <is>
          <t>in-7727b77bfe2ee95c</t>
        </is>
      </c>
      <c r="B242" t="inlineStr">
        <is>
          <t>Applied Scientist II</t>
        </is>
      </c>
      <c r="C242" t="inlineStr">
        <is>
          <t>Microsoft</t>
        </is>
      </c>
      <c r="D242" t="inlineStr">
        <is>
          <t>indeed</t>
        </is>
      </c>
      <c r="E242">
        <f>HYPERLINK("https://www.indeed.com/viewjob?jk=7727b77bfe2ee95c", "https://www.indeed.com/viewjob?jk=7727b77bfe2ee95c")</f>
        <v/>
      </c>
      <c r="F242">
        <f>HYPERLINK("https://apply.careers.microsoft.com/careers/job/1970393556754649?utm_source=indeed&amp;domain=microsoft.com", "https://apply.careers.microsoft.com/careers/job/1970393556754649?utm_source=indeed&amp;domain=microsoft.com")</f>
        <v/>
      </c>
      <c r="G242" t="inlineStr">
        <is>
          <t>US</t>
        </is>
      </c>
      <c r="H242" s="2" t="n">
        <v>46064</v>
      </c>
      <c r="I242" t="inlineStr">
        <is>
          <t>**Overview**  
AI has created an unprecedented opportunity to make work better for hundreds of millions of people. Microsoft’s productivity division is hiring **Applied Scientists II** to help ensure we maximize this amazing opportunity. Our scientists collaborate closely with people across Microsoft’s product teams and Microsoft Research to see their ideas realized in products and services like M365, M365 Copilot, Office AI, and Office Products (Excel, PowerPoint, Word, etc.). They also contribute back to the scientific community through peer\-reviewed publications at top venues, scientific presentations, and beyond.
We are looking for **Applied Scientists II** who are creative, self\-driven, curious, people\-oriented and comfortable defining a path through ambiguity towards high\-level goals. Research areas of interest include but are certainly not limited to reinforcement learning, agentic systems multimodal modeling, post\-training techniques and their application, human\-centered artificial intelligence (AI), domain\-specific large language model (LLM) applications (e.g. long\-form writing assistance), personalization, computational social science, memory, agentic retrieval\-augmented generation (RAG), real\-time AI systems, collaborative AI, privacy\-preserving AI, trustworthy AI, data\-centric AI, AI flywheels, and multilingual AI.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Defining, leading, and helping to conduct research projects that simultaneously advance the state\-of\-the\-art and directly benefit Microsoft’s core productivity products.
* Shape product direction by integrating rigorous scientific methods into the product lifecycle.
* Collaborating and coordinating with people in a range of roles, including researchers, engineers, product managers, designers, and other key product stakeholders. Serving as a bridge between research and product.
* Teaching, guiding, and tutoring colleagues without research backgrounds in state\-of\-the\-art techniques and research best practices.
* Sharing your research with others via a range of means, including publication, to enable others to build on your work and to contribute to the understanding of our products as cutting\-edge and science driven.
* Effectively communicating with product leaders (and often Microsoft researchers (MSR)) throughout the planning and execution of applied research projects, which often involves learning and teaching complex concepts.
**Qualifications** **Required Qualifications:**
* Bachelor's Degree in Statistics, Econometrics, Computer Science, Electrical or Computer Engineering, or related field AND 2\+ years related experience (e.g., statistics, predictive analytics, research) OR Master's Degree in Statistics, Econometrics, Computer Science, Electrical or Computer Engineering, or related field AND 1\+ year(s) related experience (e.g., statistics, predictive analytics, research) OR Doctorate in Statistics, Econometrics, Computer Science, Electrical or Computer Engineering, or related field OR equivalent experience.
**Preferred Qualifications:**
* At least one internship or prior role at a leading technology company, or start\-up, or related organizations.
* A record of publications in top\-tier scientific venues (e.g., NeurIPS, ICML, ICLR, ACL, NAACL, KDD, WWW, CHI, PNAS, Nature, EMNLP, CVPR, ICCV, ECCV, CoRL).
* Proven real\-world impact from your research, demonstrated through shipped products, improved user experiences, or other measurable benefits for diverse stakeholders.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Applied Sciences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243">
      <c r="A243" t="inlineStr">
        <is>
          <t>in-9a2f2ce051578033</t>
        </is>
      </c>
      <c r="B243" t="inlineStr">
        <is>
          <t>AI Engineer - Manager</t>
        </is>
      </c>
      <c r="C243" t="inlineStr">
        <is>
          <t>PwC</t>
        </is>
      </c>
      <c r="D243" t="inlineStr">
        <is>
          <t>indeed</t>
        </is>
      </c>
      <c r="E243">
        <f>HYPERLINK("https://www.indeed.com/viewjob?jk=9a2f2ce051578033", "https://www.indeed.com/viewjob?jk=9a2f2ce051578033")</f>
        <v/>
      </c>
      <c r="F243">
        <f>HYPERLINK("https://jobs.us.pwc.com/job/-/-/932/92098343584", "https://jobs.us.pwc.com/job/-/-/932/92098343584")</f>
        <v/>
      </c>
      <c r="G243" t="inlineStr">
        <is>
          <t>Las Vegas, NV, US</t>
        </is>
      </c>
      <c r="H243" s="2" t="n">
        <v>46076</v>
      </c>
      <c r="I243"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244">
      <c r="A244" t="inlineStr">
        <is>
          <t>in-d5218947ad269561</t>
        </is>
      </c>
      <c r="B244" t="inlineStr">
        <is>
          <t>AI Engineer - Manager</t>
        </is>
      </c>
      <c r="C244" t="inlineStr">
        <is>
          <t>PwC</t>
        </is>
      </c>
      <c r="D244" t="inlineStr">
        <is>
          <t>indeed</t>
        </is>
      </c>
      <c r="E244">
        <f>HYPERLINK("https://www.indeed.com/viewjob?jk=d5218947ad269561", "https://www.indeed.com/viewjob?jk=d5218947ad269561")</f>
        <v/>
      </c>
      <c r="F244">
        <f>HYPERLINK("https://jobs.us.pwc.com/job/-/-/932/92098343584", "https://jobs.us.pwc.com/job/-/-/932/92098343584")</f>
        <v/>
      </c>
      <c r="G244" t="inlineStr">
        <is>
          <t>Toledo, OH, US</t>
        </is>
      </c>
      <c r="H244" s="2" t="n">
        <v>46076</v>
      </c>
      <c r="I244"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245">
      <c r="A245" t="inlineStr">
        <is>
          <t>in-b7a6fe08a7437c2a</t>
        </is>
      </c>
      <c r="B245" t="inlineStr">
        <is>
          <t>AI Engineer - Manager</t>
        </is>
      </c>
      <c r="C245" t="inlineStr">
        <is>
          <t>PwC</t>
        </is>
      </c>
      <c r="D245" t="inlineStr">
        <is>
          <t>indeed</t>
        </is>
      </c>
      <c r="E245">
        <f>HYPERLINK("https://www.indeed.com/viewjob?jk=b7a6fe08a7437c2a", "https://www.indeed.com/viewjob?jk=b7a6fe08a7437c2a")</f>
        <v/>
      </c>
      <c r="F245">
        <f>HYPERLINK("https://jobs.us.pwc.com/job/-/-/932/92098343584", "https://jobs.us.pwc.com/job/-/-/932/92098343584")</f>
        <v/>
      </c>
      <c r="G245" t="inlineStr">
        <is>
          <t>Philadelphia, PA, US</t>
        </is>
      </c>
      <c r="H245" s="2" t="n">
        <v>46076</v>
      </c>
      <c r="I245"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246">
      <c r="A246" t="inlineStr">
        <is>
          <t>in-e954384f48f6ca72</t>
        </is>
      </c>
      <c r="B246" t="inlineStr">
        <is>
          <t>AI Engineer - Manager</t>
        </is>
      </c>
      <c r="C246" t="inlineStr">
        <is>
          <t>PwC</t>
        </is>
      </c>
      <c r="D246" t="inlineStr">
        <is>
          <t>indeed</t>
        </is>
      </c>
      <c r="E246">
        <f>HYPERLINK("https://www.indeed.com/viewjob?jk=e954384f48f6ca72", "https://www.indeed.com/viewjob?jk=e954384f48f6ca72")</f>
        <v/>
      </c>
      <c r="F246">
        <f>HYPERLINK("https://jobs.us.pwc.com/job/-/-/932/92098343584", "https://jobs.us.pwc.com/job/-/-/932/92098343584")</f>
        <v/>
      </c>
      <c r="G246" t="inlineStr">
        <is>
          <t>Des Moines, IA, US</t>
        </is>
      </c>
      <c r="H246" s="2" t="n">
        <v>46076</v>
      </c>
      <c r="I246"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247">
      <c r="A247" t="inlineStr">
        <is>
          <t>in-f20ca2ee1df181f6</t>
        </is>
      </c>
      <c r="B247" t="inlineStr">
        <is>
          <t>AI Engineer - Manager</t>
        </is>
      </c>
      <c r="C247" t="inlineStr">
        <is>
          <t>PwC</t>
        </is>
      </c>
      <c r="D247" t="inlineStr">
        <is>
          <t>indeed</t>
        </is>
      </c>
      <c r="E247">
        <f>HYPERLINK("https://www.indeed.com/viewjob?jk=f20ca2ee1df181f6", "https://www.indeed.com/viewjob?jk=f20ca2ee1df181f6")</f>
        <v/>
      </c>
      <c r="F247">
        <f>HYPERLINK("https://jobs.us.pwc.com/job/-/-/932/92098343584", "https://jobs.us.pwc.com/job/-/-/932/92098343584")</f>
        <v/>
      </c>
      <c r="G247" t="inlineStr">
        <is>
          <t>Nashville, TN, US</t>
        </is>
      </c>
      <c r="H247" s="2" t="n">
        <v>46076</v>
      </c>
      <c r="I247"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248">
      <c r="A248" t="inlineStr">
        <is>
          <t>in-74ab9e3588af6118</t>
        </is>
      </c>
      <c r="B248" t="inlineStr">
        <is>
          <t>AI Engineer - Manager</t>
        </is>
      </c>
      <c r="C248" t="inlineStr">
        <is>
          <t>PwC</t>
        </is>
      </c>
      <c r="D248" t="inlineStr">
        <is>
          <t>indeed</t>
        </is>
      </c>
      <c r="E248">
        <f>HYPERLINK("https://www.indeed.com/viewjob?jk=74ab9e3588af6118", "https://www.indeed.com/viewjob?jk=74ab9e3588af6118")</f>
        <v/>
      </c>
      <c r="F248">
        <f>HYPERLINK("https://jobs.us.pwc.com/job/-/-/932/92098343584", "https://jobs.us.pwc.com/job/-/-/932/92098343584")</f>
        <v/>
      </c>
      <c r="G248" t="inlineStr">
        <is>
          <t>Fort Worth, TX, US</t>
        </is>
      </c>
      <c r="H248" s="2" t="n">
        <v>46076</v>
      </c>
      <c r="I248"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249">
      <c r="A249" t="inlineStr">
        <is>
          <t>in-b8f080fe1e404bcf</t>
        </is>
      </c>
      <c r="B249" t="inlineStr">
        <is>
          <t>AI Engineer - Manager</t>
        </is>
      </c>
      <c r="C249" t="inlineStr">
        <is>
          <t>PwC</t>
        </is>
      </c>
      <c r="D249" t="inlineStr">
        <is>
          <t>indeed</t>
        </is>
      </c>
      <c r="E249">
        <f>HYPERLINK("https://www.indeed.com/viewjob?jk=b8f080fe1e404bcf", "https://www.indeed.com/viewjob?jk=b8f080fe1e404bcf")</f>
        <v/>
      </c>
      <c r="F249">
        <f>HYPERLINK("https://jobs.us.pwc.com/job/-/-/932/92098343584", "https://jobs.us.pwc.com/job/-/-/932/92098343584")</f>
        <v/>
      </c>
      <c r="G249" t="inlineStr">
        <is>
          <t>New Orleans, LA, US</t>
        </is>
      </c>
      <c r="H249" s="2" t="n">
        <v>46076</v>
      </c>
      <c r="I249"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250">
      <c r="A250" t="inlineStr">
        <is>
          <t>in-2f215001ca12cd27</t>
        </is>
      </c>
      <c r="B250" t="inlineStr">
        <is>
          <t>AI Engineer - Manager</t>
        </is>
      </c>
      <c r="C250" t="inlineStr">
        <is>
          <t>PwC</t>
        </is>
      </c>
      <c r="D250" t="inlineStr">
        <is>
          <t>indeed</t>
        </is>
      </c>
      <c r="E250">
        <f>HYPERLINK("https://www.indeed.com/viewjob?jk=2f215001ca12cd27", "https://www.indeed.com/viewjob?jk=2f215001ca12cd27")</f>
        <v/>
      </c>
      <c r="F250">
        <f>HYPERLINK("https://jobs.us.pwc.com/job/-/-/932/92098343584", "https://jobs.us.pwc.com/job/-/-/932/92098343584")</f>
        <v/>
      </c>
      <c r="G250" t="inlineStr">
        <is>
          <t>Kansas City, MO, US</t>
        </is>
      </c>
      <c r="H250" s="2" t="n">
        <v>46076</v>
      </c>
      <c r="I250"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251">
      <c r="A251" t="inlineStr">
        <is>
          <t>in-94189b777b95f224</t>
        </is>
      </c>
      <c r="B251" t="inlineStr">
        <is>
          <t>AI Engineer - Manager</t>
        </is>
      </c>
      <c r="C251" t="inlineStr">
        <is>
          <t>PwC</t>
        </is>
      </c>
      <c r="D251" t="inlineStr">
        <is>
          <t>indeed</t>
        </is>
      </c>
      <c r="E251">
        <f>HYPERLINK("https://www.indeed.com/viewjob?jk=94189b777b95f224", "https://www.indeed.com/viewjob?jk=94189b777b95f224")</f>
        <v/>
      </c>
      <c r="F251">
        <f>HYPERLINK("https://jobs.us.pwc.com/job/-/-/932/92098343584", "https://jobs.us.pwc.com/job/-/-/932/92098343584")</f>
        <v/>
      </c>
      <c r="G251" t="inlineStr">
        <is>
          <t>Stamford, CT, US</t>
        </is>
      </c>
      <c r="H251" s="2" t="n">
        <v>46076</v>
      </c>
      <c r="I251"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252">
      <c r="A252" t="inlineStr">
        <is>
          <t>in-371ef424953e2dc5</t>
        </is>
      </c>
      <c r="B252" t="inlineStr">
        <is>
          <t>AI Engineer - Manager</t>
        </is>
      </c>
      <c r="C252" t="inlineStr">
        <is>
          <t>PwC</t>
        </is>
      </c>
      <c r="D252" t="inlineStr">
        <is>
          <t>indeed</t>
        </is>
      </c>
      <c r="E252">
        <f>HYPERLINK("https://www.indeed.com/viewjob?jk=371ef424953e2dc5", "https://www.indeed.com/viewjob?jk=371ef424953e2dc5")</f>
        <v/>
      </c>
      <c r="F252">
        <f>HYPERLINK("https://jobs.us.pwc.com/job/-/-/932/92098343584", "https://jobs.us.pwc.com/job/-/-/932/92098343584")</f>
        <v/>
      </c>
      <c r="G252" t="inlineStr">
        <is>
          <t>Fayetteville, AR, US</t>
        </is>
      </c>
      <c r="H252" s="2" t="n">
        <v>46076</v>
      </c>
      <c r="I252"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253">
      <c r="A253" t="inlineStr">
        <is>
          <t>in-8b0850ad2077d980</t>
        </is>
      </c>
      <c r="B253" t="inlineStr">
        <is>
          <t>AI Engineer - Manager</t>
        </is>
      </c>
      <c r="C253" t="inlineStr">
        <is>
          <t>PwC</t>
        </is>
      </c>
      <c r="D253" t="inlineStr">
        <is>
          <t>indeed</t>
        </is>
      </c>
      <c r="E253">
        <f>HYPERLINK("https://www.indeed.com/viewjob?jk=8b0850ad2077d980", "https://www.indeed.com/viewjob?jk=8b0850ad2077d980")</f>
        <v/>
      </c>
      <c r="F253">
        <f>HYPERLINK("https://jobs.us.pwc.com/job/-/-/932/92098343584", "https://jobs.us.pwc.com/job/-/-/932/92098343584")</f>
        <v/>
      </c>
      <c r="G253" t="inlineStr">
        <is>
          <t>Indianapolis, IN, US</t>
        </is>
      </c>
      <c r="H253" s="2" t="n">
        <v>46076</v>
      </c>
      <c r="I253"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254">
      <c r="A254" t="inlineStr">
        <is>
          <t>in-9e12221b08a8af2a</t>
        </is>
      </c>
      <c r="B254" t="inlineStr">
        <is>
          <t>AI Engineer - Manager</t>
        </is>
      </c>
      <c r="C254" t="inlineStr">
        <is>
          <t>PwC</t>
        </is>
      </c>
      <c r="D254" t="inlineStr">
        <is>
          <t>indeed</t>
        </is>
      </c>
      <c r="E254">
        <f>HYPERLINK("https://www.indeed.com/viewjob?jk=9e12221b08a8af2a", "https://www.indeed.com/viewjob?jk=9e12221b08a8af2a")</f>
        <v/>
      </c>
      <c r="F254">
        <f>HYPERLINK("https://jobs.us.pwc.com/job/-/-/932/92098343584", "https://jobs.us.pwc.com/job/-/-/932/92098343584")</f>
        <v/>
      </c>
      <c r="G254" t="inlineStr">
        <is>
          <t>Silicon Valley, CA, US</t>
        </is>
      </c>
      <c r="H254" s="2" t="n">
        <v>46076</v>
      </c>
      <c r="I254"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255">
      <c r="A255" t="inlineStr">
        <is>
          <t>in-5ce3861ed3cf8261</t>
        </is>
      </c>
      <c r="B255" t="inlineStr">
        <is>
          <t>AI Engineer - Manager</t>
        </is>
      </c>
      <c r="C255" t="inlineStr">
        <is>
          <t>PwC</t>
        </is>
      </c>
      <c r="D255" t="inlineStr">
        <is>
          <t>indeed</t>
        </is>
      </c>
      <c r="E255">
        <f>HYPERLINK("https://www.indeed.com/viewjob?jk=5ce3861ed3cf8261", "https://www.indeed.com/viewjob?jk=5ce3861ed3cf8261")</f>
        <v/>
      </c>
      <c r="F255">
        <f>HYPERLINK("https://jobs.us.pwc.com/job/-/-/932/92098343584", "https://jobs.us.pwc.com/job/-/-/932/92098343584")</f>
        <v/>
      </c>
      <c r="G255" t="inlineStr">
        <is>
          <t>Houston, TX, US</t>
        </is>
      </c>
      <c r="H255" s="2" t="n">
        <v>46076</v>
      </c>
      <c r="I255"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256">
      <c r="A256" t="inlineStr">
        <is>
          <t>in-6e15dc9089ebdd4f</t>
        </is>
      </c>
      <c r="B256" t="inlineStr">
        <is>
          <t>AI Engineer - Manager</t>
        </is>
      </c>
      <c r="C256" t="inlineStr">
        <is>
          <t>PwC</t>
        </is>
      </c>
      <c r="D256" t="inlineStr">
        <is>
          <t>indeed</t>
        </is>
      </c>
      <c r="E256">
        <f>HYPERLINK("https://www.indeed.com/viewjob?jk=6e15dc9089ebdd4f", "https://www.indeed.com/viewjob?jk=6e15dc9089ebdd4f")</f>
        <v/>
      </c>
      <c r="F256">
        <f>HYPERLINK("https://jobs.us.pwc.com/job/-/-/932/92098343584", "https://jobs.us.pwc.com/job/-/-/932/92098343584")</f>
        <v/>
      </c>
      <c r="G256" t="inlineStr">
        <is>
          <t>Spartanburg, SC, US</t>
        </is>
      </c>
      <c r="H256" s="2" t="n">
        <v>46076</v>
      </c>
      <c r="I256"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257">
      <c r="A257" t="inlineStr">
        <is>
          <t>in-e291fc2cd7f8f144</t>
        </is>
      </c>
      <c r="B257" t="inlineStr">
        <is>
          <t>AI Engineer - Manager</t>
        </is>
      </c>
      <c r="C257" t="inlineStr">
        <is>
          <t>PwC</t>
        </is>
      </c>
      <c r="D257" t="inlineStr">
        <is>
          <t>indeed</t>
        </is>
      </c>
      <c r="E257">
        <f>HYPERLINK("https://www.indeed.com/viewjob?jk=e291fc2cd7f8f144", "https://www.indeed.com/viewjob?jk=e291fc2cd7f8f144")</f>
        <v/>
      </c>
      <c r="F257">
        <f>HYPERLINK("https://jobs.us.pwc.com/job/-/-/932/92098343584", "https://jobs.us.pwc.com/job/-/-/932/92098343584")</f>
        <v/>
      </c>
      <c r="G257" t="inlineStr">
        <is>
          <t>Phoenix, AZ, US</t>
        </is>
      </c>
      <c r="H257" s="2" t="n">
        <v>46076</v>
      </c>
      <c r="I257"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258">
      <c r="A258" t="inlineStr">
        <is>
          <t>in-a21ddd00f7dd8b59</t>
        </is>
      </c>
      <c r="B258" t="inlineStr">
        <is>
          <t>AI Engineer - Manager</t>
        </is>
      </c>
      <c r="C258" t="inlineStr">
        <is>
          <t>PwC</t>
        </is>
      </c>
      <c r="D258" t="inlineStr">
        <is>
          <t>indeed</t>
        </is>
      </c>
      <c r="E258">
        <f>HYPERLINK("https://www.indeed.com/viewjob?jk=a21ddd00f7dd8b59", "https://www.indeed.com/viewjob?jk=a21ddd00f7dd8b59")</f>
        <v/>
      </c>
      <c r="F258">
        <f>HYPERLINK("https://jobs.us.pwc.com/job/-/-/932/92098343584", "https://jobs.us.pwc.com/job/-/-/932/92098343584")</f>
        <v/>
      </c>
      <c r="G258" t="inlineStr">
        <is>
          <t>Little Rock, AR, US</t>
        </is>
      </c>
      <c r="H258" s="2" t="n">
        <v>46076</v>
      </c>
      <c r="I258"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259">
      <c r="A259" t="inlineStr">
        <is>
          <t>in-8a3dcab0d472d1f4</t>
        </is>
      </c>
      <c r="B259" t="inlineStr">
        <is>
          <t>AI Engineer - Manager</t>
        </is>
      </c>
      <c r="C259" t="inlineStr">
        <is>
          <t>PwC</t>
        </is>
      </c>
      <c r="D259" t="inlineStr">
        <is>
          <t>indeed</t>
        </is>
      </c>
      <c r="E259">
        <f>HYPERLINK("https://www.indeed.com/viewjob?jk=8a3dcab0d472d1f4", "https://www.indeed.com/viewjob?jk=8a3dcab0d472d1f4")</f>
        <v/>
      </c>
      <c r="F259">
        <f>HYPERLINK("https://jobs.us.pwc.com/job/-/-/932/92098343584", "https://jobs.us.pwc.com/job/-/-/932/92098343584")</f>
        <v/>
      </c>
      <c r="G259" t="inlineStr">
        <is>
          <t>San Francisco, CA, US</t>
        </is>
      </c>
      <c r="H259" s="2" t="n">
        <v>46076</v>
      </c>
      <c r="I259"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260">
      <c r="A260" t="inlineStr">
        <is>
          <t>in-7322ed47d9eacfeb</t>
        </is>
      </c>
      <c r="B260" t="inlineStr">
        <is>
          <t>AI Engineer - Manager</t>
        </is>
      </c>
      <c r="C260" t="inlineStr">
        <is>
          <t>PwC</t>
        </is>
      </c>
      <c r="D260" t="inlineStr">
        <is>
          <t>indeed</t>
        </is>
      </c>
      <c r="E260">
        <f>HYPERLINK("https://www.indeed.com/viewjob?jk=7322ed47d9eacfeb", "https://www.indeed.com/viewjob?jk=7322ed47d9eacfeb")</f>
        <v/>
      </c>
      <c r="F260">
        <f>HYPERLINK("https://jobs.us.pwc.com/job/-/-/932/92098343584", "https://jobs.us.pwc.com/job/-/-/932/92098343584")</f>
        <v/>
      </c>
      <c r="G260" t="inlineStr">
        <is>
          <t>Los Angeles, CA, US</t>
        </is>
      </c>
      <c r="H260" s="2" t="n">
        <v>46076</v>
      </c>
      <c r="I260"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261">
      <c r="A261" t="inlineStr">
        <is>
          <t>in-5fdb6d0a56d456e4</t>
        </is>
      </c>
      <c r="B261" t="inlineStr">
        <is>
          <t>AI Engineer - Manager</t>
        </is>
      </c>
      <c r="C261" t="inlineStr">
        <is>
          <t>PwC</t>
        </is>
      </c>
      <c r="D261" t="inlineStr">
        <is>
          <t>indeed</t>
        </is>
      </c>
      <c r="E261">
        <f>HYPERLINK("https://www.indeed.com/viewjob?jk=5fdb6d0a56d456e4", "https://www.indeed.com/viewjob?jk=5fdb6d0a56d456e4")</f>
        <v/>
      </c>
      <c r="F261">
        <f>HYPERLINK("https://jobs.us.pwc.com/job/-/-/932/92098343584", "https://jobs.us.pwc.com/job/-/-/932/92098343584")</f>
        <v/>
      </c>
      <c r="G261" t="inlineStr">
        <is>
          <t>Minneapolis, MN, US</t>
        </is>
      </c>
      <c r="H261" s="2" t="n">
        <v>46076</v>
      </c>
      <c r="I261"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262">
      <c r="A262" t="inlineStr">
        <is>
          <t>in-4d767d1167baf2a4</t>
        </is>
      </c>
      <c r="B262" t="inlineStr">
        <is>
          <t>AI Engineer - Manager</t>
        </is>
      </c>
      <c r="C262" t="inlineStr">
        <is>
          <t>PwC</t>
        </is>
      </c>
      <c r="D262" t="inlineStr">
        <is>
          <t>indeed</t>
        </is>
      </c>
      <c r="E262">
        <f>HYPERLINK("https://www.indeed.com/viewjob?jk=4d767d1167baf2a4", "https://www.indeed.com/viewjob?jk=4d767d1167baf2a4")</f>
        <v/>
      </c>
      <c r="F262">
        <f>HYPERLINK("https://jobs.us.pwc.com/job/-/-/932/92098343584", "https://jobs.us.pwc.com/job/-/-/932/92098343584")</f>
        <v/>
      </c>
      <c r="G262" t="inlineStr">
        <is>
          <t>Portland, OR, US</t>
        </is>
      </c>
      <c r="H262" s="2" t="n">
        <v>46076</v>
      </c>
      <c r="I262"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263">
      <c r="A263" t="inlineStr">
        <is>
          <t>in-d504ec85825dcabd</t>
        </is>
      </c>
      <c r="B263" t="inlineStr">
        <is>
          <t>AI Engineer - Manager</t>
        </is>
      </c>
      <c r="C263" t="inlineStr">
        <is>
          <t>PwC</t>
        </is>
      </c>
      <c r="D263" t="inlineStr">
        <is>
          <t>indeed</t>
        </is>
      </c>
      <c r="E263">
        <f>HYPERLINK("https://www.indeed.com/viewjob?jk=d504ec85825dcabd", "https://www.indeed.com/viewjob?jk=d504ec85825dcabd")</f>
        <v/>
      </c>
      <c r="F263">
        <f>HYPERLINK("https://jobs.us.pwc.com/job/-/-/932/92098343584", "https://jobs.us.pwc.com/job/-/-/932/92098343584")</f>
        <v/>
      </c>
      <c r="G263" t="inlineStr">
        <is>
          <t>Greensboro, NC, US</t>
        </is>
      </c>
      <c r="H263" s="2" t="n">
        <v>46076</v>
      </c>
      <c r="I263"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264">
      <c r="A264" t="inlineStr">
        <is>
          <t>in-7ef4c091d6dd5a5c</t>
        </is>
      </c>
      <c r="B264" t="inlineStr">
        <is>
          <t>AI Engineer - Manager</t>
        </is>
      </c>
      <c r="C264" t="inlineStr">
        <is>
          <t>PwC</t>
        </is>
      </c>
      <c r="D264" t="inlineStr">
        <is>
          <t>indeed</t>
        </is>
      </c>
      <c r="E264">
        <f>HYPERLINK("https://www.indeed.com/viewjob?jk=7ef4c091d6dd5a5c", "https://www.indeed.com/viewjob?jk=7ef4c091d6dd5a5c")</f>
        <v/>
      </c>
      <c r="F264">
        <f>HYPERLINK("https://jobs.us.pwc.com/job/-/-/932/92098343584", "https://jobs.us.pwc.com/job/-/-/932/92098343584")</f>
        <v/>
      </c>
      <c r="G264" t="inlineStr">
        <is>
          <t>Atlanta, GA, US</t>
        </is>
      </c>
      <c r="H264" s="2" t="n">
        <v>46076</v>
      </c>
      <c r="I264"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265">
      <c r="A265" t="inlineStr">
        <is>
          <t>in-39e1e93aa7a8672e</t>
        </is>
      </c>
      <c r="B265" t="inlineStr">
        <is>
          <t>AI Engineer - Manager</t>
        </is>
      </c>
      <c r="C265" t="inlineStr">
        <is>
          <t>PwC</t>
        </is>
      </c>
      <c r="D265" t="inlineStr">
        <is>
          <t>indeed</t>
        </is>
      </c>
      <c r="E265">
        <f>HYPERLINK("https://www.indeed.com/viewjob?jk=39e1e93aa7a8672e", "https://www.indeed.com/viewjob?jk=39e1e93aa7a8672e")</f>
        <v/>
      </c>
      <c r="F265">
        <f>HYPERLINK("https://jobs.us.pwc.com/job/-/-/932/92098343584", "https://jobs.us.pwc.com/job/-/-/932/92098343584")</f>
        <v/>
      </c>
      <c r="G265" t="inlineStr">
        <is>
          <t>Montpelier, VT, US</t>
        </is>
      </c>
      <c r="H265" s="2" t="n">
        <v>46076</v>
      </c>
      <c r="I265"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266">
      <c r="A266" t="inlineStr">
        <is>
          <t>in-4062af7d6c619297</t>
        </is>
      </c>
      <c r="B266" t="inlineStr">
        <is>
          <t>AI Engineer - Manager</t>
        </is>
      </c>
      <c r="C266" t="inlineStr">
        <is>
          <t>PwC</t>
        </is>
      </c>
      <c r="D266" t="inlineStr">
        <is>
          <t>indeed</t>
        </is>
      </c>
      <c r="E266">
        <f>HYPERLINK("https://www.indeed.com/viewjob?jk=4062af7d6c619297", "https://www.indeed.com/viewjob?jk=4062af7d6c619297")</f>
        <v/>
      </c>
      <c r="F266">
        <f>HYPERLINK("https://jobs.us.pwc.com/job/-/-/932/92098343584", "https://jobs.us.pwc.com/job/-/-/932/92098343584")</f>
        <v/>
      </c>
      <c r="G266" t="inlineStr">
        <is>
          <t>Tulsa, OK, US</t>
        </is>
      </c>
      <c r="H266" s="2" t="n">
        <v>46076</v>
      </c>
      <c r="I266"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267">
      <c r="A267" t="inlineStr">
        <is>
          <t>in-78b5d74b1a4d10fb</t>
        </is>
      </c>
      <c r="B267" t="inlineStr">
        <is>
          <t>AI Engineer - Manager</t>
        </is>
      </c>
      <c r="C267" t="inlineStr">
        <is>
          <t>PwC</t>
        </is>
      </c>
      <c r="D267" t="inlineStr">
        <is>
          <t>indeed</t>
        </is>
      </c>
      <c r="E267">
        <f>HYPERLINK("https://www.indeed.com/viewjob?jk=78b5d74b1a4d10fb", "https://www.indeed.com/viewjob?jk=78b5d74b1a4d10fb")</f>
        <v/>
      </c>
      <c r="F267">
        <f>HYPERLINK("https://jobs.us.pwc.com/job/-/-/932/92098343584", "https://jobs.us.pwc.com/job/-/-/932/92098343584")</f>
        <v/>
      </c>
      <c r="G267" t="inlineStr">
        <is>
          <t>Birmingham, AL, US</t>
        </is>
      </c>
      <c r="H267" s="2" t="n">
        <v>46076</v>
      </c>
      <c r="I267"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268">
      <c r="A268" t="inlineStr">
        <is>
          <t>in-938ba3a84e01039f</t>
        </is>
      </c>
      <c r="B268" t="inlineStr">
        <is>
          <t>AI Engineer - Manager</t>
        </is>
      </c>
      <c r="C268" t="inlineStr">
        <is>
          <t>PwC</t>
        </is>
      </c>
      <c r="D268" t="inlineStr">
        <is>
          <t>indeed</t>
        </is>
      </c>
      <c r="E268">
        <f>HYPERLINK("https://www.indeed.com/viewjob?jk=938ba3a84e01039f", "https://www.indeed.com/viewjob?jk=938ba3a84e01039f")</f>
        <v/>
      </c>
      <c r="F268">
        <f>HYPERLINK("https://jobs.us.pwc.com/job/-/-/932/92098343584", "https://jobs.us.pwc.com/job/-/-/932/92098343584")</f>
        <v/>
      </c>
      <c r="G268" t="inlineStr">
        <is>
          <t>Seattle, WA, US</t>
        </is>
      </c>
      <c r="H268" s="2" t="n">
        <v>46076</v>
      </c>
      <c r="I268"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269">
      <c r="A269" t="inlineStr">
        <is>
          <t>in-623a2ea4632fdd7b</t>
        </is>
      </c>
      <c r="B269" t="inlineStr">
        <is>
          <t>AI Engineer - Manager</t>
        </is>
      </c>
      <c r="C269" t="inlineStr">
        <is>
          <t>PwC</t>
        </is>
      </c>
      <c r="D269" t="inlineStr">
        <is>
          <t>indeed</t>
        </is>
      </c>
      <c r="E269">
        <f>HYPERLINK("https://www.indeed.com/viewjob?jk=623a2ea4632fdd7b", "https://www.indeed.com/viewjob?jk=623a2ea4632fdd7b")</f>
        <v/>
      </c>
      <c r="F269">
        <f>HYPERLINK("https://jobs.us.pwc.com/job/-/-/932/92098343584", "https://jobs.us.pwc.com/job/-/-/932/92098343584")</f>
        <v/>
      </c>
      <c r="G269" t="inlineStr">
        <is>
          <t>Albany, NY, US</t>
        </is>
      </c>
      <c r="H269" s="2" t="n">
        <v>46076</v>
      </c>
      <c r="I269"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270">
      <c r="A270" t="inlineStr">
        <is>
          <t>in-3ac2332c8de9ad04</t>
        </is>
      </c>
      <c r="B270" t="inlineStr">
        <is>
          <t>AI Engineer - Manager</t>
        </is>
      </c>
      <c r="C270" t="inlineStr">
        <is>
          <t>PwC</t>
        </is>
      </c>
      <c r="D270" t="inlineStr">
        <is>
          <t>indeed</t>
        </is>
      </c>
      <c r="E270">
        <f>HYPERLINK("https://www.indeed.com/viewjob?jk=3ac2332c8de9ad04", "https://www.indeed.com/viewjob?jk=3ac2332c8de9ad04")</f>
        <v/>
      </c>
      <c r="F270">
        <f>HYPERLINK("https://jobs.us.pwc.com/job/-/-/932/92098343584", "https://jobs.us.pwc.com/job/-/-/932/92098343584")</f>
        <v/>
      </c>
      <c r="G270" t="inlineStr">
        <is>
          <t>New York, NY, US</t>
        </is>
      </c>
      <c r="H270" s="2" t="n">
        <v>46076</v>
      </c>
      <c r="I270"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271">
      <c r="A271" t="inlineStr">
        <is>
          <t>in-6914edb3cf16f23e</t>
        </is>
      </c>
      <c r="B271" t="inlineStr">
        <is>
          <t>AI Engineer - Manager</t>
        </is>
      </c>
      <c r="C271" t="inlineStr">
        <is>
          <t>PwC</t>
        </is>
      </c>
      <c r="D271" t="inlineStr">
        <is>
          <t>indeed</t>
        </is>
      </c>
      <c r="E271">
        <f>HYPERLINK("https://www.indeed.com/viewjob?jk=6914edb3cf16f23e", "https://www.indeed.com/viewjob?jk=6914edb3cf16f23e")</f>
        <v/>
      </c>
      <c r="F271">
        <f>HYPERLINK("https://jobs.us.pwc.com/job/-/-/932/92098343584", "https://jobs.us.pwc.com/job/-/-/932/92098343584")</f>
        <v/>
      </c>
      <c r="G271" t="inlineStr">
        <is>
          <t>Melville, NY, US</t>
        </is>
      </c>
      <c r="H271" s="2" t="n">
        <v>46076</v>
      </c>
      <c r="I271"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272">
      <c r="A272" t="inlineStr">
        <is>
          <t>in-a6a1a6fdb6811996</t>
        </is>
      </c>
      <c r="B272" t="inlineStr">
        <is>
          <t>AI Engineer - Manager</t>
        </is>
      </c>
      <c r="C272" t="inlineStr">
        <is>
          <t>PwC</t>
        </is>
      </c>
      <c r="D272" t="inlineStr">
        <is>
          <t>indeed</t>
        </is>
      </c>
      <c r="E272">
        <f>HYPERLINK("https://www.indeed.com/viewjob?jk=a6a1a6fdb6811996", "https://www.indeed.com/viewjob?jk=a6a1a6fdb6811996")</f>
        <v/>
      </c>
      <c r="F272">
        <f>HYPERLINK("https://jobs.us.pwc.com/job/-/-/932/92098343584", "https://jobs.us.pwc.com/job/-/-/932/92098343584")</f>
        <v/>
      </c>
      <c r="G272" t="inlineStr">
        <is>
          <t>Florham Park, NJ, US</t>
        </is>
      </c>
      <c r="H272" s="2" t="n">
        <v>46076</v>
      </c>
      <c r="I272"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273">
      <c r="A273" t="inlineStr">
        <is>
          <t>in-35a3f6076660dde3</t>
        </is>
      </c>
      <c r="B273" t="inlineStr">
        <is>
          <t>AI Engineer - Manager</t>
        </is>
      </c>
      <c r="C273" t="inlineStr">
        <is>
          <t>PwC</t>
        </is>
      </c>
      <c r="D273" t="inlineStr">
        <is>
          <t>indeed</t>
        </is>
      </c>
      <c r="E273">
        <f>HYPERLINK("https://www.indeed.com/viewjob?jk=35a3f6076660dde3", "https://www.indeed.com/viewjob?jk=35a3f6076660dde3")</f>
        <v/>
      </c>
      <c r="F273">
        <f>HYPERLINK("https://jobs.us.pwc.com/job/-/-/932/92098343584", "https://jobs.us.pwc.com/job/-/-/932/92098343584")</f>
        <v/>
      </c>
      <c r="G273" t="inlineStr">
        <is>
          <t>Salt Lake City, UT, US</t>
        </is>
      </c>
      <c r="H273" s="2" t="n">
        <v>46076</v>
      </c>
      <c r="I273"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274">
      <c r="A274" t="inlineStr">
        <is>
          <t>in-52bbedfbaee17833</t>
        </is>
      </c>
      <c r="B274" t="inlineStr">
        <is>
          <t>AI Engineer - Manager</t>
        </is>
      </c>
      <c r="C274" t="inlineStr">
        <is>
          <t>PwC</t>
        </is>
      </c>
      <c r="D274" t="inlineStr">
        <is>
          <t>indeed</t>
        </is>
      </c>
      <c r="E274">
        <f>HYPERLINK("https://www.indeed.com/viewjob?jk=52bbedfbaee17833", "https://www.indeed.com/viewjob?jk=52bbedfbaee17833")</f>
        <v/>
      </c>
      <c r="F274">
        <f>HYPERLINK("https://jobs.us.pwc.com/job/-/-/932/92098343584", "https://jobs.us.pwc.com/job/-/-/932/92098343584")</f>
        <v/>
      </c>
      <c r="G274" t="inlineStr">
        <is>
          <t>Denver, CO, US</t>
        </is>
      </c>
      <c r="H274" s="2" t="n">
        <v>46076</v>
      </c>
      <c r="I274"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275">
      <c r="A275" t="inlineStr">
        <is>
          <t>in-e84d174600b4be48</t>
        </is>
      </c>
      <c r="B275" t="inlineStr">
        <is>
          <t>AI Engineer - Manager</t>
        </is>
      </c>
      <c r="C275" t="inlineStr">
        <is>
          <t>PwC</t>
        </is>
      </c>
      <c r="D275" t="inlineStr">
        <is>
          <t>indeed</t>
        </is>
      </c>
      <c r="E275">
        <f>HYPERLINK("https://www.indeed.com/viewjob?jk=e84d174600b4be48", "https://www.indeed.com/viewjob?jk=e84d174600b4be48")</f>
        <v/>
      </c>
      <c r="F275">
        <f>HYPERLINK("https://jobs.us.pwc.com/job/-/-/932/92098343584", "https://jobs.us.pwc.com/job/-/-/932/92098343584")</f>
        <v/>
      </c>
      <c r="G275" t="inlineStr">
        <is>
          <t>Milwaukee, WI, US</t>
        </is>
      </c>
      <c r="H275" s="2" t="n">
        <v>46076</v>
      </c>
      <c r="I275"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276">
      <c r="A276" t="inlineStr">
        <is>
          <t>in-34a44ee7e02e5b53</t>
        </is>
      </c>
      <c r="B276" t="inlineStr">
        <is>
          <t>AI Engineer - Manager</t>
        </is>
      </c>
      <c r="C276" t="inlineStr">
        <is>
          <t>PwC</t>
        </is>
      </c>
      <c r="D276" t="inlineStr">
        <is>
          <t>indeed</t>
        </is>
      </c>
      <c r="E276">
        <f>HYPERLINK("https://www.indeed.com/viewjob?jk=34a44ee7e02e5b53", "https://www.indeed.com/viewjob?jk=34a44ee7e02e5b53")</f>
        <v/>
      </c>
      <c r="F276">
        <f>HYPERLINK("https://jobs.us.pwc.com/job/-/-/932/92098343584", "https://jobs.us.pwc.com/job/-/-/932/92098343584")</f>
        <v/>
      </c>
      <c r="G276" t="inlineStr">
        <is>
          <t>Jacksonville, FL, US</t>
        </is>
      </c>
      <c r="H276" s="2" t="n">
        <v>46076</v>
      </c>
      <c r="I276"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277">
      <c r="A277" t="inlineStr">
        <is>
          <t>in-482c80afd27d84ad</t>
        </is>
      </c>
      <c r="B277" t="inlineStr">
        <is>
          <t>AI Engineer - Manager</t>
        </is>
      </c>
      <c r="C277" t="inlineStr">
        <is>
          <t>PwC</t>
        </is>
      </c>
      <c r="D277" t="inlineStr">
        <is>
          <t>indeed</t>
        </is>
      </c>
      <c r="E277">
        <f>HYPERLINK("https://www.indeed.com/viewjob?jk=482c80afd27d84ad", "https://www.indeed.com/viewjob?jk=482c80afd27d84ad")</f>
        <v/>
      </c>
      <c r="F277">
        <f>HYPERLINK("https://jobs.us.pwc.com/job/-/-/932/92098343584", "https://jobs.us.pwc.com/job/-/-/932/92098343584")</f>
        <v/>
      </c>
      <c r="G277" t="inlineStr">
        <is>
          <t>Miami, FL, US</t>
        </is>
      </c>
      <c r="H277" s="2" t="n">
        <v>46076</v>
      </c>
      <c r="I277"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278">
      <c r="A278" t="inlineStr">
        <is>
          <t>in-41bfbd303c72ea28</t>
        </is>
      </c>
      <c r="B278" t="inlineStr">
        <is>
          <t>AI Engineer - Manager</t>
        </is>
      </c>
      <c r="C278" t="inlineStr">
        <is>
          <t>PwC</t>
        </is>
      </c>
      <c r="D278" t="inlineStr">
        <is>
          <t>indeed</t>
        </is>
      </c>
      <c r="E278">
        <f>HYPERLINK("https://www.indeed.com/viewjob?jk=41bfbd303c72ea28", "https://www.indeed.com/viewjob?jk=41bfbd303c72ea28")</f>
        <v/>
      </c>
      <c r="F278">
        <f>HYPERLINK("https://jobs.us.pwc.com/job/-/-/932/92098343584", "https://jobs.us.pwc.com/job/-/-/932/92098343584")</f>
        <v/>
      </c>
      <c r="G278" t="inlineStr">
        <is>
          <t>Pittsburgh, PA, US</t>
        </is>
      </c>
      <c r="H278" s="2" t="n">
        <v>46076</v>
      </c>
      <c r="I278"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279">
      <c r="A279" t="inlineStr">
        <is>
          <t>in-89075c1d79b8b256</t>
        </is>
      </c>
      <c r="B279" t="inlineStr">
        <is>
          <t>AI Engineer - Manager</t>
        </is>
      </c>
      <c r="C279" t="inlineStr">
        <is>
          <t>PwC</t>
        </is>
      </c>
      <c r="D279" t="inlineStr">
        <is>
          <t>indeed</t>
        </is>
      </c>
      <c r="E279">
        <f>HYPERLINK("https://www.indeed.com/viewjob?jk=89075c1d79b8b256", "https://www.indeed.com/viewjob?jk=89075c1d79b8b256")</f>
        <v/>
      </c>
      <c r="F279">
        <f>HYPERLINK("https://jobs.us.pwc.com/job/-/-/932/92098343584", "https://jobs.us.pwc.com/job/-/-/932/92098343584")</f>
        <v/>
      </c>
      <c r="G279" t="inlineStr">
        <is>
          <t>Buffalo, NY, US</t>
        </is>
      </c>
      <c r="H279" s="2" t="n">
        <v>46076</v>
      </c>
      <c r="I279"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280">
      <c r="A280" t="inlineStr">
        <is>
          <t>in-94835c3f56bc5dd6</t>
        </is>
      </c>
      <c r="B280" t="inlineStr">
        <is>
          <t>AI Engineer - Manager</t>
        </is>
      </c>
      <c r="C280" t="inlineStr">
        <is>
          <t>PwC</t>
        </is>
      </c>
      <c r="D280" t="inlineStr">
        <is>
          <t>indeed</t>
        </is>
      </c>
      <c r="E280">
        <f>HYPERLINK("https://www.indeed.com/viewjob?jk=94835c3f56bc5dd6", "https://www.indeed.com/viewjob?jk=94835c3f56bc5dd6")</f>
        <v/>
      </c>
      <c r="F280">
        <f>HYPERLINK("https://jobs.us.pwc.com/job/-/-/932/92098343584", "https://jobs.us.pwc.com/job/-/-/932/92098343584")</f>
        <v/>
      </c>
      <c r="G280" t="inlineStr">
        <is>
          <t>Grand Rapids, MI, US</t>
        </is>
      </c>
      <c r="H280" s="2" t="n">
        <v>46076</v>
      </c>
      <c r="I280"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281">
      <c r="A281" t="inlineStr">
        <is>
          <t>in-1217cc7b02e76dd4</t>
        </is>
      </c>
      <c r="B281" t="inlineStr">
        <is>
          <t>AI Engineer - Manager</t>
        </is>
      </c>
      <c r="C281" t="inlineStr">
        <is>
          <t>PwC</t>
        </is>
      </c>
      <c r="D281" t="inlineStr">
        <is>
          <t>indeed</t>
        </is>
      </c>
      <c r="E281">
        <f>HYPERLINK("https://www.indeed.com/viewjob?jk=1217cc7b02e76dd4", "https://www.indeed.com/viewjob?jk=1217cc7b02e76dd4")</f>
        <v/>
      </c>
      <c r="F281">
        <f>HYPERLINK("https://jobs.us.pwc.com/job/-/-/932/92098343584", "https://jobs.us.pwc.com/job/-/-/932/92098343584")</f>
        <v/>
      </c>
      <c r="G281" t="inlineStr">
        <is>
          <t>Tampa, FL, US</t>
        </is>
      </c>
      <c r="H281" s="2" t="n">
        <v>46076</v>
      </c>
      <c r="I281"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282">
      <c r="A282" t="inlineStr">
        <is>
          <t>in-cc9d8eb5849dd905</t>
        </is>
      </c>
      <c r="B282" t="inlineStr">
        <is>
          <t>AI Engineer - Manager</t>
        </is>
      </c>
      <c r="C282" t="inlineStr">
        <is>
          <t>PwC</t>
        </is>
      </c>
      <c r="D282" t="inlineStr">
        <is>
          <t>indeed</t>
        </is>
      </c>
      <c r="E282">
        <f>HYPERLINK("https://www.indeed.com/viewjob?jk=cc9d8eb5849dd905", "https://www.indeed.com/viewjob?jk=cc9d8eb5849dd905")</f>
        <v/>
      </c>
      <c r="F282">
        <f>HYPERLINK("https://jobs.us.pwc.com/job/-/-/932/92098343584", "https://jobs.us.pwc.com/job/-/-/932/92098343584")</f>
        <v/>
      </c>
      <c r="G282" t="inlineStr">
        <is>
          <t>Oklahoma City, OK, US</t>
        </is>
      </c>
      <c r="H282" s="2" t="n">
        <v>46076</v>
      </c>
      <c r="I282"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283">
      <c r="A283" t="inlineStr">
        <is>
          <t>in-0f81b395799bec33</t>
        </is>
      </c>
      <c r="B283" t="inlineStr">
        <is>
          <t>AI Engineer - Manager</t>
        </is>
      </c>
      <c r="C283" t="inlineStr">
        <is>
          <t>PwC</t>
        </is>
      </c>
      <c r="D283" t="inlineStr">
        <is>
          <t>indeed</t>
        </is>
      </c>
      <c r="E283">
        <f>HYPERLINK("https://www.indeed.com/viewjob?jk=0f81b395799bec33", "https://www.indeed.com/viewjob?jk=0f81b395799bec33")</f>
        <v/>
      </c>
      <c r="F283">
        <f>HYPERLINK("https://jobs.us.pwc.com/job/-/-/932/92098343584", "https://jobs.us.pwc.com/job/-/-/932/92098343584")</f>
        <v/>
      </c>
      <c r="G283" t="inlineStr">
        <is>
          <t>Hartford, CT, US</t>
        </is>
      </c>
      <c r="H283" s="2" t="n">
        <v>46076</v>
      </c>
      <c r="I283"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284">
      <c r="A284" t="inlineStr">
        <is>
          <t>in-e757d94e9d2fad81</t>
        </is>
      </c>
      <c r="B284" t="inlineStr">
        <is>
          <t>AI Engineer - Manager</t>
        </is>
      </c>
      <c r="C284" t="inlineStr">
        <is>
          <t>PwC</t>
        </is>
      </c>
      <c r="D284" t="inlineStr">
        <is>
          <t>indeed</t>
        </is>
      </c>
      <c r="E284">
        <f>HYPERLINK("https://www.indeed.com/viewjob?jk=e757d94e9d2fad81", "https://www.indeed.com/viewjob?jk=e757d94e9d2fad81")</f>
        <v/>
      </c>
      <c r="F284">
        <f>HYPERLINK("https://jobs.us.pwc.com/job/-/-/932/92098343584", "https://jobs.us.pwc.com/job/-/-/932/92098343584")</f>
        <v/>
      </c>
      <c r="G284" t="inlineStr">
        <is>
          <t>Louisville, KY, US</t>
        </is>
      </c>
      <c r="H284" s="2" t="n">
        <v>46076</v>
      </c>
      <c r="I284"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285">
      <c r="A285" t="inlineStr">
        <is>
          <t>in-91401d6b34675c88</t>
        </is>
      </c>
      <c r="B285" t="inlineStr">
        <is>
          <t>AI Engineer - Manager</t>
        </is>
      </c>
      <c r="C285" t="inlineStr">
        <is>
          <t>PwC</t>
        </is>
      </c>
      <c r="D285" t="inlineStr">
        <is>
          <t>indeed</t>
        </is>
      </c>
      <c r="E285">
        <f>HYPERLINK("https://www.indeed.com/viewjob?jk=91401d6b34675c88", "https://www.indeed.com/viewjob?jk=91401d6b34675c88")</f>
        <v/>
      </c>
      <c r="F285">
        <f>HYPERLINK("https://jobs.us.pwc.com/job/-/-/932/92098343584", "https://jobs.us.pwc.com/job/-/-/932/92098343584")</f>
        <v/>
      </c>
      <c r="G285" t="inlineStr">
        <is>
          <t>Washington, DC, US</t>
        </is>
      </c>
      <c r="H285" s="2" t="n">
        <v>46076</v>
      </c>
      <c r="I285"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286">
      <c r="A286" t="inlineStr">
        <is>
          <t>in-d59aabb87ff3d3c4</t>
        </is>
      </c>
      <c r="B286" t="inlineStr">
        <is>
          <t>AI Engineer - Manager</t>
        </is>
      </c>
      <c r="C286" t="inlineStr">
        <is>
          <t>PwC</t>
        </is>
      </c>
      <c r="D286" t="inlineStr">
        <is>
          <t>indeed</t>
        </is>
      </c>
      <c r="E286">
        <f>HYPERLINK("https://www.indeed.com/viewjob?jk=d59aabb87ff3d3c4", "https://www.indeed.com/viewjob?jk=d59aabb87ff3d3c4")</f>
        <v/>
      </c>
      <c r="F286">
        <f>HYPERLINK("https://jobs.us.pwc.com/job/-/-/932/92098343584", "https://jobs.us.pwc.com/job/-/-/932/92098343584")</f>
        <v/>
      </c>
      <c r="G286" t="inlineStr">
        <is>
          <t>Austin, TX, US</t>
        </is>
      </c>
      <c r="H286" s="2" t="n">
        <v>46076</v>
      </c>
      <c r="I286"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287">
      <c r="A287" t="inlineStr">
        <is>
          <t>in-138fbb581153344d</t>
        </is>
      </c>
      <c r="B287" t="inlineStr">
        <is>
          <t>AI Engineer - Manager</t>
        </is>
      </c>
      <c r="C287" t="inlineStr">
        <is>
          <t>PwC</t>
        </is>
      </c>
      <c r="D287" t="inlineStr">
        <is>
          <t>indeed</t>
        </is>
      </c>
      <c r="E287">
        <f>HYPERLINK("https://www.indeed.com/viewjob?jk=138fbb581153344d", "https://www.indeed.com/viewjob?jk=138fbb581153344d")</f>
        <v/>
      </c>
      <c r="F287">
        <f>HYPERLINK("https://jobs.us.pwc.com/job/-/-/932/92098343584", "https://jobs.us.pwc.com/job/-/-/932/92098343584")</f>
        <v/>
      </c>
      <c r="G287" t="inlineStr">
        <is>
          <t>Detroit, MI, US</t>
        </is>
      </c>
      <c r="H287" s="2" t="n">
        <v>46076</v>
      </c>
      <c r="I287"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288">
      <c r="A288" t="inlineStr">
        <is>
          <t>in-d8fdad69c73cffce</t>
        </is>
      </c>
      <c r="B288" t="inlineStr">
        <is>
          <t>AI Engineer - Manager</t>
        </is>
      </c>
      <c r="C288" t="inlineStr">
        <is>
          <t>PwC</t>
        </is>
      </c>
      <c r="D288" t="inlineStr">
        <is>
          <t>indeed</t>
        </is>
      </c>
      <c r="E288">
        <f>HYPERLINK("https://www.indeed.com/viewjob?jk=d8fdad69c73cffce", "https://www.indeed.com/viewjob?jk=d8fdad69c73cffce")</f>
        <v/>
      </c>
      <c r="F288">
        <f>HYPERLINK("https://jobs.us.pwc.com/job/-/-/932/92098343584", "https://jobs.us.pwc.com/job/-/-/932/92098343584")</f>
        <v/>
      </c>
      <c r="G288" t="inlineStr">
        <is>
          <t>Irvine, CA, US</t>
        </is>
      </c>
      <c r="H288" s="2" t="n">
        <v>46076</v>
      </c>
      <c r="I288"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289">
      <c r="A289" t="inlineStr">
        <is>
          <t>in-f11b8bbb8b12dc97</t>
        </is>
      </c>
      <c r="B289" t="inlineStr">
        <is>
          <t>AI Engineer - Manager</t>
        </is>
      </c>
      <c r="C289" t="inlineStr">
        <is>
          <t>PwC</t>
        </is>
      </c>
      <c r="D289" t="inlineStr">
        <is>
          <t>indeed</t>
        </is>
      </c>
      <c r="E289">
        <f>HYPERLINK("https://www.indeed.com/viewjob?jk=f11b8bbb8b12dc97", "https://www.indeed.com/viewjob?jk=f11b8bbb8b12dc97")</f>
        <v/>
      </c>
      <c r="F289">
        <f>HYPERLINK("https://jobs.us.pwc.com/job/-/-/932/92098343584", "https://jobs.us.pwc.com/job/-/-/932/92098343584")</f>
        <v/>
      </c>
      <c r="G289" t="inlineStr">
        <is>
          <t>Richmond, VA, US</t>
        </is>
      </c>
      <c r="H289" s="2" t="n">
        <v>46076</v>
      </c>
      <c r="I289"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290">
      <c r="A290" t="inlineStr">
        <is>
          <t>in-6d928a6bdedb3078</t>
        </is>
      </c>
      <c r="B290" t="inlineStr">
        <is>
          <t>AI Engineer - Senior Associate</t>
        </is>
      </c>
      <c r="C290" t="inlineStr">
        <is>
          <t>PwC</t>
        </is>
      </c>
      <c r="D290" t="inlineStr">
        <is>
          <t>indeed</t>
        </is>
      </c>
      <c r="E290">
        <f>HYPERLINK("https://www.indeed.com/viewjob?jk=6d928a6bdedb3078", "https://www.indeed.com/viewjob?jk=6d928a6bdedb3078")</f>
        <v/>
      </c>
      <c r="F290">
        <f>HYPERLINK("https://jobs.us.pwc.com/job/-/-/932/92098343504", "https://jobs.us.pwc.com/job/-/-/932/92098343504")</f>
        <v/>
      </c>
      <c r="G290" t="inlineStr">
        <is>
          <t>Pittsburgh, PA, US</t>
        </is>
      </c>
      <c r="H290" s="2" t="n">
        <v>46076</v>
      </c>
      <c r="I290"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291">
      <c r="A291" t="inlineStr">
        <is>
          <t>in-f0ba38ebbc7135f6</t>
        </is>
      </c>
      <c r="B291" t="inlineStr">
        <is>
          <t>AI Engineer - Senior Associate</t>
        </is>
      </c>
      <c r="C291" t="inlineStr">
        <is>
          <t>PwC</t>
        </is>
      </c>
      <c r="D291" t="inlineStr">
        <is>
          <t>indeed</t>
        </is>
      </c>
      <c r="E291">
        <f>HYPERLINK("https://www.indeed.com/viewjob?jk=f0ba38ebbc7135f6", "https://www.indeed.com/viewjob?jk=f0ba38ebbc7135f6")</f>
        <v/>
      </c>
      <c r="F291">
        <f>HYPERLINK("https://jobs.us.pwc.com/job/-/-/932/92098343504", "https://jobs.us.pwc.com/job/-/-/932/92098343504")</f>
        <v/>
      </c>
      <c r="G291" t="inlineStr">
        <is>
          <t>Philadelphia, PA, US</t>
        </is>
      </c>
      <c r="H291" s="2" t="n">
        <v>46076</v>
      </c>
      <c r="I291"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292">
      <c r="A292" t="inlineStr">
        <is>
          <t>in-188224eb066b4eb1</t>
        </is>
      </c>
      <c r="B292" t="inlineStr">
        <is>
          <t>AI Engineer - Manager</t>
        </is>
      </c>
      <c r="C292" t="inlineStr">
        <is>
          <t>PwC</t>
        </is>
      </c>
      <c r="D292" t="inlineStr">
        <is>
          <t>indeed</t>
        </is>
      </c>
      <c r="E292">
        <f>HYPERLINK("https://www.indeed.com/viewjob?jk=188224eb066b4eb1", "https://www.indeed.com/viewjob?jk=188224eb066b4eb1")</f>
        <v/>
      </c>
      <c r="F292">
        <f>HYPERLINK("https://jobs.us.pwc.com/job/-/-/932/92098343584", "https://jobs.us.pwc.com/job/-/-/932/92098343584")</f>
        <v/>
      </c>
      <c r="G292" t="inlineStr">
        <is>
          <t>San Antonio, TX, US</t>
        </is>
      </c>
      <c r="H292" s="2" t="n">
        <v>46076</v>
      </c>
      <c r="I292"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293">
      <c r="A293" t="inlineStr">
        <is>
          <t>in-1277ccbc1a6ef3d5</t>
        </is>
      </c>
      <c r="B293" t="inlineStr">
        <is>
          <t>AI Engineer - Manager</t>
        </is>
      </c>
      <c r="C293" t="inlineStr">
        <is>
          <t>PwC</t>
        </is>
      </c>
      <c r="D293" t="inlineStr">
        <is>
          <t>indeed</t>
        </is>
      </c>
      <c r="E293">
        <f>HYPERLINK("https://www.indeed.com/viewjob?jk=1277ccbc1a6ef3d5", "https://www.indeed.com/viewjob?jk=1277ccbc1a6ef3d5")</f>
        <v/>
      </c>
      <c r="F293">
        <f>HYPERLINK("https://jobs.us.pwc.com/job/-/-/932/92098343584", "https://jobs.us.pwc.com/job/-/-/932/92098343584")</f>
        <v/>
      </c>
      <c r="G293" t="inlineStr">
        <is>
          <t>Cleveland, OH, US</t>
        </is>
      </c>
      <c r="H293" s="2" t="n">
        <v>46076</v>
      </c>
      <c r="I293"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294">
      <c r="A294" t="inlineStr">
        <is>
          <t>in-442be80f8a768e76</t>
        </is>
      </c>
      <c r="B294" t="inlineStr">
        <is>
          <t>AI Engineer - Manager</t>
        </is>
      </c>
      <c r="C294" t="inlineStr">
        <is>
          <t>PwC</t>
        </is>
      </c>
      <c r="D294" t="inlineStr">
        <is>
          <t>indeed</t>
        </is>
      </c>
      <c r="E294">
        <f>HYPERLINK("https://www.indeed.com/viewjob?jk=442be80f8a768e76", "https://www.indeed.com/viewjob?jk=442be80f8a768e76")</f>
        <v/>
      </c>
      <c r="F294">
        <f>HYPERLINK("https://jobs.us.pwc.com/job/-/-/932/92098343584", "https://jobs.us.pwc.com/job/-/-/932/92098343584")</f>
        <v/>
      </c>
      <c r="G294" t="inlineStr">
        <is>
          <t>San Diego, CA, US</t>
        </is>
      </c>
      <c r="H294" s="2" t="n">
        <v>46076</v>
      </c>
      <c r="I294"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295">
      <c r="A295" t="inlineStr">
        <is>
          <t>in-d05e7cde4b392ece</t>
        </is>
      </c>
      <c r="B295" t="inlineStr">
        <is>
          <t>AI Engineer - Manager</t>
        </is>
      </c>
      <c r="C295" t="inlineStr">
        <is>
          <t>PwC</t>
        </is>
      </c>
      <c r="D295" t="inlineStr">
        <is>
          <t>indeed</t>
        </is>
      </c>
      <c r="E295">
        <f>HYPERLINK("https://www.indeed.com/viewjob?jk=d05e7cde4b392ece", "https://www.indeed.com/viewjob?jk=d05e7cde4b392ece")</f>
        <v/>
      </c>
      <c r="F295">
        <f>HYPERLINK("https://jobs.us.pwc.com/job/-/-/932/92098343584", "https://jobs.us.pwc.com/job/-/-/932/92098343584")</f>
        <v/>
      </c>
      <c r="G295" t="inlineStr">
        <is>
          <t>Chicago, IL, US</t>
        </is>
      </c>
      <c r="H295" s="2" t="n">
        <v>46076</v>
      </c>
      <c r="I295"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296">
      <c r="A296" t="inlineStr">
        <is>
          <t>in-33affa2138c2a93a</t>
        </is>
      </c>
      <c r="B296" t="inlineStr">
        <is>
          <t>AI Engineer - Senior Associate</t>
        </is>
      </c>
      <c r="C296" t="inlineStr">
        <is>
          <t>PwC</t>
        </is>
      </c>
      <c r="D296" t="inlineStr">
        <is>
          <t>indeed</t>
        </is>
      </c>
      <c r="E296">
        <f>HYPERLINK("https://www.indeed.com/viewjob?jk=33affa2138c2a93a", "https://www.indeed.com/viewjob?jk=33affa2138c2a93a")</f>
        <v/>
      </c>
      <c r="F296">
        <f>HYPERLINK("https://jobs.us.pwc.com/job/-/-/932/92098343504", "https://jobs.us.pwc.com/job/-/-/932/92098343504")</f>
        <v/>
      </c>
      <c r="G296" t="inlineStr">
        <is>
          <t>Los Angeles, CA, US</t>
        </is>
      </c>
      <c r="H296" s="2" t="n">
        <v>46076</v>
      </c>
      <c r="I296"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297">
      <c r="A297" t="inlineStr">
        <is>
          <t>in-8b821e10c8328eae</t>
        </is>
      </c>
      <c r="B297" t="inlineStr">
        <is>
          <t>AI Engineer - Manager</t>
        </is>
      </c>
      <c r="C297" t="inlineStr">
        <is>
          <t>PwC</t>
        </is>
      </c>
      <c r="D297" t="inlineStr">
        <is>
          <t>indeed</t>
        </is>
      </c>
      <c r="E297">
        <f>HYPERLINK("https://www.indeed.com/viewjob?jk=8b821e10c8328eae", "https://www.indeed.com/viewjob?jk=8b821e10c8328eae")</f>
        <v/>
      </c>
      <c r="F297">
        <f>HYPERLINK("https://jobs.us.pwc.com/job/-/-/932/92098343584", "https://jobs.us.pwc.com/job/-/-/932/92098343584")</f>
        <v/>
      </c>
      <c r="G297" t="inlineStr">
        <is>
          <t>Boston, MA, US</t>
        </is>
      </c>
      <c r="H297" s="2" t="n">
        <v>46076</v>
      </c>
      <c r="I297"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298">
      <c r="A298" t="inlineStr">
        <is>
          <t>in-abbe3c93bb1e2b77</t>
        </is>
      </c>
      <c r="B298" t="inlineStr">
        <is>
          <t>AI Engineer - Manager</t>
        </is>
      </c>
      <c r="C298" t="inlineStr">
        <is>
          <t>PwC</t>
        </is>
      </c>
      <c r="D298" t="inlineStr">
        <is>
          <t>indeed</t>
        </is>
      </c>
      <c r="E298">
        <f>HYPERLINK("https://www.indeed.com/viewjob?jk=abbe3c93bb1e2b77", "https://www.indeed.com/viewjob?jk=abbe3c93bb1e2b77")</f>
        <v/>
      </c>
      <c r="F298">
        <f>HYPERLINK("https://jobs.us.pwc.com/job/-/-/932/92098343584", "https://jobs.us.pwc.com/job/-/-/932/92098343584")</f>
        <v/>
      </c>
      <c r="G298" t="inlineStr">
        <is>
          <t>Raleigh, NC, US</t>
        </is>
      </c>
      <c r="H298" s="2" t="n">
        <v>46076</v>
      </c>
      <c r="I298"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299">
      <c r="A299" t="inlineStr">
        <is>
          <t>in-d10475e5cb90fbdf</t>
        </is>
      </c>
      <c r="B299" t="inlineStr">
        <is>
          <t>AI Engineer - Manager</t>
        </is>
      </c>
      <c r="C299" t="inlineStr">
        <is>
          <t>PwC</t>
        </is>
      </c>
      <c r="D299" t="inlineStr">
        <is>
          <t>indeed</t>
        </is>
      </c>
      <c r="E299">
        <f>HYPERLINK("https://www.indeed.com/viewjob?jk=d10475e5cb90fbdf", "https://www.indeed.com/viewjob?jk=d10475e5cb90fbdf")</f>
        <v/>
      </c>
      <c r="F299">
        <f>HYPERLINK("https://jobs.us.pwc.com/job/-/-/932/92098343584", "https://jobs.us.pwc.com/job/-/-/932/92098343584")</f>
        <v/>
      </c>
      <c r="G299" t="inlineStr">
        <is>
          <t>St. Louis, MO, US</t>
        </is>
      </c>
      <c r="H299" s="2" t="n">
        <v>46076</v>
      </c>
      <c r="I299"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00">
      <c r="A300" t="inlineStr">
        <is>
          <t>in-0827b7eca602b6f6</t>
        </is>
      </c>
      <c r="B300" t="inlineStr">
        <is>
          <t>AI Engineer - Manager</t>
        </is>
      </c>
      <c r="C300" t="inlineStr">
        <is>
          <t>PwC</t>
        </is>
      </c>
      <c r="D300" t="inlineStr">
        <is>
          <t>indeed</t>
        </is>
      </c>
      <c r="E300">
        <f>HYPERLINK("https://www.indeed.com/viewjob?jk=0827b7eca602b6f6", "https://www.indeed.com/viewjob?jk=0827b7eca602b6f6")</f>
        <v/>
      </c>
      <c r="F300">
        <f>HYPERLINK("https://jobs.us.pwc.com/job/-/-/932/92098343584", "https://jobs.us.pwc.com/job/-/-/932/92098343584")</f>
        <v/>
      </c>
      <c r="G300" t="inlineStr">
        <is>
          <t>Baltimore, MD, US</t>
        </is>
      </c>
      <c r="H300" s="2" t="n">
        <v>46076</v>
      </c>
      <c r="I300"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01">
      <c r="A301" t="inlineStr">
        <is>
          <t>in-57b080e63f07db3d</t>
        </is>
      </c>
      <c r="B301" t="inlineStr">
        <is>
          <t>AI Engineer - Senior Associate</t>
        </is>
      </c>
      <c r="C301" t="inlineStr">
        <is>
          <t>PwC</t>
        </is>
      </c>
      <c r="D301" t="inlineStr">
        <is>
          <t>indeed</t>
        </is>
      </c>
      <c r="E301">
        <f>HYPERLINK("https://www.indeed.com/viewjob?jk=57b080e63f07db3d", "https://www.indeed.com/viewjob?jk=57b080e63f07db3d")</f>
        <v/>
      </c>
      <c r="F301">
        <f>HYPERLINK("https://jobs.us.pwc.com/job/-/-/932/92098343504", "https://jobs.us.pwc.com/job/-/-/932/92098343504")</f>
        <v/>
      </c>
      <c r="G301" t="inlineStr">
        <is>
          <t>Phoenix, AZ, US</t>
        </is>
      </c>
      <c r="H301" s="2" t="n">
        <v>46076</v>
      </c>
      <c r="I301"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02">
      <c r="A302" t="inlineStr">
        <is>
          <t>in-541bafcdc91485aa</t>
        </is>
      </c>
      <c r="B302" t="inlineStr">
        <is>
          <t>AI Engineer - Manager</t>
        </is>
      </c>
      <c r="C302" t="inlineStr">
        <is>
          <t>PwC</t>
        </is>
      </c>
      <c r="D302" t="inlineStr">
        <is>
          <t>indeed</t>
        </is>
      </c>
      <c r="E302">
        <f>HYPERLINK("https://www.indeed.com/viewjob?jk=541bafcdc91485aa", "https://www.indeed.com/viewjob?jk=541bafcdc91485aa")</f>
        <v/>
      </c>
      <c r="F302">
        <f>HYPERLINK("https://jobs.us.pwc.com/job/-/-/932/92098343584", "https://jobs.us.pwc.com/job/-/-/932/92098343584")</f>
        <v/>
      </c>
      <c r="G302" t="inlineStr">
        <is>
          <t>Columbia, SC, US</t>
        </is>
      </c>
      <c r="H302" s="2" t="n">
        <v>46076</v>
      </c>
      <c r="I302"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03">
      <c r="A303" t="inlineStr">
        <is>
          <t>in-52808214bc714274</t>
        </is>
      </c>
      <c r="B303" t="inlineStr">
        <is>
          <t>AI Engineer - Manager</t>
        </is>
      </c>
      <c r="C303" t="inlineStr">
        <is>
          <t>PwC</t>
        </is>
      </c>
      <c r="D303" t="inlineStr">
        <is>
          <t>indeed</t>
        </is>
      </c>
      <c r="E303">
        <f>HYPERLINK("https://www.indeed.com/viewjob?jk=52808214bc714274", "https://www.indeed.com/viewjob?jk=52808214bc714274")</f>
        <v/>
      </c>
      <c r="F303">
        <f>HYPERLINK("https://jobs.us.pwc.com/job/-/-/932/92098343584", "https://jobs.us.pwc.com/job/-/-/932/92098343584")</f>
        <v/>
      </c>
      <c r="G303" t="inlineStr">
        <is>
          <t>Charlotte, NC, US</t>
        </is>
      </c>
      <c r="H303" s="2" t="n">
        <v>46076</v>
      </c>
      <c r="I303"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04">
      <c r="A304" t="inlineStr">
        <is>
          <t>in-3f42853269d4f371</t>
        </is>
      </c>
      <c r="B304" t="inlineStr">
        <is>
          <t>AI Engineer - Manager</t>
        </is>
      </c>
      <c r="C304" t="inlineStr">
        <is>
          <t>PwC</t>
        </is>
      </c>
      <c r="D304" t="inlineStr">
        <is>
          <t>indeed</t>
        </is>
      </c>
      <c r="E304">
        <f>HYPERLINK("https://www.indeed.com/viewjob?jk=3f42853269d4f371", "https://www.indeed.com/viewjob?jk=3f42853269d4f371")</f>
        <v/>
      </c>
      <c r="F304">
        <f>HYPERLINK("https://jobs.us.pwc.com/job/-/-/932/92098343584", "https://jobs.us.pwc.com/job/-/-/932/92098343584")</f>
        <v/>
      </c>
      <c r="G304" t="inlineStr">
        <is>
          <t>Rosemont, IL, US</t>
        </is>
      </c>
      <c r="H304" s="2" t="n">
        <v>46076</v>
      </c>
      <c r="I304"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05">
      <c r="A305" t="inlineStr">
        <is>
          <t>in-09849051e5d501b3</t>
        </is>
      </c>
      <c r="B305" t="inlineStr">
        <is>
          <t>AI Engineer - Manager</t>
        </is>
      </c>
      <c r="C305" t="inlineStr">
        <is>
          <t>PwC</t>
        </is>
      </c>
      <c r="D305" t="inlineStr">
        <is>
          <t>indeed</t>
        </is>
      </c>
      <c r="E305">
        <f>HYPERLINK("https://www.indeed.com/viewjob?jk=09849051e5d501b3", "https://www.indeed.com/viewjob?jk=09849051e5d501b3")</f>
        <v/>
      </c>
      <c r="F305">
        <f>HYPERLINK("https://jobs.us.pwc.com/job/-/-/932/92098343584", "https://jobs.us.pwc.com/job/-/-/932/92098343584")</f>
        <v/>
      </c>
      <c r="G305" t="inlineStr">
        <is>
          <t>Rochester, NY, US</t>
        </is>
      </c>
      <c r="H305" s="2" t="n">
        <v>46076</v>
      </c>
      <c r="I305"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06">
      <c r="A306" t="inlineStr">
        <is>
          <t>in-bd6b35aefe96571f</t>
        </is>
      </c>
      <c r="B306" t="inlineStr">
        <is>
          <t>AI Engineer - Manager</t>
        </is>
      </c>
      <c r="C306" t="inlineStr">
        <is>
          <t>PwC</t>
        </is>
      </c>
      <c r="D306" t="inlineStr">
        <is>
          <t>indeed</t>
        </is>
      </c>
      <c r="E306">
        <f>HYPERLINK("https://www.indeed.com/viewjob?jk=bd6b35aefe96571f", "https://www.indeed.com/viewjob?jk=bd6b35aefe96571f")</f>
        <v/>
      </c>
      <c r="F306">
        <f>HYPERLINK("https://jobs.us.pwc.com/job/-/-/932/92098343584", "https://jobs.us.pwc.com/job/-/-/932/92098343584")</f>
        <v/>
      </c>
      <c r="G306" t="inlineStr">
        <is>
          <t>Sacramento, CA, US</t>
        </is>
      </c>
      <c r="H306" s="2" t="n">
        <v>46076</v>
      </c>
      <c r="I306"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07">
      <c r="A307" t="inlineStr">
        <is>
          <t>in-3ad219a283046170</t>
        </is>
      </c>
      <c r="B307" t="inlineStr">
        <is>
          <t>AI Engineer - Manager</t>
        </is>
      </c>
      <c r="C307" t="inlineStr">
        <is>
          <t>PwC</t>
        </is>
      </c>
      <c r="D307" t="inlineStr">
        <is>
          <t>indeed</t>
        </is>
      </c>
      <c r="E307">
        <f>HYPERLINK("https://www.indeed.com/viewjob?jk=3ad219a283046170", "https://www.indeed.com/viewjob?jk=3ad219a283046170")</f>
        <v/>
      </c>
      <c r="F307">
        <f>HYPERLINK("https://jobs.us.pwc.com/job/-/-/932/92098343584", "https://jobs.us.pwc.com/job/-/-/932/92098343584")</f>
        <v/>
      </c>
      <c r="G307" t="inlineStr">
        <is>
          <t>Cincinnati, OH, US</t>
        </is>
      </c>
      <c r="H307" s="2" t="n">
        <v>46076</v>
      </c>
      <c r="I307"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08">
      <c r="A308" t="inlineStr">
        <is>
          <t>in-72495567a6bca3b6</t>
        </is>
      </c>
      <c r="B308" t="inlineStr">
        <is>
          <t>AI Engineer - Senior Associate</t>
        </is>
      </c>
      <c r="C308" t="inlineStr">
        <is>
          <t>PwC</t>
        </is>
      </c>
      <c r="D308" t="inlineStr">
        <is>
          <t>indeed</t>
        </is>
      </c>
      <c r="E308">
        <f>HYPERLINK("https://www.indeed.com/viewjob?jk=72495567a6bca3b6", "https://www.indeed.com/viewjob?jk=72495567a6bca3b6")</f>
        <v/>
      </c>
      <c r="F308">
        <f>HYPERLINK("https://jobs.us.pwc.com/job/-/-/932/92098343504", "https://jobs.us.pwc.com/job/-/-/932/92098343504")</f>
        <v/>
      </c>
      <c r="G308" t="inlineStr">
        <is>
          <t>Kansas City, MO, US</t>
        </is>
      </c>
      <c r="H308" s="2" t="n">
        <v>46076</v>
      </c>
      <c r="I308"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09">
      <c r="A309" t="inlineStr">
        <is>
          <t>in-0eee39b7174d59f2</t>
        </is>
      </c>
      <c r="B309" t="inlineStr">
        <is>
          <t>AI Engineer - Manager</t>
        </is>
      </c>
      <c r="C309" t="inlineStr">
        <is>
          <t>PwC</t>
        </is>
      </c>
      <c r="D309" t="inlineStr">
        <is>
          <t>indeed</t>
        </is>
      </c>
      <c r="E309">
        <f>HYPERLINK("https://www.indeed.com/viewjob?jk=0eee39b7174d59f2", "https://www.indeed.com/viewjob?jk=0eee39b7174d59f2")</f>
        <v/>
      </c>
      <c r="F309">
        <f>HYPERLINK("https://jobs.us.pwc.com/job/-/-/932/92098343584", "https://jobs.us.pwc.com/job/-/-/932/92098343584")</f>
        <v/>
      </c>
      <c r="G309" t="inlineStr">
        <is>
          <t>Dallas, TX, US</t>
        </is>
      </c>
      <c r="H309" s="2" t="n">
        <v>46076</v>
      </c>
      <c r="I309"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10">
      <c r="A310" t="inlineStr">
        <is>
          <t>in-999bf7f292b46cf7</t>
        </is>
      </c>
      <c r="B310" t="inlineStr">
        <is>
          <t>AI Engineer - Senior Associate</t>
        </is>
      </c>
      <c r="C310" t="inlineStr">
        <is>
          <t>PwC</t>
        </is>
      </c>
      <c r="D310" t="inlineStr">
        <is>
          <t>indeed</t>
        </is>
      </c>
      <c r="E310">
        <f>HYPERLINK("https://www.indeed.com/viewjob?jk=999bf7f292b46cf7", "https://www.indeed.com/viewjob?jk=999bf7f292b46cf7")</f>
        <v/>
      </c>
      <c r="F310">
        <f>HYPERLINK("https://jobs.us.pwc.com/job/-/-/932/92098343504", "https://jobs.us.pwc.com/job/-/-/932/92098343504")</f>
        <v/>
      </c>
      <c r="G310" t="inlineStr">
        <is>
          <t>New York, NY, US</t>
        </is>
      </c>
      <c r="H310" s="2" t="n">
        <v>46076</v>
      </c>
      <c r="I310"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11">
      <c r="A311" t="inlineStr">
        <is>
          <t>in-1d66736b11665e56</t>
        </is>
      </c>
      <c r="B311" t="inlineStr">
        <is>
          <t>AI Engineer - Manager</t>
        </is>
      </c>
      <c r="C311" t="inlineStr">
        <is>
          <t>PwC</t>
        </is>
      </c>
      <c r="D311" t="inlineStr">
        <is>
          <t>indeed</t>
        </is>
      </c>
      <c r="E311">
        <f>HYPERLINK("https://www.indeed.com/viewjob?jk=1d66736b11665e56", "https://www.indeed.com/viewjob?jk=1d66736b11665e56")</f>
        <v/>
      </c>
      <c r="F311">
        <f>HYPERLINK("https://jobs.us.pwc.com/job/-/-/932/92098343584", "https://jobs.us.pwc.com/job/-/-/932/92098343584")</f>
        <v/>
      </c>
      <c r="G311" t="inlineStr">
        <is>
          <t>Columbus, OH, US</t>
        </is>
      </c>
      <c r="H311" s="2" t="n">
        <v>46076</v>
      </c>
      <c r="I311"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Business Application Consulting team you will design and implement innovative data architecture strategies that meet current and future business needs. As a Manager you will lead teams and manage client accounts, focusing on strategic planning and mentoring junior staff while driving project success and maintaining exceptional standards. This role offers the chance to enhance your leadership style, motivate and inspire others, and embrace technology and innovation to deliver remarkable results.
Responsibilities
* Foster a culture of innovation and technology adoption within the team
* Analyze complex data systems to identify improvement opportunities
* Develop strategic plans that support team and client goals
* Encourage collaboration and open communication among team members
What You Must Have
* Bachelor's Degree
* 7 years of experience
What Sets You Apart
* Preferred field(s) of study: Computer Science, Computer and Information Science, Information Technology, Management Information Systems preferred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Demonstrating proficiency in data architecture strategies
* Developing and documenting data models and architecture guidelines
* Working with stakeholders to translate data requirements
* Building and optimizing ETL/ELT pipelines for data processing
* Implementing data integration solutions using cloud services
* Monitoring and troubleshooting data workflows for quality
* Knowledge of data governance and security practices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12">
      <c r="A312" t="inlineStr">
        <is>
          <t>in-b3120e7c4fd17cb8</t>
        </is>
      </c>
      <c r="B312" t="inlineStr">
        <is>
          <t>AI Engineer - Senior Associate</t>
        </is>
      </c>
      <c r="C312" t="inlineStr">
        <is>
          <t>PwC</t>
        </is>
      </c>
      <c r="D312" t="inlineStr">
        <is>
          <t>indeed</t>
        </is>
      </c>
      <c r="E312">
        <f>HYPERLINK("https://www.indeed.com/viewjob?jk=b3120e7c4fd17cb8", "https://www.indeed.com/viewjob?jk=b3120e7c4fd17cb8")</f>
        <v/>
      </c>
      <c r="F312">
        <f>HYPERLINK("https://jobs.us.pwc.com/job/-/-/932/92098343504", "https://jobs.us.pwc.com/job/-/-/932/92098343504")</f>
        <v/>
      </c>
      <c r="G312" t="inlineStr">
        <is>
          <t>New Orleans, LA, US</t>
        </is>
      </c>
      <c r="H312" s="2" t="n">
        <v>46076</v>
      </c>
      <c r="I312"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13">
      <c r="A313" t="inlineStr">
        <is>
          <t>in-5b02bf96b70f41ce</t>
        </is>
      </c>
      <c r="B313" t="inlineStr">
        <is>
          <t>AI Engineer - Senior Associate</t>
        </is>
      </c>
      <c r="C313" t="inlineStr">
        <is>
          <t>PwC</t>
        </is>
      </c>
      <c r="D313" t="inlineStr">
        <is>
          <t>indeed</t>
        </is>
      </c>
      <c r="E313">
        <f>HYPERLINK("https://www.indeed.com/viewjob?jk=5b02bf96b70f41ce", "https://www.indeed.com/viewjob?jk=5b02bf96b70f41ce")</f>
        <v/>
      </c>
      <c r="F313">
        <f>HYPERLINK("https://jobs.us.pwc.com/job/-/-/932/92098343504", "https://jobs.us.pwc.com/job/-/-/932/92098343504")</f>
        <v/>
      </c>
      <c r="G313" t="inlineStr">
        <is>
          <t>Portland, OR, US</t>
        </is>
      </c>
      <c r="H313" s="2" t="n">
        <v>46076</v>
      </c>
      <c r="I313"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14">
      <c r="A314" t="inlineStr">
        <is>
          <t>in-a15c8597608caacd</t>
        </is>
      </c>
      <c r="B314" t="inlineStr">
        <is>
          <t>AI Engineer - Senior Associate</t>
        </is>
      </c>
      <c r="C314" t="inlineStr">
        <is>
          <t>PwC</t>
        </is>
      </c>
      <c r="D314" t="inlineStr">
        <is>
          <t>indeed</t>
        </is>
      </c>
      <c r="E314">
        <f>HYPERLINK("https://www.indeed.com/viewjob?jk=a15c8597608caacd", "https://www.indeed.com/viewjob?jk=a15c8597608caacd")</f>
        <v/>
      </c>
      <c r="F314">
        <f>HYPERLINK("https://jobs.us.pwc.com/job/-/-/932/92098343504", "https://jobs.us.pwc.com/job/-/-/932/92098343504")</f>
        <v/>
      </c>
      <c r="G314" t="inlineStr">
        <is>
          <t>Oklahoma City, OK, US</t>
        </is>
      </c>
      <c r="H314" s="2" t="n">
        <v>46076</v>
      </c>
      <c r="I314"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15">
      <c r="A315" t="inlineStr">
        <is>
          <t>in-af49b3f3698fc1e8</t>
        </is>
      </c>
      <c r="B315" t="inlineStr">
        <is>
          <t>AI Engineer - Senior Associate</t>
        </is>
      </c>
      <c r="C315" t="inlineStr">
        <is>
          <t>PwC</t>
        </is>
      </c>
      <c r="D315" t="inlineStr">
        <is>
          <t>indeed</t>
        </is>
      </c>
      <c r="E315">
        <f>HYPERLINK("https://www.indeed.com/viewjob?jk=af49b3f3698fc1e8", "https://www.indeed.com/viewjob?jk=af49b3f3698fc1e8")</f>
        <v/>
      </c>
      <c r="F315">
        <f>HYPERLINK("https://jobs.us.pwc.com/job/-/-/932/92098343504", "https://jobs.us.pwc.com/job/-/-/932/92098343504")</f>
        <v/>
      </c>
      <c r="G315" t="inlineStr">
        <is>
          <t>Montpelier, VT, US</t>
        </is>
      </c>
      <c r="H315" s="2" t="n">
        <v>46076</v>
      </c>
      <c r="I315"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16">
      <c r="A316" t="inlineStr">
        <is>
          <t>in-17f66a451dae602e</t>
        </is>
      </c>
      <c r="B316" t="inlineStr">
        <is>
          <t>AI Engineer - Senior Associate</t>
        </is>
      </c>
      <c r="C316" t="inlineStr">
        <is>
          <t>PwC</t>
        </is>
      </c>
      <c r="D316" t="inlineStr">
        <is>
          <t>indeed</t>
        </is>
      </c>
      <c r="E316">
        <f>HYPERLINK("https://www.indeed.com/viewjob?jk=17f66a451dae602e", "https://www.indeed.com/viewjob?jk=17f66a451dae602e")</f>
        <v/>
      </c>
      <c r="F316">
        <f>HYPERLINK("https://jobs.us.pwc.com/job/-/-/932/92098343504", "https://jobs.us.pwc.com/job/-/-/932/92098343504")</f>
        <v/>
      </c>
      <c r="G316" t="inlineStr">
        <is>
          <t>Little Rock, AR, US</t>
        </is>
      </c>
      <c r="H316" s="2" t="n">
        <v>46076</v>
      </c>
      <c r="I316"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17">
      <c r="A317" t="inlineStr">
        <is>
          <t>in-2ee796a49e8359d6</t>
        </is>
      </c>
      <c r="B317" t="inlineStr">
        <is>
          <t>AI Engineer - Senior Associate</t>
        </is>
      </c>
      <c r="C317" t="inlineStr">
        <is>
          <t>PwC</t>
        </is>
      </c>
      <c r="D317" t="inlineStr">
        <is>
          <t>indeed</t>
        </is>
      </c>
      <c r="E317">
        <f>HYPERLINK("https://www.indeed.com/viewjob?jk=2ee796a49e8359d6", "https://www.indeed.com/viewjob?jk=2ee796a49e8359d6")</f>
        <v/>
      </c>
      <c r="F317">
        <f>HYPERLINK("https://jobs.us.pwc.com/job/-/-/932/92098343504", "https://jobs.us.pwc.com/job/-/-/932/92098343504")</f>
        <v/>
      </c>
      <c r="G317" t="inlineStr">
        <is>
          <t>Melville, NY, US</t>
        </is>
      </c>
      <c r="H317" s="2" t="n">
        <v>46076</v>
      </c>
      <c r="I317"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18">
      <c r="A318" t="inlineStr">
        <is>
          <t>in-4a22ce222b5ad109</t>
        </is>
      </c>
      <c r="B318" t="inlineStr">
        <is>
          <t>AI Engineer - Senior Associate</t>
        </is>
      </c>
      <c r="C318" t="inlineStr">
        <is>
          <t>PwC</t>
        </is>
      </c>
      <c r="D318" t="inlineStr">
        <is>
          <t>indeed</t>
        </is>
      </c>
      <c r="E318">
        <f>HYPERLINK("https://www.indeed.com/viewjob?jk=4a22ce222b5ad109", "https://www.indeed.com/viewjob?jk=4a22ce222b5ad109")</f>
        <v/>
      </c>
      <c r="F318">
        <f>HYPERLINK("https://jobs.us.pwc.com/job/-/-/932/92098343504", "https://jobs.us.pwc.com/job/-/-/932/92098343504")</f>
        <v/>
      </c>
      <c r="G318" t="inlineStr">
        <is>
          <t>Birmingham, AL, US</t>
        </is>
      </c>
      <c r="H318" s="2" t="n">
        <v>46076</v>
      </c>
      <c r="I318"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19">
      <c r="A319" t="inlineStr">
        <is>
          <t>in-69997cfac24e5ac0</t>
        </is>
      </c>
      <c r="B319" t="inlineStr">
        <is>
          <t>AI Engineer - Senior Associate</t>
        </is>
      </c>
      <c r="C319" t="inlineStr">
        <is>
          <t>PwC</t>
        </is>
      </c>
      <c r="D319" t="inlineStr">
        <is>
          <t>indeed</t>
        </is>
      </c>
      <c r="E319">
        <f>HYPERLINK("https://www.indeed.com/viewjob?jk=69997cfac24e5ac0", "https://www.indeed.com/viewjob?jk=69997cfac24e5ac0")</f>
        <v/>
      </c>
      <c r="F319">
        <f>HYPERLINK("https://jobs.us.pwc.com/job/-/-/932/92098343504", "https://jobs.us.pwc.com/job/-/-/932/92098343504")</f>
        <v/>
      </c>
      <c r="G319" t="inlineStr">
        <is>
          <t>Nashville, TN, US</t>
        </is>
      </c>
      <c r="H319" s="2" t="n">
        <v>46076</v>
      </c>
      <c r="I319"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20">
      <c r="A320" t="inlineStr">
        <is>
          <t>in-629aa1fd99cde84d</t>
        </is>
      </c>
      <c r="B320" t="inlineStr">
        <is>
          <t>AI Engineer - Senior Associate</t>
        </is>
      </c>
      <c r="C320" t="inlineStr">
        <is>
          <t>PwC</t>
        </is>
      </c>
      <c r="D320" t="inlineStr">
        <is>
          <t>indeed</t>
        </is>
      </c>
      <c r="E320">
        <f>HYPERLINK("https://www.indeed.com/viewjob?jk=629aa1fd99cde84d", "https://www.indeed.com/viewjob?jk=629aa1fd99cde84d")</f>
        <v/>
      </c>
      <c r="F320">
        <f>HYPERLINK("https://jobs.us.pwc.com/job/-/-/932/92098343504", "https://jobs.us.pwc.com/job/-/-/932/92098343504")</f>
        <v/>
      </c>
      <c r="G320" t="inlineStr">
        <is>
          <t>Louisville, KY, US</t>
        </is>
      </c>
      <c r="H320" s="2" t="n">
        <v>46076</v>
      </c>
      <c r="I320"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21">
      <c r="A321" t="inlineStr">
        <is>
          <t>in-022c28e26b5ae5fc</t>
        </is>
      </c>
      <c r="B321" t="inlineStr">
        <is>
          <t>AI Engineer - Senior Associate</t>
        </is>
      </c>
      <c r="C321" t="inlineStr">
        <is>
          <t>PwC</t>
        </is>
      </c>
      <c r="D321" t="inlineStr">
        <is>
          <t>indeed</t>
        </is>
      </c>
      <c r="E321">
        <f>HYPERLINK("https://www.indeed.com/viewjob?jk=022c28e26b5ae5fc", "https://www.indeed.com/viewjob?jk=022c28e26b5ae5fc")</f>
        <v/>
      </c>
      <c r="F321">
        <f>HYPERLINK("https://jobs.us.pwc.com/job/-/-/932/92098343504", "https://jobs.us.pwc.com/job/-/-/932/92098343504")</f>
        <v/>
      </c>
      <c r="G321" t="inlineStr">
        <is>
          <t>Minneapolis, MN, US</t>
        </is>
      </c>
      <c r="H321" s="2" t="n">
        <v>46076</v>
      </c>
      <c r="I321"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22">
      <c r="A322" t="inlineStr">
        <is>
          <t>in-0cdb6335bad9c008</t>
        </is>
      </c>
      <c r="B322" t="inlineStr">
        <is>
          <t>AI Engineer - Senior Associate</t>
        </is>
      </c>
      <c r="C322" t="inlineStr">
        <is>
          <t>PwC</t>
        </is>
      </c>
      <c r="D322" t="inlineStr">
        <is>
          <t>indeed</t>
        </is>
      </c>
      <c r="E322">
        <f>HYPERLINK("https://www.indeed.com/viewjob?jk=0cdb6335bad9c008", "https://www.indeed.com/viewjob?jk=0cdb6335bad9c008")</f>
        <v/>
      </c>
      <c r="F322">
        <f>HYPERLINK("https://jobs.us.pwc.com/job/-/-/932/92098343504", "https://jobs.us.pwc.com/job/-/-/932/92098343504")</f>
        <v/>
      </c>
      <c r="G322" t="inlineStr">
        <is>
          <t>Fayetteville, AR, US</t>
        </is>
      </c>
      <c r="H322" s="2" t="n">
        <v>46076</v>
      </c>
      <c r="I322"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23">
      <c r="A323" t="inlineStr">
        <is>
          <t>in-4d7f97df13870169</t>
        </is>
      </c>
      <c r="B323" t="inlineStr">
        <is>
          <t>AI Engineer - Senior Associate</t>
        </is>
      </c>
      <c r="C323" t="inlineStr">
        <is>
          <t>PwC</t>
        </is>
      </c>
      <c r="D323" t="inlineStr">
        <is>
          <t>indeed</t>
        </is>
      </c>
      <c r="E323">
        <f>HYPERLINK("https://www.indeed.com/viewjob?jk=4d7f97df13870169", "https://www.indeed.com/viewjob?jk=4d7f97df13870169")</f>
        <v/>
      </c>
      <c r="F323">
        <f>HYPERLINK("https://jobs.us.pwc.com/job/-/-/932/92098343504", "https://jobs.us.pwc.com/job/-/-/932/92098343504")</f>
        <v/>
      </c>
      <c r="G323" t="inlineStr">
        <is>
          <t>Milwaukee, WI, US</t>
        </is>
      </c>
      <c r="H323" s="2" t="n">
        <v>46076</v>
      </c>
      <c r="I323"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24">
      <c r="A324" t="inlineStr">
        <is>
          <t>in-7a4b82cd9ab2a9b4</t>
        </is>
      </c>
      <c r="B324" t="inlineStr">
        <is>
          <t>AI Engineer - Senior Associate</t>
        </is>
      </c>
      <c r="C324" t="inlineStr">
        <is>
          <t>PwC</t>
        </is>
      </c>
      <c r="D324" t="inlineStr">
        <is>
          <t>indeed</t>
        </is>
      </c>
      <c r="E324">
        <f>HYPERLINK("https://www.indeed.com/viewjob?jk=7a4b82cd9ab2a9b4", "https://www.indeed.com/viewjob?jk=7a4b82cd9ab2a9b4")</f>
        <v/>
      </c>
      <c r="F324">
        <f>HYPERLINK("https://jobs.us.pwc.com/job/-/-/932/92098343504", "https://jobs.us.pwc.com/job/-/-/932/92098343504")</f>
        <v/>
      </c>
      <c r="G324" t="inlineStr">
        <is>
          <t>Miami, FL, US</t>
        </is>
      </c>
      <c r="H324" s="2" t="n">
        <v>46076</v>
      </c>
      <c r="I324"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25">
      <c r="A325" t="inlineStr">
        <is>
          <t>in-c71a379f64e26f04</t>
        </is>
      </c>
      <c r="B325" t="inlineStr">
        <is>
          <t>AI Engineer - Senior Associate</t>
        </is>
      </c>
      <c r="C325" t="inlineStr">
        <is>
          <t>PwC</t>
        </is>
      </c>
      <c r="D325" t="inlineStr">
        <is>
          <t>indeed</t>
        </is>
      </c>
      <c r="E325">
        <f>HYPERLINK("https://www.indeed.com/viewjob?jk=c71a379f64e26f04", "https://www.indeed.com/viewjob?jk=c71a379f64e26f04")</f>
        <v/>
      </c>
      <c r="F325">
        <f>HYPERLINK("https://jobs.us.pwc.com/job/-/-/932/92098343504", "https://jobs.us.pwc.com/job/-/-/932/92098343504")</f>
        <v/>
      </c>
      <c r="G325" t="inlineStr">
        <is>
          <t>Indianapolis, IN, US</t>
        </is>
      </c>
      <c r="H325" s="2" t="n">
        <v>46076</v>
      </c>
      <c r="I325"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26">
      <c r="A326" t="inlineStr">
        <is>
          <t>in-428ae0cdf8a1d0b8</t>
        </is>
      </c>
      <c r="B326" t="inlineStr">
        <is>
          <t>AI Engineer - Senior Associate</t>
        </is>
      </c>
      <c r="C326" t="inlineStr">
        <is>
          <t>PwC</t>
        </is>
      </c>
      <c r="D326" t="inlineStr">
        <is>
          <t>indeed</t>
        </is>
      </c>
      <c r="E326">
        <f>HYPERLINK("https://www.indeed.com/viewjob?jk=428ae0cdf8a1d0b8", "https://www.indeed.com/viewjob?jk=428ae0cdf8a1d0b8")</f>
        <v/>
      </c>
      <c r="F326">
        <f>HYPERLINK("https://jobs.us.pwc.com/job/-/-/932/92098343504", "https://jobs.us.pwc.com/job/-/-/932/92098343504")</f>
        <v/>
      </c>
      <c r="G326" t="inlineStr">
        <is>
          <t>Spartanburg, SC, US</t>
        </is>
      </c>
      <c r="H326" s="2" t="n">
        <v>46076</v>
      </c>
      <c r="I326"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27">
      <c r="A327" t="inlineStr">
        <is>
          <t>in-980432f7d9c2712b</t>
        </is>
      </c>
      <c r="B327" t="inlineStr">
        <is>
          <t>AI Engineer - Senior Associate</t>
        </is>
      </c>
      <c r="C327" t="inlineStr">
        <is>
          <t>PwC</t>
        </is>
      </c>
      <c r="D327" t="inlineStr">
        <is>
          <t>indeed</t>
        </is>
      </c>
      <c r="E327">
        <f>HYPERLINK("https://www.indeed.com/viewjob?jk=980432f7d9c2712b", "https://www.indeed.com/viewjob?jk=980432f7d9c2712b")</f>
        <v/>
      </c>
      <c r="F327">
        <f>HYPERLINK("https://jobs.us.pwc.com/job/-/-/932/92098343504", "https://jobs.us.pwc.com/job/-/-/932/92098343504")</f>
        <v/>
      </c>
      <c r="G327" t="inlineStr">
        <is>
          <t>Florham Park, NJ, US</t>
        </is>
      </c>
      <c r="H327" s="2" t="n">
        <v>46076</v>
      </c>
      <c r="I327"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28">
      <c r="A328" t="inlineStr">
        <is>
          <t>in-04c887230e2329f8</t>
        </is>
      </c>
      <c r="B328" t="inlineStr">
        <is>
          <t>AI Engineer - Senior Associate</t>
        </is>
      </c>
      <c r="C328" t="inlineStr">
        <is>
          <t>PwC</t>
        </is>
      </c>
      <c r="D328" t="inlineStr">
        <is>
          <t>indeed</t>
        </is>
      </c>
      <c r="E328">
        <f>HYPERLINK("https://www.indeed.com/viewjob?jk=04c887230e2329f8", "https://www.indeed.com/viewjob?jk=04c887230e2329f8")</f>
        <v/>
      </c>
      <c r="F328">
        <f>HYPERLINK("https://jobs.us.pwc.com/job/-/-/932/92098343504", "https://jobs.us.pwc.com/job/-/-/932/92098343504")</f>
        <v/>
      </c>
      <c r="G328" t="inlineStr">
        <is>
          <t>Las Vegas, NV, US</t>
        </is>
      </c>
      <c r="H328" s="2" t="n">
        <v>46076</v>
      </c>
      <c r="I328"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29">
      <c r="A329" t="inlineStr">
        <is>
          <t>in-6aefe58f5368dbe6</t>
        </is>
      </c>
      <c r="B329" t="inlineStr">
        <is>
          <t>AI Engineer - Senior Associate</t>
        </is>
      </c>
      <c r="C329" t="inlineStr">
        <is>
          <t>PwC</t>
        </is>
      </c>
      <c r="D329" t="inlineStr">
        <is>
          <t>indeed</t>
        </is>
      </c>
      <c r="E329">
        <f>HYPERLINK("https://www.indeed.com/viewjob?jk=6aefe58f5368dbe6", "https://www.indeed.com/viewjob?jk=6aefe58f5368dbe6")</f>
        <v/>
      </c>
      <c r="F329">
        <f>HYPERLINK("https://jobs.us.pwc.com/job/-/-/932/92098343504", "https://jobs.us.pwc.com/job/-/-/932/92098343504")</f>
        <v/>
      </c>
      <c r="G329" t="inlineStr">
        <is>
          <t>San Francisco, CA, US</t>
        </is>
      </c>
      <c r="H329" s="2" t="n">
        <v>46076</v>
      </c>
      <c r="I329"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30">
      <c r="A330" t="inlineStr">
        <is>
          <t>in-017a1ada026bebc5</t>
        </is>
      </c>
      <c r="B330" t="inlineStr">
        <is>
          <t>AI Engineer - Senior Associate</t>
        </is>
      </c>
      <c r="C330" t="inlineStr">
        <is>
          <t>PwC</t>
        </is>
      </c>
      <c r="D330" t="inlineStr">
        <is>
          <t>indeed</t>
        </is>
      </c>
      <c r="E330">
        <f>HYPERLINK("https://www.indeed.com/viewjob?jk=017a1ada026bebc5", "https://www.indeed.com/viewjob?jk=017a1ada026bebc5")</f>
        <v/>
      </c>
      <c r="F330">
        <f>HYPERLINK("https://jobs.us.pwc.com/job/-/-/932/92098343504", "https://jobs.us.pwc.com/job/-/-/932/92098343504")</f>
        <v/>
      </c>
      <c r="G330" t="inlineStr">
        <is>
          <t>Buffalo, NY, US</t>
        </is>
      </c>
      <c r="H330" s="2" t="n">
        <v>46076</v>
      </c>
      <c r="I330"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31">
      <c r="A331" t="inlineStr">
        <is>
          <t>in-91ea954cdddde583</t>
        </is>
      </c>
      <c r="B331" t="inlineStr">
        <is>
          <t>AI Engineer - Senior Associate</t>
        </is>
      </c>
      <c r="C331" t="inlineStr">
        <is>
          <t>PwC</t>
        </is>
      </c>
      <c r="D331" t="inlineStr">
        <is>
          <t>indeed</t>
        </is>
      </c>
      <c r="E331">
        <f>HYPERLINK("https://www.indeed.com/viewjob?jk=91ea954cdddde583", "https://www.indeed.com/viewjob?jk=91ea954cdddde583")</f>
        <v/>
      </c>
      <c r="F331">
        <f>HYPERLINK("https://jobs.us.pwc.com/job/-/-/932/92098343504", "https://jobs.us.pwc.com/job/-/-/932/92098343504")</f>
        <v/>
      </c>
      <c r="G331" t="inlineStr">
        <is>
          <t>San Antonio, TX, US</t>
        </is>
      </c>
      <c r="H331" s="2" t="n">
        <v>46076</v>
      </c>
      <c r="I331"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32">
      <c r="A332" t="inlineStr">
        <is>
          <t>in-95111db2e41c53ec</t>
        </is>
      </c>
      <c r="B332" t="inlineStr">
        <is>
          <t>AI Engineer - Senior Associate</t>
        </is>
      </c>
      <c r="C332" t="inlineStr">
        <is>
          <t>PwC</t>
        </is>
      </c>
      <c r="D332" t="inlineStr">
        <is>
          <t>indeed</t>
        </is>
      </c>
      <c r="E332">
        <f>HYPERLINK("https://www.indeed.com/viewjob?jk=95111db2e41c53ec", "https://www.indeed.com/viewjob?jk=95111db2e41c53ec")</f>
        <v/>
      </c>
      <c r="F332">
        <f>HYPERLINK("https://jobs.us.pwc.com/job/-/-/932/92098343504", "https://jobs.us.pwc.com/job/-/-/932/92098343504")</f>
        <v/>
      </c>
      <c r="G332" t="inlineStr">
        <is>
          <t>Raleigh, NC, US</t>
        </is>
      </c>
      <c r="H332" s="2" t="n">
        <v>46076</v>
      </c>
      <c r="I332"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33">
      <c r="A333" t="inlineStr">
        <is>
          <t>in-ee8a52f68d276603</t>
        </is>
      </c>
      <c r="B333" t="inlineStr">
        <is>
          <t>AI Engineer - Senior Associate</t>
        </is>
      </c>
      <c r="C333" t="inlineStr">
        <is>
          <t>PwC</t>
        </is>
      </c>
      <c r="D333" t="inlineStr">
        <is>
          <t>indeed</t>
        </is>
      </c>
      <c r="E333">
        <f>HYPERLINK("https://www.indeed.com/viewjob?jk=ee8a52f68d276603", "https://www.indeed.com/viewjob?jk=ee8a52f68d276603")</f>
        <v/>
      </c>
      <c r="F333">
        <f>HYPERLINK("https://jobs.us.pwc.com/job/-/-/932/92098343504", "https://jobs.us.pwc.com/job/-/-/932/92098343504")</f>
        <v/>
      </c>
      <c r="G333" t="inlineStr">
        <is>
          <t>Tulsa, OK, US</t>
        </is>
      </c>
      <c r="H333" s="2" t="n">
        <v>46076</v>
      </c>
      <c r="I333"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34">
      <c r="A334" t="inlineStr">
        <is>
          <t>in-0f8ac58940d304af</t>
        </is>
      </c>
      <c r="B334" t="inlineStr">
        <is>
          <t>AI Engineer - Senior Associate</t>
        </is>
      </c>
      <c r="C334" t="inlineStr">
        <is>
          <t>PwC</t>
        </is>
      </c>
      <c r="D334" t="inlineStr">
        <is>
          <t>indeed</t>
        </is>
      </c>
      <c r="E334">
        <f>HYPERLINK("https://www.indeed.com/viewjob?jk=0f8ac58940d304af", "https://www.indeed.com/viewjob?jk=0f8ac58940d304af")</f>
        <v/>
      </c>
      <c r="F334">
        <f>HYPERLINK("https://jobs.us.pwc.com/job/-/-/932/92098343504", "https://jobs.us.pwc.com/job/-/-/932/92098343504")</f>
        <v/>
      </c>
      <c r="G334" t="inlineStr">
        <is>
          <t>Austin, TX, US</t>
        </is>
      </c>
      <c r="H334" s="2" t="n">
        <v>46076</v>
      </c>
      <c r="I334"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35">
      <c r="A335" t="inlineStr">
        <is>
          <t>in-f8004e93d03287e6</t>
        </is>
      </c>
      <c r="B335" t="inlineStr">
        <is>
          <t>AI Engineer - Senior Associate</t>
        </is>
      </c>
      <c r="C335" t="inlineStr">
        <is>
          <t>PwC</t>
        </is>
      </c>
      <c r="D335" t="inlineStr">
        <is>
          <t>indeed</t>
        </is>
      </c>
      <c r="E335">
        <f>HYPERLINK("https://www.indeed.com/viewjob?jk=f8004e93d03287e6", "https://www.indeed.com/viewjob?jk=f8004e93d03287e6")</f>
        <v/>
      </c>
      <c r="F335">
        <f>HYPERLINK("https://jobs.us.pwc.com/job/-/-/932/92098343504", "https://jobs.us.pwc.com/job/-/-/932/92098343504")</f>
        <v/>
      </c>
      <c r="G335" t="inlineStr">
        <is>
          <t>Detroit, MI, US</t>
        </is>
      </c>
      <c r="H335" s="2" t="n">
        <v>46076</v>
      </c>
      <c r="I335"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36">
      <c r="A336" t="inlineStr">
        <is>
          <t>in-256a59e3a91fb649</t>
        </is>
      </c>
      <c r="B336" t="inlineStr">
        <is>
          <t>AI Engineer - Senior Associate</t>
        </is>
      </c>
      <c r="C336" t="inlineStr">
        <is>
          <t>PwC</t>
        </is>
      </c>
      <c r="D336" t="inlineStr">
        <is>
          <t>indeed</t>
        </is>
      </c>
      <c r="E336">
        <f>HYPERLINK("https://www.indeed.com/viewjob?jk=256a59e3a91fb649", "https://www.indeed.com/viewjob?jk=256a59e3a91fb649")</f>
        <v/>
      </c>
      <c r="F336">
        <f>HYPERLINK("https://jobs.us.pwc.com/job/-/-/932/92098343504", "https://jobs.us.pwc.com/job/-/-/932/92098343504")</f>
        <v/>
      </c>
      <c r="G336" t="inlineStr">
        <is>
          <t>Atlanta, GA, US</t>
        </is>
      </c>
      <c r="H336" s="2" t="n">
        <v>46076</v>
      </c>
      <c r="I336"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37">
      <c r="A337" t="inlineStr">
        <is>
          <t>in-158a31b1298add15</t>
        </is>
      </c>
      <c r="B337" t="inlineStr">
        <is>
          <t>AI Engineer - Senior Associate</t>
        </is>
      </c>
      <c r="C337" t="inlineStr">
        <is>
          <t>PwC</t>
        </is>
      </c>
      <c r="D337" t="inlineStr">
        <is>
          <t>indeed</t>
        </is>
      </c>
      <c r="E337">
        <f>HYPERLINK("https://www.indeed.com/viewjob?jk=158a31b1298add15", "https://www.indeed.com/viewjob?jk=158a31b1298add15")</f>
        <v/>
      </c>
      <c r="F337">
        <f>HYPERLINK("https://jobs.us.pwc.com/job/-/-/932/92098343504", "https://jobs.us.pwc.com/job/-/-/932/92098343504")</f>
        <v/>
      </c>
      <c r="G337" t="inlineStr">
        <is>
          <t>Cincinnati, OH, US</t>
        </is>
      </c>
      <c r="H337" s="2" t="n">
        <v>46076</v>
      </c>
      <c r="I337"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38">
      <c r="A338" t="inlineStr">
        <is>
          <t>in-f32650f49e9106bd</t>
        </is>
      </c>
      <c r="B338" t="inlineStr">
        <is>
          <t>AI Engineer - Senior Associate</t>
        </is>
      </c>
      <c r="C338" t="inlineStr">
        <is>
          <t>PwC</t>
        </is>
      </c>
      <c r="D338" t="inlineStr">
        <is>
          <t>indeed</t>
        </is>
      </c>
      <c r="E338">
        <f>HYPERLINK("https://www.indeed.com/viewjob?jk=f32650f49e9106bd", "https://www.indeed.com/viewjob?jk=f32650f49e9106bd")</f>
        <v/>
      </c>
      <c r="F338">
        <f>HYPERLINK("https://jobs.us.pwc.com/job/-/-/932/92098343504", "https://jobs.us.pwc.com/job/-/-/932/92098343504")</f>
        <v/>
      </c>
      <c r="G338" t="inlineStr">
        <is>
          <t>Rosemont, IL, US</t>
        </is>
      </c>
      <c r="H338" s="2" t="n">
        <v>46076</v>
      </c>
      <c r="I338"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39">
      <c r="A339" t="inlineStr">
        <is>
          <t>in-507617a37674b05d</t>
        </is>
      </c>
      <c r="B339" t="inlineStr">
        <is>
          <t>AI Engineer - Senior Associate</t>
        </is>
      </c>
      <c r="C339" t="inlineStr">
        <is>
          <t>PwC</t>
        </is>
      </c>
      <c r="D339" t="inlineStr">
        <is>
          <t>indeed</t>
        </is>
      </c>
      <c r="E339">
        <f>HYPERLINK("https://www.indeed.com/viewjob?jk=507617a37674b05d", "https://www.indeed.com/viewjob?jk=507617a37674b05d")</f>
        <v/>
      </c>
      <c r="F339">
        <f>HYPERLINK("https://jobs.us.pwc.com/job/-/-/932/92098343504", "https://jobs.us.pwc.com/job/-/-/932/92098343504")</f>
        <v/>
      </c>
      <c r="G339" t="inlineStr">
        <is>
          <t>Columbus, OH, US</t>
        </is>
      </c>
      <c r="H339" s="2" t="n">
        <v>46076</v>
      </c>
      <c r="I339"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40">
      <c r="A340" t="inlineStr">
        <is>
          <t>in-437dc00590032905</t>
        </is>
      </c>
      <c r="B340" t="inlineStr">
        <is>
          <t>AI Engineer - Senior Associate</t>
        </is>
      </c>
      <c r="C340" t="inlineStr">
        <is>
          <t>PwC</t>
        </is>
      </c>
      <c r="D340" t="inlineStr">
        <is>
          <t>indeed</t>
        </is>
      </c>
      <c r="E340">
        <f>HYPERLINK("https://www.indeed.com/viewjob?jk=437dc00590032905", "https://www.indeed.com/viewjob?jk=437dc00590032905")</f>
        <v/>
      </c>
      <c r="F340">
        <f>HYPERLINK("https://jobs.us.pwc.com/job/-/-/932/92098343504", "https://jobs.us.pwc.com/job/-/-/932/92098343504")</f>
        <v/>
      </c>
      <c r="G340" t="inlineStr">
        <is>
          <t>Houston, TX, US</t>
        </is>
      </c>
      <c r="H340" s="2" t="n">
        <v>46076</v>
      </c>
      <c r="I340"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41">
      <c r="A341" t="inlineStr">
        <is>
          <t>in-edaafbbb34975381</t>
        </is>
      </c>
      <c r="B341" t="inlineStr">
        <is>
          <t>AI Engineer - Senior Associate</t>
        </is>
      </c>
      <c r="C341" t="inlineStr">
        <is>
          <t>PwC</t>
        </is>
      </c>
      <c r="D341" t="inlineStr">
        <is>
          <t>indeed</t>
        </is>
      </c>
      <c r="E341">
        <f>HYPERLINK("https://www.indeed.com/viewjob?jk=edaafbbb34975381", "https://www.indeed.com/viewjob?jk=edaafbbb34975381")</f>
        <v/>
      </c>
      <c r="F341">
        <f>HYPERLINK("https://jobs.us.pwc.com/job/-/-/932/92098343504", "https://jobs.us.pwc.com/job/-/-/932/92098343504")</f>
        <v/>
      </c>
      <c r="G341" t="inlineStr">
        <is>
          <t>Stamford, CT, US</t>
        </is>
      </c>
      <c r="H341" s="2" t="n">
        <v>46076</v>
      </c>
      <c r="I341"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42">
      <c r="A342" t="inlineStr">
        <is>
          <t>in-876d142f966aefca</t>
        </is>
      </c>
      <c r="B342" t="inlineStr">
        <is>
          <t>AI Engineer - Senior Associate</t>
        </is>
      </c>
      <c r="C342" t="inlineStr">
        <is>
          <t>PwC</t>
        </is>
      </c>
      <c r="D342" t="inlineStr">
        <is>
          <t>indeed</t>
        </is>
      </c>
      <c r="E342">
        <f>HYPERLINK("https://www.indeed.com/viewjob?jk=876d142f966aefca", "https://www.indeed.com/viewjob?jk=876d142f966aefca")</f>
        <v/>
      </c>
      <c r="F342">
        <f>HYPERLINK("https://jobs.us.pwc.com/job/-/-/932/92098343504", "https://jobs.us.pwc.com/job/-/-/932/92098343504")</f>
        <v/>
      </c>
      <c r="G342" t="inlineStr">
        <is>
          <t>Jacksonville, FL, US</t>
        </is>
      </c>
      <c r="H342" s="2" t="n">
        <v>46076</v>
      </c>
      <c r="I342"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43">
      <c r="A343" t="inlineStr">
        <is>
          <t>in-9835877a10c98aee</t>
        </is>
      </c>
      <c r="B343" t="inlineStr">
        <is>
          <t>AI Engineer - Senior Associate</t>
        </is>
      </c>
      <c r="C343" t="inlineStr">
        <is>
          <t>PwC</t>
        </is>
      </c>
      <c r="D343" t="inlineStr">
        <is>
          <t>indeed</t>
        </is>
      </c>
      <c r="E343">
        <f>HYPERLINK("https://www.indeed.com/viewjob?jk=9835877a10c98aee", "https://www.indeed.com/viewjob?jk=9835877a10c98aee")</f>
        <v/>
      </c>
      <c r="F343">
        <f>HYPERLINK("https://jobs.us.pwc.com/job/-/-/932/92098343504", "https://jobs.us.pwc.com/job/-/-/932/92098343504")</f>
        <v/>
      </c>
      <c r="G343" t="inlineStr">
        <is>
          <t>Silicon Valley, CA, US</t>
        </is>
      </c>
      <c r="H343" s="2" t="n">
        <v>46076</v>
      </c>
      <c r="I343"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44">
      <c r="A344" t="inlineStr">
        <is>
          <t>in-1f22823afe9480ce</t>
        </is>
      </c>
      <c r="B344" t="inlineStr">
        <is>
          <t>AI Engineer - Senior Associate</t>
        </is>
      </c>
      <c r="C344" t="inlineStr">
        <is>
          <t>PwC</t>
        </is>
      </c>
      <c r="D344" t="inlineStr">
        <is>
          <t>indeed</t>
        </is>
      </c>
      <c r="E344">
        <f>HYPERLINK("https://www.indeed.com/viewjob?jk=1f22823afe9480ce", "https://www.indeed.com/viewjob?jk=1f22823afe9480ce")</f>
        <v/>
      </c>
      <c r="F344">
        <f>HYPERLINK("https://jobs.us.pwc.com/job/-/-/932/92098343504", "https://jobs.us.pwc.com/job/-/-/932/92098343504")</f>
        <v/>
      </c>
      <c r="G344" t="inlineStr">
        <is>
          <t>Cleveland, OH, US</t>
        </is>
      </c>
      <c r="H344" s="2" t="n">
        <v>46076</v>
      </c>
      <c r="I344"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45">
      <c r="A345" t="inlineStr">
        <is>
          <t>in-d058f793ab791ad9</t>
        </is>
      </c>
      <c r="B345" t="inlineStr">
        <is>
          <t>AI Engineer - Senior Associate</t>
        </is>
      </c>
      <c r="C345" t="inlineStr">
        <is>
          <t>PwC</t>
        </is>
      </c>
      <c r="D345" t="inlineStr">
        <is>
          <t>indeed</t>
        </is>
      </c>
      <c r="E345">
        <f>HYPERLINK("https://www.indeed.com/viewjob?jk=d058f793ab791ad9", "https://www.indeed.com/viewjob?jk=d058f793ab791ad9")</f>
        <v/>
      </c>
      <c r="F345">
        <f>HYPERLINK("https://jobs.us.pwc.com/job/-/-/932/92098343504", "https://jobs.us.pwc.com/job/-/-/932/92098343504")</f>
        <v/>
      </c>
      <c r="G345" t="inlineStr">
        <is>
          <t>Tampa, FL, US</t>
        </is>
      </c>
      <c r="H345" s="2" t="n">
        <v>46076</v>
      </c>
      <c r="I345"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46">
      <c r="A346" t="inlineStr">
        <is>
          <t>in-060479a899fc87cf</t>
        </is>
      </c>
      <c r="B346" t="inlineStr">
        <is>
          <t>AI Engineer - Senior Associate</t>
        </is>
      </c>
      <c r="C346" t="inlineStr">
        <is>
          <t>PwC</t>
        </is>
      </c>
      <c r="D346" t="inlineStr">
        <is>
          <t>indeed</t>
        </is>
      </c>
      <c r="E346">
        <f>HYPERLINK("https://www.indeed.com/viewjob?jk=060479a899fc87cf", "https://www.indeed.com/viewjob?jk=060479a899fc87cf")</f>
        <v/>
      </c>
      <c r="F346">
        <f>HYPERLINK("https://jobs.us.pwc.com/job/-/-/932/92098343504", "https://jobs.us.pwc.com/job/-/-/932/92098343504")</f>
        <v/>
      </c>
      <c r="G346" t="inlineStr">
        <is>
          <t>Denver, CO, US</t>
        </is>
      </c>
      <c r="H346" s="2" t="n">
        <v>46076</v>
      </c>
      <c r="I346"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47">
      <c r="A347" t="inlineStr">
        <is>
          <t>in-c9027423eeb81609</t>
        </is>
      </c>
      <c r="B347" t="inlineStr">
        <is>
          <t>AI Engineer - Senior Associate</t>
        </is>
      </c>
      <c r="C347" t="inlineStr">
        <is>
          <t>PwC</t>
        </is>
      </c>
      <c r="D347" t="inlineStr">
        <is>
          <t>indeed</t>
        </is>
      </c>
      <c r="E347">
        <f>HYPERLINK("https://www.indeed.com/viewjob?jk=c9027423eeb81609", "https://www.indeed.com/viewjob?jk=c9027423eeb81609")</f>
        <v/>
      </c>
      <c r="F347">
        <f>HYPERLINK("https://jobs.us.pwc.com/job/-/-/932/92098343504", "https://jobs.us.pwc.com/job/-/-/932/92098343504")</f>
        <v/>
      </c>
      <c r="G347" t="inlineStr">
        <is>
          <t>Fort Worth, TX, US</t>
        </is>
      </c>
      <c r="H347" s="2" t="n">
        <v>46076</v>
      </c>
      <c r="I347"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48">
      <c r="A348" t="inlineStr">
        <is>
          <t>in-6a2a564de80049d8</t>
        </is>
      </c>
      <c r="B348" t="inlineStr">
        <is>
          <t>AI Engineer - Senior Associate</t>
        </is>
      </c>
      <c r="C348" t="inlineStr">
        <is>
          <t>PwC</t>
        </is>
      </c>
      <c r="D348" t="inlineStr">
        <is>
          <t>indeed</t>
        </is>
      </c>
      <c r="E348">
        <f>HYPERLINK("https://www.indeed.com/viewjob?jk=6a2a564de80049d8", "https://www.indeed.com/viewjob?jk=6a2a564de80049d8")</f>
        <v/>
      </c>
      <c r="F348">
        <f>HYPERLINK("https://jobs.us.pwc.com/job/-/-/932/92098343504", "https://jobs.us.pwc.com/job/-/-/932/92098343504")</f>
        <v/>
      </c>
      <c r="G348" t="inlineStr">
        <is>
          <t>St. Louis, MO, US</t>
        </is>
      </c>
      <c r="H348" s="2" t="n">
        <v>46076</v>
      </c>
      <c r="I348"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49">
      <c r="A349" t="inlineStr">
        <is>
          <t>in-29c6e5a38ec77fda</t>
        </is>
      </c>
      <c r="B349" t="inlineStr">
        <is>
          <t>AI Engineer - Senior Associate</t>
        </is>
      </c>
      <c r="C349" t="inlineStr">
        <is>
          <t>PwC</t>
        </is>
      </c>
      <c r="D349" t="inlineStr">
        <is>
          <t>indeed</t>
        </is>
      </c>
      <c r="E349">
        <f>HYPERLINK("https://www.indeed.com/viewjob?jk=29c6e5a38ec77fda", "https://www.indeed.com/viewjob?jk=29c6e5a38ec77fda")</f>
        <v/>
      </c>
      <c r="F349">
        <f>HYPERLINK("https://jobs.us.pwc.com/job/-/-/932/92098343504", "https://jobs.us.pwc.com/job/-/-/932/92098343504")</f>
        <v/>
      </c>
      <c r="G349" t="inlineStr">
        <is>
          <t>Seattle, WA, US</t>
        </is>
      </c>
      <c r="H349" s="2" t="n">
        <v>46076</v>
      </c>
      <c r="I349"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50">
      <c r="A350" t="inlineStr">
        <is>
          <t>in-36e13be20ee83ddb</t>
        </is>
      </c>
      <c r="B350" t="inlineStr">
        <is>
          <t>AI Engineer - Senior Associate</t>
        </is>
      </c>
      <c r="C350" t="inlineStr">
        <is>
          <t>PwC</t>
        </is>
      </c>
      <c r="D350" t="inlineStr">
        <is>
          <t>indeed</t>
        </is>
      </c>
      <c r="E350">
        <f>HYPERLINK("https://www.indeed.com/viewjob?jk=36e13be20ee83ddb", "https://www.indeed.com/viewjob?jk=36e13be20ee83ddb")</f>
        <v/>
      </c>
      <c r="F350">
        <f>HYPERLINK("https://jobs.us.pwc.com/job/-/-/932/92098343504", "https://jobs.us.pwc.com/job/-/-/932/92098343504")</f>
        <v/>
      </c>
      <c r="G350" t="inlineStr">
        <is>
          <t>Des Moines, IA, US</t>
        </is>
      </c>
      <c r="H350" s="2" t="n">
        <v>46076</v>
      </c>
      <c r="I350"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51">
      <c r="A351" t="inlineStr">
        <is>
          <t>in-9149fedc2dbc8ffc</t>
        </is>
      </c>
      <c r="B351" t="inlineStr">
        <is>
          <t>AI Engineer - Senior Associate</t>
        </is>
      </c>
      <c r="C351" t="inlineStr">
        <is>
          <t>PwC</t>
        </is>
      </c>
      <c r="D351" t="inlineStr">
        <is>
          <t>indeed</t>
        </is>
      </c>
      <c r="E351">
        <f>HYPERLINK("https://www.indeed.com/viewjob?jk=9149fedc2dbc8ffc", "https://www.indeed.com/viewjob?jk=9149fedc2dbc8ffc")</f>
        <v/>
      </c>
      <c r="F351">
        <f>HYPERLINK("https://jobs.us.pwc.com/job/-/-/932/92098343504", "https://jobs.us.pwc.com/job/-/-/932/92098343504")</f>
        <v/>
      </c>
      <c r="G351" t="inlineStr">
        <is>
          <t>Salt Lake City, UT, US</t>
        </is>
      </c>
      <c r="H351" s="2" t="n">
        <v>46076</v>
      </c>
      <c r="I351"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52">
      <c r="A352" t="inlineStr">
        <is>
          <t>in-72bfc016f12e83f0</t>
        </is>
      </c>
      <c r="B352" t="inlineStr">
        <is>
          <t>AI Engineer - Senior Associate</t>
        </is>
      </c>
      <c r="C352" t="inlineStr">
        <is>
          <t>PwC</t>
        </is>
      </c>
      <c r="D352" t="inlineStr">
        <is>
          <t>indeed</t>
        </is>
      </c>
      <c r="E352">
        <f>HYPERLINK("https://www.indeed.com/viewjob?jk=72bfc016f12e83f0", "https://www.indeed.com/viewjob?jk=72bfc016f12e83f0")</f>
        <v/>
      </c>
      <c r="F352">
        <f>HYPERLINK("https://jobs.us.pwc.com/job/-/-/932/92098343504", "https://jobs.us.pwc.com/job/-/-/932/92098343504")</f>
        <v/>
      </c>
      <c r="G352" t="inlineStr">
        <is>
          <t>Irvine, CA, US</t>
        </is>
      </c>
      <c r="H352" s="2" t="n">
        <v>46076</v>
      </c>
      <c r="I352"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53">
      <c r="A353" t="inlineStr">
        <is>
          <t>in-cd5e106fc8645ef7</t>
        </is>
      </c>
      <c r="B353" t="inlineStr">
        <is>
          <t>AI Engineer - Senior Associate</t>
        </is>
      </c>
      <c r="C353" t="inlineStr">
        <is>
          <t>PwC</t>
        </is>
      </c>
      <c r="D353" t="inlineStr">
        <is>
          <t>indeed</t>
        </is>
      </c>
      <c r="E353">
        <f>HYPERLINK("https://www.indeed.com/viewjob?jk=cd5e106fc8645ef7", "https://www.indeed.com/viewjob?jk=cd5e106fc8645ef7")</f>
        <v/>
      </c>
      <c r="F353">
        <f>HYPERLINK("https://jobs.us.pwc.com/job/-/-/932/92098343504", "https://jobs.us.pwc.com/job/-/-/932/92098343504")</f>
        <v/>
      </c>
      <c r="G353" t="inlineStr">
        <is>
          <t>Hartford, CT, US</t>
        </is>
      </c>
      <c r="H353" s="2" t="n">
        <v>46076</v>
      </c>
      <c r="I353"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54">
      <c r="A354" t="inlineStr">
        <is>
          <t>in-512bac5a4bf13e58</t>
        </is>
      </c>
      <c r="B354" t="inlineStr">
        <is>
          <t>AI Engineer - Senior Associate</t>
        </is>
      </c>
      <c r="C354" t="inlineStr">
        <is>
          <t>PwC</t>
        </is>
      </c>
      <c r="D354" t="inlineStr">
        <is>
          <t>indeed</t>
        </is>
      </c>
      <c r="E354">
        <f>HYPERLINK("https://www.indeed.com/viewjob?jk=512bac5a4bf13e58", "https://www.indeed.com/viewjob?jk=512bac5a4bf13e58")</f>
        <v/>
      </c>
      <c r="F354">
        <f>HYPERLINK("https://jobs.us.pwc.com/job/-/-/932/92098343504", "https://jobs.us.pwc.com/job/-/-/932/92098343504")</f>
        <v/>
      </c>
      <c r="G354" t="inlineStr">
        <is>
          <t>Richmond, VA, US</t>
        </is>
      </c>
      <c r="H354" s="2" t="n">
        <v>46076</v>
      </c>
      <c r="I354"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55">
      <c r="A355" t="inlineStr">
        <is>
          <t>in-4a4e65a2495ac5e1</t>
        </is>
      </c>
      <c r="B355" t="inlineStr">
        <is>
          <t>AI Engineer - Senior Associate</t>
        </is>
      </c>
      <c r="C355" t="inlineStr">
        <is>
          <t>PwC</t>
        </is>
      </c>
      <c r="D355" t="inlineStr">
        <is>
          <t>indeed</t>
        </is>
      </c>
      <c r="E355">
        <f>HYPERLINK("https://www.indeed.com/viewjob?jk=4a4e65a2495ac5e1", "https://www.indeed.com/viewjob?jk=4a4e65a2495ac5e1")</f>
        <v/>
      </c>
      <c r="F355">
        <f>HYPERLINK("https://jobs.us.pwc.com/job/-/-/932/92098343504", "https://jobs.us.pwc.com/job/-/-/932/92098343504")</f>
        <v/>
      </c>
      <c r="G355" t="inlineStr">
        <is>
          <t>Grand Rapids, MI, US</t>
        </is>
      </c>
      <c r="H355" s="2" t="n">
        <v>46076</v>
      </c>
      <c r="I355"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56">
      <c r="A356" t="inlineStr">
        <is>
          <t>in-982214696cff405d</t>
        </is>
      </c>
      <c r="B356" t="inlineStr">
        <is>
          <t>AI Engineer - Senior Associate</t>
        </is>
      </c>
      <c r="C356" t="inlineStr">
        <is>
          <t>PwC</t>
        </is>
      </c>
      <c r="D356" t="inlineStr">
        <is>
          <t>indeed</t>
        </is>
      </c>
      <c r="E356">
        <f>HYPERLINK("https://www.indeed.com/viewjob?jk=982214696cff405d", "https://www.indeed.com/viewjob?jk=982214696cff405d")</f>
        <v/>
      </c>
      <c r="F356">
        <f>HYPERLINK("https://jobs.us.pwc.com/job/-/-/932/92098343504", "https://jobs.us.pwc.com/job/-/-/932/92098343504")</f>
        <v/>
      </c>
      <c r="G356" t="inlineStr">
        <is>
          <t>Toledo, OH, US</t>
        </is>
      </c>
      <c r="H356" s="2" t="n">
        <v>46076</v>
      </c>
      <c r="I356"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57">
      <c r="A357" t="inlineStr">
        <is>
          <t>in-003cdb85d5f83a01</t>
        </is>
      </c>
      <c r="B357" t="inlineStr">
        <is>
          <t>AI Engineer - Senior Associate</t>
        </is>
      </c>
      <c r="C357" t="inlineStr">
        <is>
          <t>PwC</t>
        </is>
      </c>
      <c r="D357" t="inlineStr">
        <is>
          <t>indeed</t>
        </is>
      </c>
      <c r="E357">
        <f>HYPERLINK("https://www.indeed.com/viewjob?jk=003cdb85d5f83a01", "https://www.indeed.com/viewjob?jk=003cdb85d5f83a01")</f>
        <v/>
      </c>
      <c r="F357">
        <f>HYPERLINK("https://jobs.us.pwc.com/job/-/-/932/92098343504", "https://jobs.us.pwc.com/job/-/-/932/92098343504")</f>
        <v/>
      </c>
      <c r="G357" t="inlineStr">
        <is>
          <t>Columbia, SC, US</t>
        </is>
      </c>
      <c r="H357" s="2" t="n">
        <v>46076</v>
      </c>
      <c r="I357"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58">
      <c r="A358" t="inlineStr">
        <is>
          <t>in-11ea2fe091a7dc1f</t>
        </is>
      </c>
      <c r="B358" t="inlineStr">
        <is>
          <t>AI Engineer - Senior Associate</t>
        </is>
      </c>
      <c r="C358" t="inlineStr">
        <is>
          <t>PwC</t>
        </is>
      </c>
      <c r="D358" t="inlineStr">
        <is>
          <t>indeed</t>
        </is>
      </c>
      <c r="E358">
        <f>HYPERLINK("https://www.indeed.com/viewjob?jk=11ea2fe091a7dc1f", "https://www.indeed.com/viewjob?jk=11ea2fe091a7dc1f")</f>
        <v/>
      </c>
      <c r="F358">
        <f>HYPERLINK("https://jobs.us.pwc.com/job/-/-/932/92098343504", "https://jobs.us.pwc.com/job/-/-/932/92098343504")</f>
        <v/>
      </c>
      <c r="G358" t="inlineStr">
        <is>
          <t>Washington, DC, US</t>
        </is>
      </c>
      <c r="H358" s="2" t="n">
        <v>46076</v>
      </c>
      <c r="I358"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59">
      <c r="A359" t="inlineStr">
        <is>
          <t>in-264e9c0309626ab4</t>
        </is>
      </c>
      <c r="B359" t="inlineStr">
        <is>
          <t>AI Engineer - Senior Associate</t>
        </is>
      </c>
      <c r="C359" t="inlineStr">
        <is>
          <t>PwC</t>
        </is>
      </c>
      <c r="D359" t="inlineStr">
        <is>
          <t>indeed</t>
        </is>
      </c>
      <c r="E359">
        <f>HYPERLINK("https://www.indeed.com/viewjob?jk=264e9c0309626ab4", "https://www.indeed.com/viewjob?jk=264e9c0309626ab4")</f>
        <v/>
      </c>
      <c r="F359">
        <f>HYPERLINK("https://jobs.us.pwc.com/job/-/-/932/92098343504", "https://jobs.us.pwc.com/job/-/-/932/92098343504")</f>
        <v/>
      </c>
      <c r="G359" t="inlineStr">
        <is>
          <t>Boston, MA, US</t>
        </is>
      </c>
      <c r="H359" s="2" t="n">
        <v>46076</v>
      </c>
      <c r="I359"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60">
      <c r="A360" t="inlineStr">
        <is>
          <t>in-99c1c8fc5cea4bdb</t>
        </is>
      </c>
      <c r="B360" t="inlineStr">
        <is>
          <t>AI Engineer - Senior Associate</t>
        </is>
      </c>
      <c r="C360" t="inlineStr">
        <is>
          <t>PwC</t>
        </is>
      </c>
      <c r="D360" t="inlineStr">
        <is>
          <t>indeed</t>
        </is>
      </c>
      <c r="E360">
        <f>HYPERLINK("https://www.indeed.com/viewjob?jk=99c1c8fc5cea4bdb", "https://www.indeed.com/viewjob?jk=99c1c8fc5cea4bdb")</f>
        <v/>
      </c>
      <c r="F360">
        <f>HYPERLINK("https://jobs.us.pwc.com/job/-/-/932/92098343504", "https://jobs.us.pwc.com/job/-/-/932/92098343504")</f>
        <v/>
      </c>
      <c r="G360" t="inlineStr">
        <is>
          <t>Baltimore, MD, US</t>
        </is>
      </c>
      <c r="H360" s="2" t="n">
        <v>46076</v>
      </c>
      <c r="I360"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61">
      <c r="A361" t="inlineStr">
        <is>
          <t>in-59179effe27fc6d6</t>
        </is>
      </c>
      <c r="B361" t="inlineStr">
        <is>
          <t>AI Engineer - Senior Associate</t>
        </is>
      </c>
      <c r="C361" t="inlineStr">
        <is>
          <t>PwC</t>
        </is>
      </c>
      <c r="D361" t="inlineStr">
        <is>
          <t>indeed</t>
        </is>
      </c>
      <c r="E361">
        <f>HYPERLINK("https://www.indeed.com/viewjob?jk=59179effe27fc6d6", "https://www.indeed.com/viewjob?jk=59179effe27fc6d6")</f>
        <v/>
      </c>
      <c r="F361">
        <f>HYPERLINK("https://jobs.us.pwc.com/job/-/-/932/92098343504", "https://jobs.us.pwc.com/job/-/-/932/92098343504")</f>
        <v/>
      </c>
      <c r="G361" t="inlineStr">
        <is>
          <t>Greensboro, NC, US</t>
        </is>
      </c>
      <c r="H361" s="2" t="n">
        <v>46076</v>
      </c>
      <c r="I361"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62">
      <c r="A362" t="inlineStr">
        <is>
          <t>in-34ec549bae805da0</t>
        </is>
      </c>
      <c r="B362" t="inlineStr">
        <is>
          <t>AI Engineer - Senior Associate</t>
        </is>
      </c>
      <c r="C362" t="inlineStr">
        <is>
          <t>PwC</t>
        </is>
      </c>
      <c r="D362" t="inlineStr">
        <is>
          <t>indeed</t>
        </is>
      </c>
      <c r="E362">
        <f>HYPERLINK("https://www.indeed.com/viewjob?jk=34ec549bae805da0", "https://www.indeed.com/viewjob?jk=34ec549bae805da0")</f>
        <v/>
      </c>
      <c r="F362">
        <f>HYPERLINK("https://jobs.us.pwc.com/job/-/-/932/92098343504", "https://jobs.us.pwc.com/job/-/-/932/92098343504")</f>
        <v/>
      </c>
      <c r="G362" t="inlineStr">
        <is>
          <t>Albany, NY, US</t>
        </is>
      </c>
      <c r="H362" s="2" t="n">
        <v>46076</v>
      </c>
      <c r="I362"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63">
      <c r="A363" t="inlineStr">
        <is>
          <t>in-c1ffbabc4bd96ea7</t>
        </is>
      </c>
      <c r="B363" t="inlineStr">
        <is>
          <t>AI Engineer - Senior Associate</t>
        </is>
      </c>
      <c r="C363" t="inlineStr">
        <is>
          <t>PwC</t>
        </is>
      </c>
      <c r="D363" t="inlineStr">
        <is>
          <t>indeed</t>
        </is>
      </c>
      <c r="E363">
        <f>HYPERLINK("https://www.indeed.com/viewjob?jk=c1ffbabc4bd96ea7", "https://www.indeed.com/viewjob?jk=c1ffbabc4bd96ea7")</f>
        <v/>
      </c>
      <c r="F363">
        <f>HYPERLINK("https://jobs.us.pwc.com/job/-/-/932/92098343504", "https://jobs.us.pwc.com/job/-/-/932/92098343504")</f>
        <v/>
      </c>
      <c r="G363" t="inlineStr">
        <is>
          <t>Charlotte, NC, US</t>
        </is>
      </c>
      <c r="H363" s="2" t="n">
        <v>46076</v>
      </c>
      <c r="I363"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64">
      <c r="A364" t="inlineStr">
        <is>
          <t>in-a84dfddc8b1d02a5</t>
        </is>
      </c>
      <c r="B364" t="inlineStr">
        <is>
          <t>AI Engineer - Senior Associate</t>
        </is>
      </c>
      <c r="C364" t="inlineStr">
        <is>
          <t>PwC</t>
        </is>
      </c>
      <c r="D364" t="inlineStr">
        <is>
          <t>indeed</t>
        </is>
      </c>
      <c r="E364">
        <f>HYPERLINK("https://www.indeed.com/viewjob?jk=a84dfddc8b1d02a5", "https://www.indeed.com/viewjob?jk=a84dfddc8b1d02a5")</f>
        <v/>
      </c>
      <c r="F364">
        <f>HYPERLINK("https://jobs.us.pwc.com/job/-/-/932/92098343504", "https://jobs.us.pwc.com/job/-/-/932/92098343504")</f>
        <v/>
      </c>
      <c r="G364" t="inlineStr">
        <is>
          <t>Dallas, TX, US</t>
        </is>
      </c>
      <c r="H364" s="2" t="n">
        <v>46076</v>
      </c>
      <c r="I364"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65">
      <c r="A365" t="inlineStr">
        <is>
          <t>in-cc8504ee2f22292d</t>
        </is>
      </c>
      <c r="B365" t="inlineStr">
        <is>
          <t>AI Engineer - Senior Associate</t>
        </is>
      </c>
      <c r="C365" t="inlineStr">
        <is>
          <t>PwC</t>
        </is>
      </c>
      <c r="D365" t="inlineStr">
        <is>
          <t>indeed</t>
        </is>
      </c>
      <c r="E365">
        <f>HYPERLINK("https://www.indeed.com/viewjob?jk=cc8504ee2f22292d", "https://www.indeed.com/viewjob?jk=cc8504ee2f22292d")</f>
        <v/>
      </c>
      <c r="F365">
        <f>HYPERLINK("https://jobs.us.pwc.com/job/-/-/932/92098343504", "https://jobs.us.pwc.com/job/-/-/932/92098343504")</f>
        <v/>
      </c>
      <c r="G365" t="inlineStr">
        <is>
          <t>Sacramento, CA, US</t>
        </is>
      </c>
      <c r="H365" s="2" t="n">
        <v>46076</v>
      </c>
      <c r="I365"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66">
      <c r="A366" t="inlineStr">
        <is>
          <t>in-bfb58c10c2914c5b</t>
        </is>
      </c>
      <c r="B366" t="inlineStr">
        <is>
          <t>AI Engineer - Senior Associate</t>
        </is>
      </c>
      <c r="C366" t="inlineStr">
        <is>
          <t>PwC</t>
        </is>
      </c>
      <c r="D366" t="inlineStr">
        <is>
          <t>indeed</t>
        </is>
      </c>
      <c r="E366">
        <f>HYPERLINK("https://www.indeed.com/viewjob?jk=bfb58c10c2914c5b", "https://www.indeed.com/viewjob?jk=bfb58c10c2914c5b")</f>
        <v/>
      </c>
      <c r="F366">
        <f>HYPERLINK("https://jobs.us.pwc.com/job/-/-/932/92098343504", "https://jobs.us.pwc.com/job/-/-/932/92098343504")</f>
        <v/>
      </c>
      <c r="G366" t="inlineStr">
        <is>
          <t>Rochester, NY, US</t>
        </is>
      </c>
      <c r="H366" s="2" t="n">
        <v>46076</v>
      </c>
      <c r="I366"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67">
      <c r="A367" t="inlineStr">
        <is>
          <t>in-b5e35eb90937b088</t>
        </is>
      </c>
      <c r="B367" t="inlineStr">
        <is>
          <t>AI Engineer - Senior Associate</t>
        </is>
      </c>
      <c r="C367" t="inlineStr">
        <is>
          <t>PwC</t>
        </is>
      </c>
      <c r="D367" t="inlineStr">
        <is>
          <t>indeed</t>
        </is>
      </c>
      <c r="E367">
        <f>HYPERLINK("https://www.indeed.com/viewjob?jk=b5e35eb90937b088", "https://www.indeed.com/viewjob?jk=b5e35eb90937b088")</f>
        <v/>
      </c>
      <c r="F367">
        <f>HYPERLINK("https://jobs.us.pwc.com/job/-/-/932/92098343504", "https://jobs.us.pwc.com/job/-/-/932/92098343504")</f>
        <v/>
      </c>
      <c r="G367" t="inlineStr">
        <is>
          <t>San Diego, CA, US</t>
        </is>
      </c>
      <c r="H367" s="2" t="n">
        <v>46076</v>
      </c>
      <c r="I367"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68">
      <c r="A368" t="inlineStr">
        <is>
          <t>in-28f3437e0f7968c9</t>
        </is>
      </c>
      <c r="B368" t="inlineStr">
        <is>
          <t>AI Engineer - Senior Associate</t>
        </is>
      </c>
      <c r="C368" t="inlineStr">
        <is>
          <t>PwC</t>
        </is>
      </c>
      <c r="D368" t="inlineStr">
        <is>
          <t>indeed</t>
        </is>
      </c>
      <c r="E368">
        <f>HYPERLINK("https://www.indeed.com/viewjob?jk=28f3437e0f7968c9", "https://www.indeed.com/viewjob?jk=28f3437e0f7968c9")</f>
        <v/>
      </c>
      <c r="F368">
        <f>HYPERLINK("https://jobs.us.pwc.com/job/-/-/932/92098343504", "https://jobs.us.pwc.com/job/-/-/932/92098343504")</f>
        <v/>
      </c>
      <c r="G368" t="inlineStr">
        <is>
          <t>Chicago, IL, US</t>
        </is>
      </c>
      <c r="H368" s="2" t="n">
        <v>46076</v>
      </c>
      <c r="I368" t="inlineStr">
        <is>
          <t>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In Oracle data and analytics at PwC, you will utilise Oracle's suite of tools and technologies to work with data and derive insights from it. You will be responsible for tasks such as data collection, data cleansing, data transformation, data modelling, data visualisation, and data analysis using Oracle tools like Oracle Database, Oracle Analytics Cloud, Oracle Data Integrator, Oracle Data Visualization, and Oracle Machine Learning.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Business Application Consulting team you will develop innovative AI solutions that drive business transformation. As a Senior Associate, you will analyze complex problems, mentor junior team members, and build meaningful client relationships while navigating the intricacies of AI technologies and cloud infrastructure. This role offers a unique chance to deepen your technical proficiency and enhance your personal brand in a rapidly evolving field.
Responsibilities
* Build and nurture sturdy relationships with clients
* Enhance technical proficiency in rapidly changing landscape
* Contribute to the growth of personal branding within the industry
* Work with cross\-functional teams to drive project success
What You Must Have
* Bachelor's Degree
* 4 years of experience
What Sets You Apart
* Certification(s) preferred: AWS Certified Solutions Architect, AWS Data Engineer, Google Professional Cloud Architect, Oracle Cloud Infrastructure OCI, GCP Data Engineer Microsoft Certified: Azure Solutions Architect Expert, Azure Data Engineer Associate, Snowflake Core, Snowflake Databricks Data Engineer Associate
* Proven experience in Python and AI solutions
* Demonstrating proficiency in UI design and development
* Building modular, scalable applications with Python
* Utilizing AI orchestration and automation frameworks
* Managing container orchestration with Kubernetes
* Understanding data pipelines and integration patterns
* AWS Certified Solutions Architect preferred
* Google Professional Cloud Architect preferred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  
\#LI\-Hybrid</t>
        </is>
      </c>
    </row>
    <row r="369">
      <c r="A369" t="inlineStr">
        <is>
          <t>in-f836fc84892ec33f</t>
        </is>
      </c>
      <c r="B369" t="inlineStr">
        <is>
          <t>Machine Learning Engineer</t>
        </is>
      </c>
      <c r="C369" t="inlineStr">
        <is>
          <t>CVS Health</t>
        </is>
      </c>
      <c r="D369" t="inlineStr">
        <is>
          <t>indeed</t>
        </is>
      </c>
      <c r="E369">
        <f>HYPERLINK("https://www.indeed.com/viewjob?jk=f836fc84892ec33f", "https://www.indeed.com/viewjob?jk=f836fc84892ec33f")</f>
        <v/>
      </c>
      <c r="F369">
        <f>HYPERLINK("https://click.appcast.io/t/tkOQ5BmuwazkZAnClbJJFu2TW_TAxHT3AD6EH8Z3u24=", "https://click.appcast.io/t/tkOQ5BmuwazkZAnClbJJFu2TW_TAxHT3AD6EH8Z3u24=")</f>
        <v/>
      </c>
      <c r="G369" t="inlineStr">
        <is>
          <t>New York, NY, US</t>
        </is>
      </c>
      <c r="H369" s="2" t="n">
        <v>46077</v>
      </c>
      <c r="I369"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**About the Role**
At CVS Health, we’re reshaping the future of CRM Marketing through AI\-driven optimization and decision\-making to better serve millions of customers nationwide. We’re looking for a **Machine Learning Engineer** to help build and scale the next generation of data science and AI products in the journey. In this role, you’ll leverage your engineering background and expertise in ML to work on complex technical problems, build new features, and improve existing products. Your solutions will impact tens of millions of customers, influencing how they manage their health and everyday purchases.
Collaborating closely with data science, data engineering, marketing, operations, and other cross\-functional teams, you’ll architect, develop, deploy, and operationalize ML systems that transform first\-party data and measurement signals into reliable decision engines \- reducing cycle times, increasing impact, and enabling closed\-loop, in\-flight optimization. You will also continuously improve model deployment pipelines, strengthening ML infrastructure, and integrating emerging AI technologies into real business workflows.
If you are excited by hard problems, large scale of data and systems, and shipping models that actually get used, this is the job.
**What You’ll Do**
* Architect, design, build, and test end to end pipelines leveraging artificial intelligence, machine learning, reinforcement learning to drive CRM Marketing optimization and automation including customer targeting, content recommendation, frequency optimization, propensity, uplift and LTV models etc.
* Implement CICD for ML including automated testing, model versioning, monitoring, and orchestration for models in production
* Lead the design of Agentic AI solutions to marketing workflow automation, optimize ML infrastructure, and guide the development of data preparation and model optimization strategies.
* Collaborate with Data Science, Engineering, and business teams to turn prototypes into production\-ready solutions that meet business needs and drive measurable outcomes
* Provide technical leadership on complex projects. Mentor other engineers and data scientists in best practices, code quality, and scalable architecture. Influence our ML and data roadmap.
**What We’re Looking For**
**Must\-Have**
* 3\+ years of hands\-on experience developing machine learning systems in production environment
* 3\+ years of Python programming experience. Familiarity with ML frameworks (e.g., PyTorch, TensorFlow) and MLOps platforms (e.g., Kubeflow, Vertex)
* 2\+ years of SQL experience working with large\-scale data (e.g., Snowflake, BigQuery)
* 2\+ years of leading design and architecture of new and existing system experience
* Strong background in one or more of the following: reinforcement learning, causal inference, LLM, MCP
* Experience as a mentor or tech lead
* Ability to work and influence cross\-functionally with strong communication skills
**Preferred**
* Proficiency with full\-stack framework (e.g, Node.js, React)
* Experience with real time scoring using tools like Spark, Kafka, Airflow
* Solid backend engineering skills in Python, including APIs and data modeling
* A/B testing and experimentation experience
**Education**
* Bachelor’s degree in Computer Science, Engineering, Math, Statistics, or related field (or equivalent experience)
* Master’s degree preferred
**Anticipated Weekly Hours**
40**Time Type**
Full time**Pay Range**
The typical pay range for this role is:
$86,520\.00 \- $173,040\.00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03/29/2026
Qualified applicants with arrest or conviction records will be considered for employment in accordance with all federal, state and local laws.</t>
        </is>
      </c>
    </row>
    <row r="370">
      <c r="A370" t="inlineStr">
        <is>
          <t>in-67e260954602eecc</t>
        </is>
      </c>
      <c r="B370" t="inlineStr">
        <is>
          <t>Identity AI / ML Engineer</t>
        </is>
      </c>
      <c r="C370" t="inlineStr">
        <is>
          <t>Openkyber</t>
        </is>
      </c>
      <c r="D370" t="inlineStr">
        <is>
          <t>indeed</t>
        </is>
      </c>
      <c r="E370">
        <f>HYPERLINK("https://www.indeed.com/viewjob?jk=67e260954602eecc", "https://www.indeed.com/viewjob?jk=67e260954602eecc")</f>
        <v/>
      </c>
      <c r="F370">
        <f>HYPERLINK("https://candidateportalnew.ceipal.com/job-details/LLuRihrnBrIqTuzMp-zYvf5lb4jSt9Umh0njZYpE0Zk#.job_boards.Indeed", "https://candidateportalnew.ceipal.com/job-details/LLuRihrnBrIqTuzMp-zYvf5lb4jSt9Umh0njZYpE0Zk#.job_boards.Indeed")</f>
        <v/>
      </c>
      <c r="G370" t="inlineStr">
        <is>
          <t>AK, US</t>
        </is>
      </c>
      <c r="H370" s="2" t="n">
        <v>46077</v>
      </c>
      <c r="I370" t="inlineStr">
        <is>
          <t>This is OpenKyber from OpenKyber. We currently have an opportunity with one of our direct clients and would like to share the details with you. Please review the information below and let me know if you are interested. If you would like to be considered, kindly share your updated resume at Job Title: Lead AI/ML Engineer GL 29 Location: Remote Contract \- W2 Only Primary Responsibilities: AI Project Execution \&amp; Delivery: Lead the end\-to\-end execution of high\-priority AI/ML projects, ensuring they are delivered on time, within budget, and to the highest technical standards. Translate the enterprise AI strategy and product roadmaps into detailed project plans, technical specifications, and actionable backlogs for engineering teams. Serve as the primary technical point of contact for project stakeholders, managing dependencies, mitigating risks, and communicating progress effectively. RAG Decision Clarity\- Ability to design, implement, and explain complete GenAI/RAG solutions independently, from business problem to production deployment, strong understanding of when to use RAG and when not to, ability to justify design choices instead of using GenAI by default. Embedding \&amp; Vector Search Expertise Hands\-on experience with embedding models, vector dimensions, similarity metrics, and internal workings of vector databases. Chunking \&amp; Context preservation\- expertise in multiple chunking strategies with clear understanding of context loss and mitigation techniques. Metadata vs Semantic search Understanding\- clear distinction between metadata\-based filtering and semantic retrieval, and ability to apply each appropriately. Agentic Architecture Ability to design agent workflows with clearly defined responsibilities, avoids unnecessary or misaligned use of agents. Multimodal document processing\- experience in handling texts, tables, and images. AI Governance \&amp; AIRB Facilitation: Manage the day\-to\-day operations of the AI Review Board (AIRB) submission process, acting as a hands\-on guide for Data Science and product teams. Facilitate the preparation of all required documentation for AIRB reviews, ensuring submissions are complete, clear, and proactively address potential ethical, compliance, and technical concerns. Implement and enforce the governance framework, ensuring teams adhere to established standards and best practices for responsible AI. Team Leadership \&amp; Technical Mentorship: Provide direct line management, technical leadership, and mentorship to a team of senior AI/ML Engineers and Data Scientists. Foster a culture of engineering excellence, collaboration, and continuous improvement within the team and enterprise. Conduct code reviews, design sessions, and technical deep dives to ensure the quality, scalability, and robustness of AI solutions. Hands\-on MLOps \&amp; Engineering Practice: Drive the practical implementation of the MLOps strategy, directly overseeing the construction and optimization of CI/CD pipelines for AI/ML systems using tools like GitHub Actions. Enforce rigorous engineering hygiene, including version control for code, data, and models (Git, DVC), and the application of Infrastructure as Code (IaC) principles. Lead the technical implementation of production monitoring solutions to track model performance, identify drift, and ensure the long\-term reliability of deployed AI systems. Required Qualifications: Proven AI/ML Leadership: 10\-15 years of experience in the AI/ML field, with at least 4\-5 years in a leadership or management role leading technical teams in the delivery of complex AI solutions. Experience with AI Governance: Direct, hands\-on experience successfully navigating an internal AI ethics, risk, or governance review process for multiple projects. Strong Project Management Skills: Demonstrated ability to manage complex technical projects from conception to deployment, with expertise in agile methodologies. Expertise in the ML Lifecycle: Deep, practical knowledge of the entire machine learning lifecycle, from data acquisition and feature engineering to model deployment and post\-launch monitoring. Hands\-on MLOps Experience: Proven experience building and managing CI/CD pipelines and MLOps workflows for machine learning. Strong Technical Foundation: Proficient in Python, common ML frameworks (e.g., TensorFlow, PyTorch, scikit\-learn), and cloud platforms (AWS, Azure, or Google Cloud Platform). Preferred Qualifications: Advanced Degree: A Master's or Ph.D. in a relevant quantitative field. Healthcare Domain Experience: Experience developing and deploying AI/ML solutions within a healthcare or other highly regulated environment. Product Mindset: Experience working closely with product managers to define and deliver AI\-powered features and products. Expertise in GenAI Operations: Specific experience in the operational challenges of deploying and managing LLM\-based applications in production. Mentorship and Talent Development: A passion for coaching and developing technical talent, with a track record of growing senior engineers into tech leads. Educational Qualifications: Required \- Bachelor's degree in Computer Science, Information Technology, Computer Engineering or closely related or equivalent. Preferred \- Master's degree in Management Information Systems (MIS), Computer Science, Big Data or Analytics or equivalent. Travel: Open to travel based up on the nature of the engagement. Thanks \&amp; Regards OpenKyber Sr. Talent Acquisition Specialist (w): (E): 2260 Haggerty Road, Suite 285 Northville, MI 48167 Equal Employment Opportunity OpenKyber employment does not discriminate on the basis of race, religion, gender, sexual orientation, age or any other basis as covered by federal, state, or local law. Employment decisions are based solely on qualifications, merit and business needs.
**For applications and inquiries, contact:** hirings@openkyber.com</t>
        </is>
      </c>
    </row>
    <row r="371">
      <c r="A371" t="inlineStr">
        <is>
          <t>in-3e157ff608452ead</t>
        </is>
      </c>
      <c r="B371" t="inlineStr">
        <is>
          <t>Identity AI / ML Engineer</t>
        </is>
      </c>
      <c r="C371" t="inlineStr">
        <is>
          <t>Openkyber</t>
        </is>
      </c>
      <c r="D371" t="inlineStr">
        <is>
          <t>indeed</t>
        </is>
      </c>
      <c r="E371">
        <f>HYPERLINK("https://www.indeed.com/viewjob?jk=3e157ff608452ead", "https://www.indeed.com/viewjob?jk=3e157ff608452ead")</f>
        <v/>
      </c>
      <c r="F371">
        <f>HYPERLINK("https://candidateportalnew.ceipal.com/job-details/VgHRA3ldQgZuZxItICOeP1_Eace_uBaC1tHE6ogMtjs#.job_boards.Indeed", "https://candidateportalnew.ceipal.com/job-details/VgHRA3ldQgZuZxItICOeP1_Eace_uBaC1tHE6ogMtjs#.job_boards.Indeed")</f>
        <v/>
      </c>
      <c r="G371" t="inlineStr">
        <is>
          <t>AK, US</t>
        </is>
      </c>
      <c r="H371" s="2" t="n">
        <v>46077</v>
      </c>
      <c r="I371" t="inlineStr">
        <is>
          <t>Position Purpose We are seeking a highly skilled Senior AI Engineer to join our ML/AI team, focusing on the exploration and implementation of Machine Learning, Generative AI, and other innovative technologies. This role will be instrumental in building interfaces that expose the use of AI technologies. The ideal candidate for this role is a seasoned full\-stack software engineer with a passion for innovation and a track record of integrating AI into real\-world applications. This candidate brings extensive experience in building scalable, event\-driven systems over the web, leveraging classical AI mechanisms such as using transformers, invoking them for inferences, and returning data formatted back to clients. Proficiency in cloud platforms, particularly Google Cloud Platform (Google Cloud Platform), is essential. Additionally, they should be familiar with dynamic real\-time APIs, using cloud functions, Kubernetes, Cloud Run, or similar technologies. With a collaborative mindset, this individual thrives in a team environment, working closely with a lead engineer, product owner, and data scientist to deliver high\-quality solutions. Proficiency in Python for back\-end development is essential, ensuring seamless integration across the stack. Excellent communication skills and a knack for problem\-solving effectively contribute to the team's success by translating complex technical concepts into actionable strategies. Responsibilities : Independent Execution: Demonstrate the ability to execute tasks and projects independently, driving them from inception to completion with minimal supervision. Exhibit self\-reliance and resourcefulness in problem\-solving, leveraging technical expertise to overcome challenges effectively. Take ownership of assigned responsibilities and deliverables, ensuring they are completed accurately and on schedule. Design and whiteboard solutions, collaborating with the team to develop and implement innovative approaches. Cloud Solutions Development: Take an active role in the design and implementation of Cloud solutions, particularly on Google Cloud Platform (Google Cloud Platform) and Vertex AI, for assigned projects or components within the team. Guide the full lifecycle of development, from initial design to production deployment, ensuring quality and efficiency. Design and whiteboard solutions, collaborating with the team to develop and implement innovative approaches. Experience with dynamic event driven APIs, utilizing technologies such as Cloud Functions, Kubernetes, Cloud Run, or similar platforms. Continuous Learning and Improvement: Stay abreast of emerging technologies and industry trends to evolve the team's capabilities continually. Foster a culture of curiosity and learning, encouraging experimentation and growth. Requirements : Bachelor's degree in Computer Science, Engineering, or related field. Minimum of 5 years of experience in back\-end software development, with a strong focus on Python, Cloud solutions and development\-to\-production lifecycle. Proficient in a Cloud Platform (Google Cloud Platform is a plus). Hands\-on experience in building/deploying resilient event driven solutions. Passion for learning and applying new technologies, with the ability to inspire and drive innovation within the team. Excellent communication, collaboration, and problem\-solving skills. Experience with AI is a plus. Experience with deploying and supporting Machine Learning/Large Language Models a plus.
**For applications and inquiries, contact:** hirings@openkyber.com</t>
        </is>
      </c>
    </row>
    <row r="372">
      <c r="A372" t="inlineStr">
        <is>
          <t>in-9aa5154b6fa49141</t>
        </is>
      </c>
      <c r="B372" t="inlineStr">
        <is>
          <t>Identity AI / ML Engineer</t>
        </is>
      </c>
      <c r="C372" t="inlineStr">
        <is>
          <t>Openkyber</t>
        </is>
      </c>
      <c r="D372" t="inlineStr">
        <is>
          <t>indeed</t>
        </is>
      </c>
      <c r="E372">
        <f>HYPERLINK("https://www.indeed.com/viewjob?jk=9aa5154b6fa49141", "https://www.indeed.com/viewjob?jk=9aa5154b6fa49141")</f>
        <v/>
      </c>
      <c r="F372">
        <f>HYPERLINK("https://candidateportalnew.ceipal.com/job-details/QHycqY4Hu5mNfqT3F3MKBbUszRoMYfhlmJGIMDBPVI8#.job_boards.Indeed", "https://candidateportalnew.ceipal.com/job-details/QHycqY4Hu5mNfqT3F3MKBbUszRoMYfhlmJGIMDBPVI8#.job_boards.Indeed")</f>
        <v/>
      </c>
      <c r="G372" t="inlineStr">
        <is>
          <t>AK, US</t>
        </is>
      </c>
      <c r="H372" s="2" t="n">
        <v>46077</v>
      </c>
      <c r="I372" t="inlineStr">
        <is>
          <t>Senior Python Engineer / Senior AI ML Engineer Birmingham, AL Long term Contract Position Purpose We are seeking a highly skilled Senior AI Engineer to join our ML/AI team, focusing on the exploration and implementation of Machine Learning, Generative AI, and other innovative technologies. This role will be instrumental in building interfaces that expose the use of AI technologies. The ideal candidate for this role is a seasoned full\-stack software engineer with a passion for innovation and a track record of integrating AI into real\-world applications. This candidate brings extensive experience in building scalable, event\-driven systems over the web, leveraging classical AI mechanisms such as using transformers, invoking them for inferences, and returning data formatted back to clients. Proficiency in cloud platforms, particularly Google Cloud Platform (Google Cloud Platform), is essential. Additionally, they should be familiar with dynamic real\-time APIs, using cloud functions, Kubernetes, Cloud Run, or similar technologies. With a collaborative mindset, this individual thrives in a team environment, working closely with a lead engineer, product owner, and data scientist to deliver high\-quality solutions. Proficiency in Python for back\-end development is essential, ensuring seamless integration across the stack. Excellent communication skills and a knack for problem\-solving effectively contribute to the team's success by translating complex technical concepts into actionable strategies. Responsibilities : Independent Execution: Demonstrate the ability to execute tasks and projects independently, driving them from inception to completion with minimal supervision. Exhibit self\-reliance and resourcefulness in problem\-solving, leveraging technical expertise to overcome challenges effectively. Take ownership of assigned responsibilities and deliverables, ensuring they are completed accurately and on schedule. Design and whiteboard solutions, collaborating with the team to develop and implement innovative approaches. Cloud Solutions Development: Take an active role in the design and implementation of Cloud solutions, particularly on Google Cloud Platform (Google Cloud Platform) and Vertex AI, for assigned projects or components within the team. Guide the full lifecycle of development, from initial design to production deployment, ensuring quality and efficiency. Design and whiteboard solutions, collaborating with the team to develop and implement innovative approaches. Experience with dynamic event driven APIs, utilizing technologies such as Cloud Functions, Kubernetes, Cloud Run, or similar platforms. Continuous Learning and Improvement: Stay abreast of emerging technologies and industry trends to evolve the team's capabilities continually. Foster a culture of curiosity and learning, encouraging experimentation and growth. Requirements : Bachelor's degree in Computer Science, Engineering, or related field. Minimum of 5 years of experience in back\-end software development, with a strong focus on Python, Cloud solutions and development\-to\-production lifecycle. Proficient in a Cloud Platform (Google Cloud Platform is a plus). Hands\-on experience in building/deploying resilient event driven solutions. Passion for learning and applying new technologies, with the ability to inspire and drive innovation within the team. Excellent communication, collaboration, and problem\-solving skills. Experience with AI is a plus. Experience with deploying and supporting Machine Learning/Large Language Models a plus.
**For applications and inquiries, contact:** hirings@openkyber.com</t>
        </is>
      </c>
    </row>
    <row r="373">
      <c r="A373" t="inlineStr">
        <is>
          <t>in-1a28d6b16a1f5de1</t>
        </is>
      </c>
      <c r="B373" t="inlineStr">
        <is>
          <t>Staff AI Engineer</t>
        </is>
      </c>
      <c r="C373" t="inlineStr">
        <is>
          <t>Openkyber</t>
        </is>
      </c>
      <c r="D373" t="inlineStr">
        <is>
          <t>indeed</t>
        </is>
      </c>
      <c r="E373">
        <f>HYPERLINK("https://www.indeed.com/viewjob?jk=1a28d6b16a1f5de1", "https://www.indeed.com/viewjob?jk=1a28d6b16a1f5de1")</f>
        <v/>
      </c>
      <c r="F373">
        <f>HYPERLINK("https://candidateportalnew.ceipal.com/job-details/0ppB09bpN-YW1dc3qDaWQghCsQOs9sInDzkuRbt8p8E#.job_boards.Indeed", "https://candidateportalnew.ceipal.com/job-details/0ppB09bpN-YW1dc3qDaWQghCsQOs9sInDzkuRbt8p8E#.job_boards.Indeed")</f>
        <v/>
      </c>
      <c r="G373" t="inlineStr">
        <is>
          <t>AK, US</t>
        </is>
      </c>
      <c r="H373" s="2" t="n">
        <v>46077</v>
      </c>
      <c r="I373" t="inlineStr">
        <is>
          <t>**Title: Lead ML Engineer Location: Remote Duration: 6 Months \+ Job Description**
We are seeking a highly skilled and communicative Machine Learning Engineer (8\+ years of experience) to join our AI team. In this role, you will bridge the gap between cutting\-edge AI research and practical, user\-facing applications. You will be responsible for designing, building, and deploying Generative AI models (LLMs, Diffusion Models) to solve complex business problems, while effectively communicating technical advancements to non\-technical stakeholders. The ideal candidate is both a hands\-on coder passionate about ML, Gen AI and a proactive collaborator who excels at explaining complex AI concepts to diverse teams.
**Roles \&amp; Responsibilities Key Responsibilities**
* GenAI Development: Architect, fine\-tune, and deploy Large Language Models (LLMs) and Generative AI techniques (e.g., RAG, PEFT/SFT) to improve business applications.
* Production Deployment: Build and maintain high\-performance, scalable ML pipelines and GPU\-based inference systems in cloud environments (AWS/Google Cloud Platform/Azure).
* Collaboration \&amp; Communication: Work closely with product managers, data scientists, and engineers to translate business requirements into technical specifications.
* Stakeholder Engagement: Clearly present AI methodologies, performance results, and technical trade\-offs to non\-technical stakeholders and leadership.
* Model Optimization: Implement prompt engineering, adversarial testing, and model optimization strategies to ensure high\-quality, efficient, and safe outputs.
* Stay Updated: Actively keep up with the latest advancements in GenAI research and incorporate them into our production systems.
* Team and project Coordination: Define project scope, timelines, deliverables, success metrics, co\-ordinate with and guide offshore technical team on project deliverables.
**Required Skills \&amp; Qualifications**
* Experience: 10\+ years of experience as an ML Engineer, with at least 1\-2 years dedicated to Generative AI or NLP projects, and good experience on AWS cloud platform.
* Technical Expertise: Strong proficiency in Python, and IDEs such as Cursor/AWS Kiro, deep learning frameworks (PyTorch or TensorFlow or), utilizing GitHub co\-pilot etc.
* GenAI Proficiency: Hands\-on experience with LLMs (e.g., GPT\-4, Llama), RAG architectures, LangChain, Vector Databases, Knowledge graphs, and Agentic AI
* MLOps and LLM Ops: Familiarity with Docker, Kubernetes, and CI/CD tools for ML.
* AWS Skills: S3, Lambda, Glue, AWS Sage maker, and AWS Bedrock platform
* Communication Skills: Excellent verbal and written communication skills; ability to articulate complex technical concepts simply.
* Stakeholder Management: Able to collaborate with key business/client stakeholders and manage their expectations
* Problem\-Solving: Proven ability to work independently in a fast\-paced environment and troubleshoot issues.
**Preferred Qualifications**
* Engineering degree in computer science or equivalent, and relevant certification in Machine learning
* Experience in banking or financial services domain Payments industry.
**For applications and inquiries, contact:** hirings@openkyber.com</t>
        </is>
      </c>
    </row>
    <row r="374">
      <c r="A374" t="inlineStr">
        <is>
          <t>in-bd00aaacf52a8fb2</t>
        </is>
      </c>
      <c r="B374" t="inlineStr">
        <is>
          <t>Senior Applied Scientist</t>
        </is>
      </c>
      <c r="C374" t="inlineStr">
        <is>
          <t>Microsoft</t>
        </is>
      </c>
      <c r="D374" t="inlineStr">
        <is>
          <t>indeed</t>
        </is>
      </c>
      <c r="E374">
        <f>HYPERLINK("https://www.indeed.com/viewjob?jk=bd00aaacf52a8fb2", "https://www.indeed.com/viewjob?jk=bd00aaacf52a8fb2")</f>
        <v/>
      </c>
      <c r="F374">
        <f>HYPERLINK("https://apply.careers.microsoft.com/careers/job/1970393556769383?utm_source=indeed&amp;domain=microsoft.com", "https://apply.careers.microsoft.com/careers/job/1970393556769383?utm_source=indeed&amp;domain=microsoft.com")</f>
        <v/>
      </c>
      <c r="G374" t="inlineStr">
        <is>
          <t>Redmond, WA, US</t>
        </is>
      </c>
      <c r="H374" s="2" t="n">
        <v>46072</v>
      </c>
      <c r="I374" t="inlineStr">
        <is>
          <t>**Overview**  
You’ll join the asset generation team in Microsoft AI focusing on image and video retrieval, recommendation and generation. You will build core generative AI solutions that power customer\-facing AI solutions and services for Microsoft Advertising at Bing platforms. In this role, you’ll combine solid computer vision skills with applied ML expertise to design, prototype, evaluate and ship production systems—using techniques like knowledge distillation, prompt engineering, reinforcement learning, image/video processing and rigorous evaluation/metrics to continuously improve image and video asset qualities. You’ll partner closely across product, research, and service engineering to deliver the innovative and robust solutions for enterprise customers.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Research, develop, and build effective and innovative production\-grade generative AI and classical computer vision systems, with end\-to\-end ownership from concept through deployment and service operations.
* Lead technical design for core GenAI capabilities on image and video assets (e.g., image and video generation, super\-resolution and summarization) and make data\-driven tradeoffs across quality, latency, cost, and safety.
* Define and improve model and system quality using evaluation frameworks, experiment design, and metric evaluation; ensure robust testing and regression coverage.
* Collaborate with the partner teams to build solutions that meet enterprise requirements and align with customer needs and make business impact.
**Qualifications** **Required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**Preferred Qualifications:**
* Master's Degree in Statistics, Econometrics, Computer Science, Electrical or Computer Engineering, or related field AND 6\+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 Demonstrated solid modelling skills in training and inferencing on online and offline computer vision models and related performance optimization for latency and artifact.
* Experience with prompt engineering, knowledge distillation and post\-training.
* Experience building and shipping generative AI systems (including image and video systems).
* Familiarity with compliance and security standards in enterprise AI solutions.
* Track record of delivering enterprise\-facing AI products at scale.
* Experience building and operating ML/AI systems in cloud environments; familiarity with MLOps practices (Azure a plus).
* Experience in publishing papers in top\-tier computer vision and machine learning conferences such as CVPR, ICML, ICCV, Neurips and ICLR.
\#MicrosoftAI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375">
      <c r="A375" t="inlineStr">
        <is>
          <t>in-570bd35f5b52b0c6</t>
        </is>
      </c>
      <c r="B375" t="inlineStr">
        <is>
          <t>Principal Applied Scientist</t>
        </is>
      </c>
      <c r="C375" t="inlineStr">
        <is>
          <t>Microsoft</t>
        </is>
      </c>
      <c r="D375" t="inlineStr">
        <is>
          <t>indeed</t>
        </is>
      </c>
      <c r="E375">
        <f>HYPERLINK("https://www.indeed.com/viewjob?jk=570bd35f5b52b0c6", "https://www.indeed.com/viewjob?jk=570bd35f5b52b0c6")</f>
        <v/>
      </c>
      <c r="F375">
        <f>HYPERLINK("https://apply.careers.microsoft.com/careers/job/1970393556761673?utm_source=indeed&amp;domain=microsoft.com", "https://apply.careers.microsoft.com/careers/job/1970393556761673?utm_source=indeed&amp;domain=microsoft.com")</f>
        <v/>
      </c>
      <c r="G375" t="inlineStr">
        <is>
          <t>Redmond, WA, US</t>
        </is>
      </c>
      <c r="H375" s="2" t="n">
        <v>46071</v>
      </c>
      <c r="I375" t="inlineStr">
        <is>
          <t>**Overview**  
As a **Principal** **Applied Scientist** on the Copilot Agentic Security team, you will serve as a **scientific and technical leader** advancing the foundations that secure Microsoft’s agentic and autonomous AI systems. You will define **what to measure, how to measure it, and how to validate mitigations at scale**, shaping how Copilot evaluates and reduces real‑world security risk.
You will operate across the full security lifecycle—**attack simulation threat pattern discovery mitigation design empirical validation continuous measurement**—with ownership of **end‑to‑end evaluation strategies** rather than isolated experiments. Your work informs **durable, reusable defenses** that integrate into Copilot’s orchestration layers, shared services, and emerging agents.
At IC6, success is not only producing strong scientific artifacts, but **setting scientific direction**, influencing engineering and security strategy, and ensuring that mitigation decisions are grounded in **objective evidence, robust metrics, and reproducible methodology**.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**Scientific Leadership \&amp; Direction**
* Lead the **design of scientific approaches** for evaluating agentic security risks, including defining metrics, experimental methodology, and validation criteria.
* Serve as a **scientific authority** for how Copilot measures security quality, mitigation effectiveness, and residual risk over time.
* Identify gaps in existing evaluation approaches and **invent new methodologies** where current techniques are insufficient.
**Applied Modeling \&amp; Experimentation**
* Develop and apply advanced techniques in **machine learning, generative modeling, and empirical evaluation** to identify and characterize risks in agentic and autonomous systems.
* Build **reproducible experiments, datasets, and scorecards** that quantify system vulnerabilities and mitigation performance across realistic threat scenarios.
* Investigate **model behaviors, failure modes, and threat classes** emerging from MSRC cases, red‑team exercises, and internal adversarial testing.
**Evaluation \&amp; Risk Measurement**
* Design and operate **end‑to‑end evaluation pipelines** that measure agentic security quality across Copilot orchestration components and shared services.
* Translate top security risks into **measurable scientific requirements**, evaluation rubrics, and success criteria aligned with Copilot’s protection lifecycle.
* Use telemetry and real‑world signals to **continuously tune scoring functions, alerting thresholds, and validation loops**.
**Mitigation Science \&amp; Validation**
* Partner with engineering and adversarial testing to close the loop from **threat discovery mitigation design empirical validation**.
* Prototype and validate mitigation approaches, balancing **security effectiveness, model behavior, system performance, COGS, and latency**.
* Analyze incidents and vulnerability reports to **generalize categorical mitigations** that eliminate classes of threats rather than single exploits.
**Cross‑Functional Influence**
* Work closely with engineering to ensure scientific outputs are **operationalized into production‑grade services and reusable platform components**.
* Collaborate with PM/TPM and partner security teams (e.g., MSRC, Microsoft AI Security, Azure Security) to align scientific insights with roadmap decisions.
* Communicate findings, tradeoffs, and impact clearly to **senior engineering leadership and stakeholders**.
**Qualifications** **Required Qualifications:**
* Bachelor's Degree in Statistics, Econometrics, Computer Science, Electrical or Computer Engineering, or related field AND 6\+ years related experience (e.g., statistics, predictive analytics, research)
	+ OR Master's Degree in Statistics, Econometrics, Computer Science, Electrical or Computer Engineering, or related field AND 4\+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 **Experience designing and executing scientific experiments** for complex, real‑world systems, including defining metrics, evaluation methodology, and validation criteria.
* **Experience building or applying ML models or statistical techniques** to analyze system behavior, detect failure modes, or evaluate mitigation effectiveness.
* **Proficiency in one or more programming languages** such as **Python**, **C\+\+**, **C\#**, or **Java**, including building reproducible analysis or evaluation pipelines.
* **Experience designing or evaluating algorithms, metrics, datasets, or data pipelines** used to assess system quality, safety, or security.
* Ability to meet **Microsoft, customer, and/or government security screening requirements**.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Master's Degree in Statistics, Econometrics, Computer Science, Electrical or Computer Engineering, or related field AND 9\+ years related experience (e.g., statistics, predictive analytics, research)
	+ OR Doctorate in Statistics, Econometrics, Computer Science, Electrical or Computer Engineering, or related field AND 6\+ years related experience (e.g., statistics, predictive analytics, research)
	+ OR equivalent experience.
* 5\+ years experience creating publications (e.g., patents, libraries, peer\-reviewed academic papers).
* 2\+ years experience presenting at conferences or other events in the outside research/industry community as an invited speaker.
* 5\+ years experience conducting research as part of a research program (in academic or industry settings).
* 3\+ years experience developing and deploying live production systems, as part of a product team.
* 3\+ years experience developing and deploying products or systems at multiple points in the product cycle from ideation to shipping.
* Ability to operate effectively in **highly ambiguous, fast‑evolving security environments**, particularly those involving autonomous or generative AI systems.
* Willingness to engage deeply across organizational boundaries to drive durable security outcomes.
* Work‑site requirements vary by location and follow organizational guidance.
* This role may involve working with **sensitive or confidential AI model data** in accordance with Microsoft Responsible AI and Security policies.
\#DataScience,\# AppliedScience, \#Copilot, \#LLM, \#Agent, \#Security  
Applied Sciences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376">
      <c r="A376" t="inlineStr">
        <is>
          <t>in-26f540a821d7d2a6</t>
        </is>
      </c>
      <c r="B376" t="inlineStr">
        <is>
          <t>Principal Applied Scientist</t>
        </is>
      </c>
      <c r="C376" t="inlineStr">
        <is>
          <t>Microsoft</t>
        </is>
      </c>
      <c r="D376" t="inlineStr">
        <is>
          <t>indeed</t>
        </is>
      </c>
      <c r="E376">
        <f>HYPERLINK("https://www.indeed.com/viewjob?jk=26f540a821d7d2a6", "https://www.indeed.com/viewjob?jk=26f540a821d7d2a6")</f>
        <v/>
      </c>
      <c r="F376">
        <f>HYPERLINK("https://apply.careers.microsoft.com/careers/job/1970393556756300?utm_source=indeed&amp;domain=microsoft.com", "https://apply.careers.microsoft.com/careers/job/1970393556756300?utm_source=indeed&amp;domain=microsoft.com")</f>
        <v/>
      </c>
      <c r="G376" t="inlineStr">
        <is>
          <t>US</t>
        </is>
      </c>
      <c r="H376" s="2" t="n">
        <v>46069</v>
      </c>
      <c r="I376"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Our team builds and operates the end\-to\-end measurement stack for Microsoft Security’s AI agents. We build and collaborate with industry on security domain benchmarks for foundation model comparisons, empowering product teams to build at the frontier edge of AI while driving progress in model research and development. We build rigorous evaluations of complete agentic systems, ensuring only the best solutions reach our customers. As a Principal Applied Scientist, you will define and drive the evaluation strategy for AI security agents across multiple products and orchestration frameworks. You will help set technical direction for how we measure agent capabilities at scale. You will also influence product roadmaps through evaluation insights, partner with product and engineering to translate results into readiness gates, model selection criteria, and go/no\-go decisions that enable teams to ship, safe, reliable security agents.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You will be part of an Applied Science evaluations team working on high\-impact AI initiatives that define how security AI agents are measured, trusted, and shipped. You will lead technical direction for evaluation strategy, set standards adopted across teams, and mentor others in evaluation methodology.
Responsibilities include:
* Technical Leadership \&amp; Ownership: Define and drive technical strategy for security agent evaluations across Microsoft Security.
* Lead assessments of full agent systems, set evaluation standards adopted by multiple product groups, and translate findings into exec\-ready recommendations and deployment quality gates
* Agentic System Evaluation \&amp; Measurement: Define evaluation methodology for agent actions in realistic security scenarios covering planning, tool use, reasoning, robustness, and failure modes.
* Establish metrics that directly influence product readiness and release decisions.
* Evaluation Infrastructure \&amp; Harnesses: Architect reusable evaluation platform and harnesses across orchestration frameworks.
* Enable controlled testing on production\-representative data with appropriate privacy controls.
* Collect trajectories, telemetry, and results at scale
* Data \&amp; Signals for Evaluation: Set data standards and governance for agent evaluation datasets and grading rubrics.
* Ensure reproducibility, privacy\-preserving data practices, and long\-term reuse across evaluation scenarios.
* Research \&amp; Innovation: Collaborate with cross\-functional teams to advance evaluation research, prototype novel methods, and land them into the evaluation platform used by product teams.
* Contribute to publications and external partnerships where appropriate.
**Qualifications** **Required/minimum qualifications**
* Bachelor's Degree in Statistics, Econometrics, Computer Science, Electrical or Computer Engineering, or related field AND 6\+ years related experience (e.g., statistics, predictive analytics, research) OR Master's Degree in Statistics, Econometrics, Computer Science, Electrical or Computer Engineering, or related field AND 4\+ years related experience (e.g., statistics, predictive analytics, research) OR Doctorate in Statistics, Econometrics, Computer Science, Electrical or Computer Engineering, or related field AND 3\+ years related experience (e.g., statistics, predictive analytics, research) OR equivalent experience.
**Other Requirements**
* Candidates must be able to meet Microsoft, customer and/or government security screening requirements are required for this role. These requirements include, but are not limited to the following specialized security screenings:
* + Microsoft Cloud Background Check: This position will be required to pass the Microsoft Cloud background check upon hire/transfer and every two years thereafter.
**Additional or preferred qualifications*** Master's Degree in Statistics, Econometrics, Computer Science, Electrical or Computer Engineering, or related field AND 9\+ years related experience (e.g., statistics, predictive analytics, research) OR Doctorate in Statistics, Econometrics, Computer Science, Electrical or Computer Engineering, or related field AND 6\+ years related experience (e.g., statistics, predictive analytics, research) OR equivalent experience.
* Demonstrated experience shipping ML systems in production with experiment design, evaluation, and measurement methodology.
* Ability to design controlled experiments and ablations to isolate system behavior
* Experience in cybersecurity or security\-adjacent domains (safety, abuse/fraud, or risk)
* Track record of technical leadership across teams in the form of setting standards and driving alignment in ambiguity
* Deep expertise across multiple security domains (detection, investigation, response, threat intelligence, automation)
* Experience evaluating LLM\-based systems and agentic workflows, including tool use, planning, reasoning, and robustness.
* Track record of setting evaluation standards adopted across orgs, mentoring ICs in methodology, and driving executive\-level decisions through rigorous experimental analysis.
\#MSFTSecurity \#MSECAI
Applied Sciences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377">
      <c r="A377" t="inlineStr">
        <is>
          <t>in-0fc2f8fd7bae8d02</t>
        </is>
      </c>
      <c r="B377" t="inlineStr">
        <is>
          <t>Senior Applied Scientist</t>
        </is>
      </c>
      <c r="C377" t="inlineStr">
        <is>
          <t>Microsoft</t>
        </is>
      </c>
      <c r="D377" t="inlineStr">
        <is>
          <t>indeed</t>
        </is>
      </c>
      <c r="E377">
        <f>HYPERLINK("https://www.indeed.com/viewjob?jk=0fc2f8fd7bae8d02", "https://www.indeed.com/viewjob?jk=0fc2f8fd7bae8d02")</f>
        <v/>
      </c>
      <c r="F377">
        <f>HYPERLINK("https://apply.careers.microsoft.com/careers/job/1970393556756295?utm_source=indeed&amp;domain=microsoft.com", "https://apply.careers.microsoft.com/careers/job/1970393556756295?utm_source=indeed&amp;domain=microsoft.com")</f>
        <v/>
      </c>
      <c r="G377" t="inlineStr">
        <is>
          <t>Redmond, WA, US</t>
        </is>
      </c>
      <c r="H377" s="2" t="n">
        <v>46069</v>
      </c>
      <c r="I377"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We are looking for a Senior Applied Scientists to join a multidisciplinary squad to reshape how we defend Microsoft. You will actively innovate by leveraging and building upon a broad set of research from Microsoft, academia, and industry to develop novel methods, tools, and frameworks for demonstrating and enhancing defensive capabilities. You will collaborate with internal and external partners to apply your research to real\-world scenarios and challenges. You will have the opportunity to publish your work in top\-tier venues and contribute to the scientific community and the broader society. For those passionate about making a meaningful impact in the security industry, don’t miss this opportunity to join the team working on the latest AI technology and applicability.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**Responsibilities:**
* Conduct cutting\-edge research that builds towards transformative defensive security capabilities with demonstrated scientific rigor.
* Champion innovative principles and forward\-looking concepts guided by research trends in academia, OSS and industry. Form strategic partnerships with thought leaders across the company, in the industry and across domains.
* Work with defenders, threat hunters, PMs, and engineers to turn research into effective solutions that improve our ability to protect ourselves.
* Share research findings and innovations through open\-source releases, blog posts, patents, and industry conferences.
* Participate in partnerships with academia and industry to advance the state of the art in the field.
Embody our culture and values
 **Qualifications** **Required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Statistics, Econometrics, Computer Science, Electrical or Computer Engineering, or related field AND 6\+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 3\+ years experience conducting research as part of a research program (in academic or industry settings).
* 3\+ years of experience in Python, PyTorch, TensorFlow, or other machine learning frameworks.
* 2\+ years of experience in Python.
* 2\+ years of experience building customer solutions or open\-source projects using ML/generative AI and/or multi\-agent frameworks such as AutoGen, LangChain, LangGraph, crewAI, or equivalent.
* Excellent written and verbal communication skills, ability to simplify and explain complex ideas. 3\+ years experience creating publications (e.g., patents, libraries, peer\-reviewed academic papers).
* 1\+ year(s) experience developing and deploying products or systems at multiple points in the product cycle from ideation to shipping.
* Experience in cyber security and safety domains, such as malware detection, fraud prevention, cyber\-physical systems, adversary tradecraft, emerging threats or SOC operations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378">
      <c r="A378" t="inlineStr">
        <is>
          <t>in-d4504260e59ea543</t>
        </is>
      </c>
      <c r="B378" t="inlineStr">
        <is>
          <t>Sr. Applied Scientist, Sponsored Products Off-Search Sourcing</t>
        </is>
      </c>
      <c r="C378" t="inlineStr">
        <is>
          <t>Amazon.com</t>
        </is>
      </c>
      <c r="D378" t="inlineStr">
        <is>
          <t>indeed</t>
        </is>
      </c>
      <c r="E378">
        <f>HYPERLINK("https://www.indeed.com/viewjob?jk=d4504260e59ea543", "https://www.indeed.com/viewjob?jk=d4504260e59ea543")</f>
        <v/>
      </c>
      <c r="F378">
        <f>HYPERLINK("https://www.amazon.jobs/jobs/3169094/sr-applied-scientist-sponsored-products-offsearch-sourcing?cmpid=DA_INAD200785B", "https://www.amazon.jobs/jobs/3169094/sr-applied-scientist-sponsored-products-offsearch-sourcing?cmpid=DA_INAD200785B")</f>
        <v/>
      </c>
      <c r="G378" t="inlineStr">
        <is>
          <t>Palo Alto, CA, US</t>
        </is>
      </c>
      <c r="H378" s="2" t="n">
        <v>46049</v>
      </c>
      <c r="I378"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379">
      <c r="A379" t="inlineStr">
        <is>
          <t>in-972411a486b6f962</t>
        </is>
      </c>
      <c r="B379" t="inlineStr">
        <is>
          <t>Sr. Applied Scientist, Sponsored Products Off-Search Sourcing</t>
        </is>
      </c>
      <c r="C379" t="inlineStr">
        <is>
          <t>Amazon.com</t>
        </is>
      </c>
      <c r="D379" t="inlineStr">
        <is>
          <t>indeed</t>
        </is>
      </c>
      <c r="E379">
        <f>HYPERLINK("https://www.indeed.com/viewjob?jk=972411a486b6f962", "https://www.indeed.com/viewjob?jk=972411a486b6f962")</f>
        <v/>
      </c>
      <c r="F379">
        <f>HYPERLINK("https://www.amazon.jobs/jobs/3169094/sr-applied-scientist-sponsored-products-offsearch-sourcing?cmpid=DA_INAD200785B", "https://www.amazon.jobs/jobs/3169094/sr-applied-scientist-sponsored-products-offsearch-sourcing?cmpid=DA_INAD200785B")</f>
        <v/>
      </c>
      <c r="G379" t="inlineStr">
        <is>
          <t>Seattle, WA, US</t>
        </is>
      </c>
      <c r="H379" s="2" t="n">
        <v>46049</v>
      </c>
      <c r="I379"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380">
      <c r="A380" t="inlineStr">
        <is>
          <t>in-26fe9ce6d13bb33f</t>
        </is>
      </c>
      <c r="B380" t="inlineStr">
        <is>
          <t>Sr. Applied Scientist, Sponsored Products Off-Search Sourcing</t>
        </is>
      </c>
      <c r="C380" t="inlineStr">
        <is>
          <t>Amazon.com</t>
        </is>
      </c>
      <c r="D380" t="inlineStr">
        <is>
          <t>indeed</t>
        </is>
      </c>
      <c r="E380">
        <f>HYPERLINK("https://www.indeed.com/viewjob?jk=26fe9ce6d13bb33f", "https://www.indeed.com/viewjob?jk=26fe9ce6d13bb33f")</f>
        <v/>
      </c>
      <c r="F380">
        <f>HYPERLINK("https://www.amazon.jobs/jobs/3169094/sr-applied-scientist-sponsored-products-offsearch-sourcing?cmpid=DA_INAD200785B", "https://www.amazon.jobs/jobs/3169094/sr-applied-scientist-sponsored-products-offsearch-sourcing?cmpid=DA_INAD200785B")</f>
        <v/>
      </c>
      <c r="G380" t="inlineStr">
        <is>
          <t>New York, NY, US</t>
        </is>
      </c>
      <c r="H380" s="2" t="n">
        <v>46049</v>
      </c>
      <c r="I380"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\- 192,200\.00 \- 260,000\.00 USD annually  
USA, NY, New York \- 183,800\.00 \- 248,700\.00 USD annually  
USA, WA, Seattle \- 167,100\.00 \- 226,100\.00 USD annually</t>
        </is>
      </c>
    </row>
    <row r="381">
      <c r="A381" t="inlineStr">
        <is>
          <t>in-ad6b21b38462c644</t>
        </is>
      </c>
      <c r="B381" t="inlineStr">
        <is>
          <t>Applied Scientist, Amazon Connect</t>
        </is>
      </c>
      <c r="C381" t="inlineStr">
        <is>
          <t>Amazon Web Services</t>
        </is>
      </c>
      <c r="D381" t="inlineStr">
        <is>
          <t>indeed</t>
        </is>
      </c>
      <c r="E381">
        <f>HYPERLINK("https://www.indeed.com/viewjob?jk=ad6b21b38462c644", "https://www.indeed.com/viewjob?jk=ad6b21b38462c644")</f>
        <v/>
      </c>
      <c r="F381">
        <f>HYPERLINK("https://www.amazon.jobs/jobs/3168981/applied-scientist-amazon-connect?cmpid=DA_INAD200785B", "https://www.amazon.jobs/jobs/3168981/applied-scientist-amazon-connect?cmpid=DA_INAD200785B")</f>
        <v/>
      </c>
      <c r="G381" t="inlineStr">
        <is>
          <t>New York, NY, US</t>
        </is>
      </c>
      <c r="H381" s="2" t="n">
        <v>46047</v>
      </c>
      <c r="I381"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382">
      <c r="A382" t="inlineStr">
        <is>
          <t>in-571c396865f372d1</t>
        </is>
      </c>
      <c r="B382" t="inlineStr">
        <is>
          <t>Applied Scientist II, Prime Video Personalization and Discovery Science</t>
        </is>
      </c>
      <c r="C382" t="inlineStr">
        <is>
          <t>Amazon.com</t>
        </is>
      </c>
      <c r="D382" t="inlineStr">
        <is>
          <t>indeed</t>
        </is>
      </c>
      <c r="E382">
        <f>HYPERLINK("https://www.indeed.com/viewjob?jk=571c396865f372d1", "https://www.indeed.com/viewjob?jk=571c396865f372d1")</f>
        <v/>
      </c>
      <c r="F382">
        <f>HYPERLINK("https://www.amazon.jobs/jobs/3168905/applied-scientist-ii-prime-video-personalization-and-discovery-science?cmpid=DA_INAD200785B", "https://www.amazon.jobs/jobs/3168905/applied-scientist-ii-prime-video-personalization-and-discovery-science?cmpid=DA_INAD200785B")</f>
        <v/>
      </c>
      <c r="G382" t="inlineStr">
        <is>
          <t>Sunnyvale, CA, US</t>
        </is>
      </c>
      <c r="H382" s="2" t="n">
        <v>46047</v>
      </c>
      <c r="I38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383">
      <c r="A383" t="inlineStr">
        <is>
          <t>in-c9e564b327b8c63a</t>
        </is>
      </c>
      <c r="B383" t="inlineStr">
        <is>
          <t>Applied Scientist, Amazon Connect</t>
        </is>
      </c>
      <c r="C383" t="inlineStr">
        <is>
          <t>Amazon Web Services</t>
        </is>
      </c>
      <c r="D383" t="inlineStr">
        <is>
          <t>indeed</t>
        </is>
      </c>
      <c r="E383">
        <f>HYPERLINK("https://www.indeed.com/viewjob?jk=c9e564b327b8c63a", "https://www.indeed.com/viewjob?jk=c9e564b327b8c63a")</f>
        <v/>
      </c>
      <c r="F383">
        <f>HYPERLINK("https://www.amazon.jobs/jobs/3168981/applied-scientist-amazon-connect?cmpid=DA_INAD200785B", "https://www.amazon.jobs/jobs/3168981/applied-scientist-amazon-connect?cmpid=DA_INAD200785B")</f>
        <v/>
      </c>
      <c r="G383" t="inlineStr">
        <is>
          <t>Seattle, WA, US</t>
        </is>
      </c>
      <c r="H383" s="2" t="n">
        <v>46047</v>
      </c>
      <c r="I383"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384">
      <c r="A384" t="inlineStr">
        <is>
          <t>in-3cec8816d50f0fbe</t>
        </is>
      </c>
      <c r="B384" t="inlineStr">
        <is>
          <t>Applied Scientist II, Prime Video Personalization and Discovery Science</t>
        </is>
      </c>
      <c r="C384" t="inlineStr">
        <is>
          <t>Amazon.com</t>
        </is>
      </c>
      <c r="D384" t="inlineStr">
        <is>
          <t>indeed</t>
        </is>
      </c>
      <c r="E384">
        <f>HYPERLINK("https://www.indeed.com/viewjob?jk=3cec8816d50f0fbe", "https://www.indeed.com/viewjob?jk=3cec8816d50f0fbe")</f>
        <v/>
      </c>
      <c r="F384">
        <f>HYPERLINK("https://www.amazon.jobs/jobs/3168905/applied-scientist-ii-prime-video-personalization-and-discovery-science?cmpid=DA_INAD200785B", "https://www.amazon.jobs/jobs/3168905/applied-scientist-ii-prime-video-personalization-and-discovery-science?cmpid=DA_INAD200785B")</f>
        <v/>
      </c>
      <c r="G384" t="inlineStr">
        <is>
          <t>Seattle, WA, US</t>
        </is>
      </c>
      <c r="H384" s="2" t="n">
        <v>46047</v>
      </c>
      <c r="I38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385">
      <c r="A385" t="inlineStr">
        <is>
          <t>in-4cb42d934880eba4</t>
        </is>
      </c>
      <c r="B385" t="inlineStr">
        <is>
          <t>Applied Scientist II, Prime Video Personalization and Discovery Science</t>
        </is>
      </c>
      <c r="C385" t="inlineStr">
        <is>
          <t>Amazon.com</t>
        </is>
      </c>
      <c r="D385" t="inlineStr">
        <is>
          <t>indeed</t>
        </is>
      </c>
      <c r="E385">
        <f>HYPERLINK("https://www.indeed.com/viewjob?jk=4cb42d934880eba4", "https://www.indeed.com/viewjob?jk=4cb42d934880eba4")</f>
        <v/>
      </c>
      <c r="F385">
        <f>HYPERLINK("https://www.amazon.jobs/jobs/3168905/applied-scientist-ii-prime-video-personalization-and-discovery-science?cmpid=DA_INAD200785B", "https://www.amazon.jobs/jobs/3168905/applied-scientist-ii-prime-video-personalization-and-discovery-science?cmpid=DA_INAD200785B")</f>
        <v/>
      </c>
      <c r="G385" t="inlineStr">
        <is>
          <t>New York, NY, US</t>
        </is>
      </c>
      <c r="H385" s="2" t="n">
        <v>46047</v>
      </c>
      <c r="I38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386">
      <c r="A386" t="inlineStr">
        <is>
          <t>in-c76cccc0fc067223</t>
        </is>
      </c>
      <c r="B386" t="inlineStr">
        <is>
          <t>Applied Scientist, Safety ML</t>
        </is>
      </c>
      <c r="C386" t="inlineStr">
        <is>
          <t>Amazon.com</t>
        </is>
      </c>
      <c r="D386" t="inlineStr">
        <is>
          <t>indeed</t>
        </is>
      </c>
      <c r="E386">
        <f>HYPERLINK("https://www.indeed.com/viewjob?jk=c76cccc0fc067223", "https://www.indeed.com/viewjob?jk=c76cccc0fc067223")</f>
        <v/>
      </c>
      <c r="F386">
        <f>HYPERLINK("https://www.amazon.jobs/jobs/3161224/applied-scientist-safety-ml?cmpid=DA_INAD200785B", "https://www.amazon.jobs/jobs/3161224/applied-scientist-safety-ml?cmpid=DA_INAD200785B")</f>
        <v/>
      </c>
      <c r="G386" t="inlineStr">
        <is>
          <t>San Francisco, CA, US</t>
        </is>
      </c>
      <c r="H386" s="2" t="n">
        <v>46037</v>
      </c>
      <c r="I38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387">
      <c r="A387" t="inlineStr">
        <is>
          <t>in-c797d0bc63821b88</t>
        </is>
      </c>
      <c r="B387" t="inlineStr">
        <is>
          <t>Applied Scientist, Safety ML</t>
        </is>
      </c>
      <c r="C387" t="inlineStr">
        <is>
          <t>Amazon.com</t>
        </is>
      </c>
      <c r="D387" t="inlineStr">
        <is>
          <t>indeed</t>
        </is>
      </c>
      <c r="E387">
        <f>HYPERLINK("https://www.indeed.com/viewjob?jk=c797d0bc63821b88", "https://www.indeed.com/viewjob?jk=c797d0bc63821b88")</f>
        <v/>
      </c>
      <c r="F387">
        <f>HYPERLINK("https://www.amazon.jobs/jobs/3161224/applied-scientist-safety-ml?cmpid=DA_INAD200785B", "https://www.amazon.jobs/jobs/3161224/applied-scientist-safety-ml?cmpid=DA_INAD200785B")</f>
        <v/>
      </c>
      <c r="G387" t="inlineStr">
        <is>
          <t>Seattle, WA, US</t>
        </is>
      </c>
      <c r="H387" s="2" t="n">
        <v>46037</v>
      </c>
      <c r="I38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388">
      <c r="A388" t="inlineStr">
        <is>
          <t>in-3c043ff4d7e87785</t>
        </is>
      </c>
      <c r="B388" t="inlineStr">
        <is>
          <t>Applied Scientist, LLM Code Agents, Kiro Science</t>
        </is>
      </c>
      <c r="C388" t="inlineStr">
        <is>
          <t>Amazon.com</t>
        </is>
      </c>
      <c r="D388" t="inlineStr">
        <is>
          <t>indeed</t>
        </is>
      </c>
      <c r="E388">
        <f>HYPERLINK("https://www.indeed.com/viewjob?jk=3c043ff4d7e87785", "https://www.indeed.com/viewjob?jk=3c043ff4d7e87785")</f>
        <v/>
      </c>
      <c r="F388">
        <f>HYPERLINK("https://www.amazon.jobs/jobs/3161363/applied-scientist-llm-code-agents-kiro-science?cmpid=DA_INAD200785B", "https://www.amazon.jobs/jobs/3161363/applied-scientist-llm-code-agents-kiro-science?cmpid=DA_INAD200785B")</f>
        <v/>
      </c>
      <c r="G388" t="inlineStr">
        <is>
          <t>Seattle, WA, US</t>
        </is>
      </c>
      <c r="H388" s="2" t="n">
        <v>46035</v>
      </c>
      <c r="I388"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389">
      <c r="A389" t="inlineStr">
        <is>
          <t>in-4f236ea12209ed84</t>
        </is>
      </c>
      <c r="B389" t="inlineStr">
        <is>
          <t>Applied Scientist, LLM Code Agents, Kiro Science</t>
        </is>
      </c>
      <c r="C389" t="inlineStr">
        <is>
          <t>Amazon.com</t>
        </is>
      </c>
      <c r="D389" t="inlineStr">
        <is>
          <t>indeed</t>
        </is>
      </c>
      <c r="E389">
        <f>HYPERLINK("https://www.indeed.com/viewjob?jk=4f236ea12209ed84", "https://www.indeed.com/viewjob?jk=4f236ea12209ed84")</f>
        <v/>
      </c>
      <c r="F389">
        <f>HYPERLINK("https://www.amazon.jobs/jobs/3161363/applied-scientist-llm-code-agents-kiro-science?cmpid=DA_INAD200785B", "https://www.amazon.jobs/jobs/3161363/applied-scientist-llm-code-agents-kiro-science?cmpid=DA_INAD200785B")</f>
        <v/>
      </c>
      <c r="G389" t="inlineStr">
        <is>
          <t>Santa Clara, CA, US</t>
        </is>
      </c>
      <c r="H389" s="2" t="n">
        <v>46035</v>
      </c>
      <c r="I389"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390">
      <c r="A390" t="inlineStr">
        <is>
          <t>in-46554f3189f9912b</t>
        </is>
      </c>
      <c r="B390" t="inlineStr">
        <is>
          <t>Applied Scientist II, Prime Video Personalization and Discovery Science</t>
        </is>
      </c>
      <c r="C390" t="inlineStr">
        <is>
          <t>Amazon.com</t>
        </is>
      </c>
      <c r="D390" t="inlineStr">
        <is>
          <t>indeed</t>
        </is>
      </c>
      <c r="E390">
        <f>HYPERLINK("https://www.indeed.com/viewjob?jk=46554f3189f9912b", "https://www.indeed.com/viewjob?jk=46554f3189f9912b")</f>
        <v/>
      </c>
      <c r="F390">
        <f>HYPERLINK("https://www.amazon.jobs/jobs/3165157/applied-scientist-ii-prime-video-personalization-and-discovery-science?cmpid=DA_INAD200785B", "https://www.amazon.jobs/jobs/3165157/applied-scientist-ii-prime-video-personalization-and-discovery-science?cmpid=DA_INAD200785B")</f>
        <v/>
      </c>
      <c r="G390" t="inlineStr">
        <is>
          <t>Seattle, WA, US</t>
        </is>
      </c>
      <c r="H390" s="2" t="n">
        <v>46034</v>
      </c>
      <c r="I39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391">
      <c r="A391" t="inlineStr">
        <is>
          <t>in-f2a7cb169857f455</t>
        </is>
      </c>
      <c r="B391" t="inlineStr">
        <is>
          <t>Applied Scientist II, Prime Video Personalization and Discovery Science</t>
        </is>
      </c>
      <c r="C391" t="inlineStr">
        <is>
          <t>Amazon.com</t>
        </is>
      </c>
      <c r="D391" t="inlineStr">
        <is>
          <t>indeed</t>
        </is>
      </c>
      <c r="E391">
        <f>HYPERLINK("https://www.indeed.com/viewjob?jk=f2a7cb169857f455", "https://www.indeed.com/viewjob?jk=f2a7cb169857f455")</f>
        <v/>
      </c>
      <c r="F391">
        <f>HYPERLINK("https://www.amazon.jobs/jobs/3165157/applied-scientist-ii-prime-video-personalization-and-discovery-science?cmpid=DA_INAD200785B", "https://www.amazon.jobs/jobs/3165157/applied-scientist-ii-prime-video-personalization-and-discovery-science?cmpid=DA_INAD200785B")</f>
        <v/>
      </c>
      <c r="G391" t="inlineStr">
        <is>
          <t>Sunnyvale, CA, US</t>
        </is>
      </c>
      <c r="H391" s="2" t="n">
        <v>46034</v>
      </c>
      <c r="I39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392">
      <c r="A392" t="inlineStr">
        <is>
          <t>in-5edf64a771385db9</t>
        </is>
      </c>
      <c r="B392" t="inlineStr">
        <is>
          <t>Applied Scientist, AWS Applied AI Solutions</t>
        </is>
      </c>
      <c r="C392" t="inlineStr">
        <is>
          <t>Amazon Web Services</t>
        </is>
      </c>
      <c r="D392" t="inlineStr">
        <is>
          <t>indeed</t>
        </is>
      </c>
      <c r="E392">
        <f>HYPERLINK("https://www.indeed.com/viewjob?jk=5edf64a771385db9", "https://www.indeed.com/viewjob?jk=5edf64a771385db9")</f>
        <v/>
      </c>
      <c r="F392">
        <f>HYPERLINK("https://www.amazon.jobs/jobs/3166907/applied-scientist-aws-applied-ai-solutions?cmpid=DA_INAD200785B", "https://www.amazon.jobs/jobs/3166907/applied-scientist-aws-applied-ai-solutions?cmpid=DA_INAD200785B")</f>
        <v/>
      </c>
      <c r="G392" t="inlineStr">
        <is>
          <t>New York, NY, US</t>
        </is>
      </c>
      <c r="H392" s="2" t="n">
        <v>46030</v>
      </c>
      <c r="I392"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393">
      <c r="A393" t="inlineStr">
        <is>
          <t>in-79cd05f12d04d96b</t>
        </is>
      </c>
      <c r="B393" t="inlineStr">
        <is>
          <t>Applied Scientist, AWS Applied AI Solutions</t>
        </is>
      </c>
      <c r="C393" t="inlineStr">
        <is>
          <t>Amazon Web Services</t>
        </is>
      </c>
      <c r="D393" t="inlineStr">
        <is>
          <t>indeed</t>
        </is>
      </c>
      <c r="E393">
        <f>HYPERLINK("https://www.indeed.com/viewjob?jk=79cd05f12d04d96b", "https://www.indeed.com/viewjob?jk=79cd05f12d04d96b")</f>
        <v/>
      </c>
      <c r="F393">
        <f>HYPERLINK("https://www.amazon.jobs/jobs/3166907/applied-scientist-aws-applied-ai-solutions?cmpid=DA_INAD200785B", "https://www.amazon.jobs/jobs/3166907/applied-scientist-aws-applied-ai-solutions?cmpid=DA_INAD200785B")</f>
        <v/>
      </c>
      <c r="G393" t="inlineStr">
        <is>
          <t>Seattle, WA, US</t>
        </is>
      </c>
      <c r="H393" s="2" t="n">
        <v>46030</v>
      </c>
      <c r="I393"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394">
      <c r="A394" t="inlineStr">
        <is>
          <t>in-ba269f008e614691</t>
        </is>
      </c>
      <c r="B394" t="inlineStr">
        <is>
          <t>Senior Applied Scientist, Sponsored Products and Brands, Off-Search</t>
        </is>
      </c>
      <c r="C394" t="inlineStr">
        <is>
          <t>Amazon.com</t>
        </is>
      </c>
      <c r="D394" t="inlineStr">
        <is>
          <t>indeed</t>
        </is>
      </c>
      <c r="E394">
        <f>HYPERLINK("https://www.indeed.com/viewjob?jk=ba269f008e614691", "https://www.indeed.com/viewjob?jk=ba269f008e614691")</f>
        <v/>
      </c>
      <c r="F394">
        <f>HYPERLINK("https://www.amazon.jobs/jobs/3153569/senior-applied-scientist-sponsored-products-and-brands-offsearch?cmpid=DA_INAD200785B", "https://www.amazon.jobs/jobs/3153569/senior-applied-scientist-sponsored-products-and-brands-offsearch?cmpid=DA_INAD200785B")</f>
        <v/>
      </c>
      <c r="G394" t="inlineStr">
        <is>
          <t>New York, NY, US</t>
        </is>
      </c>
      <c r="H394" s="2" t="n">
        <v>46017</v>
      </c>
      <c r="I394"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5">
      <c r="A395" t="inlineStr">
        <is>
          <t>in-f9cecda23b030687</t>
        </is>
      </c>
      <c r="B395" t="inlineStr">
        <is>
          <t>Senior Applied Scientist, Sponsored Products and Brands, Off-Search</t>
        </is>
      </c>
      <c r="C395" t="inlineStr">
        <is>
          <t>Amazon.com</t>
        </is>
      </c>
      <c r="D395" t="inlineStr">
        <is>
          <t>indeed</t>
        </is>
      </c>
      <c r="E395">
        <f>HYPERLINK("https://www.indeed.com/viewjob?jk=f9cecda23b030687", "https://www.indeed.com/viewjob?jk=f9cecda23b030687")</f>
        <v/>
      </c>
      <c r="F395">
        <f>HYPERLINK("https://www.amazon.jobs/jobs/3153569/senior-applied-scientist-sponsored-products-and-brands-offsearch?cmpid=DA_INAD200785B", "https://www.amazon.jobs/jobs/3153569/senior-applied-scientist-sponsored-products-and-brands-offsearch?cmpid=DA_INAD200785B")</f>
        <v/>
      </c>
      <c r="G395" t="inlineStr">
        <is>
          <t>Palo Alto, CA, US</t>
        </is>
      </c>
      <c r="H395" s="2" t="n">
        <v>46017</v>
      </c>
      <c r="I395"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6">
      <c r="A396" t="inlineStr">
        <is>
          <t>in-a176c4ce94c11053</t>
        </is>
      </c>
      <c r="B396" t="inlineStr">
        <is>
          <t>Senior Applied Scientist, Sponsored Products and Brands, Off-Search</t>
        </is>
      </c>
      <c r="C396" t="inlineStr">
        <is>
          <t>Amazon.com</t>
        </is>
      </c>
      <c r="D396" t="inlineStr">
        <is>
          <t>indeed</t>
        </is>
      </c>
      <c r="E396">
        <f>HYPERLINK("https://www.indeed.com/viewjob?jk=a176c4ce94c11053", "https://www.indeed.com/viewjob?jk=a176c4ce94c11053")</f>
        <v/>
      </c>
      <c r="F396">
        <f>HYPERLINK("https://www.amazon.jobs/jobs/3153569/senior-applied-scientist-sponsored-products-and-brands-offsearch?cmpid=DA_INAD200785B", "https://www.amazon.jobs/jobs/3153569/senior-applied-scientist-sponsored-products-and-brands-offsearch?cmpid=DA_INAD200785B")</f>
        <v/>
      </c>
      <c r="G396" t="inlineStr">
        <is>
          <t>Seattle, WA, US</t>
        </is>
      </c>
      <c r="H396" s="2" t="n">
        <v>46017</v>
      </c>
      <c r="I396"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7">
      <c r="A397" t="inlineStr">
        <is>
          <t>in-ee168c378aa558b3</t>
        </is>
      </c>
      <c r="B397" t="inlineStr">
        <is>
          <t>Principal Applied Scientist, Kiro Science</t>
        </is>
      </c>
      <c r="C397" t="inlineStr">
        <is>
          <t>Amazon Web Services</t>
        </is>
      </c>
      <c r="D397" t="inlineStr">
        <is>
          <t>indeed</t>
        </is>
      </c>
      <c r="E397">
        <f>HYPERLINK("https://www.indeed.com/viewjob?jk=ee168c378aa558b3", "https://www.indeed.com/viewjob?jk=ee168c378aa558b3")</f>
        <v/>
      </c>
      <c r="F397">
        <f>HYPERLINK("https://www.amazon.jobs/jobs/3161064/principal-applied-scientist-kiro-science?cmpid=DA_INAD200785B", "https://www.amazon.jobs/jobs/3161064/principal-applied-scientist-kiro-science?cmpid=DA_INAD200785B")</f>
        <v/>
      </c>
      <c r="G397" t="inlineStr">
        <is>
          <t>New York, NY, US</t>
        </is>
      </c>
      <c r="H397" s="2" t="n">
        <v>45999</v>
      </c>
      <c r="I397"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398">
      <c r="A398" t="inlineStr">
        <is>
          <t>in-be0573e9ef4d4dc0</t>
        </is>
      </c>
      <c r="B398" t="inlineStr">
        <is>
          <t>Principal Applied Scientist, Kiro Science</t>
        </is>
      </c>
      <c r="C398" t="inlineStr">
        <is>
          <t>Amazon Web Services</t>
        </is>
      </c>
      <c r="D398" t="inlineStr">
        <is>
          <t>indeed</t>
        </is>
      </c>
      <c r="E398">
        <f>HYPERLINK("https://www.indeed.com/viewjob?jk=be0573e9ef4d4dc0", "https://www.indeed.com/viewjob?jk=be0573e9ef4d4dc0")</f>
        <v/>
      </c>
      <c r="F398">
        <f>HYPERLINK("https://www.amazon.jobs/jobs/3161064/principal-applied-scientist-kiro-science?cmpid=DA_INAD200785B", "https://www.amazon.jobs/jobs/3161064/principal-applied-scientist-kiro-science?cmpid=DA_INAD200785B")</f>
        <v/>
      </c>
      <c r="G398" t="inlineStr">
        <is>
          <t>Santa Clara, CA, US</t>
        </is>
      </c>
      <c r="H398" s="2" t="n">
        <v>45999</v>
      </c>
      <c r="I398"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399">
      <c r="A399" t="inlineStr">
        <is>
          <t>in-f88a6d66e87b6481</t>
        </is>
      </c>
      <c r="B399" t="inlineStr">
        <is>
          <t>Sr. Applied Scientist, Amazon Ads</t>
        </is>
      </c>
      <c r="C399" t="inlineStr">
        <is>
          <t>Amazon.com</t>
        </is>
      </c>
      <c r="D399" t="inlineStr">
        <is>
          <t>indeed</t>
        </is>
      </c>
      <c r="E399">
        <f>HYPERLINK("https://www.indeed.com/viewjob?jk=f88a6d66e87b6481", "https://www.indeed.com/viewjob?jk=f88a6d66e87b6481")</f>
        <v/>
      </c>
      <c r="F399">
        <f>HYPERLINK("https://www.amazon.jobs/jobs/3139328/sr-applied-scientist-amazon-ads?cmpid=DA_INAD200785B", "https://www.amazon.jobs/jobs/3139328/sr-applied-scientist-amazon-ads?cmpid=DA_INAD200785B")</f>
        <v/>
      </c>
      <c r="G399" t="inlineStr">
        <is>
          <t>New York, NY, US</t>
        </is>
      </c>
      <c r="H399" s="2" t="n">
        <v>45998</v>
      </c>
      <c r="I39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00">
      <c r="A400" t="inlineStr">
        <is>
          <t>in-0c5e48c88325bdaa</t>
        </is>
      </c>
      <c r="B400" t="inlineStr">
        <is>
          <t>Sr. Applied Scientist, Amazon Ads</t>
        </is>
      </c>
      <c r="C400" t="inlineStr">
        <is>
          <t>Amazon.com</t>
        </is>
      </c>
      <c r="D400" t="inlineStr">
        <is>
          <t>indeed</t>
        </is>
      </c>
      <c r="E400">
        <f>HYPERLINK("https://www.indeed.com/viewjob?jk=0c5e48c88325bdaa", "https://www.indeed.com/viewjob?jk=0c5e48c88325bdaa")</f>
        <v/>
      </c>
      <c r="F400">
        <f>HYPERLINK("https://www.amazon.jobs/jobs/3139328/sr-applied-scientist-amazon-ads?cmpid=DA_INAD200785B", "https://www.amazon.jobs/jobs/3139328/sr-applied-scientist-amazon-ads?cmpid=DA_INAD200785B")</f>
        <v/>
      </c>
      <c r="G400" t="inlineStr">
        <is>
          <t>Santa Monica, CA, US</t>
        </is>
      </c>
      <c r="H400" s="2" t="n">
        <v>45998</v>
      </c>
      <c r="I40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01">
      <c r="A401" t="inlineStr">
        <is>
          <t>in-f8b2397b5c4aaae1</t>
        </is>
      </c>
      <c r="B401" t="inlineStr">
        <is>
          <t>Sr. Applied Scientist, Amazon Ads</t>
        </is>
      </c>
      <c r="C401" t="inlineStr">
        <is>
          <t>Amazon.com</t>
        </is>
      </c>
      <c r="D401" t="inlineStr">
        <is>
          <t>indeed</t>
        </is>
      </c>
      <c r="E401">
        <f>HYPERLINK("https://www.indeed.com/viewjob?jk=f8b2397b5c4aaae1", "https://www.indeed.com/viewjob?jk=f8b2397b5c4aaae1")</f>
        <v/>
      </c>
      <c r="F401">
        <f>HYPERLINK("https://www.amazon.jobs/jobs/3139328/sr-applied-scientist-amazon-ads?cmpid=DA_INAD200785B", "https://www.amazon.jobs/jobs/3139328/sr-applied-scientist-amazon-ads?cmpid=DA_INAD200785B")</f>
        <v/>
      </c>
      <c r="G401" t="inlineStr">
        <is>
          <t>Palo Alto, CA, US</t>
        </is>
      </c>
      <c r="H401" s="2" t="n">
        <v>45998</v>
      </c>
      <c r="I40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02">
      <c r="A402" t="inlineStr">
        <is>
          <t>in-bcec2599d8989356</t>
        </is>
      </c>
      <c r="B402" t="inlineStr">
        <is>
          <t>Sr. Applied Scientist, Amazon Ads</t>
        </is>
      </c>
      <c r="C402" t="inlineStr">
        <is>
          <t>Amazon.com</t>
        </is>
      </c>
      <c r="D402" t="inlineStr">
        <is>
          <t>indeed</t>
        </is>
      </c>
      <c r="E402">
        <f>HYPERLINK("https://www.indeed.com/viewjob?jk=bcec2599d8989356", "https://www.indeed.com/viewjob?jk=bcec2599d8989356")</f>
        <v/>
      </c>
      <c r="F402">
        <f>HYPERLINK("https://www.amazon.jobs/jobs/3139328/sr-applied-scientist-amazon-ads?cmpid=DA_INAD200785B", "https://www.amazon.jobs/jobs/3139328/sr-applied-scientist-amazon-ads?cmpid=DA_INAD200785B")</f>
        <v/>
      </c>
      <c r="G402" t="inlineStr">
        <is>
          <t>Boulder, CO, US</t>
        </is>
      </c>
      <c r="H402" s="2" t="n">
        <v>45998</v>
      </c>
      <c r="I40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03">
      <c r="A403" t="inlineStr">
        <is>
          <t>in-98c33c6a195c830c</t>
        </is>
      </c>
      <c r="B403" t="inlineStr">
        <is>
          <t>Sr. Applied Scientist, Amazon Ads</t>
        </is>
      </c>
      <c r="C403" t="inlineStr">
        <is>
          <t>Amazon.com</t>
        </is>
      </c>
      <c r="D403" t="inlineStr">
        <is>
          <t>indeed</t>
        </is>
      </c>
      <c r="E403">
        <f>HYPERLINK("https://www.indeed.com/viewjob?jk=98c33c6a195c830c", "https://www.indeed.com/viewjob?jk=98c33c6a195c830c")</f>
        <v/>
      </c>
      <c r="F403">
        <f>HYPERLINK("https://www.amazon.jobs/jobs/3139328/sr-applied-scientist-amazon-ads?cmpid=DA_INAD200785B", "https://www.amazon.jobs/jobs/3139328/sr-applied-scientist-amazon-ads?cmpid=DA_INAD200785B")</f>
        <v/>
      </c>
      <c r="G403" t="inlineStr">
        <is>
          <t>Corvallis, OR, US</t>
        </is>
      </c>
      <c r="H403" s="2" t="n">
        <v>45998</v>
      </c>
      <c r="I40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04">
      <c r="A404" t="inlineStr">
        <is>
          <t>in-c9817e8b032729d0</t>
        </is>
      </c>
      <c r="B404" t="inlineStr">
        <is>
          <t>Sr. Applied Scientist, Amazon Ads</t>
        </is>
      </c>
      <c r="C404" t="inlineStr">
        <is>
          <t>Amazon.com</t>
        </is>
      </c>
      <c r="D404" t="inlineStr">
        <is>
          <t>indeed</t>
        </is>
      </c>
      <c r="E404">
        <f>HYPERLINK("https://www.indeed.com/viewjob?jk=c9817e8b032729d0", "https://www.indeed.com/viewjob?jk=c9817e8b032729d0")</f>
        <v/>
      </c>
      <c r="F404">
        <f>HYPERLINK("https://www.amazon.jobs/jobs/3139328/sr-applied-scientist-amazon-ads?cmpid=DA_INAD200785B", "https://www.amazon.jobs/jobs/3139328/sr-applied-scientist-amazon-ads?cmpid=DA_INAD200785B")</f>
        <v/>
      </c>
      <c r="G404" t="inlineStr">
        <is>
          <t>Brooklyn, NY, US</t>
        </is>
      </c>
      <c r="H404" s="2" t="n">
        <v>45998</v>
      </c>
      <c r="I40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05">
      <c r="A405" t="inlineStr">
        <is>
          <t>in-da0b7c2260adab53</t>
        </is>
      </c>
      <c r="B405" t="inlineStr">
        <is>
          <t>Sr. Applied Scientist, Amazon Ads</t>
        </is>
      </c>
      <c r="C405" t="inlineStr">
        <is>
          <t>Amazon.com</t>
        </is>
      </c>
      <c r="D405" t="inlineStr">
        <is>
          <t>indeed</t>
        </is>
      </c>
      <c r="E405">
        <f>HYPERLINK("https://www.indeed.com/viewjob?jk=da0b7c2260adab53", "https://www.indeed.com/viewjob?jk=da0b7c2260adab53")</f>
        <v/>
      </c>
      <c r="F405">
        <f>HYPERLINK("https://www.amazon.jobs/jobs/3139328/sr-applied-scientist-amazon-ads?cmpid=DA_INAD200785B", "https://www.amazon.jobs/jobs/3139328/sr-applied-scientist-amazon-ads?cmpid=DA_INAD200785B")</f>
        <v/>
      </c>
      <c r="G405" t="inlineStr">
        <is>
          <t>Seattle, WA, US</t>
        </is>
      </c>
      <c r="H405" s="2" t="n">
        <v>45998</v>
      </c>
      <c r="I40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06">
      <c r="A406" t="inlineStr">
        <is>
          <t>in-5c2551587950b152</t>
        </is>
      </c>
      <c r="B406" t="inlineStr">
        <is>
          <t>Sr. Applied Scientist, Amazon Ads</t>
        </is>
      </c>
      <c r="C406" t="inlineStr">
        <is>
          <t>Amazon.com</t>
        </is>
      </c>
      <c r="D406" t="inlineStr">
        <is>
          <t>indeed</t>
        </is>
      </c>
      <c r="E406">
        <f>HYPERLINK("https://www.indeed.com/viewjob?jk=5c2551587950b152", "https://www.indeed.com/viewjob?jk=5c2551587950b152")</f>
        <v/>
      </c>
      <c r="F406">
        <f>HYPERLINK("https://www.amazon.jobs/jobs/3139328/sr-applied-scientist-amazon-ads?cmpid=DA_INAD200785B", "https://www.amazon.jobs/jobs/3139328/sr-applied-scientist-amazon-ads?cmpid=DA_INAD200785B")</f>
        <v/>
      </c>
      <c r="G406" t="inlineStr">
        <is>
          <t>Sunnyvale, CA, US</t>
        </is>
      </c>
      <c r="H406" s="2" t="n">
        <v>45998</v>
      </c>
      <c r="I40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07">
      <c r="A407" t="inlineStr">
        <is>
          <t>in-3e506e932e33a87c</t>
        </is>
      </c>
      <c r="B407" t="inlineStr">
        <is>
          <t>Sr. Applied Scientist, Amazon Ads</t>
        </is>
      </c>
      <c r="C407" t="inlineStr">
        <is>
          <t>Amazon.com</t>
        </is>
      </c>
      <c r="D407" t="inlineStr">
        <is>
          <t>indeed</t>
        </is>
      </c>
      <c r="E407">
        <f>HYPERLINK("https://www.indeed.com/viewjob?jk=3e506e932e33a87c", "https://www.indeed.com/viewjob?jk=3e506e932e33a87c")</f>
        <v/>
      </c>
      <c r="F407">
        <f>HYPERLINK("https://www.amazon.jobs/jobs/3139328/sr-applied-scientist-amazon-ads?cmpid=DA_INAD200785B", "https://www.amazon.jobs/jobs/3139328/sr-applied-scientist-amazon-ads?cmpid=DA_INAD200785B")</f>
        <v/>
      </c>
      <c r="G407" t="inlineStr">
        <is>
          <t>Tukwila, WA, US</t>
        </is>
      </c>
      <c r="H407" s="2" t="n">
        <v>45998</v>
      </c>
      <c r="I40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08">
      <c r="A408" t="inlineStr">
        <is>
          <t>in-76ef0390dac23926</t>
        </is>
      </c>
      <c r="B408" t="inlineStr">
        <is>
          <t>Sr. Applied Scientist, Amazon Ads</t>
        </is>
      </c>
      <c r="C408" t="inlineStr">
        <is>
          <t>Amazon.com</t>
        </is>
      </c>
      <c r="D408" t="inlineStr">
        <is>
          <t>indeed</t>
        </is>
      </c>
      <c r="E408">
        <f>HYPERLINK("https://www.indeed.com/viewjob?jk=76ef0390dac23926", "https://www.indeed.com/viewjob?jk=76ef0390dac23926")</f>
        <v/>
      </c>
      <c r="F408">
        <f>HYPERLINK("https://www.amazon.jobs/jobs/3139328/sr-applied-scientist-amazon-ads?cmpid=DA_INAD200785B", "https://www.amazon.jobs/jobs/3139328/sr-applied-scientist-amazon-ads?cmpid=DA_INAD200785B")</f>
        <v/>
      </c>
      <c r="G408" t="inlineStr">
        <is>
          <t>Boston, MA, US</t>
        </is>
      </c>
      <c r="H408" s="2" t="n">
        <v>45998</v>
      </c>
      <c r="I40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09">
      <c r="A409" t="inlineStr">
        <is>
          <t>in-7a41dbf99d511552</t>
        </is>
      </c>
      <c r="B409" t="inlineStr">
        <is>
          <t>Principal Applied Scientist, Sponsored Products and Brands</t>
        </is>
      </c>
      <c r="C409" t="inlineStr">
        <is>
          <t>Amazon.com</t>
        </is>
      </c>
      <c r="D409" t="inlineStr">
        <is>
          <t>indeed</t>
        </is>
      </c>
      <c r="E409">
        <f>HYPERLINK("https://www.indeed.com/viewjob?jk=7a41dbf99d511552", "https://www.indeed.com/viewjob?jk=7a41dbf99d511552")</f>
        <v/>
      </c>
      <c r="F409">
        <f>HYPERLINK("https://www.amazon.jobs/jobs/3130855/principal-applied-scientist-sponsored-products-and-brands?cmpid=DA_INAD200785B", "https://www.amazon.jobs/jobs/3130855/principal-applied-scientist-sponsored-products-and-brands?cmpid=DA_INAD200785B")</f>
        <v/>
      </c>
      <c r="G409" t="inlineStr">
        <is>
          <t>Seattle, WA, US</t>
        </is>
      </c>
      <c r="H409" s="2" t="n">
        <v>45979</v>
      </c>
      <c r="I409"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0">
      <c r="A410" t="inlineStr">
        <is>
          <t>in-c11e252b1769b052</t>
        </is>
      </c>
      <c r="B410" t="inlineStr">
        <is>
          <t>Principal Applied Scientist, Sponsored Products and Brands</t>
        </is>
      </c>
      <c r="C410" t="inlineStr">
        <is>
          <t>Amazon.com</t>
        </is>
      </c>
      <c r="D410" t="inlineStr">
        <is>
          <t>indeed</t>
        </is>
      </c>
      <c r="E410">
        <f>HYPERLINK("https://www.indeed.com/viewjob?jk=c11e252b1769b052", "https://www.indeed.com/viewjob?jk=c11e252b1769b052")</f>
        <v/>
      </c>
      <c r="F410">
        <f>HYPERLINK("https://www.amazon.jobs/jobs/3130855/principal-applied-scientist-sponsored-products-and-brands?cmpid=DA_INAD200785B", "https://www.amazon.jobs/jobs/3130855/principal-applied-scientist-sponsored-products-and-brands?cmpid=DA_INAD200785B")</f>
        <v/>
      </c>
      <c r="G410" t="inlineStr">
        <is>
          <t>New York, NY, US</t>
        </is>
      </c>
      <c r="H410" s="2" t="n">
        <v>45979</v>
      </c>
      <c r="I410"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1">
      <c r="A411" t="inlineStr">
        <is>
          <t>in-64dd3d50513a565d</t>
        </is>
      </c>
      <c r="B411" t="inlineStr">
        <is>
          <t>Senior Applied Scientist, Sponsored Products and Brands</t>
        </is>
      </c>
      <c r="C411" t="inlineStr">
        <is>
          <t>Amazon.com</t>
        </is>
      </c>
      <c r="D411" t="inlineStr">
        <is>
          <t>indeed</t>
        </is>
      </c>
      <c r="E411">
        <f>HYPERLINK("https://www.indeed.com/viewjob?jk=64dd3d50513a565d", "https://www.indeed.com/viewjob?jk=64dd3d50513a565d")</f>
        <v/>
      </c>
      <c r="F411">
        <f>HYPERLINK("https://www.amazon.jobs/jobs/3130062/senior-applied-scientist-sponsored-products-and-brands?cmpid=DA_INAD200785B", "https://www.amazon.jobs/jobs/3130062/senior-applied-scientist-sponsored-products-and-brands?cmpid=DA_INAD200785B")</f>
        <v/>
      </c>
      <c r="G411" t="inlineStr">
        <is>
          <t>New York, NY, US</t>
        </is>
      </c>
      <c r="H411" s="2" t="n">
        <v>45979</v>
      </c>
      <c r="I411"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412">
      <c r="A412" t="inlineStr">
        <is>
          <t>in-ecbe25d49c5aa7ac</t>
        </is>
      </c>
      <c r="B412" t="inlineStr">
        <is>
          <t>Senior Applied Scientist, Sponsored Products and Brands</t>
        </is>
      </c>
      <c r="C412" t="inlineStr">
        <is>
          <t>Amazon.com</t>
        </is>
      </c>
      <c r="D412" t="inlineStr">
        <is>
          <t>indeed</t>
        </is>
      </c>
      <c r="E412">
        <f>HYPERLINK("https://www.indeed.com/viewjob?jk=ecbe25d49c5aa7ac", "https://www.indeed.com/viewjob?jk=ecbe25d49c5aa7ac")</f>
        <v/>
      </c>
      <c r="F412">
        <f>HYPERLINK("https://www.amazon.jobs/jobs/3130062/senior-applied-scientist-sponsored-products-and-brands?cmpid=DA_INAD200785B", "https://www.amazon.jobs/jobs/3130062/senior-applied-scientist-sponsored-products-and-brands?cmpid=DA_INAD200785B")</f>
        <v/>
      </c>
      <c r="G412" t="inlineStr">
        <is>
          <t>Seattle, WA, US</t>
        </is>
      </c>
      <c r="H412" s="2" t="n">
        <v>45979</v>
      </c>
      <c r="I412"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413">
      <c r="A413" t="inlineStr">
        <is>
          <t>in-7e02de7f62e95ae9</t>
        </is>
      </c>
      <c r="B413" t="inlineStr">
        <is>
          <t>Sr. Applied Scientist, Sponsored Products</t>
        </is>
      </c>
      <c r="C413" t="inlineStr">
        <is>
          <t>Amazon.com</t>
        </is>
      </c>
      <c r="D413" t="inlineStr">
        <is>
          <t>indeed</t>
        </is>
      </c>
      <c r="E413">
        <f>HYPERLINK("https://www.indeed.com/viewjob?jk=7e02de7f62e95ae9", "https://www.indeed.com/viewjob?jk=7e02de7f62e95ae9")</f>
        <v/>
      </c>
      <c r="F413">
        <f>HYPERLINK("https://www.amazon.jobs/jobs/3136156/sr-applied-scientist-sponsored-products?cmpid=DA_INAD200785B", "https://www.amazon.jobs/jobs/3136156/sr-applied-scientist-sponsored-products?cmpid=DA_INAD200785B")</f>
        <v/>
      </c>
      <c r="G413" t="inlineStr">
        <is>
          <t>New York, NY, US</t>
        </is>
      </c>
      <c r="H413" s="2" t="n">
        <v>45976</v>
      </c>
      <c r="I413"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414">
      <c r="A414" t="inlineStr">
        <is>
          <t>in-e69de29457ba448f</t>
        </is>
      </c>
      <c r="B414" t="inlineStr">
        <is>
          <t>Sr. Applied Scientist, Sponsored Products</t>
        </is>
      </c>
      <c r="C414" t="inlineStr">
        <is>
          <t>Amazon.com</t>
        </is>
      </c>
      <c r="D414" t="inlineStr">
        <is>
          <t>indeed</t>
        </is>
      </c>
      <c r="E414">
        <f>HYPERLINK("https://www.indeed.com/viewjob?jk=e69de29457ba448f", "https://www.indeed.com/viewjob?jk=e69de29457ba448f")</f>
        <v/>
      </c>
      <c r="F414">
        <f>HYPERLINK("https://www.amazon.jobs/jobs/3136156/sr-applied-scientist-sponsored-products?cmpid=DA_INAD200785B", "https://www.amazon.jobs/jobs/3136156/sr-applied-scientist-sponsored-products?cmpid=DA_INAD200785B")</f>
        <v/>
      </c>
      <c r="G414" t="inlineStr">
        <is>
          <t>Arlington, VA, US</t>
        </is>
      </c>
      <c r="H414" s="2" t="n">
        <v>45976</v>
      </c>
      <c r="I414"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415">
      <c r="A415" t="inlineStr">
        <is>
          <t>in-f0c9d19beb492067</t>
        </is>
      </c>
      <c r="B415" t="inlineStr">
        <is>
          <t>Sr. Applied Scientist, Sponsored Products</t>
        </is>
      </c>
      <c r="C415" t="inlineStr">
        <is>
          <t>Amazon.com</t>
        </is>
      </c>
      <c r="D415" t="inlineStr">
        <is>
          <t>indeed</t>
        </is>
      </c>
      <c r="E415">
        <f>HYPERLINK("https://www.indeed.com/viewjob?jk=f0c9d19beb492067", "https://www.indeed.com/viewjob?jk=f0c9d19beb492067")</f>
        <v/>
      </c>
      <c r="F415">
        <f>HYPERLINK("https://www.amazon.jobs/jobs/3136156/sr-applied-scientist-sponsored-products?cmpid=DA_INAD200785B", "https://www.amazon.jobs/jobs/3136156/sr-applied-scientist-sponsored-products?cmpid=DA_INAD200785B")</f>
        <v/>
      </c>
      <c r="G415" t="inlineStr">
        <is>
          <t>Seattle, WA, US</t>
        </is>
      </c>
      <c r="H415" s="2" t="n">
        <v>45976</v>
      </c>
      <c r="I415"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416">
      <c r="A416" t="inlineStr">
        <is>
          <t>in-93610bc84eaac52a</t>
        </is>
      </c>
      <c r="B416" t="inlineStr">
        <is>
          <t>Applied Scientist, AWS Agentic AI</t>
        </is>
      </c>
      <c r="C416" t="inlineStr">
        <is>
          <t>Amazon Web Services</t>
        </is>
      </c>
      <c r="D416" t="inlineStr">
        <is>
          <t>indeed</t>
        </is>
      </c>
      <c r="E416">
        <f>HYPERLINK("https://www.indeed.com/viewjob?jk=93610bc84eaac52a", "https://www.indeed.com/viewjob?jk=93610bc84eaac52a")</f>
        <v/>
      </c>
      <c r="F416">
        <f>HYPERLINK("https://www.amazon.jobs/jobs/3141517/applied-scientist-aws-agentic-ai-?cmpid=DA_INAD200785B", "https://www.amazon.jobs/jobs/3141517/applied-scientist-aws-agentic-ai-?cmpid=DA_INAD200785B")</f>
        <v/>
      </c>
      <c r="G416" t="inlineStr">
        <is>
          <t>Seattle, WA, US</t>
        </is>
      </c>
      <c r="H416" s="2" t="n">
        <v>45962</v>
      </c>
      <c r="I416"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7">
      <c r="A417" t="inlineStr">
        <is>
          <t>in-0fae428008f34d86</t>
        </is>
      </c>
      <c r="B417" t="inlineStr">
        <is>
          <t>Applied Scientist, AWS Agentic AI</t>
        </is>
      </c>
      <c r="C417" t="inlineStr">
        <is>
          <t>Amazon Web Services</t>
        </is>
      </c>
      <c r="D417" t="inlineStr">
        <is>
          <t>indeed</t>
        </is>
      </c>
      <c r="E417">
        <f>HYPERLINK("https://www.indeed.com/viewjob?jk=0fae428008f34d86", "https://www.indeed.com/viewjob?jk=0fae428008f34d86")</f>
        <v/>
      </c>
      <c r="F417">
        <f>HYPERLINK("https://www.amazon.jobs/jobs/3141517/applied-scientist-aws-agentic-ai-?cmpid=DA_INAD200785B", "https://www.amazon.jobs/jobs/3141517/applied-scientist-aws-agentic-ai-?cmpid=DA_INAD200785B")</f>
        <v/>
      </c>
      <c r="G417" t="inlineStr">
        <is>
          <t>Santa Clara, CA, US</t>
        </is>
      </c>
      <c r="H417" s="2" t="n">
        <v>45962</v>
      </c>
      <c r="I417"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8">
      <c r="A418" t="inlineStr">
        <is>
          <t>in-b291bd6f6148b4e9</t>
        </is>
      </c>
      <c r="B418" t="inlineStr">
        <is>
          <t>Applied Scientist, AWS Agentic AI</t>
        </is>
      </c>
      <c r="C418" t="inlineStr">
        <is>
          <t>Amazon Web Services</t>
        </is>
      </c>
      <c r="D418" t="inlineStr">
        <is>
          <t>indeed</t>
        </is>
      </c>
      <c r="E418">
        <f>HYPERLINK("https://www.indeed.com/viewjob?jk=b291bd6f6148b4e9", "https://www.indeed.com/viewjob?jk=b291bd6f6148b4e9")</f>
        <v/>
      </c>
      <c r="F418">
        <f>HYPERLINK("https://www.amazon.jobs/jobs/3141517/applied-scientist-aws-agentic-ai-?cmpid=DA_INAD200785B", "https://www.amazon.jobs/jobs/3141517/applied-scientist-aws-agentic-ai-?cmpid=DA_INAD200785B")</f>
        <v/>
      </c>
      <c r="G418" t="inlineStr">
        <is>
          <t>New York, NY, US</t>
        </is>
      </c>
      <c r="H418" s="2" t="n">
        <v>45962</v>
      </c>
      <c r="I418"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9">
      <c r="A419" t="inlineStr">
        <is>
          <t>in-50cdf6ae8522bb9c</t>
        </is>
      </c>
      <c r="B419" t="inlineStr">
        <is>
          <t>Principal Applied Scientist, Advertiser Growth, Amazon Sponsored Products &amp; Brands</t>
        </is>
      </c>
      <c r="C419" t="inlineStr">
        <is>
          <t>Amazon.com</t>
        </is>
      </c>
      <c r="D419" t="inlineStr">
        <is>
          <t>indeed</t>
        </is>
      </c>
      <c r="E419">
        <f>HYPERLINK("https://www.indeed.com/viewjob?jk=50cdf6ae8522bb9c", "https://www.indeed.com/viewjob?jk=50cdf6ae8522bb9c")</f>
        <v/>
      </c>
      <c r="F419">
        <f>HYPERLINK("https://www.amazon.jobs/jobs/3115279/principal-applied-scientist-advertiser-growth-amazon-sponsored-products--brands?cmpid=DA_INAD200785B", "https://www.amazon.jobs/jobs/3115279/principal-applied-scientist-advertiser-growth-amazon-sponsored-products--brands?cmpid=DA_INAD200785B")</f>
        <v/>
      </c>
      <c r="G419" t="inlineStr">
        <is>
          <t>Palo Alto, CA, US</t>
        </is>
      </c>
      <c r="H419" s="2" t="n">
        <v>45942</v>
      </c>
      <c r="I419"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0">
      <c r="A420" t="inlineStr">
        <is>
          <t>in-ac207eb6669efbab</t>
        </is>
      </c>
      <c r="B420" t="inlineStr">
        <is>
          <t>Principal Applied Scientist, Advertiser Growth, Amazon Sponsored Products &amp; Brands</t>
        </is>
      </c>
      <c r="C420" t="inlineStr">
        <is>
          <t>Amazon.com</t>
        </is>
      </c>
      <c r="D420" t="inlineStr">
        <is>
          <t>indeed</t>
        </is>
      </c>
      <c r="E420">
        <f>HYPERLINK("https://www.indeed.com/viewjob?jk=ac207eb6669efbab", "https://www.indeed.com/viewjob?jk=ac207eb6669efbab")</f>
        <v/>
      </c>
      <c r="F420">
        <f>HYPERLINK("https://www.amazon.jobs/jobs/3115279/principal-applied-scientist-advertiser-growth-amazon-sponsored-products--brands?cmpid=DA_INAD200785B", "https://www.amazon.jobs/jobs/3115279/principal-applied-scientist-advertiser-growth-amazon-sponsored-products--brands?cmpid=DA_INAD200785B")</f>
        <v/>
      </c>
      <c r="G420" t="inlineStr">
        <is>
          <t>Seattle, WA, US</t>
        </is>
      </c>
      <c r="H420" s="2" t="n">
        <v>45942</v>
      </c>
      <c r="I420"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1">
      <c r="A421" t="inlineStr">
        <is>
          <t>in-37851469749411d7</t>
        </is>
      </c>
      <c r="B421" t="inlineStr">
        <is>
          <t>Principal Applied Scientist, Advertiser Growth, Amazon Sponsored Products &amp; Brands</t>
        </is>
      </c>
      <c r="C421" t="inlineStr">
        <is>
          <t>Amazon.com</t>
        </is>
      </c>
      <c r="D421" t="inlineStr">
        <is>
          <t>indeed</t>
        </is>
      </c>
      <c r="E421">
        <f>HYPERLINK("https://www.indeed.com/viewjob?jk=37851469749411d7", "https://www.indeed.com/viewjob?jk=37851469749411d7")</f>
        <v/>
      </c>
      <c r="F421">
        <f>HYPERLINK("https://www.amazon.jobs/jobs/3115279/principal-applied-scientist-advertiser-growth-amazon-sponsored-products--brands?cmpid=DA_INAD200785B", "https://www.amazon.jobs/jobs/3115279/principal-applied-scientist-advertiser-growth-amazon-sponsored-products--brands?cmpid=DA_INAD200785B")</f>
        <v/>
      </c>
      <c r="G421" t="inlineStr">
        <is>
          <t>New York, NY, US</t>
        </is>
      </c>
      <c r="H421" s="2" t="n">
        <v>45942</v>
      </c>
      <c r="I421"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2">
      <c r="A422" t="inlineStr">
        <is>
          <t>in-801b37f233d32cf6</t>
        </is>
      </c>
      <c r="B422" t="inlineStr">
        <is>
          <t>Applied Scientist II, Prime Video - Personalization and Discovery Science, Personalization and Discovery Science</t>
        </is>
      </c>
      <c r="C422" t="inlineStr">
        <is>
          <t>Amazon.com</t>
        </is>
      </c>
      <c r="D422" t="inlineStr">
        <is>
          <t>indeed</t>
        </is>
      </c>
      <c r="E422">
        <f>HYPERLINK("https://www.indeed.com/viewjob?jk=801b37f233d32cf6", "https://www.indeed.com/viewjob?jk=801b37f233d32cf6")</f>
        <v/>
      </c>
      <c r="F422">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422" t="inlineStr">
        <is>
          <t>New York, NY, US</t>
        </is>
      </c>
      <c r="H422" s="2" t="n">
        <v>45930</v>
      </c>
      <c r="I4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3">
      <c r="A423" t="inlineStr">
        <is>
          <t>in-4291e25a7906b836</t>
        </is>
      </c>
      <c r="B423" t="inlineStr">
        <is>
          <t>Applied Scientist II, Prime Video - Personalization and Discovery Science, Personalization and Discovery Science</t>
        </is>
      </c>
      <c r="C423" t="inlineStr">
        <is>
          <t>Amazon.com</t>
        </is>
      </c>
      <c r="D423" t="inlineStr">
        <is>
          <t>indeed</t>
        </is>
      </c>
      <c r="E423">
        <f>HYPERLINK("https://www.indeed.com/viewjob?jk=4291e25a7906b836", "https://www.indeed.com/viewjob?jk=4291e25a7906b836")</f>
        <v/>
      </c>
      <c r="F423">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423" t="inlineStr">
        <is>
          <t>Seattle, WA, US</t>
        </is>
      </c>
      <c r="H423" s="2" t="n">
        <v>45930</v>
      </c>
      <c r="I42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4">
      <c r="A424" t="inlineStr">
        <is>
          <t>in-be40aa565ffe3e6a</t>
        </is>
      </c>
      <c r="B424" t="inlineStr">
        <is>
          <t>Applied Scientist II, Prime Video - Personalization and Discovery Science, Personalization and Discovery Science</t>
        </is>
      </c>
      <c r="C424" t="inlineStr">
        <is>
          <t>Amazon.com</t>
        </is>
      </c>
      <c r="D424" t="inlineStr">
        <is>
          <t>indeed</t>
        </is>
      </c>
      <c r="E424">
        <f>HYPERLINK("https://www.indeed.com/viewjob?jk=be40aa565ffe3e6a", "https://www.indeed.com/viewjob?jk=be40aa565ffe3e6a")</f>
        <v/>
      </c>
      <c r="F424">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424" t="inlineStr">
        <is>
          <t>Sunnyvale, CA, US</t>
        </is>
      </c>
      <c r="H424" s="2" t="n">
        <v>45930</v>
      </c>
      <c r="I42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5">
      <c r="A425" t="inlineStr">
        <is>
          <t>in-81a97661b88207cb</t>
        </is>
      </c>
      <c r="B425" t="inlineStr">
        <is>
          <t>Applied Scientist, Workplace Health &amp; Safety</t>
        </is>
      </c>
      <c r="C425" t="inlineStr">
        <is>
          <t>Amazon.com</t>
        </is>
      </c>
      <c r="D425" t="inlineStr">
        <is>
          <t>indeed</t>
        </is>
      </c>
      <c r="E425">
        <f>HYPERLINK("https://www.indeed.com/viewjob?jk=81a97661b88207cb", "https://www.indeed.com/viewjob?jk=81a97661b88207cb")</f>
        <v/>
      </c>
      <c r="F425">
        <f>HYPERLINK("https://www.amazon.jobs/jobs/3144886/applied-scientist-workplace-health--safety-?cmpid=DA_INAD200785B", "https://www.amazon.jobs/jobs/3144886/applied-scientist-workplace-health--safety-?cmpid=DA_INAD200785B")</f>
        <v/>
      </c>
      <c r="G425" t="inlineStr">
        <is>
          <t>Bellevue, WA, US</t>
        </is>
      </c>
      <c r="H425" s="2" t="n">
        <v>45917</v>
      </c>
      <c r="I425"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6">
      <c r="A426" t="inlineStr">
        <is>
          <t>in-30dc68692d13ff8f</t>
        </is>
      </c>
      <c r="B426" t="inlineStr">
        <is>
          <t>Applied Scientist, Workplace Health &amp; Safety</t>
        </is>
      </c>
      <c r="C426" t="inlineStr">
        <is>
          <t>Amazon.com</t>
        </is>
      </c>
      <c r="D426" t="inlineStr">
        <is>
          <t>indeed</t>
        </is>
      </c>
      <c r="E426">
        <f>HYPERLINK("https://www.indeed.com/viewjob?jk=30dc68692d13ff8f", "https://www.indeed.com/viewjob?jk=30dc68692d13ff8f")</f>
        <v/>
      </c>
      <c r="F426">
        <f>HYPERLINK("https://www.amazon.jobs/jobs/3144886/applied-scientist-workplace-health--safety-?cmpid=DA_INAD200785B", "https://www.amazon.jobs/jobs/3144886/applied-scientist-workplace-health--safety-?cmpid=DA_INAD200785B")</f>
        <v/>
      </c>
      <c r="G426" t="inlineStr">
        <is>
          <t>Nashville, TN, US</t>
        </is>
      </c>
      <c r="H426" s="2" t="n">
        <v>45917</v>
      </c>
      <c r="I426"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7">
      <c r="A427" t="inlineStr">
        <is>
          <t>in-b08e042cf272617c</t>
        </is>
      </c>
      <c r="B427" t="inlineStr">
        <is>
          <t>Sr. Applied Scientist, Prime Video - Personalization and Discovery Science</t>
        </is>
      </c>
      <c r="C427" t="inlineStr">
        <is>
          <t>Amazon.com</t>
        </is>
      </c>
      <c r="D427" t="inlineStr">
        <is>
          <t>indeed</t>
        </is>
      </c>
      <c r="E427">
        <f>HYPERLINK("https://www.indeed.com/viewjob?jk=b08e042cf272617c", "https://www.indeed.com/viewjob?jk=b08e042cf272617c")</f>
        <v/>
      </c>
      <c r="F427">
        <f>HYPERLINK("https://www.amazon.jobs/jobs/3084479/sr-applied-scientist-prime-video--personalization-and-discovery-science?cmpid=DA_INAD200785B", "https://www.amazon.jobs/jobs/3084479/sr-applied-scientist-prime-video--personalization-and-discovery-science?cmpid=DA_INAD200785B")</f>
        <v/>
      </c>
      <c r="G427" t="inlineStr">
        <is>
          <t>New York, NY, US</t>
        </is>
      </c>
      <c r="H427" s="2" t="n">
        <v>45896</v>
      </c>
      <c r="I42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428">
      <c r="A428" t="inlineStr">
        <is>
          <t>in-bf84df6e78feab0f</t>
        </is>
      </c>
      <c r="B428" t="inlineStr">
        <is>
          <t>Sr. Applied Scientist, Prime Video - Personalization and Discovery Science</t>
        </is>
      </c>
      <c r="C428" t="inlineStr">
        <is>
          <t>Amazon.com</t>
        </is>
      </c>
      <c r="D428" t="inlineStr">
        <is>
          <t>indeed</t>
        </is>
      </c>
      <c r="E428">
        <f>HYPERLINK("https://www.indeed.com/viewjob?jk=bf84df6e78feab0f", "https://www.indeed.com/viewjob?jk=bf84df6e78feab0f")</f>
        <v/>
      </c>
      <c r="F428">
        <f>HYPERLINK("https://www.amazon.jobs/jobs/3084479/sr-applied-scientist-prime-video--personalization-and-discovery-science?cmpid=DA_INAD200785B", "https://www.amazon.jobs/jobs/3084479/sr-applied-scientist-prime-video--personalization-and-discovery-science?cmpid=DA_INAD200785B")</f>
        <v/>
      </c>
      <c r="G428" t="inlineStr">
        <is>
          <t>Seattle, WA, US</t>
        </is>
      </c>
      <c r="H428" s="2" t="n">
        <v>45896</v>
      </c>
      <c r="I42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429">
      <c r="A429" t="inlineStr">
        <is>
          <t>in-79033347522f9619</t>
        </is>
      </c>
      <c r="B429" t="inlineStr">
        <is>
          <t>Sr. Applied Scientist, Prime Video - Personalization and Discovery Science</t>
        </is>
      </c>
      <c r="C429" t="inlineStr">
        <is>
          <t>Amazon.com</t>
        </is>
      </c>
      <c r="D429" t="inlineStr">
        <is>
          <t>indeed</t>
        </is>
      </c>
      <c r="E429">
        <f>HYPERLINK("https://www.indeed.com/viewjob?jk=79033347522f9619", "https://www.indeed.com/viewjob?jk=79033347522f9619")</f>
        <v/>
      </c>
      <c r="F429">
        <f>HYPERLINK("https://www.amazon.jobs/jobs/3084479/sr-applied-scientist-prime-video--personalization-and-discovery-science?cmpid=DA_INAD200785B", "https://www.amazon.jobs/jobs/3084479/sr-applied-scientist-prime-video--personalization-and-discovery-science?cmpid=DA_INAD200785B")</f>
        <v/>
      </c>
      <c r="G429" t="inlineStr">
        <is>
          <t>Sunnyvale, CA, US</t>
        </is>
      </c>
      <c r="H429" s="2" t="n">
        <v>45896</v>
      </c>
      <c r="I42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430">
      <c r="A430" t="inlineStr">
        <is>
          <t>in-243d12b5767fa969</t>
        </is>
      </c>
      <c r="B430" t="inlineStr">
        <is>
          <t>Applied Scientist II, Prime Video - Personalization and Discovery Science</t>
        </is>
      </c>
      <c r="C430" t="inlineStr">
        <is>
          <t>Amazon.com</t>
        </is>
      </c>
      <c r="D430" t="inlineStr">
        <is>
          <t>indeed</t>
        </is>
      </c>
      <c r="E430">
        <f>HYPERLINK("https://www.indeed.com/viewjob?jk=243d12b5767fa969", "https://www.indeed.com/viewjob?jk=243d12b5767fa969")</f>
        <v/>
      </c>
      <c r="F430">
        <f>HYPERLINK("https://www.amazon.jobs/jobs/3059253/applied-scientist-ii-prime-video--personalization-and-discovery-science?cmpid=DA_INAD200785B", "https://www.amazon.jobs/jobs/3059253/applied-scientist-ii-prime-video--personalization-and-discovery-science?cmpid=DA_INAD200785B")</f>
        <v/>
      </c>
      <c r="G430" t="inlineStr">
        <is>
          <t>Seattle, WA, US</t>
        </is>
      </c>
      <c r="H430" s="2" t="n">
        <v>45881</v>
      </c>
      <c r="I43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1">
      <c r="A431" t="inlineStr">
        <is>
          <t>in-3880ddd0e4a51902</t>
        </is>
      </c>
      <c r="B431" t="inlineStr">
        <is>
          <t>Sr. Applied Scientist, Prime Video - Personalization and Discovery Science</t>
        </is>
      </c>
      <c r="C431" t="inlineStr">
        <is>
          <t>Amazon.com</t>
        </is>
      </c>
      <c r="D431" t="inlineStr">
        <is>
          <t>indeed</t>
        </is>
      </c>
      <c r="E431">
        <f>HYPERLINK("https://www.indeed.com/viewjob?jk=3880ddd0e4a51902", "https://www.indeed.com/viewjob?jk=3880ddd0e4a51902")</f>
        <v/>
      </c>
      <c r="F431">
        <f>HYPERLINK("https://www.amazon.jobs/jobs/3059256/sr-applied-scientist-prime-video--personalization-and-discovery-science?cmpid=DA_INAD200785B", "https://www.amazon.jobs/jobs/3059256/sr-applied-scientist-prime-video--personalization-and-discovery-science?cmpid=DA_INAD200785B")</f>
        <v/>
      </c>
      <c r="G431" t="inlineStr">
        <is>
          <t>New York, NY, US</t>
        </is>
      </c>
      <c r="H431" s="2" t="n">
        <v>45881</v>
      </c>
      <c r="I43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2">
      <c r="A432" t="inlineStr">
        <is>
          <t>in-8f886876fba73a5e</t>
        </is>
      </c>
      <c r="B432" t="inlineStr">
        <is>
          <t>Sr. Applied Scientist, Prime Video - Personalization and Discovery Science</t>
        </is>
      </c>
      <c r="C432" t="inlineStr">
        <is>
          <t>Amazon.com</t>
        </is>
      </c>
      <c r="D432" t="inlineStr">
        <is>
          <t>indeed</t>
        </is>
      </c>
      <c r="E432">
        <f>HYPERLINK("https://www.indeed.com/viewjob?jk=8f886876fba73a5e", "https://www.indeed.com/viewjob?jk=8f886876fba73a5e")</f>
        <v/>
      </c>
      <c r="F432">
        <f>HYPERLINK("https://www.amazon.jobs/jobs/3059256/sr-applied-scientist-prime-video--personalization-and-discovery-science?cmpid=DA_INAD200785B", "https://www.amazon.jobs/jobs/3059256/sr-applied-scientist-prime-video--personalization-and-discovery-science?cmpid=DA_INAD200785B")</f>
        <v/>
      </c>
      <c r="G432" t="inlineStr">
        <is>
          <t>Sunnyvale, CA, US</t>
        </is>
      </c>
      <c r="H432" s="2" t="n">
        <v>45881</v>
      </c>
      <c r="I43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3">
      <c r="A433" t="inlineStr">
        <is>
          <t>in-ff3470df798ece5d</t>
        </is>
      </c>
      <c r="B433" t="inlineStr">
        <is>
          <t>Applied Scientist II, Prime Video - Personalization and Discovery Science</t>
        </is>
      </c>
      <c r="C433" t="inlineStr">
        <is>
          <t>Amazon.com</t>
        </is>
      </c>
      <c r="D433" t="inlineStr">
        <is>
          <t>indeed</t>
        </is>
      </c>
      <c r="E433">
        <f>HYPERLINK("https://www.indeed.com/viewjob?jk=ff3470df798ece5d", "https://www.indeed.com/viewjob?jk=ff3470df798ece5d")</f>
        <v/>
      </c>
      <c r="F433">
        <f>HYPERLINK("https://www.amazon.jobs/jobs/3059253/applied-scientist-ii-prime-video--personalization-and-discovery-science?cmpid=DA_INAD200785B", "https://www.amazon.jobs/jobs/3059253/applied-scientist-ii-prime-video--personalization-and-discovery-science?cmpid=DA_INAD200785B")</f>
        <v/>
      </c>
      <c r="G433" t="inlineStr">
        <is>
          <t>New York, NY, US</t>
        </is>
      </c>
      <c r="H433" s="2" t="n">
        <v>45881</v>
      </c>
      <c r="I43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4">
      <c r="A434" t="inlineStr">
        <is>
          <t>in-956435d6999ff1ac</t>
        </is>
      </c>
      <c r="B434" t="inlineStr">
        <is>
          <t>Applied Scientist II, Prime Video - Personalization and Discovery Science</t>
        </is>
      </c>
      <c r="C434" t="inlineStr">
        <is>
          <t>Amazon.com</t>
        </is>
      </c>
      <c r="D434" t="inlineStr">
        <is>
          <t>indeed</t>
        </is>
      </c>
      <c r="E434">
        <f>HYPERLINK("https://www.indeed.com/viewjob?jk=956435d6999ff1ac", "https://www.indeed.com/viewjob?jk=956435d6999ff1ac")</f>
        <v/>
      </c>
      <c r="F434">
        <f>HYPERLINK("https://www.amazon.jobs/jobs/3059253/applied-scientist-ii-prime-video--personalization-and-discovery-science?cmpid=DA_INAD200785B", "https://www.amazon.jobs/jobs/3059253/applied-scientist-ii-prime-video--personalization-and-discovery-science?cmpid=DA_INAD200785B")</f>
        <v/>
      </c>
      <c r="G434" t="inlineStr">
        <is>
          <t>Sunnyvale, CA, US</t>
        </is>
      </c>
      <c r="H434" s="2" t="n">
        <v>45881</v>
      </c>
      <c r="I43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5">
      <c r="A435" t="inlineStr">
        <is>
          <t>in-32b8970badac5eb1</t>
        </is>
      </c>
      <c r="B435" t="inlineStr">
        <is>
          <t>Sr. Applied Scientist, Prime Video - Personalization and Discovery Science</t>
        </is>
      </c>
      <c r="C435" t="inlineStr">
        <is>
          <t>Amazon.com</t>
        </is>
      </c>
      <c r="D435" t="inlineStr">
        <is>
          <t>indeed</t>
        </is>
      </c>
      <c r="E435">
        <f>HYPERLINK("https://www.indeed.com/viewjob?jk=32b8970badac5eb1", "https://www.indeed.com/viewjob?jk=32b8970badac5eb1")</f>
        <v/>
      </c>
      <c r="F435">
        <f>HYPERLINK("https://www.amazon.jobs/jobs/3059256/sr-applied-scientist-prime-video--personalization-and-discovery-science?cmpid=DA_INAD200785B", "https://www.amazon.jobs/jobs/3059256/sr-applied-scientist-prime-video--personalization-and-discovery-science?cmpid=DA_INAD200785B")</f>
        <v/>
      </c>
      <c r="G435" t="inlineStr">
        <is>
          <t>Seattle, WA, US</t>
        </is>
      </c>
      <c r="H435" s="2" t="n">
        <v>45881</v>
      </c>
      <c r="I43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6">
      <c r="A436" t="inlineStr">
        <is>
          <t>in-92745dccb2fea014</t>
        </is>
      </c>
      <c r="B436" t="inlineStr">
        <is>
          <t>Applied Scientist III, StoreGen</t>
        </is>
      </c>
      <c r="C436" t="inlineStr">
        <is>
          <t>Amazon.com</t>
        </is>
      </c>
      <c r="D436" t="inlineStr">
        <is>
          <t>indeed</t>
        </is>
      </c>
      <c r="E436">
        <f>HYPERLINK("https://www.indeed.com/viewjob?jk=92745dccb2fea014", "https://www.indeed.com/viewjob?jk=92745dccb2fea014")</f>
        <v/>
      </c>
      <c r="F436">
        <f>HYPERLINK("https://www.amazon.jobs/jobs/3065534/applied-scientist-iii-storegen?cmpid=DA_INAD200785B", "https://www.amazon.jobs/jobs/3065534/applied-scientist-iii-storegen?cmpid=DA_INAD200785B")</f>
        <v/>
      </c>
      <c r="G436" t="inlineStr">
        <is>
          <t>Seattle, WA, US</t>
        </is>
      </c>
      <c r="H436" s="2" t="n">
        <v>45868</v>
      </c>
      <c r="I436"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7">
      <c r="A437" t="inlineStr">
        <is>
          <t>in-2123b133f9085034</t>
        </is>
      </c>
      <c r="B437" t="inlineStr">
        <is>
          <t>Applied Scientist III, StoreGen</t>
        </is>
      </c>
      <c r="C437" t="inlineStr">
        <is>
          <t>Amazon.com</t>
        </is>
      </c>
      <c r="D437" t="inlineStr">
        <is>
          <t>indeed</t>
        </is>
      </c>
      <c r="E437">
        <f>HYPERLINK("https://www.indeed.com/viewjob?jk=2123b133f9085034", "https://www.indeed.com/viewjob?jk=2123b133f9085034")</f>
        <v/>
      </c>
      <c r="F437">
        <f>HYPERLINK("https://www.amazon.jobs/jobs/3065534/applied-scientist-iii-storegen?cmpid=DA_INAD200785B", "https://www.amazon.jobs/jobs/3065534/applied-scientist-iii-storegen?cmpid=DA_INAD200785B")</f>
        <v/>
      </c>
      <c r="G437" t="inlineStr">
        <is>
          <t>Sunnyvale, CA, US</t>
        </is>
      </c>
      <c r="H437" s="2" t="n">
        <v>45868</v>
      </c>
      <c r="I437" t="inlineStr">
        <is>
          <t>**DESCRIPTION**
---------------
Join our Generative AI focus team to innovate Software Development at Amazon  
Are you ready to be part of a team that's redefining the future of software engineering? Our team is Amazon's ambitious initiative to pioneer AI development practices that will fundamentally transform how we build software at scale.  
Our Mission  
We’re building the next generation of development tools — uncovering how LLMs can originate new ways of thinking, building, and collaborating.  
What Makes Us Different  
* Ground\-floor opportunity to shape the future of software development
* Direct impact on Amazon's global engineering practices
* Working with the latest technologies and large language models
* Culture of experimentation and innovative thinking
What We’re Looking For  
You’ll lead the research, design, and development of AI technologies that challenge conventional software practices and uncover new ways for engineers to build and collaborate.  
You’re comfortable working in ambiguous spaces, exploring emergent behaviors, and collaborating with designers, prototypers, and engineers to test hypotheses in live, evolving systems.  
You explore where LLMs behave in unexpected yet promising ways, especially in tasks like context retention, code reasoning, or agent behavior , and use those moments to uncover new AI\-native workflows.  
We’re looking for applied scientists with experience in areas like:  
\+ Information retrieval  
\+ Context and memory modeling  
\+ Agent behavior and autonomy  
\+ Code understanding and generation  
\+ Human\-AI interaction  
What You'll Do  
* Prototype new ways of working with LLMs in engineering workflows
* Help shape and evaluate scientific approaches behind agentic systems and engineering tools
* Move fast with engineers and prototypers to guide design decisions and model choices
* Make sense of unexpected model behavior and guide what to try next
Impact  
Your work will surface where LLMs can meaningfully change how Amazon engineers build.  
You’ll help the team uncover which surprises are worth pursuing and where to push beyond what’s already known.  
Always find a way ️**BASIC QUALIFICATIONS**
------------------------
* 3\+ years of building machine learning models for business application experience
* PhD, or Master's degree and 6\+ years of applied research experience
* Experience in patents or publications at top\-tier peer\-reviewed conferences or journals
* Strong analytical, mathematical, and coding skills (e.g., Python, C\+\+, or Java)
* Previous work on agents or LLMs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8">
      <c r="A438" t="inlineStr">
        <is>
          <t>in-4d97c82eceddcbec</t>
        </is>
      </c>
      <c r="B438" t="inlineStr">
        <is>
          <t>Sr. Applied Scientist, Amazon Advertising</t>
        </is>
      </c>
      <c r="C438" t="inlineStr">
        <is>
          <t>Amazon.com</t>
        </is>
      </c>
      <c r="D438" t="inlineStr">
        <is>
          <t>indeed</t>
        </is>
      </c>
      <c r="E438">
        <f>HYPERLINK("https://www.indeed.com/viewjob?jk=4d97c82eceddcbec", "https://www.indeed.com/viewjob?jk=4d97c82eceddcbec")</f>
        <v/>
      </c>
      <c r="F438">
        <f>HYPERLINK("https://www.amazon.jobs/jobs/3035686/sr-applied-scientist-amazon-advertising?cmpid=DA_INAD200785B", "https://www.amazon.jobs/jobs/3035686/sr-applied-scientist-amazon-advertising?cmpid=DA_INAD200785B")</f>
        <v/>
      </c>
      <c r="G438" t="inlineStr">
        <is>
          <t>West Hollywood, CA, US</t>
        </is>
      </c>
      <c r="H438" s="2" t="n">
        <v>45851</v>
      </c>
      <c r="I43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9">
      <c r="A439" t="inlineStr">
        <is>
          <t>in-79f1fc79855b0e7b</t>
        </is>
      </c>
      <c r="B439" t="inlineStr">
        <is>
          <t>Sr. Applied Scientist, Amazon Advertising</t>
        </is>
      </c>
      <c r="C439" t="inlineStr">
        <is>
          <t>Amazon.com</t>
        </is>
      </c>
      <c r="D439" t="inlineStr">
        <is>
          <t>indeed</t>
        </is>
      </c>
      <c r="E439">
        <f>HYPERLINK("https://www.indeed.com/viewjob?jk=79f1fc79855b0e7b", "https://www.indeed.com/viewjob?jk=79f1fc79855b0e7b")</f>
        <v/>
      </c>
      <c r="F439">
        <f>HYPERLINK("https://www.amazon.jobs/jobs/3035686/sr-applied-scientist-amazon-advertising?cmpid=DA_INAD200785B", "https://www.amazon.jobs/jobs/3035686/sr-applied-scientist-amazon-advertising?cmpid=DA_INAD200785B")</f>
        <v/>
      </c>
      <c r="G439" t="inlineStr">
        <is>
          <t>New York, NY, US</t>
        </is>
      </c>
      <c r="H439" s="2" t="n">
        <v>45851</v>
      </c>
      <c r="I43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0">
      <c r="A440" t="inlineStr">
        <is>
          <t>in-365f702d4c6502f8</t>
        </is>
      </c>
      <c r="B440" t="inlineStr">
        <is>
          <t>Sr. Applied Scientist, Amazon Advertising</t>
        </is>
      </c>
      <c r="C440" t="inlineStr">
        <is>
          <t>Amazon.com</t>
        </is>
      </c>
      <c r="D440" t="inlineStr">
        <is>
          <t>indeed</t>
        </is>
      </c>
      <c r="E440">
        <f>HYPERLINK("https://www.indeed.com/viewjob?jk=365f702d4c6502f8", "https://www.indeed.com/viewjob?jk=365f702d4c6502f8")</f>
        <v/>
      </c>
      <c r="F440">
        <f>HYPERLINK("https://www.amazon.jobs/jobs/3035686/sr-applied-scientist-amazon-advertising?cmpid=DA_INAD200785B", "https://www.amazon.jobs/jobs/3035686/sr-applied-scientist-amazon-advertising?cmpid=DA_INAD200785B")</f>
        <v/>
      </c>
      <c r="G440" t="inlineStr">
        <is>
          <t>Palo Alto, CA, US</t>
        </is>
      </c>
      <c r="H440" s="2" t="n">
        <v>45851</v>
      </c>
      <c r="I44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1">
      <c r="A441" t="inlineStr">
        <is>
          <t>in-b2a56d60c7b7b3d6</t>
        </is>
      </c>
      <c r="B441" t="inlineStr">
        <is>
          <t>Sr. Applied Scientist, Amazon Advertising</t>
        </is>
      </c>
      <c r="C441" t="inlineStr">
        <is>
          <t>Amazon.com</t>
        </is>
      </c>
      <c r="D441" t="inlineStr">
        <is>
          <t>indeed</t>
        </is>
      </c>
      <c r="E441">
        <f>HYPERLINK("https://www.indeed.com/viewjob?jk=b2a56d60c7b7b3d6", "https://www.indeed.com/viewjob?jk=b2a56d60c7b7b3d6")</f>
        <v/>
      </c>
      <c r="F441">
        <f>HYPERLINK("https://www.amazon.jobs/jobs/3035686/sr-applied-scientist-amazon-advertising?cmpid=DA_INAD200785B", "https://www.amazon.jobs/jobs/3035686/sr-applied-scientist-amazon-advertising?cmpid=DA_INAD200785B")</f>
        <v/>
      </c>
      <c r="G441" t="inlineStr">
        <is>
          <t>Los Angeles, CA, US</t>
        </is>
      </c>
      <c r="H441" s="2" t="n">
        <v>45851</v>
      </c>
      <c r="I44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2">
      <c r="A442" t="inlineStr">
        <is>
          <t>in-4d5f77b9d591ac8d</t>
        </is>
      </c>
      <c r="B442" t="inlineStr">
        <is>
          <t>Sr. Applied Scientist, Amazon Advertising</t>
        </is>
      </c>
      <c r="C442" t="inlineStr">
        <is>
          <t>Amazon.com</t>
        </is>
      </c>
      <c r="D442" t="inlineStr">
        <is>
          <t>indeed</t>
        </is>
      </c>
      <c r="E442">
        <f>HYPERLINK("https://www.indeed.com/viewjob?jk=4d5f77b9d591ac8d", "https://www.indeed.com/viewjob?jk=4d5f77b9d591ac8d")</f>
        <v/>
      </c>
      <c r="F442">
        <f>HYPERLINK("https://www.amazon.jobs/jobs/3035686/sr-applied-scientist-amazon-advertising?cmpid=DA_INAD200785B", "https://www.amazon.jobs/jobs/3035686/sr-applied-scientist-amazon-advertising?cmpid=DA_INAD200785B")</f>
        <v/>
      </c>
      <c r="G442" t="inlineStr">
        <is>
          <t>Seattle, WA, US</t>
        </is>
      </c>
      <c r="H442" s="2" t="n">
        <v>45851</v>
      </c>
      <c r="I44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3">
      <c r="A443" t="inlineStr">
        <is>
          <t>in-1c17754586e3b505</t>
        </is>
      </c>
      <c r="B443" t="inlineStr">
        <is>
          <t>Sr. Applied Scientist, Amazon Advertising</t>
        </is>
      </c>
      <c r="C443" t="inlineStr">
        <is>
          <t>Amazon.com</t>
        </is>
      </c>
      <c r="D443" t="inlineStr">
        <is>
          <t>indeed</t>
        </is>
      </c>
      <c r="E443">
        <f>HYPERLINK("https://www.indeed.com/viewjob?jk=1c17754586e3b505", "https://www.indeed.com/viewjob?jk=1c17754586e3b505")</f>
        <v/>
      </c>
      <c r="F443">
        <f>HYPERLINK("https://www.amazon.jobs/jobs/3035686/sr-applied-scientist-amazon-advertising?cmpid=DA_INAD200785B", "https://www.amazon.jobs/jobs/3035686/sr-applied-scientist-amazon-advertising?cmpid=DA_INAD200785B")</f>
        <v/>
      </c>
      <c r="G443" t="inlineStr">
        <is>
          <t>Arlington, VA, US</t>
        </is>
      </c>
      <c r="H443" s="2" t="n">
        <v>45851</v>
      </c>
      <c r="I44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4">
      <c r="A444" t="inlineStr">
        <is>
          <t>in-62f8db63f2f00c23</t>
        </is>
      </c>
      <c r="B444" t="inlineStr">
        <is>
          <t>Sr. Applied Scientist, Amazon Advertising</t>
        </is>
      </c>
      <c r="C444" t="inlineStr">
        <is>
          <t>Amazon.com</t>
        </is>
      </c>
      <c r="D444" t="inlineStr">
        <is>
          <t>indeed</t>
        </is>
      </c>
      <c r="E444">
        <f>HYPERLINK("https://www.indeed.com/viewjob?jk=62f8db63f2f00c23", "https://www.indeed.com/viewjob?jk=62f8db63f2f00c23")</f>
        <v/>
      </c>
      <c r="F444">
        <f>HYPERLINK("https://www.amazon.jobs/jobs/3035686/sr-applied-scientist-amazon-advertising?cmpid=DA_INAD200785B", "https://www.amazon.jobs/jobs/3035686/sr-applied-scientist-amazon-advertising?cmpid=DA_INAD200785B")</f>
        <v/>
      </c>
      <c r="G444" t="inlineStr">
        <is>
          <t>Simi Valley, CA, US</t>
        </is>
      </c>
      <c r="H444" s="2" t="n">
        <v>45851</v>
      </c>
      <c r="I44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5">
      <c r="A445" t="inlineStr">
        <is>
          <t>in-6836675d1f49f6eb</t>
        </is>
      </c>
      <c r="B445" t="inlineStr">
        <is>
          <t>Sr. Applied Scientist, Amazon Advertising</t>
        </is>
      </c>
      <c r="C445" t="inlineStr">
        <is>
          <t>Amazon.com</t>
        </is>
      </c>
      <c r="D445" t="inlineStr">
        <is>
          <t>indeed</t>
        </is>
      </c>
      <c r="E445">
        <f>HYPERLINK("https://www.indeed.com/viewjob?jk=6836675d1f49f6eb", "https://www.indeed.com/viewjob?jk=6836675d1f49f6eb")</f>
        <v/>
      </c>
      <c r="F445">
        <f>HYPERLINK("https://www.amazon.jobs/jobs/3035686/sr-applied-scientist-amazon-advertising?cmpid=DA_INAD200785B", "https://www.amazon.jobs/jobs/3035686/sr-applied-scientist-amazon-advertising?cmpid=DA_INAD200785B")</f>
        <v/>
      </c>
      <c r="G445" t="inlineStr">
        <is>
          <t>Austin, TX, US</t>
        </is>
      </c>
      <c r="H445" s="2" t="n">
        <v>45851</v>
      </c>
      <c r="I44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6">
      <c r="A446" t="inlineStr">
        <is>
          <t>in-8cb81e52dff3c511</t>
        </is>
      </c>
      <c r="B446" t="inlineStr">
        <is>
          <t>Senior Applied Scientist, Delivery Foundation Model</t>
        </is>
      </c>
      <c r="C446" t="inlineStr">
        <is>
          <t>Amazon.com</t>
        </is>
      </c>
      <c r="D446" t="inlineStr">
        <is>
          <t>indeed</t>
        </is>
      </c>
      <c r="E446">
        <f>HYPERLINK("https://www.indeed.com/viewjob?jk=8cb81e52dff3c511", "https://www.indeed.com/viewjob?jk=8cb81e52dff3c511")</f>
        <v/>
      </c>
      <c r="F446">
        <f>HYPERLINK("https://www.amazon.jobs/jobs/2998435/senior-applied-scientist-delivery-foundation-model-?cmpid=DA_INAD200785B", "https://www.amazon.jobs/jobs/2998435/senior-applied-scientist-delivery-foundation-model-?cmpid=DA_INAD200785B")</f>
        <v/>
      </c>
      <c r="G446" t="inlineStr">
        <is>
          <t>Santa Clara, CA, US</t>
        </is>
      </c>
      <c r="H446" s="2" t="n">
        <v>45806</v>
      </c>
      <c r="I44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7">
      <c r="A447" t="inlineStr">
        <is>
          <t>in-e0556118b775f04c</t>
        </is>
      </c>
      <c r="B447" t="inlineStr">
        <is>
          <t>Senior Applied Scientist, Delivery Foundation Model</t>
        </is>
      </c>
      <c r="C447" t="inlineStr">
        <is>
          <t>Amazon.com</t>
        </is>
      </c>
      <c r="D447" t="inlineStr">
        <is>
          <t>indeed</t>
        </is>
      </c>
      <c r="E447">
        <f>HYPERLINK("https://www.indeed.com/viewjob?jk=e0556118b775f04c", "https://www.indeed.com/viewjob?jk=e0556118b775f04c")</f>
        <v/>
      </c>
      <c r="F447">
        <f>HYPERLINK("https://www.amazon.jobs/jobs/2998435/senior-applied-scientist-delivery-foundation-model-?cmpid=DA_INAD200785B", "https://www.amazon.jobs/jobs/2998435/senior-applied-scientist-delivery-foundation-model-?cmpid=DA_INAD200785B")</f>
        <v/>
      </c>
      <c r="G447" t="inlineStr">
        <is>
          <t>New York, NY, US</t>
        </is>
      </c>
      <c r="H447" s="2" t="n">
        <v>45806</v>
      </c>
      <c r="I44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8">
      <c r="A448" t="inlineStr">
        <is>
          <t>in-ea50648da7e7f141</t>
        </is>
      </c>
      <c r="B448" t="inlineStr">
        <is>
          <t>Senior Applied Scientist, Delivery Foundation Model</t>
        </is>
      </c>
      <c r="C448" t="inlineStr">
        <is>
          <t>Amazon.com</t>
        </is>
      </c>
      <c r="D448" t="inlineStr">
        <is>
          <t>indeed</t>
        </is>
      </c>
      <c r="E448">
        <f>HYPERLINK("https://www.indeed.com/viewjob?jk=ea50648da7e7f141", "https://www.indeed.com/viewjob?jk=ea50648da7e7f141")</f>
        <v/>
      </c>
      <c r="F448">
        <f>HYPERLINK("https://www.amazon.jobs/jobs/2998435/senior-applied-scientist-delivery-foundation-model-?cmpid=DA_INAD200785B", "https://www.amazon.jobs/jobs/2998435/senior-applied-scientist-delivery-foundation-model-?cmpid=DA_INAD200785B")</f>
        <v/>
      </c>
      <c r="G448" t="inlineStr">
        <is>
          <t>Bellevue, WA, US</t>
        </is>
      </c>
      <c r="H448" s="2" t="n">
        <v>45806</v>
      </c>
      <c r="I44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9">
      <c r="A449" t="inlineStr">
        <is>
          <t>in-7d9e35512fed55ed</t>
        </is>
      </c>
      <c r="B449" t="inlineStr">
        <is>
          <t>Sr. Applied Scientist - Privacy, Privacy Engineering</t>
        </is>
      </c>
      <c r="C449" t="inlineStr">
        <is>
          <t>Amazon.com</t>
        </is>
      </c>
      <c r="D449" t="inlineStr">
        <is>
          <t>indeed</t>
        </is>
      </c>
      <c r="E449">
        <f>HYPERLINK("https://www.indeed.com/viewjob?jk=7d9e35512fed55ed", "https://www.indeed.com/viewjob?jk=7d9e35512fed55ed")</f>
        <v/>
      </c>
      <c r="F449">
        <f>HYPERLINK("https://www.amazon.jobs/jobs/2997657/sr-applied-scientist--privacy-privacy-engineering?cmpid=DA_INAD200785B", "https://www.amazon.jobs/jobs/2997657/sr-applied-scientist--privacy-privacy-engineering?cmpid=DA_INAD200785B")</f>
        <v/>
      </c>
      <c r="G449" t="inlineStr">
        <is>
          <t>San Francisco, CA, US</t>
        </is>
      </c>
      <c r="H449" s="2" t="n">
        <v>45787</v>
      </c>
      <c r="I449"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0">
      <c r="A450" t="inlineStr">
        <is>
          <t>in-311f2193b86bb4d1</t>
        </is>
      </c>
      <c r="B450" t="inlineStr">
        <is>
          <t>Sr. Applied Scientist - Privacy, Privacy Engineering</t>
        </is>
      </c>
      <c r="C450" t="inlineStr">
        <is>
          <t>Amazon.com</t>
        </is>
      </c>
      <c r="D450" t="inlineStr">
        <is>
          <t>indeed</t>
        </is>
      </c>
      <c r="E450">
        <f>HYPERLINK("https://www.indeed.com/viewjob?jk=311f2193b86bb4d1", "https://www.indeed.com/viewjob?jk=311f2193b86bb4d1")</f>
        <v/>
      </c>
      <c r="F450">
        <f>HYPERLINK("https://www.amazon.jobs/jobs/2997657/sr-applied-scientist--privacy-privacy-engineering?cmpid=DA_INAD200785B", "https://www.amazon.jobs/jobs/2997657/sr-applied-scientist--privacy-privacy-engineering?cmpid=DA_INAD200785B")</f>
        <v/>
      </c>
      <c r="G450" t="inlineStr">
        <is>
          <t>Sunnyvale, CA, US</t>
        </is>
      </c>
      <c r="H450" s="2" t="n">
        <v>45787</v>
      </c>
      <c r="I450"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1">
      <c r="A451" t="inlineStr">
        <is>
          <t>in-b6109d97c31bd374</t>
        </is>
      </c>
      <c r="B451" t="inlineStr">
        <is>
          <t>Sr. Applied Scientist - Privacy, Privacy Engineering</t>
        </is>
      </c>
      <c r="C451" t="inlineStr">
        <is>
          <t>Amazon.com</t>
        </is>
      </c>
      <c r="D451" t="inlineStr">
        <is>
          <t>indeed</t>
        </is>
      </c>
      <c r="E451">
        <f>HYPERLINK("https://www.indeed.com/viewjob?jk=b6109d97c31bd374", "https://www.indeed.com/viewjob?jk=b6109d97c31bd374")</f>
        <v/>
      </c>
      <c r="F451">
        <f>HYPERLINK("https://www.amazon.jobs/jobs/2997657/sr-applied-scientist--privacy-privacy-engineering?cmpid=DA_INAD200785B", "https://www.amazon.jobs/jobs/2997657/sr-applied-scientist--privacy-privacy-engineering?cmpid=DA_INAD200785B")</f>
        <v/>
      </c>
      <c r="G451" t="inlineStr">
        <is>
          <t>Santa Clara, CA, US</t>
        </is>
      </c>
      <c r="H451" s="2" t="n">
        <v>45787</v>
      </c>
      <c r="I451"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2">
      <c r="A452" t="inlineStr">
        <is>
          <t>in-a454fb8d5153e89c</t>
        </is>
      </c>
      <c r="B452" t="inlineStr">
        <is>
          <t>Sr. Applied Scientist - Privacy, Privacy Engineering</t>
        </is>
      </c>
      <c r="C452" t="inlineStr">
        <is>
          <t>Amazon.com</t>
        </is>
      </c>
      <c r="D452" t="inlineStr">
        <is>
          <t>indeed</t>
        </is>
      </c>
      <c r="E452">
        <f>HYPERLINK("https://www.indeed.com/viewjob?jk=a454fb8d5153e89c", "https://www.indeed.com/viewjob?jk=a454fb8d5153e89c")</f>
        <v/>
      </c>
      <c r="F452">
        <f>HYPERLINK("https://www.amazon.jobs/jobs/2997657/sr-applied-scientist--privacy-privacy-engineering?cmpid=DA_INAD200785B", "https://www.amazon.jobs/jobs/2997657/sr-applied-scientist--privacy-privacy-engineering?cmpid=DA_INAD200785B")</f>
        <v/>
      </c>
      <c r="G452" t="inlineStr">
        <is>
          <t>Seattle, WA, US</t>
        </is>
      </c>
      <c r="H452" s="2" t="n">
        <v>45787</v>
      </c>
      <c r="I452"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3">
      <c r="A453" t="inlineStr">
        <is>
          <t>in-030013dc9d5218c7</t>
        </is>
      </c>
      <c r="B453" t="inlineStr">
        <is>
          <t>Senior AI/ML Engineer (AI Automation)</t>
        </is>
      </c>
      <c r="C453" t="inlineStr">
        <is>
          <t>Spanidea Systems</t>
        </is>
      </c>
      <c r="D453" t="inlineStr">
        <is>
          <t>indeed</t>
        </is>
      </c>
      <c r="E453">
        <f>HYPERLINK("https://www.indeed.com/viewjob?jk=030013dc9d5218c7", "https://www.indeed.com/viewjob?jk=030013dc9d5218c7")</f>
        <v/>
      </c>
      <c r="F453">
        <f>HYPERLINK("http://www.indeed.com/job/senior-aiml-engineer-ai-automation-030013dc9d5218c7", "http://www.indeed.com/job/senior-aiml-engineer-ai-automation-030013dc9d5218c7")</f>
        <v/>
      </c>
      <c r="G453" t="inlineStr">
        <is>
          <t>Santa Clara, CA, US</t>
        </is>
      </c>
      <c r="H453" s="2" t="n">
        <v>46078</v>
      </c>
      <c r="I453" t="inlineStr">
        <is>
          <t>**No C2C or vendor involvement. No sponsorship provided.**
**Role: Senior AI / ML Engineer (Automation \&amp; Agentic AI)**
**Experience:** 10\+ years  
**Location:** Santa Clara, CA (Hybrid)
**Role Overview**
We are looking for a highly experienced **AI / ML Engineer** with a strong **data engineering and applied AI background** to lead automation initiatives across **code generation and test automation**. This role will work closely with core engineering teams to design, build, and scale **AI\-driven and agentic automation solutions** that improve developer productivity and software quality.
**Key Responsibilities**
* Lead and drive **AI\-powered automation** initiatives for **code generation, refactoring, and test automation**
* Design and implement **Agentic AI systems** using modern LLM frameworks and orchestration tools
* Collaborate with engineering teams to embed AI/ML solutions into existing development and CI/CD workflows
* Build, train, fine\-tune, and evaluate ML and LLM models using structured and unstructured data
* Apply advanced **data engineering and MLOps practices** to ensure scalable and reliable AI solutions
* Stay current with the **latest AI/ML, LLM, and Agentic AI advancements** and translate them into practical implementations
* Define best practices, architectures, and governance for AI\-driven automation
**Required Qualifications**
* 12\+ years of experience in **AI/ML engineering**, with a strong **data\-centric background**
* Deep expertise in **machine learning, deep learning, and LLM\-based systems**
* Hands\-on experience with **code generation, test automation, or developer productivity tools**
* Strong understanding of **Agentic AI concepts**, multi\-agent systems, and AI orchestration
* Proficiency in **Python** and modern ML frameworks (TensorFlow, PyTorch, etc.)
* Experience working with large datasets, data pipelines, and feature engineering
* Solid knowledge of **MLOps**, model deployment, and monitoring in production environments
* Ability to work cross\-functionally with senior engineering stakeholders
* Background in software engineering, DevOps, or CI/CD automation
* Experience implementing AI governance, security, and compliance best practices \#IT
Job Types: Full\-time, Contract
Pay: $120,000\.00 \- $180,000\.00 per year
Benefits:
* Employee assistance program
* Health insurance
* Professional development assistance
* Referral program
Experience:
* Built LLM agents for code, refactor \&amp; test automation: 5 years (Required)
* Designed agentic AI for CI/CD test automation at scale apps: 5 years (Required)
* AI/ML: 10 years (Required)
* Leadership: 3 years (Required)
Work Location: Hybrid remote in Santa Clara, CA 95056</t>
        </is>
      </c>
    </row>
    <row r="454">
      <c r="A454" t="inlineStr">
        <is>
          <t>in-e79984737d2c8dff</t>
        </is>
      </c>
      <c r="B454" t="inlineStr">
        <is>
          <t>Senior AI Engineer</t>
        </is>
      </c>
      <c r="C454" t="inlineStr">
        <is>
          <t>MRO Corporation</t>
        </is>
      </c>
      <c r="D454" t="inlineStr">
        <is>
          <t>indeed</t>
        </is>
      </c>
      <c r="E454">
        <f>HYPERLINK("https://www.indeed.com/viewjob?jk=e79984737d2c8dff", "https://www.indeed.com/viewjob?jk=e79984737d2c8dff")</f>
        <v/>
      </c>
      <c r="F454">
        <f>HYPERLINK("https://recruiting.ultipro.com/MRO1000MROC/JobBoard/84de441e-f248-432e-9857-ba2a003c4f55/OpportunityDetail?opportunityId=7525c21d-563b-4cea-bc66-0a71c310d695&amp;postingId=7881011f-0f19-452e-b69e-2ff4999698e6", "https://recruiting.ultipro.com/MRO1000MROC/JobBoard/84de441e-f248-432e-9857-ba2a003c4f55/OpportunityDetail?opportunityId=7525c21d-563b-4cea-bc66-0a71c310d695&amp;postingId=7881011f-0f19-452e-b69e-2ff4999698e6")</f>
        <v/>
      </c>
      <c r="G454" t="inlineStr">
        <is>
          <t>Norristown, PA, US</t>
        </is>
      </c>
      <c r="H454" s="2" t="n">
        <v>46078</v>
      </c>
      <c r="I454" t="inlineStr">
        <is>
          <t>This role focuses on deploying AI\-powered solutions to extract structured data from unstructured medical charts. The AI Engineer will work with technical and clinical teams to bring AI models into real\-world use, improving efficiency in healthcare data processing while ensuring accuracy, usability and responsible AI practices.
**Essential Functions:**
* Develop, test, and deploy LLM\-powered extraction pipelines for clinical text at scale.
* Automate prompt execution, result validation, and error handling to enhance reliability.
* Monitor and maintain production AI models, ensuring uptime, accuracy, and compliance.
* Work with product, data, engineering, and clinical teams to integrate AI outputs into real\-world solutions.
* Evaluate and integrate third\-party AI solutions when appropriate.
* Stay current with advancements in LLM deployment, model serving, and responsible AI practices.
* As a growth organization, roles and responsibilities often evolve and adapt over time. As such, this job description may not comprehensively account for future activities, responsibilities, and priorities—these may evolve right along with us!
**Required Abilities, Education, and Skills:**
* 5\+ years of experience in AI deployment or applied Machine Learning.
* Strong software engineering foundation with proficiency in Python.
* Familiarity with cloud platforms, data engineering and pipeline automation.
* Bachelor’s degree in Computer Science, AI, a related field, or equivalent work experience.
* Strong cross\-functional collaboration skills.
* Proven track record of thriving in a start\-up environment.
**Preferred Abilities, Education and Skills:**
* Experience deploying LLMs in production environments.
* Advanced degree in Computer Science or related field.
* Experience integrating AI with healthcare data (EHRs, clinical databases).
* Experience working in regulated industries with an understanding of security, compliance, and responsible AI.</t>
        </is>
      </c>
    </row>
    <row r="455">
      <c r="A455" t="inlineStr">
        <is>
          <t>in-c3b97c85b8f51a48</t>
        </is>
      </c>
      <c r="B455" t="inlineStr">
        <is>
          <t>Identity AI / ML Engineer</t>
        </is>
      </c>
      <c r="C455" t="inlineStr">
        <is>
          <t>Openkyber</t>
        </is>
      </c>
      <c r="D455" t="inlineStr">
        <is>
          <t>indeed</t>
        </is>
      </c>
      <c r="E455">
        <f>HYPERLINK("https://www.indeed.com/viewjob?jk=c3b97c85b8f51a48", "https://www.indeed.com/viewjob?jk=c3b97c85b8f51a48")</f>
        <v/>
      </c>
      <c r="F455">
        <f>HYPERLINK("https://candidateportalnew.ceipal.com/job-details/H3yWSifyMVS1GEbCi_5DCxvJyNaJUWwRSgBSVIvKwGE#.job_boards.Indeed", "https://candidateportalnew.ceipal.com/job-details/H3yWSifyMVS1GEbCi_5DCxvJyNaJUWwRSgBSVIvKwGE#.job_boards.Indeed")</f>
        <v/>
      </c>
      <c r="G455" t="inlineStr">
        <is>
          <t>AK, US</t>
        </is>
      </c>
      <c r="H455" s="2" t="n">
        <v>46077</v>
      </c>
      <c r="I455" t="inlineStr">
        <is>
          <t>Skills : Senior lead with broad understanding of AI space and expertise in creating/ holding executive briefings. 12\+ years of experience with a high\-level individual contributor or lead researcher responsible for architecting the core intelligence of a product Architectural Leadership: Design and lead the development of end\-to\-end ML systems, from data ingestion to MLOps orchestration and real\-time inference. State\-of\-the\-Art (SOTA) Implementation: Stay ahead of the curve in Generative AI, Computer Vision, or NLP, adapting the latest research papers into production\-ready features. Optimization \&amp; Scaling: Solve complex bottlenecks related to model latency, cost\-efficiency (e.g., quantization, pruning), and large\-scale distributed training. Technical Mentorship: Review code and model architectures, setting the standard for rigorous testing, evaluation frameworks, and Responsible AI practices. Cross\-Functional Strategy: Partner with Product and Engineering leads to determine the technical feasibility of "moonshot" AI features 1\. Languages: Expert\- level Python, C\+\+, or Java. 2\. Frameworks: PyTorch, TensorFlow, JAX.
**For applications and inquiries, contact:** hirings@openkyber.com</t>
        </is>
      </c>
    </row>
    <row r="456">
      <c r="A456" t="inlineStr">
        <is>
          <t>in-309fccf7732425bc</t>
        </is>
      </c>
      <c r="B456" t="inlineStr">
        <is>
          <t>Identity AI / ML Engineer</t>
        </is>
      </c>
      <c r="C456" t="inlineStr">
        <is>
          <t>Openkyber</t>
        </is>
      </c>
      <c r="D456" t="inlineStr">
        <is>
          <t>indeed</t>
        </is>
      </c>
      <c r="E456">
        <f>HYPERLINK("https://www.indeed.com/viewjob?jk=309fccf7732425bc", "https://www.indeed.com/viewjob?jk=309fccf7732425bc")</f>
        <v/>
      </c>
      <c r="F456">
        <f>HYPERLINK("https://candidateportalnew.ceipal.com/job-details/JRU1v6yw84UFqERhcZEm5oB2MczwN9JUALB_Re6TnZE#.job_boards.Indeed", "https://candidateportalnew.ceipal.com/job-details/JRU1v6yw84UFqERhcZEm5oB2MczwN9JUALB_Re6TnZE#.job_boards.Indeed")</f>
        <v/>
      </c>
      <c r="G456" t="inlineStr">
        <is>
          <t>AK, US</t>
        </is>
      </c>
      <c r="H456" s="2" t="n">
        <v>46077</v>
      </c>
      <c r="I456" t="inlineStr">
        <is>
          <t>**Title:** Cyber Security Engineer \- ( AI/ML, PeopleSoft \&amp; MuleSoft stack ) :: Remote
Candidate must live in California 6\+ months Skype Minimum 8 years of experience \- Senior Cyber Security Engineer with HR / Payroll and other general enterprise systems background and PeopleSoft HCM experience IT Security Engineer with current experience assessing risk of AI tools and technology and securing enterprise systems and experience with artificial intelligence implementations (AI/ML)
AI/ML background with risk assessments, governance and making recommendations on overall AI direction within Cyber Security Team 5\+ years (current) with PeopleSoft and MuleSoft stack experience related to Cyber Security Analysis: experience with batch processing , API integrations , connectors, integration broker AWS Cloud experience within Cyber Security Provide IT Security guidance during the design and implementation of business services to ensure appropriate security controls and related processes are documented and implemented
**For applications and inquiries, contact:** hirings@openkyber.com</t>
        </is>
      </c>
    </row>
    <row r="457">
      <c r="A457" t="inlineStr">
        <is>
          <t>in-5796028492fb0d0d</t>
        </is>
      </c>
      <c r="B457" t="inlineStr">
        <is>
          <t>Identity AI / ML Engineer</t>
        </is>
      </c>
      <c r="C457" t="inlineStr">
        <is>
          <t>Openkyber</t>
        </is>
      </c>
      <c r="D457" t="inlineStr">
        <is>
          <t>indeed</t>
        </is>
      </c>
      <c r="E457">
        <f>HYPERLINK("https://www.indeed.com/viewjob?jk=5796028492fb0d0d", "https://www.indeed.com/viewjob?jk=5796028492fb0d0d")</f>
        <v/>
      </c>
      <c r="F457">
        <f>HYPERLINK("https://candidateportalnew.ceipal.com/job-details/jh_Y42XtL81tuIW8jgsuA4gCf859ZkFxArco7fp6PYo#.job_boards.Indeed", "https://candidateportalnew.ceipal.com/job-details/jh_Y42XtL81tuIW8jgsuA4gCf859ZkFxArco7fp6PYo#.job_boards.Indeed")</f>
        <v/>
      </c>
      <c r="G457" t="inlineStr">
        <is>
          <t>AK, US</t>
        </is>
      </c>
      <c r="H457" s="2" t="n">
        <v>46077</v>
      </c>
      <c r="I457" t="inlineStr">
        <is>
          <t>AI/ML Engineer (5 12 years) Mandatory Skills: \- Model development \&amp; deployment \- REST API integration for ML models Preferred Skills: \- Experience with NLP, deep learning \- Cloud ML platforms (AWS SageMaker, Azure AI) Expert (12\+ years) Mandatory Skills: \- Designing scalable ML systems \- Advanced statistical modeling Preferred Skills: \- Leadership in AI strategy
**For applications and inquiries, contact:** hirings@openkyber.com</t>
        </is>
      </c>
    </row>
    <row r="458">
      <c r="A458" t="inlineStr">
        <is>
          <t>in-743c280c13b7cc89</t>
        </is>
      </c>
      <c r="B458" t="inlineStr">
        <is>
          <t>Identity AI / ML Engineer</t>
        </is>
      </c>
      <c r="C458" t="inlineStr">
        <is>
          <t>Openkyber</t>
        </is>
      </c>
      <c r="D458" t="inlineStr">
        <is>
          <t>indeed</t>
        </is>
      </c>
      <c r="E458">
        <f>HYPERLINK("https://www.indeed.com/viewjob?jk=743c280c13b7cc89", "https://www.indeed.com/viewjob?jk=743c280c13b7cc89")</f>
        <v/>
      </c>
      <c r="F458">
        <f>HYPERLINK("https://candidateportalnew.ceipal.com/job-details/lHKI_87zC3uuXAgf11FqM7AvIKoogq6OUqhpucxFnc0#.job_boards.Indeed", "https://candidateportalnew.ceipal.com/job-details/lHKI_87zC3uuXAgf11FqM7AvIKoogq6OUqhpucxFnc0#.job_boards.Indeed")</f>
        <v/>
      </c>
      <c r="G458" t="inlineStr">
        <is>
          <t>AK, US</t>
        </is>
      </c>
      <c r="H458" s="2" t="n">
        <v>46077</v>
      </c>
      <c r="I458" t="inlineStr">
        <is>
          <t>Need California Locals who can go F2F Interview Role : Data Engineer with AI/ML \&amp; CRM Location : Sunnyvale, CA ( F2F / Need Loclas /Onsite from day 1 ) Duration : 12 Months We have open demand for Senior Data Engineer (6\+ Years Exp) with AI/ML Focus (SQL, Informatica or similar, Python, Basic understanding of Java) for SCV location. Please share suitable profiles and internal feedback. Thanks \&amp; Regards OpenKyber Phone: Ext 403 Email : hirings@openkyber.com
**For applications and inquiries, contact:** hirings@openkyber.com</t>
        </is>
      </c>
    </row>
    <row r="459">
      <c r="A459" t="inlineStr">
        <is>
          <t>in-a9e1cd565dccf3c0</t>
        </is>
      </c>
      <c r="B459" t="inlineStr">
        <is>
          <t>Identity AI / ML Engineer</t>
        </is>
      </c>
      <c r="C459" t="inlineStr">
        <is>
          <t>Openkyber</t>
        </is>
      </c>
      <c r="D459" t="inlineStr">
        <is>
          <t>indeed</t>
        </is>
      </c>
      <c r="E459">
        <f>HYPERLINK("https://www.indeed.com/viewjob?jk=a9e1cd565dccf3c0", "https://www.indeed.com/viewjob?jk=a9e1cd565dccf3c0")</f>
        <v/>
      </c>
      <c r="F459">
        <f>HYPERLINK("https://candidateportalnew.ceipal.com/job-details/P6PuPRpMWLj4Tar_OLa_0d6LFUsJ5WvpM6mcNub-5js#.job_boards.Indeed", "https://candidateportalnew.ceipal.com/job-details/P6PuPRpMWLj4Tar_OLa_0d6LFUsJ5WvpM6mcNub-5js#.job_boards.Indeed")</f>
        <v/>
      </c>
      <c r="G459" t="inlineStr">
        <is>
          <t>AK, US</t>
        </is>
      </c>
      <c r="H459" s="2" t="n">
        <v>46077</v>
      </c>
      <c r="I459" t="inlineStr">
        <is>
          <t>**Role :** Data Engineer with AI/ML  
**Location :** Sunnyvale, CA (Face 2 Face Interview/F2F/Onsite) \- Only Locals to California  
**Duration :**12\+ Months
Senior Data Engineer who has AI first mindset with exceptional programming skills in Python (Advanced) and Golang (Hands\-on) who can work independently, drive automation, and build scalable systems from scratch.
**What candidate will be working on:**
* Design and build scalable, AI\-enabled data platforms from the ground up
* Build and optimize complex SQL transformations and data models
* Architect data pipelines that power AI/ML use cases
* Implement workflow orchestration using Airflow
* Develop transformations with dbt and manage warehousing in Snowflake
**What We're Looking For**
* Advanced proficiency in Python (production\-grade coding required)
* Hands\-on experience with Golang
* Advanced SQL skills (complex joins, performance tuning, optimization)
* Experience with modern data stack: Airflow, Snowflake, dbt
* Experience building AI/ML\-ready data infrastructure
* Cloud\-native mindset (AWS/Google Cloud Platform/Azure)
* Strong ownership \- able to design, decide, and deliver independently
**Screening Focus**
* Live Python coding assessment
* Advanced SQL problem\-solving
* Data modelling \&amp; system design discussion
Regards, OpenKyber
**For applications and inquiries, contact:** hirings@openkyber.com</t>
        </is>
      </c>
    </row>
    <row r="460">
      <c r="A460" t="inlineStr">
        <is>
          <t>in-8faa61b345eed39a</t>
        </is>
      </c>
      <c r="B460" t="inlineStr">
        <is>
          <t>Identity AI / ML Engineer</t>
        </is>
      </c>
      <c r="C460" t="inlineStr">
        <is>
          <t>Openkyber</t>
        </is>
      </c>
      <c r="D460" t="inlineStr">
        <is>
          <t>indeed</t>
        </is>
      </c>
      <c r="E460">
        <f>HYPERLINK("https://www.indeed.com/viewjob?jk=8faa61b345eed39a", "https://www.indeed.com/viewjob?jk=8faa61b345eed39a")</f>
        <v/>
      </c>
      <c r="F460">
        <f>HYPERLINK("https://candidateportalnew.ceipal.com/job-details/tVzN04j2tKdyVF9D6P_XvDdDazYfclCrkIrTEEnYzkk#.job_boards.Indeed", "https://candidateportalnew.ceipal.com/job-details/tVzN04j2tKdyVF9D6P_XvDdDazYfclCrkIrTEEnYzkk#.job_boards.Indeed")</f>
        <v/>
      </c>
      <c r="G460" t="inlineStr">
        <is>
          <t>AK, US</t>
        </is>
      </c>
      <c r="H460" s="2" t="n">
        <v>46077</v>
      </c>
      <c r="I460" t="inlineStr">
        <is>
          <t>Required: 13\+ years No H1's
Job Description: Analyze large and complex datasets to derive actionable insights and inform business strategies. Develop and implement advanced machine learning models and algorithms. Collaborate with cross\-functional teams to understand business needs and provide data\-driven solutions. Communicate findings and recommendations to stakeholders and executive leadership. Stay updated with the latest trends and technologies in data science and machine learning.
**Basic Qualifications:** Proficient in Python, Pandas, NumPy, Scikit\-Learn, PySpark Bachelors degree in Computer Science, Statistics, Applied Mathematics, or a related field. Minimum of 8 years of experience in a data science role. Proficiency in programming languages such as Python or R.. Strong understanding of machine learning techniques and algorithms.
**Preferred Qualifications:** Experience with modern ML frameworks such as PyTorch, TensorFlow Experience with big data technologies such as PySpark Experience with ML model training within cloud infra such as Azure, AWS, Google Cloud Platform Proven track record of successfully deploying and optimizing ML models in a production environment. Excellent communication and visualization skills to effectively present data insights to non\-technical stakeholders.
**For applications and inquiries, contact:** hirings@openkyber.com</t>
        </is>
      </c>
    </row>
    <row r="461">
      <c r="A461" t="inlineStr">
        <is>
          <t>in-e5bf8098c3949a12</t>
        </is>
      </c>
      <c r="B461" t="inlineStr">
        <is>
          <t>Identity AI / ML Engineer</t>
        </is>
      </c>
      <c r="C461" t="inlineStr">
        <is>
          <t>Openkyber</t>
        </is>
      </c>
      <c r="D461" t="inlineStr">
        <is>
          <t>indeed</t>
        </is>
      </c>
      <c r="E461">
        <f>HYPERLINK("https://www.indeed.com/viewjob?jk=e5bf8098c3949a12", "https://www.indeed.com/viewjob?jk=e5bf8098c3949a12")</f>
        <v/>
      </c>
      <c r="F461">
        <f>HYPERLINK("https://candidateportalnew.ceipal.com/job-details/HiGE3UxBp937PoilYXtNjSVRHIxUj0nds9bJJ3ewfQ8#.job_boards.Indeed", "https://candidateportalnew.ceipal.com/job-details/HiGE3UxBp937PoilYXtNjSVRHIxUj0nds9bJJ3ewfQ8#.job_boards.Indeed")</f>
        <v/>
      </c>
      <c r="G461" t="inlineStr">
        <is>
          <t>AK, US</t>
        </is>
      </c>
      <c r="H461" s="2" t="n">
        <v>46077</v>
      </c>
      <c r="I461" t="inlineStr">
        <is>
          <t>**Job Summary:** Experience with 12\+ experience and Design, develop, and deploy Machine Learning and AI models to solve business problems and integrate them into production systems.
**Key Responsibilities:**
* Build and deploy ML/DL models.
* Develop end\-to\-end ML pipelines.
* Perform data preprocessing, feature engineering, and model tuning.
* Deploy models using MLOps practices.
* Collaborate with data and software teams.
**Required Skills:** Strong Python programming. Experience with TensorFlow / PyTorch / Scikit\-learn Knowledge of NLP/Deep Learning. Experience with Docker \&amp; Kubernetes Exposure to cloud platforms like AWS / Microsoft Azure / Google Cloud Platform.
**Education:** Bachelor's/Master's in Computer Science or related field.
**For applications and inquiries, contact:** hirings@openkyber.com</t>
        </is>
      </c>
    </row>
    <row r="462">
      <c r="A462" t="inlineStr">
        <is>
          <t>in-c221ef16ccbbda81</t>
        </is>
      </c>
      <c r="B462" t="inlineStr">
        <is>
          <t>Staff AI Engineer</t>
        </is>
      </c>
      <c r="C462" t="inlineStr">
        <is>
          <t>Openkyber</t>
        </is>
      </c>
      <c r="D462" t="inlineStr">
        <is>
          <t>indeed</t>
        </is>
      </c>
      <c r="E462">
        <f>HYPERLINK("https://www.indeed.com/viewjob?jk=c221ef16ccbbda81", "https://www.indeed.com/viewjob?jk=c221ef16ccbbda81")</f>
        <v/>
      </c>
      <c r="F462">
        <f>HYPERLINK("https://candidateportalnew.ceipal.com/job-details/JoRPhDecUegIssNP2BFG-M-3ovM3wclLw7XWh2MaeDI#.job_boards.Indeed", "https://candidateportalnew.ceipal.com/job-details/JoRPhDecUegIssNP2BFG-M-3ovM3wclLw7XWh2MaeDI#.job_boards.Indeed")</f>
        <v/>
      </c>
      <c r="G462" t="inlineStr">
        <is>
          <t>AK, US</t>
        </is>
      </c>
      <c r="H462" s="2" t="n">
        <v>46077</v>
      </c>
      <c r="I462" t="inlineStr">
        <is>
          <t>**Job Title:** Sr Engineer GenAI \&amp; MLOps (AWS)  
**Location:** Atlanta, GA  
**Duration:** Long Term Contract
**Role Summary:** Seeking a Senior GenAI \&amp; MLOps Engineer to design, deploy, and scale Generative AI and ML solutions on AWS. The role focuses on building production\-grade ML/LLM pipelines, automating model lifecycle, deploying scalable AI services, and ensuring governance and compliance standards.  
**Key Responsibilities:**
* Build and manage end\-to\-end MLOps pipelines for training, deployment, monitoring, and retraining.
* Deploy and optimize Generative AI/LLM applications, including RAG\-based solutions.
* Productionize ML models and enable scalable inference services.
* Implement CI/CD automation for ML workflows.
* Monitor model performance, drift detection, and automated retraining.
* Implement AI/ML governance, security, compliance, and responsible AI controls.
* Collaborate with data science and DevOps teams to integrate AI solutions.
**Required Skills:**
* Strong experience in Generative AI, LLMs, Prompt Engineering, and RAG frameworks
* Hands\-on expertise in MLOps and ML lifecycle management
* AWS services: SageMaker, Bedrock, Lambda, EKS/ECS, S3, Step Functions, API Gateway, CloudWatch, IAM, AWS Organizations \&amp; governance controls
* Programming: Python, PyTorch/TensorFlow
* Frameworks: LangChain or LlamaIndex
* API development using FastAPI/Flask
* Containerization: Docker, Kubernetes
* Infrastructure \&amp; CI/CD: Terraform/CloudFormation, Jenkins/GitHub Actions
* Knowledge of model governance, access control, data security, and compliance practices
**Experience:** 8\+ years in software/ML engineering with strong experience in cloud\-based ML deployments and governance practices.
**For applications and inquiries, contact:** hirings@openkyber.com</t>
        </is>
      </c>
    </row>
    <row r="463">
      <c r="A463" t="inlineStr">
        <is>
          <t>in-d2ac359c3da21f7e</t>
        </is>
      </c>
      <c r="B463" t="inlineStr">
        <is>
          <t>Staff AI Engineer</t>
        </is>
      </c>
      <c r="C463" t="inlineStr">
        <is>
          <t>Openkyber</t>
        </is>
      </c>
      <c r="D463" t="inlineStr">
        <is>
          <t>indeed</t>
        </is>
      </c>
      <c r="E463">
        <f>HYPERLINK("https://www.indeed.com/viewjob?jk=d2ac359c3da21f7e", "https://www.indeed.com/viewjob?jk=d2ac359c3da21f7e")</f>
        <v/>
      </c>
      <c r="F463">
        <f>HYPERLINK("https://candidateportalnew.ceipal.com/job-details/HZt5aYZG-I85-GpzGCZUm0vL0NDxIrxu6gO8VAY0xJ0#.job_boards.Indeed", "https://candidateportalnew.ceipal.com/job-details/HZt5aYZG-I85-GpzGCZUm0vL0NDxIrxu6gO8VAY0xJ0#.job_boards.Indeed")</f>
        <v/>
      </c>
      <c r="G463" t="inlineStr">
        <is>
          <t>AK, US</t>
        </is>
      </c>
      <c r="H463" s="2" t="n">
        <v>46077</v>
      </c>
      <c r="I463" t="inlineStr">
        <is>
          <t>**Title :** NCDHHS\-Child Support\-Lead Full 791947  
**Location :** Raleigh,NC  
**Duration :** 12 \+ Months  
**Job Type :** C  
**Description :**
The NC Department of Health and Human Services (NC DHHS)/Child Support requires a Lead Full Stack Java Developer for a Child Support System Enhancement Effort. The Child Support System Enhancement Effort aims to transform existing functionality from a legacy mainframe system into an enhanced, web\-based platform. This transformation is a continuation of the current enhancement effort and will improve user experience by integrating with the existing web\-based application in an Agile development environment.
The Lead Full Stack Java Developer will lead the enhancement effort to build a user\-friendly web\-based platform. This role requires expertise in full\-stack development, architecture design, and Agile collaboration. The Lead Developer will focus on improving efficiency and leveraging AI\-powered development practices to deliver high\-quality solutions.
The Lead Full Stack Java Developer will design and develop robust backend services using Java(8\+ or higher), Spring Boot, and Spring Data JPA/Hibernate, alongside building responsive front\-end interfaces with JavaScript, HTML5, CSS, and Bootstrap.
Responsibilities include creating RESTful APIs, integrating external systems via SOAP/REST web services and messaging platforms, and using AI tools to accelerate development\-including code generation, code transformation, automated unit test creation, security vulnerability detection, and intelligent suggestions within IDEs.
Additional duties include conducting unit and automated testing, supporting data migration to relational databases (DB2, PostgreSQL, Oracle), and contributing to CI/CD pipeline development.
The Lead Full Stack Java Developer will have strong experience in Java full\-stack development, Spring Framework, and RESTful API design, combined with front\-end proficiency in JavaScript, HTML5, CSS, and Bootstrap. Expertise in relational databases, writing SQL queries and stored procedures, and familiarity with testing frameworks (JUnit, Mockito, Selenium) is essential.
Knowledge of DevOps practices including Git\-based version control, CI/CD pipelines (Jenkins, GitHub Actions), and build tools(Maven/Gradle) is required. Secure coding practices and strong problem\-solving, communication, and collaboration skills are critical for success.
Experience with agentic AI integration in the development lifecycle\-such as code generation, code transformation (COBOL to Java), test script generation, unit testing, security scanning, and use of AI\-assisted IDE is highly desired. Additional expertise in applying agentic AI for tasks like intelligent code refactoring, and automated documentation will be a strong advantage.
Familiarity with message queues (JMS, RabbitMQ, Kafka), data migration strategies, and performance tuning will be a strong plus.
* Experience with Backend (Java 8\+ or higher, Spring Framework, Spring Boot, Spring Data JPA/Hibernate/REST): 10 Years
* Experience with Frontend (JavaScript, HTML5, CSS, Bootstrap or similar technologies): 4 Years
* Experience with Databases development (DB2, Oracle, PostgreSQL or other databases, Writing SQL, Stored Procs): 4 Years
* Experience with Integration with external systems using web services and messaging platforms: 4 Years
* Experience with DevOps/CI/CD (Git, CI/CD (Jenkins, GitHub Actions), Maven/Gradle or similar tools and technologies): 3 Years
* Experience with Agile \&amp; Collaboration: 4 Years
* Experience with Mainframe System Modernization: 1 Year (Highly desired)
* Experience with AI in Development: 1 Year (Highly desired)
* Experience with Data Migration: 1 Year (Highly desired)
* Experience with React, Angular and similar UI framework: 1 Year (Highly desired)
**For applications and inquiries, contact:** hirings@openkyber.com</t>
        </is>
      </c>
    </row>
    <row r="464">
      <c r="A464" t="inlineStr">
        <is>
          <t>in-0b430f22c88aef8b</t>
        </is>
      </c>
      <c r="B464" t="inlineStr">
        <is>
          <t>Staff AI Engineer</t>
        </is>
      </c>
      <c r="C464" t="inlineStr">
        <is>
          <t>Openkyber</t>
        </is>
      </c>
      <c r="D464" t="inlineStr">
        <is>
          <t>indeed</t>
        </is>
      </c>
      <c r="E464">
        <f>HYPERLINK("https://www.indeed.com/viewjob?jk=0b430f22c88aef8b", "https://www.indeed.com/viewjob?jk=0b430f22c88aef8b")</f>
        <v/>
      </c>
      <c r="F464">
        <f>HYPERLINK("https://candidateportalnew.ceipal.com/job-details/vXAqi9HMdS-A6fn2xtroDXo4S5Poj76lu0jIxsgRjnc#.job_boards.Indeed", "https://candidateportalnew.ceipal.com/job-details/vXAqi9HMdS-A6fn2xtroDXo4S5Poj76lu0jIxsgRjnc#.job_boards.Indeed")</f>
        <v/>
      </c>
      <c r="G464" t="inlineStr">
        <is>
          <t>AK, US</t>
        </is>
      </c>
      <c r="H464" s="2" t="n">
        <v>46077</v>
      </c>
      <c r="I464" t="inlineStr">
        <is>
          <t>Location: Iselin, NJ Salary: $76\.00 USD Hourly \- $82\.00 USD Hourly
Description: Lead Cybersecurity Research Consultant (Contingent Worker) Location: Iselin, NJ
About the Role In this contingent assignment, you will provide technical leadership on large\-scale, complex software engineering and cybersecurity initiatives. You'll assess multifaceted technical challenges, collaborate with cross\-functional partners, and guide strategic decision\-making across projects with broad organizational impact. As the Lead Cybersecurity Research Consultant , you will be the senior subject matter expert for all security\-related work within the team. You will drive research, define security frameworks, and ensure that AI\-powered solutions meet rigorous cybersecurity standards.
**Responsibilities Cybersecurity Leadership:**
* Serve as the primary technical authority on cybersecurity, including threat modeling, secure architecture, risk evaluation, and compliance.
* Provide expert consultation on complex engineering problems involving ambiguous, cross\-functional, or unprecedented factors.
**Security Research \&amp; Strategy:**
* Lead research on emerging threats, vulnerabilities, and attack vectors, and convert findings into actionable security requirements for AI systems and engineering solutions.
* Develop and maintain data\-driven security frameworks (e.g., risk scoring models such as the Cyber Risk Rubric) used to prioritize and triage risks.
**AI \&amp; Security Collaboration:**
* Partner closely with the Lead AI/ML Engineer to design experiments, validate model behavior, and evaluate security accuracy and robustness.
* Ensure cybersecurity principles and best practices are integrated across AI model development, testing, and deployment.
**Cross\-Functional Enablement:**
* Act as the key liaison between the AI development team and the broader cybersecurity organization, ensuring alignment with policies, procedures, and regulatory expectations.
* Mentor engineers and team members to elevate overall security expertise and build a strong security\-aware culture.
**Minimum Qualifications:**
5\+ years of software engineering experience , or equivalent experience gained through industry work, consulting, military service, technical training, or education.
By providing your phone number, you consent to: (1\) receive automated text messages and calls from OpenKyber and its affiliates (collectively "OpenKyber") to such phone number regarding job opportunities, your job application, and for other related purposes. Message \&amp; data rates apply and message frequency may vary. Consistent with OpenKyber's Privacy Policy, information obtained from your consent will not be shared with third parties for marketing/promotional purposes. Reply STOP to opt out of receiving telephone calls and text messages from OpenKyber and HELP for help.
Contact: This job and many more are available through OpenKyber. Please apply with us today!
**For applications and inquiries, contact:** hirings@openkyber.com</t>
        </is>
      </c>
    </row>
    <row r="465">
      <c r="A465" t="inlineStr">
        <is>
          <t>in-3506537325f5f8c0</t>
        </is>
      </c>
      <c r="B465" t="inlineStr">
        <is>
          <t>Staff AI Engineer</t>
        </is>
      </c>
      <c r="C465" t="inlineStr">
        <is>
          <t>Openkyber</t>
        </is>
      </c>
      <c r="D465" t="inlineStr">
        <is>
          <t>indeed</t>
        </is>
      </c>
      <c r="E465">
        <f>HYPERLINK("https://www.indeed.com/viewjob?jk=3506537325f5f8c0", "https://www.indeed.com/viewjob?jk=3506537325f5f8c0")</f>
        <v/>
      </c>
      <c r="F465">
        <f>HYPERLINK("https://candidateportalnew.ceipal.com/job-details/-BYS_iuXML9p1dKJn8YgTKtgDbs7zdsxJ4cPc_kVNRc#.job_boards.Indeed", "https://candidateportalnew.ceipal.com/job-details/-BYS_iuXML9p1dKJn8YgTKtgDbs7zdsxJ4cPc_kVNRc#.job_boards.Indeed")</f>
        <v/>
      </c>
      <c r="G465" t="inlineStr">
        <is>
          <t>AK, US</t>
        </is>
      </c>
      <c r="H465" s="2" t="n">
        <v>46077</v>
      </c>
      <c r="I465" t="inlineStr">
        <is>
          <t>**Job Title: Senior Python Developer (AWS \&amp; AI)**
**Location:** Remote
We are seeking a skilled Software Developer with strong experience in Python, Data Analytics, and AWS Cloud, along with hands\-on exposure to AI/ML and Generative AI tools. Experience in building AWS infrastructure, Java and React, and strong practice of BDD/TDD testing methodologies is essential. This role focuses on building scalable, secure, and intelligent cloud\-based applications with high engineering quality.
**Key Responsibilities**:
* Develop and maintain applications using Python.
* Analyze and visualize data to support business insights.
* Design, build, and manage AWS infrastructure (VPC, EC2, S3, Lambda, RDS, IAM, etc.).
* Implement Infrastructure as Code (Terraform/CloudFormation/CDK).
* Build and integrate AI/ML and Generative AI solutions.
* Develop RESTful APIs and microservices.
* Write and maintain automated tests using BDD/TDD practices.
* Ensure high code quality through unit, integration, and acceptance testing.
* Optimize system performance, scalability, and security.
* Support CI/CD pipelines and DevOps practices.
* Collaborate with cross\-functional teams.
**Required Skills**: Strong proficiency in Python. Experience in Data Analytics (Pandas, NumPy, SQL). Hands\-on experience with AWS Cloud \&amp; Infrastructure. Proven experience in BDD/TDD and automated testing frameworks (PyTest, JUnit, Cucumber, Behave, etc.). Knowledge of AI/ML frameworks (TensorFlow, PyTorch, Scikit\-learn). Experience with Gen AI tools/APIs (OpenAI, AWS Bedrock, LangChain). Familiarity with Git, CI/CD, and DevOps tools. Strong analytical and communication skills.**Preferred / Added Value Skills**: Java (Spring Boot, Microservices). React.js and modern frontend development. Full\-stack development experience. Docker \&amp; Kubernetes. MLOps and model deployment. Performance and security testing experience. AWS / Cloud / AI certifications.
**For applications and inquiries, contact:** hirings@openkyber.com</t>
        </is>
      </c>
    </row>
    <row r="466">
      <c r="A466" t="inlineStr">
        <is>
          <t>in-a0363ac302223b62</t>
        </is>
      </c>
      <c r="B466" t="inlineStr">
        <is>
          <t>Staff AI Engineer</t>
        </is>
      </c>
      <c r="C466" t="inlineStr">
        <is>
          <t>Openkyber</t>
        </is>
      </c>
      <c r="D466" t="inlineStr">
        <is>
          <t>indeed</t>
        </is>
      </c>
      <c r="E466">
        <f>HYPERLINK("https://www.indeed.com/viewjob?jk=a0363ac302223b62", "https://www.indeed.com/viewjob?jk=a0363ac302223b62")</f>
        <v/>
      </c>
      <c r="F466">
        <f>HYPERLINK("https://candidateportalnew.ceipal.com/job-details/t0ax6Jgxq3ZR6KjsC-M7UoOpTKcmJkRmU7tZg-FuCUs#.job_boards.Indeed", "https://candidateportalnew.ceipal.com/job-details/t0ax6Jgxq3ZR6KjsC-M7UoOpTKcmJkRmU7tZg-FuCUs#.job_boards.Indeed")</f>
        <v/>
      </c>
      <c r="G466" t="inlineStr">
        <is>
          <t>AK, US</t>
        </is>
      </c>
      <c r="H466" s="2" t="n">
        <v>46077</v>
      </c>
      <c r="I466" t="inlineStr">
        <is>
          <t>**Location:** Iselin, NJ  
**Salary:** $76\.00 USD Hourly \- $82\.00 USD Hourly
**Description:**
Lead Cybersecurity Research Consultant (Contingent Worker) Location: Iselin, NJ
About the Role In this contingent assignment, you will provide technical leadership on large\-scale, complex software engineering and cybersecurity initiatives. You'll assess multifaceted technical challenges, collaborate with cross\-functional partners, and guide strategic decision\-making across projects with broad organizational impact. As the Lead Cybersecurity Research Consultant , you will be the senior subject matter expert for all security\-related work within the team. You will drive research, define security frameworks, and ensure that AI\-powered solutions meet rigorous cybersecurity standards.
**Responsibilities**
* **Cybersecurity Leadership:** Serve as the primary technical authority on cybersecurity, including threat modeling, secure architecture, risk evaluation, and compliance.
* **Provide expert consultation** on complex engineering problems involving ambiguous, cross\-functional, or unprecedented factors.
* **Security Research \&amp; Strategy**: Lead research on emerging threats, vulnerabilities, and attack vectors, and convert findings into actionable security requirements for AI systems and engineering solutions.
* Develop and maintain data\-driven security frameworks (e.g., risk scoring models such as the Cyber Risk Rubric) used to prioritize and triage risks.
* **AI \&amp; Security Collaboration**: Partner closely with the Lead AI/ML Engineer to design experiments, validate model behavior, and evaluate security accuracy and robustness.
* Ensure cybersecurity principles and best practices are integrated across AI model development, testing, and deployment.
* **Cross\-Functional Enablement**: Act as the key liaison between the AI development team and the broader cybersecurity organization, ensuring alignment with policies, procedures, and regulatory expectations.
* Mentor engineers and team members to elevate overall security expertise and build a strong security\-aware culture.
**Minimum Qualifications**
5\+ years of software engineering experience , or equivalent experience gained through industry work, consulting, military service, technical training, or education.
By providing your phone number, you consent to: (1\) receive automated text messages and calls from OpenKyber and its affiliates regarding job opportunities, your job application, and for other related purposes. Message \&amp; data rates apply and message frequency may vary. Consistent with OpenKyber's Privacy Policy, information obtained from your consent will not be shared with third parties for marketing/promotional purposes. Reply STOP to opt out of receiving telephone calls and text messages from OpenKyber and HELP for help.
Contact: This job and many more are available through OpenKyber. Please apply with us today!
**For applications and inquiries, contact:** hirings@openkyber.com</t>
        </is>
      </c>
    </row>
    <row r="467">
      <c r="A467" t="inlineStr">
        <is>
          <t>in-6d022eafd11813c2</t>
        </is>
      </c>
      <c r="B467" t="inlineStr">
        <is>
          <t>Lead AI Engineer</t>
        </is>
      </c>
      <c r="C467" t="inlineStr">
        <is>
          <t>Openkyber</t>
        </is>
      </c>
      <c r="D467" t="inlineStr">
        <is>
          <t>indeed</t>
        </is>
      </c>
      <c r="E467">
        <f>HYPERLINK("https://www.indeed.com/viewjob?jk=6d022eafd11813c2", "https://www.indeed.com/viewjob?jk=6d022eafd11813c2")</f>
        <v/>
      </c>
      <c r="F467">
        <f>HYPERLINK("https://candidateportalnew.ceipal.com/job-details/CIRLn6pOE3b_aqKYLNAZzppKuzQxg-jQ-M3mdElQkIs#.job_boards.Indeed", "https://candidateportalnew.ceipal.com/job-details/CIRLn6pOE3b_aqKYLNAZzppKuzQxg-jQ-M3mdElQkIs#.job_boards.Indeed")</f>
        <v/>
      </c>
      <c r="G467" t="inlineStr">
        <is>
          <t>AK, US</t>
        </is>
      </c>
      <c r="H467" s="2" t="n">
        <v>46077</v>
      </c>
      <c r="I467" t="inlineStr">
        <is>
          <t>**Senior UI/UX Developer \- AI Assisted Design \&amp; Development Job Summary:** Seeking a Senior UI/UX Developer to help modernize a legacy system into a scalable web\-based platform. The role involves designing accessible, responsive interfaces, creating wireframes and prototypes, and collaborating with backend teams in an Agile environment.
**Key Responsibilities:**
* Design and develop responsive UI using HTML5, CSS3, JavaScript, Bootstrap, and frameworks like React, Angular, or Vue.
* Create wireframes, prototypes, and user\-centered design solutions.
* Integrate UI with REST APIs and optimize performance and accessibility (WCAG).
* Replace legacy interfaces with modern, user\-friendly designs.
* Work in Agile teams and use Git/CI/CD workflows.
* Utilize AI\-assisted tools for UI/UX and development improvements.
**Required Skills:**
* Strong Hand\-on experience in UI/UX or front\-end development.
* Strong experience with JavaScript frameworks (React, Angular, or Vue).
* UI/UX design experience (wireframing, prototyping, responsive design).
* Experience with HTML5, CSS3, Bootstrap, and REST APIs.
* Knowledge of testing tools (Jasmine, Jest, Selenium or similar).
* Familiarity with AI\-assisted development tools
**For applications and inquiries, contact:** hirings@openkyber.com</t>
        </is>
      </c>
    </row>
    <row r="468">
      <c r="A468" t="inlineStr">
        <is>
          <t>in-28c5f9db463cff38</t>
        </is>
      </c>
      <c r="B468" t="inlineStr">
        <is>
          <t>Machine Learning Engineer, YouTube Live Discovery</t>
        </is>
      </c>
      <c r="C468" t="inlineStr">
        <is>
          <t>Youtube</t>
        </is>
      </c>
      <c r="D468" t="inlineStr">
        <is>
          <t>indeed</t>
        </is>
      </c>
      <c r="E468">
        <f>HYPERLINK("https://www.indeed.com/viewjob?jk=28c5f9db463cff38", "https://www.indeed.com/viewjob?jk=28c5f9db463cff38")</f>
        <v/>
      </c>
      <c r="F468">
        <f>HYPERLINK("https://careers.google.com/jobs/results/90521423784616646-machine-learning-engineer/", "https://careers.google.com/jobs/results/90521423784616646-machine-learning-engineer/")</f>
        <v/>
      </c>
      <c r="G468" t="inlineStr">
        <is>
          <t>Mountain View, CA, US</t>
        </is>
      </c>
      <c r="H468" s="2" t="n">
        <v>46077</v>
      </c>
      <c r="I468" t="inlineStr">
        <is>
          <t>### **Minimum qualifications:**
* Bachelor's degree or equivalent practical experience.
* 8 years of experience with software development in one or more programming languages (e.g., Python, C, C\+\+, Java, JavaScript).
* 3 years of experience in a technical leadership role.
### **Preferred qualifications:**
* Master's degree or PhD in Computer Science or related technical field.
* 3 years of experience working in a complex, matrixed organization.
* 3 years of experience with ML classification systems, ranking and recommendation systems or similar.
* Experience in computer vision/NLP/ML/data mining areas.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Work on improving ML algorithms and end\-to\-end solutions to empower live recommendations and to grow live ecosystems responsibly.
* Set up growth metrics and goals, do the analysis and research to identify the growth areas and lead a team of engineers to iterate multiple experiments.
* Communicate across multiple YouTube engineering teams and lead to align with the design direction and future plan of your projects.
* Work closely with the YouTube discovery teams (Home/WatchNext/Notifications/Living Room/etc), Live infra and experience teams, collaborate closely with Google Deepmind teams, YouTube knowledge and YouTube (TnS) Trust and Safety.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469">
      <c r="A469" t="inlineStr">
        <is>
          <t>in-a0f267e906ad1c32</t>
        </is>
      </c>
      <c r="B469" t="inlineStr">
        <is>
          <t>Principal Machine Learning Engineer</t>
        </is>
      </c>
      <c r="C469" t="inlineStr">
        <is>
          <t>Disney Entertainment Television</t>
        </is>
      </c>
      <c r="D469" t="inlineStr">
        <is>
          <t>indeed</t>
        </is>
      </c>
      <c r="E469">
        <f>HYPERLINK("https://www.indeed.com/viewjob?jk=a0f267e906ad1c32", "https://www.indeed.com/viewjob?jk=a0f267e906ad1c32")</f>
        <v/>
      </c>
      <c r="F469">
        <f>HYPERLINK("https://www.disneycareers.com/job/-/-/391/92103191744", "https://www.disneycareers.com/job/-/-/391/92103191744")</f>
        <v/>
      </c>
      <c r="G469" t="inlineStr">
        <is>
          <t>New York, NY, US</t>
        </is>
      </c>
      <c r="H469" s="2" t="n">
        <v>46077</v>
      </c>
      <c r="I469" t="inlineStr">
        <is>
          <t>**Department/Group Overview:**
The cross\-media measurement and advanced analytics organization is responsible for data strategy \&amp; management, cross\-platform content measurement, Content marketing measurement, and linear and digital inventory forecasting. The team provides advanced analytics and actionable insights related to Disney entertainment's content, monetization, and audience development.
**The Data and Analytics Operations team is part of the Cross\-Media Measurement and Advanced Analytics organization (CMAA)**. Reporting to the Executive Director of Data and Analytics Operations, this team leverages advanced machine learning techniques to deliver a robust suite of analytics solutions. Their portfolio includes descriptive, predictive, and prescriptive analytics, underpinned by strong data management practices and an interoperability layer. These capabilities are structured to support a range of business goals, such as content production, marketing and monetization.
**Job Summary:**
The Principal Machine Learning Engineer is a highly experienced individual contributor responsible for defining technical direction and delivering the most complex machine learning systems across cross\-media measurement and advanced analytics. This role applies machine learning techniques in code (e.g., deep learning/neural networks where appropriate, supervised/unsupervised learning, and advanced modeling frameworks) to build predictive systems at scale and to develop descriptive, predictive, and prescriptive algorithms for high\-impact business use cases. The position also sets standards for the data architecture and engineering foundations required to capture, manage, store, and utilize structured and unstructured data across distributed cloud and platform environments, ensuring compatibility, operability, governance, and long\-term reliability.
**Responsibilities and Duties of the Role:**
* Define architecture and long\-range technical strategy for ML systems and enabling platforms (training/inference orchestration, feature foundations, serving patterns, interoperability layers) across the measurement ecosystem.
* Lead development and productionization of next\-generation ML approaches for identity resolution, audience modeling, and cross\-platform measurement; translate advanced algorithms into scalable, production\-quality implementations.
* Guide major data engineering and platform investments required for ML: distributed processing patterns, data routing/storage strategies, data integrity controls, and automation across internal/external data sources.
* Establish enterprise\-grade MLOps, governance, and assurance processes: CI/CD standards, automated evaluation, model versioning/registry practices, drift detection, monitoring, and operational excellence.
* Lead cross\-organization technical decision\-making: align stakeholders, define success metrics, and drive complex trade\-offs to deliver durable, scalable ML solutions.
* Coach and develop senior technical talent: mentor Staff/Senior engineers, set engineering standards, and build communities of practice.
* Champion privacy, security, and responsible AI: ensure privacy\-by\-design, PII safeguards, and audit readiness (GDPR/CCPA) for ML and data workflows.
**Required Education, Experience/Skills/Training:**
**Minimum Qualifications:**
* **Must have 10\+ years of professional experience delivering production ML systems at scale, including significant ownership of architecture and platform strategy**
* **Must have expert coding skills in Python and strong SQL; proven software engineering maturity (testing, CI/CD, design reviews, documentation)**
* **Demonstrated ability to apply ML techniques in code to build predictive systems at scale (including deep learning where appropriate)**
* Proven ability to influence across teams and drive organizational standards for data/ML reliability, governance, and interoperability
* Deep experience with distributed compute/data platforms and performance optimization
**Preferred Qualifications:**
* 12\+ years total experience, with hands\-on work in media, advertising technology, or cross\-platform audience measurement
* **Flagship production experience with deep\-learning, genAI, or retrieval\-augmented systems (PyTorch, vector databases) and real\-time data pipelines (Kafka, Pub/Sub, Kinesis)**
* **Strong understanding with modern MLOps stacks (e.g., MLflow, Kubeflow, Vertex AI, SageMaker) and model\-governance practices (metadata, lineage, drift detection)**
* Certifications such as Google Professional Machine Learning Engineer, AWS Certified Machine Learning – Specialty, or equivalent cloud/data credentials
* Contributions to open\-source ML or data\-engineering projects, conference presentations, or peer\-reviewed publications
* Experience in media/ad tech, identity graphs, audience measurement, or interoperability layers
* Experience with modern MLOps platforms (MLflow, Kubeflow, Vertex AI, SageMaker) and model governance practices
**Required Education:**
* Bachelor's degree in a relevant technical or science field (e.g. computer science, data science, mathematics, or a related discipline)
**Preferred Education:**
* Master’s degree or PhD in a relevant field (e.g., Applied Math, Computer Science, Computational Science, Operation Research, Data Science)
\#DISNEYTECH
The hiring range for this position in New York City is $217,300\.00 \- $265,000\.00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470">
      <c r="A470" t="inlineStr">
        <is>
          <t>in-615e823153281af9</t>
        </is>
      </c>
      <c r="B470" t="inlineStr">
        <is>
          <t>Senior Machine Learning Engineer, Quantized Inference</t>
        </is>
      </c>
      <c r="C470" t="inlineStr">
        <is>
          <t>NVIDIA</t>
        </is>
      </c>
      <c r="D470" t="inlineStr">
        <is>
          <t>indeed</t>
        </is>
      </c>
      <c r="E470">
        <f>HYPERLINK("https://www.indeed.com/viewjob?jk=615e823153281af9", "https://www.indeed.com/viewjob?jk=615e823153281af9")</f>
        <v/>
      </c>
      <c r="F470">
        <f>HYPERLINK("https://nvidia.wd5.myworkdayjobs.com/en-US/NVIDIAExternalCareerSite/job/US-WA-Redmond/Senior-Machine-Learning-Engineer--Quantized-Inference_JR2013891", "https://nvidia.wd5.myworkdayjobs.com/en-US/NVIDIAExternalCareerSite/job/US-WA-Redmond/Senior-Machine-Learning-Engineer--Quantized-Inference_JR2013891")</f>
        <v/>
      </c>
      <c r="G470" t="inlineStr">
        <is>
          <t>Redmond, WA, US</t>
        </is>
      </c>
      <c r="H470" s="2" t="n">
        <v>46077</v>
      </c>
      <c r="I470" t="inlineStr">
        <is>
          <t>We are now looking for a Senior Machine Learning Engineer for Quantized Inference! NVIDIA is seeking machine learning engineers to accelerate the discovery and deployment of efficient inference recipes for LLMs. A recipe defines which operators are transformed into low\-precision or sparsified variants unlocking throughput and latency gains without regressing accuracy nor verbosity. Recipes may incorporate techniques such as rotations, block scaling to attenuate outlier impact, or improved calibration data drawn from SFT/RL pipelines.
Pushing the frontier of inference efficiency requires a holistic view of the workload. The candidate will navigate the full design space: identifying which layers are sensitive to quantization relative to their inference cost, diagnosing why specific recipes fail, and adapting training techniques such as quantization\-aware distillation or targeted fine\-tuning to recover accuracy where needed. Our team develops quantized and sparse recipes that ship and run at scale across NVIDIA's LLM product portfolio. Our recipes directly determine the cost and latency of serving models to millions of users. We collaborate with inference framework teams (vLLM, TRT\-LLM) to ensure recipes translate into real throughput gains, and with post\-training teams to source calibration data and co\-design quantization\-aware training curricula.
What you'll be doing:* Prototype state\-of\-the\-art quantization and sparsity recipes applied to LLM workloads
* Design and execute post\-training quantization or quantization\-aware distillation experiments: prepare SFT/RL calibration datasets, manage checkpoint\-level eval sweeps, and iterate on recipes based on results
* Run accuracy and verbosity evaluations of quantized/sparsified LLM workloads at cluster scale
* Develop data analysis tooling and visualizations for numerics debugging
* Participate in code reviews and incorporate feedback
* Contribute improvements upstream to open\-source inference and optimization libraries; publish findings at ML conferences where appropriate
What we need to see:* Proficient in Python and PyTorch
* Experience with quantization, sparsity, or other model compression techniques
* Ability to design and run rigorous experiments: controlled ablations, statistical significance, reproducibility
* Familiarity with LLM evaluation methodology (benchmarks, human\-preference proxies, verbosity metrics)
* MS/PhD in Computer Science, Computer Engineering, Machine Learning, or equivalent experience.
* 3\+ years of experience in an applied ML role
* Demonstrated ability to move fast with ambiguous requirements, with strong written and verbal communication
Ways to stand out from the crowd:* Published work or production experience in post\-training quantization or quantization\-aware training
* Experience with SFT, RLHF/DPO, or distillation pipelines
* Familiarity with inference serving frameworks (vLLM, TRT\-LLM, SGLang)
* Track record of debugging numerical issues in mixed\-precision training or inference
Your base salary will be determined based on your location, experience, and the pay of employees in similar positions. The base salary range is 152,000 USD \- 241,500 USD for Level 3, and 184,000 USD \- 287,500 USD for Level 4\.
You will also be eligible for equity and benefits.
Applications for this job will be accepted at least until March 1,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row>
    <row r="471">
      <c r="A471" t="inlineStr">
        <is>
          <t>in-500e920dbd12dded</t>
        </is>
      </c>
      <c r="B471" t="inlineStr">
        <is>
          <t>Member of Technical Staff, Applied AI Engineer</t>
        </is>
      </c>
      <c r="C471" t="inlineStr">
        <is>
          <t>Microsoft</t>
        </is>
      </c>
      <c r="D471" t="inlineStr">
        <is>
          <t>indeed</t>
        </is>
      </c>
      <c r="E471">
        <f>HYPERLINK("https://www.indeed.com/viewjob?jk=500e920dbd12dded", "https://www.indeed.com/viewjob?jk=500e920dbd12dded")</f>
        <v/>
      </c>
      <c r="F471">
        <f>HYPERLINK("https://apply.careers.microsoft.com/careers/job/1970393556769429?utm_source=indeed&amp;domain=microsoft.com", "https://apply.careers.microsoft.com/careers/job/1970393556769429?utm_source=indeed&amp;domain=microsoft.com")</f>
        <v/>
      </c>
      <c r="G471" t="inlineStr">
        <is>
          <t>Mountain View, CA, US</t>
        </is>
      </c>
      <c r="H471" s="2" t="n">
        <v>46072</v>
      </c>
      <c r="I471" t="inlineStr">
        <is>
          <t>**Overview**  
We’re hiring a **Applied AI Engineer** to join a fast‑moving, high‑ownership team building next‑generation AI assistant and productivity capabilities. This role blends **LLM product engineering, evaluation science, hillclimbing, and internal tool building** with the pace and creativity of a startup.
You’ll work across the entire lifecycle of features from early prototypes to production‑grade systems and help define how millions of users interact with AI.  
**Responsibilities**  
**LLM Feature \&amp; Agent Development**
Design and ship **LLM‑powered assistant features**, including conversational flows, agentic behaviors, retrieval pipelines, and multimodal interactions.* Build **prompt architectures**, system instructions, and orchestration logic that ensure reliability, grounding, and personality consistency.
* Prototype new capabilities rapidly and iterate based on user signals and evaluation data.
**Evaluation, Hillclimbing \&amp; Quality Systems**
Build and maintain **evaluation frameworks** for correctness, safety, grounding, and UX quality.* Run **hillclimbing loops** across prompts, models, and tool‑use strategies to continuously improve assistant performance.
* Analyze failure modes, design mitigations, and drive systematic improvements across the stack.
**LLM Tooling \&amp; Internal Infrastructure*** Develop internal tools for prompt experimentation, model comparison telemetry and debugging automated eval pipelines
* Create reusable frameworks that accelerate the entire AI org’s ability to ship high‑quality assistant features.
**Applied ML \&amp; Product Integration*** Integrate LLMs with product surfaces, APIs, and backend systems.
* Build lightweight ML components (ranking, classification, summarization, personalization) that enhance assistant intelligence.
* Collaborate with PM, design, and research to turn ambiguous ideas into polished user experiences.
**High‑Velocity Teamwork**
Operate with **startup‑founder energy**: bias for action, rapid iteration, and comfort with ambiguity.* Work closely with researchers, engineers, and product leaders in a **fast‑moving AI team** where ideas ship quickly and impact is immediate.
* Contribute to a culture of experimentation, clarity, and high‑quality execution.
* Build **prompt architectures**, system instructions, and orchestration logic that ensure reliability, grounding, and personality consistency.
* Prototype new capabilities rapidly and iterate based on user signals and evaluation data.
**Qualifications**  
**Required/minimum qualifications*** Doctorate in Data Science, Mathematics, Statistics, Econometrics, Economics, Operations Research, Computer Science, or related field OR Master's Degree in Data Science, Mathematics, Statistics, Econometrics, Economics, Operations Research, Computer Science, or related field AND 1\+ year(s) data\-science experience (e.g., managing structured and unstructured data, applying statistical techniques and reporting results) or consulting experience OR Bachelor's Degree in Data Science, Mathematics, Statistics, Econometrics, Economics, Operations Research, Computer Science, or related field AND 2\+ years data\-science experience (e.g., managing structured and unstructured data, applying statistical techniques and reporting results) OR equivalent experience.
**Preferred Qualifications*** Doctorate in Data Science, Mathematics, Statistics, Econometrics, Economics, Operations Research, Computer Science, or related field AND 1\+ year(s) data\-science experience (e.g., managing structured and unstructured data, applying statistical techniques and reporting results) OR Master's Degree in Data Science, Mathematics, Statistics, Econometrics, Economics, Operations Research, Computer Science, or related field AND 3\+ years data\-science experience (e.g., managing structured and unstructured data, applying statistical techniques and reporting results) OR Bachelor's Degree in Data Science, Mathematics, Statistics, Econometrics, Economics, Operations Research, Computer Science, or related field AND 5\+ years data\-science experience (e.g., managing structured and unstructured data, applying statistical techniques and reporting results) OR equivalent experience.
* 2\+ years shipping production\-level code, models, or data analysis.
* 1\+ years using AI\-assisted coding and analysis techniques.
* Experience working on small teams and mid\-stage startup environments.
* Experience working on AI products.
* PhD in engineering, applied math, statistics, or related analytical field.
* 4\+ years shipping production\-level code, models, or data analysis.
* Deep experience building from zero\-to\-one.
* Hands on work hillclimbing AI evaluations.
Data Science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Data Science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472">
      <c r="A472" t="inlineStr">
        <is>
          <t>in-dbbfd5a9b8d40bad</t>
        </is>
      </c>
      <c r="B472" t="inlineStr">
        <is>
          <t>Applied Scientist, Alexa Smart Home</t>
        </is>
      </c>
      <c r="C472" t="inlineStr">
        <is>
          <t>Amazon.com</t>
        </is>
      </c>
      <c r="D472" t="inlineStr">
        <is>
          <t>indeed</t>
        </is>
      </c>
      <c r="E472">
        <f>HYPERLINK("https://www.indeed.com/viewjob?jk=dbbfd5a9b8d40bad", "https://www.indeed.com/viewjob?jk=dbbfd5a9b8d40bad")</f>
        <v/>
      </c>
      <c r="F472">
        <f>HYPERLINK("https://www.amazon.jobs/jobs/3169205/applied-scientist-alexa-smart-home?cmpid=DA_INAD200785B", "https://www.amazon.jobs/jobs/3169205/applied-scientist-alexa-smart-home?cmpid=DA_INAD200785B")</f>
        <v/>
      </c>
      <c r="G472" t="inlineStr">
        <is>
          <t>Seattle, WA, US</t>
        </is>
      </c>
      <c r="H472" s="2" t="n">
        <v>46033</v>
      </c>
      <c r="I472"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473">
      <c r="A473" t="inlineStr">
        <is>
          <t>in-1248099aec5f8f63</t>
        </is>
      </c>
      <c r="B473" t="inlineStr">
        <is>
          <t>Applied Scientist, Alexa Smart Home</t>
        </is>
      </c>
      <c r="C473" t="inlineStr">
        <is>
          <t>Amazon.com</t>
        </is>
      </c>
      <c r="D473" t="inlineStr">
        <is>
          <t>indeed</t>
        </is>
      </c>
      <c r="E473">
        <f>HYPERLINK("https://www.indeed.com/viewjob?jk=1248099aec5f8f63", "https://www.indeed.com/viewjob?jk=1248099aec5f8f63")</f>
        <v/>
      </c>
      <c r="F473">
        <f>HYPERLINK("https://www.amazon.jobs/jobs/3169205/applied-scientist-alexa-smart-home?cmpid=DA_INAD200785B", "https://www.amazon.jobs/jobs/3169205/applied-scientist-alexa-smart-home?cmpid=DA_INAD200785B")</f>
        <v/>
      </c>
      <c r="G473" t="inlineStr">
        <is>
          <t>Sunnyvale, CA, US</t>
        </is>
      </c>
      <c r="H473" s="2" t="n">
        <v>46033</v>
      </c>
      <c r="I473"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474">
      <c r="A474" t="inlineStr">
        <is>
          <t>in-981e6b805d8558a0</t>
        </is>
      </c>
      <c r="B474" t="inlineStr">
        <is>
          <t>ML Engineer, GO-AI Technology &amp; Development Team</t>
        </is>
      </c>
      <c r="C474" t="inlineStr">
        <is>
          <t>Amazon.com</t>
        </is>
      </c>
      <c r="D474" t="inlineStr">
        <is>
          <t>indeed</t>
        </is>
      </c>
      <c r="E474">
        <f>HYPERLINK("https://www.indeed.com/viewjob?jk=981e6b805d8558a0", "https://www.indeed.com/viewjob?jk=981e6b805d8558a0")</f>
        <v/>
      </c>
      <c r="F474">
        <f>HYPERLINK("https://www.amazon.jobs/jobs/3173298/ml-engineer-goai-technology--development-team?cmpid=DA_INAD200785B", "https://www.amazon.jobs/jobs/3173298/ml-engineer-goai-technology--development-team?cmpid=DA_INAD200785B")</f>
        <v/>
      </c>
      <c r="G474" t="inlineStr">
        <is>
          <t>Reading, MA, US</t>
        </is>
      </c>
      <c r="H474" s="2" t="n">
        <v>45998</v>
      </c>
      <c r="I474"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475">
      <c r="A475" t="inlineStr">
        <is>
          <t>in-26866fd1dd19b237</t>
        </is>
      </c>
      <c r="B475" t="inlineStr">
        <is>
          <t>ML Engineer, GO-AI Technology &amp; Development Team</t>
        </is>
      </c>
      <c r="C475" t="inlineStr">
        <is>
          <t>Amazon.com</t>
        </is>
      </c>
      <c r="D475" t="inlineStr">
        <is>
          <t>indeed</t>
        </is>
      </c>
      <c r="E475">
        <f>HYPERLINK("https://www.indeed.com/viewjob?jk=26866fd1dd19b237", "https://www.indeed.com/viewjob?jk=26866fd1dd19b237")</f>
        <v/>
      </c>
      <c r="F475">
        <f>HYPERLINK("https://www.amazon.jobs/jobs/3173298/ml-engineer-goai-technology--development-team?cmpid=DA_INAD200785B", "https://www.amazon.jobs/jobs/3173298/ml-engineer-goai-technology--development-team?cmpid=DA_INAD200785B")</f>
        <v/>
      </c>
      <c r="G475" t="inlineStr">
        <is>
          <t>Boston, MA, US</t>
        </is>
      </c>
      <c r="H475" s="2" t="n">
        <v>45998</v>
      </c>
      <c r="I475"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476">
      <c r="A476" t="inlineStr">
        <is>
          <t>in-0a84bd29acc8df33</t>
        </is>
      </c>
      <c r="B476" t="inlineStr">
        <is>
          <t>ML Engineer, GO-AI Technology &amp; Development Team</t>
        </is>
      </c>
      <c r="C476" t="inlineStr">
        <is>
          <t>Amazon.com</t>
        </is>
      </c>
      <c r="D476" t="inlineStr">
        <is>
          <t>indeed</t>
        </is>
      </c>
      <c r="E476">
        <f>HYPERLINK("https://www.indeed.com/viewjob?jk=0a84bd29acc8df33", "https://www.indeed.com/viewjob?jk=0a84bd29acc8df33")</f>
        <v/>
      </c>
      <c r="F476">
        <f>HYPERLINK("https://www.amazon.jobs/jobs/3173298/ml-engineer-goai-technology--development-team?cmpid=DA_INAD200785B", "https://www.amazon.jobs/jobs/3173298/ml-engineer-goai-technology--development-team?cmpid=DA_INAD200785B")</f>
        <v/>
      </c>
      <c r="G476" t="inlineStr">
        <is>
          <t>Seattle, WA, US</t>
        </is>
      </c>
      <c r="H476" s="2" t="n">
        <v>45998</v>
      </c>
      <c r="I476"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477">
      <c r="A477" t="inlineStr">
        <is>
          <t>in-a52989dfef07b4f6</t>
        </is>
      </c>
      <c r="B477" t="inlineStr">
        <is>
          <t>ML Engineer, GO-AI Technology &amp; Development Team</t>
        </is>
      </c>
      <c r="C477" t="inlineStr">
        <is>
          <t>Amazon.com</t>
        </is>
      </c>
      <c r="D477" t="inlineStr">
        <is>
          <t>indeed</t>
        </is>
      </c>
      <c r="E477">
        <f>HYPERLINK("https://www.indeed.com/viewjob?jk=a52989dfef07b4f6", "https://www.indeed.com/viewjob?jk=a52989dfef07b4f6")</f>
        <v/>
      </c>
      <c r="F477">
        <f>HYPERLINK("https://www.amazon.jobs/jobs/3173298/ml-engineer-goai-technology--development-team?cmpid=DA_INAD200785B", "https://www.amazon.jobs/jobs/3173298/ml-engineer-goai-technology--development-team?cmpid=DA_INAD200785B")</f>
        <v/>
      </c>
      <c r="G477" t="inlineStr">
        <is>
          <t>Westborough, MA, US</t>
        </is>
      </c>
      <c r="H477" s="2" t="n">
        <v>45998</v>
      </c>
      <c r="I477"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5"/>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li-4208904078</t>
        </is>
      </c>
      <c r="B2" t="inlineStr">
        <is>
          <t>Data Scientist / AI Engineer</t>
        </is>
      </c>
      <c r="C2" t="inlineStr">
        <is>
          <t>Innovative Defense Technologies (IDT)</t>
        </is>
      </c>
      <c r="D2" t="inlineStr">
        <is>
          <t>linkedin</t>
        </is>
      </c>
      <c r="E2" t="inlineStr"/>
      <c r="F2" t="inlineStr"/>
      <c r="G2" t="inlineStr">
        <is>
          <t>Arlington, VA</t>
        </is>
      </c>
      <c r="H2" t="inlineStr"/>
      <c r="I2" t="inlineStr">
        <is>
          <t>**Description**
 Background Information:
 Innovative Defense Technologies(IDT), provider of cutting\-edge cloud\-based integration, automated testing and data analysis for complex, mission\-critical systems in the US Department of Defense (DOD), is seeking a Data Scientist/AI Engineer to be based in our Arlington, VA or Mount Laurel, NJ office. Leveraging advanced software automation, model\-based systems engineering (MBSE), and AI\-driven capabilities, IDT accelerates capability development, enhances operational readiness, and reduces lifecycle costs for the Department of Defense. The company is dedicated to transforming defense systems through innovation, efficiency, and mission\-critical results.
 Overview:
 The Data Scientist position offers an engineer the opportunity to showcase their knowledge and talents as part of a collaborative team developing innovative AI and Data Analysis solutions for Innovative Defense Technologies. The responsibilities of this role include leading and supporting feasibility studies, building capabilities to discover explanatory features in high\-dimensionality datasets, and developing and integrating state\-of\-the\-art AI/ML solutions to support mission\-critical software capabilities.
 All applicants must be able to obtain/maintain an active U.S. Security Clearance.
 Responsibilities Include:
* Develop solutions to deliver analytical and AI/ML capabilities from problem formulation to a productized, deployable, maintainable capability
* Leverage state\-of\-the\-art theory and technologies to solve complex problems
* Establish and leverage Big Data frameworks to store, extract and analyze relevant data
* Develop software solutions by understanding customer requirements and program intent
* Determine operational feasibility by evaluating analysis, problem definition, requirements, solution development, and proposed solutions
* Be responsible for solutions that meet software design, quality, and performance requirements
* Work with minimal supervision in a collaborative work environment to implement best\-in\-class solutions
 Minimum Required Qualifications:
* Bachelor’s Degree in Statistics, Data Science, Computer Science, Math, or a quantitative field or equivalent full\-time professional experience required; Master’s Degree in Data Science or other technical field highly preferred
* 3\+ years of experience in predictive modeling, data science and analysis
 Required Skills:
* Previous experience in a ML or data scientist role and a track record of building ML and Data Science capabilities
* Experience working with data mining and ML algorithms including decision trees, probability networks, association rules, clustering, and neural networks
* Experience in and knowledge of mathematical optimization techniques, non\-linear programming, evolutionary and biologically\-inspired optimization algorithms
* In\-depth understanding and knowledge of statistical analysis, sampling, statistical learning theory, and Design of Experiments (DOE)
* Strong proficiency in Python
* Experience using ML libraries, such as scikit\-learn, PyTorch, Keras, etc.
* Knowledge of data and information visualization principles and experience using related tools
 Preferred Skills:
* Strong software engineering background
* Skills with other programming languages, such as Julia, Java or C/C\+\+
* Demonstrated ability to develop experimental and analytic plans for data modeling processes, use of strong baselines, ability to accurately determine cause and effect relations
* Experience with application container platforms
* Familiarity with continuous integration/delivery tools (e.g. Jenkins)
* Familiarity with version control tools (e.g. Subversion, Git, etc.)
* Familiarity with VMware or other virtualization software
* Experience developing applications for DOD command and control systems
* Familiarity with Large Language Models (LLM) and LLM parameter tuning
* Familiarity with network science and graph theory
 Competencies:
* Solid analytical abilities, coupled with a strong sense of ownership, urgency, and drive
* Attention to detail
* Strong sense of intellectual curiosity and desire to learn
* Initiative, creativity, reliability, teamwork
* Ability to deal well with ambiguity, prioritize needs, and deliver results in a dynamic environment
 Price range: $90,000 \- $150,000 or $114,000 \- $184,000
* Pursuant to New Jersey Senate Bill 2310, IDT is required to disclose the “pay scale” or “pay range” associated with a job posting. Notably, however, this amount may not be reflective of actual compensation that may be earned as pay is dependent on a candidate’s experience, skills, and education. The posted range does not include bonuses, commissions, tips, or other benefits. Click here for additional information about New Jersey Senate Bill 2310\. IDT is often looking to place multiple candidates at various levels. Therefore, more than one pay range has been included, commensurate with experience.
 EEO Statement:
 IDT is an Equal Opportunity employer.</t>
        </is>
      </c>
    </row>
    <row r="3">
      <c r="A3" t="inlineStr">
        <is>
          <t>li-4369054073</t>
        </is>
      </c>
      <c r="B3" t="inlineStr">
        <is>
          <t>Applied Scientist, Device Ad Products &amp; Personalization</t>
        </is>
      </c>
      <c r="C3" t="inlineStr">
        <is>
          <t>Amazon</t>
        </is>
      </c>
      <c r="D3" t="inlineStr">
        <is>
          <t>linkedin</t>
        </is>
      </c>
      <c r="E3" t="inlineStr"/>
      <c r="F3" t="inlineStr"/>
      <c r="G3" t="inlineStr">
        <is>
          <t>New York, NY</t>
        </is>
      </c>
      <c r="H3" t="inlineStr"/>
      <c r="I3" t="inlineStr">
        <is>
          <t>**Description**
 We are seeking an Applied Scientist for our Device Ad Products science team. This team addresses challenging optimization problems related to how advertisements are priced, selected, allocated and shown to customers on Amazon devices including Fire TV, Alexa and Fire Tablet. As Applied Scientist, you will be responsible for improving advertising performance and delivering innovative advertising experiences for display and video ads on Amazon Devices. This team leads initiatives to improve advertising fundamentals such as relevance, coverage, CTR, and CPSU (cost per sign up for streaming services) which in turn increase advertising revenue across Amazon's devices worldwide. You will own the scoping, implementation, and launch of science based ad solutions and experiences specifically for these entertainment focused environments.
 Key job responsibilities
* Gain a comprehensive understanding of the customer lifecycle journey with Amazon Ads, and develop sophisticated models to optimize various conversion KPIs for enhanced marketing effectiveness.
* Develop scalable data processing pipelines and architectures to ingest, transform, and enrich Customer data from various sources (Retail, Prime Video, FireTV and AppStore).
* Build machine learning models, perform proof\-of\-concept, experiment, optimize, and deploy your models into production; work closely with product managers and engineers to launch your models to customers.
* Drive innovation within your team and partner closely with other scientists, engineers and Product Managers to build science roadmaps
* Establish scalable, efficient, automated processes for large\-scale data analysis, machine\-learning model development, model validation and serving.
* Stay up\-to\-date with the latest advancements in machine learning, natural language processing, knowledge representation, multi\-modal learning and related fields, and identify opportunities to apply them to Advertising Use Cases.
* We are looking for world class researchers with experience in one or more of the following areas of Agentic AI for ads targeting \- autonomous agents, multi agent orchestration, Planning, large multimodal models (especially vision\-language models), reinforcement learning (RL) and sequential decision making.
* Effectively communicate complex science problems and solutions to both technical and non\-technical audiences.
 A day in the life
 In this role, you will regularly work with scientists and technical leaders across the advertising organization, including other science teams, product management, and senior leadership. You will also collaborate with science leaders across Amazon Devices and Prime Video organizations to build company\-wide alignment. You will manage and work closely alongside your team of applied and data scientists to guide them through high\-ambiguity problems and deliver robust, scalable solutions.
**About The Team**
 This role is on Device Ads and Personalization (DAPP) team, which is under Amazon Publisher Monetization (APM). This team has a vision to create innovative Ad experiences on Amazon Devices, providing customers better convenience and more selection.
**Basic Qualifications**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 PhD
* 3\+ years of deep learning, computer vision, human robotic interaction, algorithms implementation experience
* Experience in building speech recognition, machine translation and natural language processing systems (e.g., commercial speech products or government speech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**Company** 
 \- Amazon.com Services LLC
 Job ID: A3173331</t>
        </is>
      </c>
    </row>
    <row r="4">
      <c r="A4" t="inlineStr">
        <is>
          <t>li-4329190427</t>
        </is>
      </c>
      <c r="B4" t="inlineStr">
        <is>
          <t>Senior Applied Scientist</t>
        </is>
      </c>
      <c r="C4" t="inlineStr">
        <is>
          <t>Microsoft</t>
        </is>
      </c>
      <c r="D4" t="inlineStr">
        <is>
          <t>linkedin</t>
        </is>
      </c>
      <c r="E4" t="inlineStr"/>
      <c r="F4" t="inlineStr"/>
      <c r="G4" t="inlineStr">
        <is>
          <t>Redmond, WA</t>
        </is>
      </c>
      <c r="H4" t="inlineStr"/>
      <c r="I4" t="inlineStr">
        <is>
          <t>**Overview**
 We seek a Senior Applied Scientist with expertise in Machine Learning, Generative AI, Agentic Modeling, Data Science, or related areas. The ideal candidate should be passionate about generative modeling, experimental prompt tuning, and large\-scale modeling optimization. The candidate should have hands\-on experience on working with LLMs, or SLMs such as Qwen, Llama or its variants. Microsoft AI unites product, engineering, and science teams to advance Bing and Consumer Copilot, aiming to provide the best generative search experience through advanced AI/ML technologies and innovative AI features.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Building and owning production machine learning models to improve results.
* Working hands on with SOTA generative models like Qwen, Llama, Mistral, GPT and others, to deliver big impact.
* Finding insights and forming hypothesis on large\-scale data with various machine learning, feature engineering, statistical, and data mining techniques: e.g. regression, classification, NLP, optimization.
* Professional working experience on prompt engineering with large LLMs like GPT, Gemini, Claude etc.
* Designing experiments, understanding the resulting data, and producing actionable, trustworthy conclusions from them.
* Wrangling large amounts of data (think petabytes) using various tools, including open\-source ones and your own. All programming languages are welcome, especially Python, C\#, R, C\+\+, Java, and SQL.
* Taking complex problems and the associated data and giving the answers in a concise form to assist senior executives in making key business decisions.
**Qualifications**
**Required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**Preferred Qualifications**
* Proficient oral and writing skills.
 \#MicrosoftAI \#ML \#GenAI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
      <c r="A5" t="inlineStr">
        <is>
          <t>li-4202085097</t>
        </is>
      </c>
      <c r="B5" t="inlineStr">
        <is>
          <t>Principal Applied Scientist- AI</t>
        </is>
      </c>
      <c r="C5" t="inlineStr">
        <is>
          <t>UiPath</t>
        </is>
      </c>
      <c r="D5" t="inlineStr">
        <is>
          <t>linkedin</t>
        </is>
      </c>
      <c r="E5" t="inlineStr"/>
      <c r="F5" t="inlineStr"/>
      <c r="G5" t="inlineStr">
        <is>
          <t>Bellevue, WA</t>
        </is>
      </c>
      <c r="H5" t="inlineStr"/>
      <c r="I5" t="inlineStr">
        <is>
          <t>**Life at UiPath**
 The people at UiPath believe in the transformative power of automation to change how the world works. We’re committed to creating category\-leading enterprise software that unleashes that power.
 To make that happen, we need people who are curious, self\-propelled, generous, and genuine. People who love being part of a fast\-moving, fast\-thinking growth company. And people who care—about each other, about UiPath, and about our larger purpose.
 Could that be you?
 As a
 **Principal Applied Scientist** 
 at UiPath, you’ll drive the frontier of machine learning research and development, crafting the foundation for transformative product innovations. This is a hands\-on, leadership role at the intersection of applied research, engineering, and strategy—where you'll influence the technical direction of our most advanced ML initiatives.
 We are seeking a scientist with a proven track record of leading high\-impact research and deploying cutting\-edge machine learning systems at scale. You should be deeply curious about AI and ML, committed to pushing boundaries, and motivated to solve real\-world automation problems in scalable and innovative ways.
 The ideal candidate has substantial experience designing and executing complex experiments, building high\-performance ML systems, and mentoring teams. Above all, we value collaboration, humility, technical excellence, and a bias for action.
**Background**
 This role is with the
 **UiPath advanced machine learning research group** 
 , which builds large multi\-modal models designed to act and operate software like humans. Our mission is to push the boundaries of AI in pursuit of useful general intelligence for enterprise automation.
**What You’ll Do At UiPath**
* Lead the design and development of state\-of\-the\-art machine learning and deep learning systems for real\-world production environments.
* Innovate in NLP, NLU, NLG, computer vision, and multi\-modal learning to drive breakthroughs in software automation.
* Define and drive the roadmap for scalable ML infrastructure and research\-to\-production pipelines.
* Architect experiments, conduct in\-depth benchmarking, and analyze large\-scale datasets to evaluate and improve model performance.
* Collaborate cross\-functionally with engineering, product, and research teams to integrate ML systems into UiPath products.
* Mentor and guide other scientists and engineers, providing technical leadership and fostering a culture of innovation and rigor.
* Stay ahead of industry and academic advancements, influencing the company’s research strategy and sharing insights across the organization.
**What You’ll Bring To The Team**
* PhD or MS in Computer Science, Machine Learning, Statistics, or a related field.
* 5\+ years of experience in machine learning research and large\-scale system deployment.
* Deep expertise in areas such as natural language processing, computer vision, multimodal learning, or reinforcement learning.
* Demonstrated success leading ML projects from research to production.
* Strong programming skills in Python and proficiency with ML frameworks such as TensorFlow, PyTorch, or JAX.
* Experience working with large\-scale datasets and cloud\-based ML infrastructure.
* Excellent communication skills with a collaborative and mentoring mindset.
* Prior experience in automation, RPA, or related enterprise AI applications is a plus.
* Candidates must be authorized to work in the United States for this role.
 Maybe you don’t tick all the boxes above—but still think you’d be great for the job? Go ahead, apply anyway. Please. Because we know that experience comes in all shapes and sizes—and passion can’t be learned.
 Many of our roles allow for flexibility in when and where work gets done. Depending on the needs of the business and the role, the number of hybrid, office\-based, and remote workers will vary from team to team. Applications are assessed on a rolling basis and there is no fixed deadline for this requisition. The application window may change depending on the volume of applications received or may close immediately if a qualified candidate is selected.
 We value a range of diverse backgrounds, experiences and ideas. We pride ourselves on our diversity and inclusive workplace that provides equal opportunities to all persons regardless of age, race, color, religion, sex, sexual orientation, gender identity, and expression, national origin, disability, neurodiversity, military and/or veteran status, or any other protected classes. Additionally, UiPath provides reasonable accommodations for candidates on request and respects applicants' privacy rights. To review these and other legal disclosures, visit our privacy policy.
 Compensation Range: $200K \- $290K</t>
        </is>
      </c>
    </row>
    <row r="6">
      <c r="A6" t="inlineStr">
        <is>
          <t>li-4377834825</t>
        </is>
      </c>
      <c r="B6" t="inlineStr">
        <is>
          <t>Senior Applied Scientist</t>
        </is>
      </c>
      <c r="C6" t="inlineStr">
        <is>
          <t>Microsoft</t>
        </is>
      </c>
      <c r="D6" t="inlineStr">
        <is>
          <t>linkedin</t>
        </is>
      </c>
      <c r="E6" t="inlineStr"/>
      <c r="F6" t="inlineStr"/>
      <c r="G6" t="inlineStr">
        <is>
          <t>Redmond, WA</t>
        </is>
      </c>
      <c r="H6" t="inlineStr"/>
      <c r="I6" t="inlineStr">
        <is>
          <t>**Overview**
 You’ll join the asset generation team in Microsoft AI focusing on image and video retrieval, recommendation and generation. You will build core generative AI solutions that power customer\-facing AI solutions and services for Microsoft Advertising at Bing platforms. In this role, you’ll combine solid computer vision skills with applied ML expertise to design, prototype, evaluate and ship production systems—using techniques like knowledge distillation, prompt engineering, reinforcement learning, image/video processing and rigorous evaluation/metrics to continuously improve image and video asset qualities. You’ll partner closely across product, research, and service engineering to deliver the innovative and robust solutions for enterprise customers.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Research, develop, and build effective and innovative production\-grade generative AI and classical computer vision systems, with end\-to\-end ownership from concept through deployment and service operations.
* Lead technical design for core GenAI capabilities on image and video assets (e.g., image and video generation, super\-resolution and summarization) and make data\-driven tradeoffs across quality, latency, cost, and safety.
* Define and improve model and system quality using evaluation frameworks, experiment design, and metric evaluation; ensure robust testing and regression coverage.
* Collaborate with the partner teams to build solutions that meet enterprise requirements and align with customer needs and make business impact.
**Qualifications**
**Required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**Preferred Qualifications**
* Master's Degree in Statistics, Econometrics, Computer Science, Electrical or Computer Engineering, or related field AND 6\+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 Demonstrated solid modelling skills in training and inferencing on online and offline computer vision models and related performance optimization for latency and artifact.
* Experience with prompt engineering, knowledge distillation and post\-training.
* Experience building and shipping generative AI systems (including image and video systems).
* Familiarity with compliance and security standards in enterprise AI solutions.
* Track record of delivering enterprise\-facing AI products at scale.
* Experience building and operating ML/AI systems in cloud environments; familiarity with MLOps practices (Azure a plus).
* Experience in publishing papers in top\-tier computer vision and machine learning conferences such as CVPR, ICML, ICCV, Neurips and ICLR.
 \#MicrosoftAI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7">
      <c r="A7" t="inlineStr">
        <is>
          <t>li-4369041188</t>
        </is>
      </c>
      <c r="B7" t="inlineStr">
        <is>
          <t>Applied Scientist, Personalization</t>
        </is>
      </c>
      <c r="C7" t="inlineStr">
        <is>
          <t>Amazon</t>
        </is>
      </c>
      <c r="D7" t="inlineStr">
        <is>
          <t>linkedin</t>
        </is>
      </c>
      <c r="E7" t="inlineStr"/>
      <c r="F7" t="inlineStr"/>
      <c r="G7" t="inlineStr">
        <is>
          <t>Will County, IL</t>
        </is>
      </c>
      <c r="H7" t="inlineStr"/>
      <c r="I7" t="inlineStr">
        <is>
          <t>**Description**
 Are you a scientist interested in pushing the state of the art in Information Retrieval, Large Language Models and Recommendation Systems? Are you interested in innovating on behalf of millions of customers, helping them accomplish their every day goals? Do you wish you had access to large datasets and tremendous computational resources? Do you want to join a team of capable scientist and engineers, building the future of e\-commerce? Answer yes to any of these questions, and you will be a great fit for our team at Amazon.
 Our team is part of Amazon’s Personalization organization, a high\-performing group that leverages Amazon’s expertise in machine learning, generative AI, large\-scale data systems, and user experience design to deliver the best shopping experiences for our customers. Our team builds large\-scale machine\-learning solutions that delight customers with personalized and up\-to\-date recommendations that are related to their interests. We are a team uniquely placed within Amazon, to have a direct window of opportunity to influence how customers will think about their shopping journey in the future.
 As an Applied Scientist in our team, you will be responsible for the research, design, and development of new AI technologies for personalization. You will adopt or invent new machine learning and analytical techniques in the realm of recommendations, information retrieval and large language models. You will collaborate with scientists, engineers, and product partners locally and abroad. Your work will include inventing, experimenting with, and launching new features, products and systems.
 Please visit https://www.amazon.science for more information.
**Basic Qualifications**
* MSc in CS/EE or related field and 2\+ years of applied research experience
* Strong CS foundations (data structures and algorithms)
* Excellent coding and design skills, proficiency with Python
* Publication at top\-tier peer\-reviewed research conferences or journals
* Strong communication and collaboration skills
**Preferred Qualifications**
* Hands\-on Experience with bringing LLM systems to production
* Experience in building and launching deep learning and machine learning models for business applications
* Solid knowledge of big data and cloud technologies (e.g., Spark, AWS, etc.)
* Experience with information retrieval, recommender systems, natural language processing, and/or personalization algorithms
* Publications at top Web, Machine Learning, Natural Language Processing conferences such as KDD, ICML, NeurIPS, ACL, EMNLP, etc.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**Company** 
 \- Amazon Development Center (Tel Aviv)
 Job ID: A3173321</t>
        </is>
      </c>
    </row>
    <row r="8">
      <c r="A8" t="inlineStr">
        <is>
          <t>li-4244509790</t>
        </is>
      </c>
      <c r="B8" t="inlineStr">
        <is>
          <t>Sr. Applied Scientist, AGI Info</t>
        </is>
      </c>
      <c r="C8" t="inlineStr">
        <is>
          <t>Amazon</t>
        </is>
      </c>
      <c r="D8" t="inlineStr">
        <is>
          <t>linkedin</t>
        </is>
      </c>
      <c r="E8" t="inlineStr"/>
      <c r="F8" t="inlineStr"/>
      <c r="G8" t="inlineStr">
        <is>
          <t>Sunnyvale, CA</t>
        </is>
      </c>
      <c r="H8" t="inlineStr"/>
      <c r="I8" t="inlineStr">
        <is>
          <t>**Description**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WA, BELLEVUE \- 167,100\.00 \- 226,100\.00 USD annually
**Company** 
 \- Amazon.com Services LLC
 Job ID: A2999351</t>
        </is>
      </c>
    </row>
    <row r="9">
      <c r="A9" t="inlineStr">
        <is>
          <t>li-4194476443</t>
        </is>
      </c>
      <c r="B9" t="inlineStr">
        <is>
          <t>Principal Applied Scientist, FAR (Frontier AI &amp; Robotics)</t>
        </is>
      </c>
      <c r="C9" t="inlineStr">
        <is>
          <t>Amazon</t>
        </is>
      </c>
      <c r="D9" t="inlineStr">
        <is>
          <t>linkedin</t>
        </is>
      </c>
      <c r="E9" t="inlineStr"/>
      <c r="F9" t="inlineStr"/>
      <c r="G9" t="inlineStr">
        <is>
          <t>San Francisco, CA</t>
        </is>
      </c>
      <c r="H9" t="inlineStr"/>
      <c r="I9" t="inlineStr">
        <is>
          <t>**Description**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 Medical, Dental, and Vision Coverage
* Maternity and Parental Leave Options
* Paid Time Off (PTO)
*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
**Basic Qualifications**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\- 228,700\.00 \- 309,400\.00 USD annually
 USA, WA, Seattle \- 198,900\.00 \- 269,000\.00 USD annually
**Company** 
 \- Amazon.com Services LLC
 Job ID: A2938625</t>
        </is>
      </c>
    </row>
    <row r="10">
      <c r="A10" t="inlineStr">
        <is>
          <t>li-4271079890</t>
        </is>
      </c>
      <c r="B10" t="inlineStr">
        <is>
          <t>Principal Applied Scientist, Console Science</t>
        </is>
      </c>
      <c r="C10" t="inlineStr">
        <is>
          <t>Amazon Web Services (AWS)</t>
        </is>
      </c>
      <c r="D10" t="inlineStr">
        <is>
          <t>linkedin</t>
        </is>
      </c>
      <c r="E10" t="inlineStr"/>
      <c r="F10" t="inlineStr"/>
      <c r="G10" t="inlineStr">
        <is>
          <t>Santa Clara, CA</t>
        </is>
      </c>
      <c r="H10" t="inlineStr"/>
      <c r="I10" t="inlineStr">
        <is>
          <t>**Description**
 We are looking for passionate, talented, and inventive Principal Applied Scientist with a strong machine learning background to help build industry\-leading Conversational AI Systems. Our mission is to provide a delightful experience to Amazon’s customers by pushing the envelope in Natural Language Understanding (NLU), Dialog Systems including Generative AI with Large Language Models (LLMs) and Applied Machine Learning (ML).
 As part of our team, you will work alongside internationally recognized experts to develop novel algorithms and modeling techniques to advance the state\-of\-the\-art in human language technology. Your work will directly impact millions of our customers in the form of products and services that make use language technology. You will gain hands on experience with Amazon’s heterogeneous text, structured data sources, and large\-scale computing resources to accelerate advances in language understanding.
 We are hiring in all areas of human language technology: NLU, Dialog Management, Conversational AI, LLMs and Generative AI.
 A day in the life
 The team uses generative AI and foundation models to reimagine the experience of all customers on AWS. We explore new technologies and find creative solutions. Curiosity and an explorative mindset can find a place here to impact the life of engineers around the world.
 If you are excited about this space and want to enlighten your peers with new capabilities, this is the team for you.
**Basic Qualifications**
* PhD and 8\+ years of CS, CE, ML or related field experience
* 8\+ years of building models for business application experience
* Experience in patents or publications at top\-tier peer\-reviewed conferences or journals in NLP and Applied Machine Learning.
* Experience programming in Java, C\+\+, Python or related language
* Experience in any of the following areas: algorithms and data structures, parsing, numerical optimization, data mining, parallel and distributed computing, high\-performance computing
**Preferred Qualifications**
* PhD and 8\+ years of CS, CE, ML or related field experience
* 8\+ years of building models for business application experience
* Experience in patents or publications at top\-tier peer\-reviewed conferences or journals in NLP and Applied Machine Learning.
* Experience programming in Java, C\+\+, Python or related language
* Experience in any of the following areas: algorithms and data structures, parsing, numerical optimization, data mining, parallel and distributed computing, high\-performance computing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**Company** 
 \- Amazon Development Center U.S., Inc.
 Job ID: A3039349</t>
        </is>
      </c>
    </row>
    <row r="11">
      <c r="A11" t="inlineStr">
        <is>
          <t>li-4256829010</t>
        </is>
      </c>
      <c r="B11" t="inlineStr">
        <is>
          <t>Principal Applied Scientist, Delivery Foundation Model</t>
        </is>
      </c>
      <c r="C11" t="inlineStr">
        <is>
          <t>Amazon</t>
        </is>
      </c>
      <c r="D11" t="inlineStr">
        <is>
          <t>linkedin</t>
        </is>
      </c>
      <c r="E11" t="inlineStr"/>
      <c r="F11" t="inlineStr"/>
      <c r="G11" t="inlineStr">
        <is>
          <t>New York, United States</t>
        </is>
      </c>
      <c r="H11" t="inlineStr"/>
      <c r="I11" t="inlineStr">
        <is>
          <t>**Description**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
**Basic Qualifications**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WA, Bellevue \- 198,900\.00 \- 269,000\.00 USD annually
**Company** 
 \- Amazon.com Services LLC
 Job ID: A2998635</t>
        </is>
      </c>
    </row>
    <row r="12">
      <c r="A12" t="inlineStr">
        <is>
          <t>li-4368888758</t>
        </is>
      </c>
      <c r="B12" t="inlineStr">
        <is>
          <t>Principal, Applied Scientist, Just Walk Out</t>
        </is>
      </c>
      <c r="C12" t="inlineStr">
        <is>
          <t>Amazon</t>
        </is>
      </c>
      <c r="D12" t="inlineStr">
        <is>
          <t>linkedin</t>
        </is>
      </c>
      <c r="E12" t="inlineStr"/>
      <c r="F12" t="inlineStr"/>
      <c r="G12" t="inlineStr">
        <is>
          <t>Seattle, WA</t>
        </is>
      </c>
      <c r="H12" t="inlineStr"/>
      <c r="I12" t="inlineStr">
        <is>
          <t>**Description**
 We are looking for a Principal Applied Scientist to drive technical innovation in visual reasoning systems across multiple domains. You will be a technical leader who sets the research direction, architects novel solutions, and delivers breakthrough results that advance the state of the art while solving real\-world business problems.
 You will be leading the efforts of building a next\-generation visual reasoning engine powered by frontier Large Video Models (LVMs). Your mission is to build a system that rivals human understanding of the physical world — moving far beyond the static perception of detection and tracking into the realm of deep spatial\-temporal reasoning. This is not a passive computer vision tool; it is an agentic collaborator capable of interpreting natural language instructions, navigating unstructured environments, and executing complex tasks.
 You will sit at the high\-stakes intersection of LVMs, LLMs, and Agentic AI, engineering systems that don't just 'see' but reason and act within the physical world. You will own end\-to\-end technical solutions from research to production deployment, driving innovation through hands\-on research, prototyping, and deployment while delivering production impact.
 Key job responsibilities
* Direct the technical vision for next\-gen visual reasoning, pioneering the use of LVMs to solve high\-dimensional spatial\-temporal problems
* Designing and implementing novel algorithms that push the boundaries of what's possible with generative AI
* Architecting scalable solutions that deliver real\-time insights across diverse environments
* Building agentic AI systems that autonomously execute end\-to\-end workflows, transforming visual data into actionable business intelligence
* Leading cross\-functional collaboration to translate research breakthroughs into production systems
* Publishing research at top\-tier conferences (CVPR, NeurIPS, ICML) and establishing technical thought leadership in visual reasoning and multi\-modal AI
* Mentoring scientists and engineers to elevate technical excellence across the organization
* Influencing product roadmaps through deep technical expertise and business acumen
**About The Team**
 Just Walk Out (JWO) is a checkout\-free shopping experience where customers simply enter the store, take what they want, and leave—no lines, no scanning, no checkout. Our Just Walk Out Technology automatically detects when products are taken from or returned to the shelves, keeps track of them in a virtual cart, and charges customers' accounts after they leave. Check it out at https://www.justwalkout.com/.
 Designed and custom\-built by Amazonians, our Just Walk Out Technology uses cutting\-edge visual reasoning systems powered by vision\-language\-reasoning models to understand complex shopping behaviors in real\-time. Our algorithms process multi\-camera video streams to track customers throughout their shopping journey and determine exactly what items customers take—all without requiring them to scan or checkout. Innovation is part of our DNA!
 We are now applying our visual reasoning expertise to solve critical challenges in new domains beyond retail. We need people who want to join an ambitious program to expand beyond retail, building state\-of\-the\-art visual reasoning systems that work across domains in physical AI. This expansion represents a significant opportunity to apply cutting\-edge vision\-language models, multi\-modal AI, and generative AI technologies to enterprise applications with massive business impact, enabling automated decision\-making capabilities.
**Basic Qualifications**
* PhD in computer science, machine learning, engineering, or related fields
* 8\+ years of applied research experience
* Strong publication record in top\-tier conferences/journals (CVPR, NeurIPS, ICML, ICCV, ECCV, etc.)
* Deep expertise in architecting and training frontier Vision\-Language Models (VLMs) or Large Video Models (LVMs), with proven ability to design novel algorithms that advance the state of the art in spatiotemporal understanding
* Experience translating research into production systems at scale
* Excellent programming skills in Python and deep learning frameworks (PyTorch, TensorFlow)
**Preferred Qualifications**
* Deep expertise in World Models, Neural Radiance Fields (NeRFs/Gaussian Splatting), and long\-horizon spatiotemporal reasoning
* Demonstrated leadership in building and scaling agentic AI applications in production
* A history of building and scaling world\-class teams and mentoring senior ICs to achieve career breakthroughs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\- 198,900\.00 \- 269,000\.00 USD annually
**Company** 
 \- Amazon.com Services LLC
 Job ID: A3173173</t>
        </is>
      </c>
    </row>
    <row r="13">
      <c r="A13" t="inlineStr">
        <is>
          <t>li-4368828436</t>
        </is>
      </c>
      <c r="B13" t="inlineStr">
        <is>
          <t>Machine Learning Engineer II/ Senior Machine Learning Engineer I, Physical Sciences</t>
        </is>
      </c>
      <c r="C13" t="inlineStr">
        <is>
          <t>Lila Sciences</t>
        </is>
      </c>
      <c r="D13" t="inlineStr">
        <is>
          <t>linkedin</t>
        </is>
      </c>
      <c r="E13" t="inlineStr"/>
      <c r="F13" t="inlineStr"/>
      <c r="G13" t="inlineStr">
        <is>
          <t>Cambridge, MA</t>
        </is>
      </c>
      <c r="H13" t="inlineStr"/>
      <c r="I13" t="inlineStr">
        <is>
          <t>**Your Impact at Lila**
 This Machine Learning Engineer for the Physical Sciences team focuses on building and operating end\-to\-end, scalable machine learning workflows that solve a diversity scientific use cases in materials, chemistry and physical sciences. Your work will advance research efforts on state\-of\-the\-art algorithms to build towards scientific superintelligence across today’s greatest challenges in physical sciences.
**What You'll Be Building**
* Design, implement, and maintain end‑to‑end ML pipelines (data ingestion, feature engineering, training, evaluation, deployment, monitoring).
* Productionize models and services with robust testing, observability, and documentation in collaboration with cross\-functional software teams and build CI/CD workflows and automated evaluations to ensure safe, frequent releases.
* Collaborate with domain scientists and platform engineers to translate research insights into performant, scalable systems.
* Contribute to technical design reviews, coding standards, and mentoring of best practices.
**What You’ll Need To Succeed**
* BS/MS/PhD in Computer Science, Engineering, or a related quantitative field, or equivalent industry experience.
* Strong Python software engineering fundamentals (testing, packaging, typing); experience with machine learning frameworks (e.g., PyTorch, Huggingface, etc.).
* Experience deploying ML services to production in cloud\-based infrastructure (FastAPI/GRPC, containers, orchestration, cloud infra).
* Hands‑on experience with model deployment in production systems (LLMs, multimodal models, databases, RAG) with strong debugging and profiling skills.
* Clear communication and collaboration in cross‑functional settings.
**Bonus Points For**
* Exposure to scientific or engineering domains (materials, chemistry, physics) and related data formats/benchmarks.
* GPU optimization experience (CUDA, Triton, compilation, distributed training).
* Prior contributions to open‑source ML or scientific software.
* Experience with workflow orchestration, data provenance, or large‑scale compute environments.
**About Lila**
 Lila Sciences is the world’s first scientific superintelligence platform and autonomous lab for life, chemistry, and materials science.  We are pioneering a new age of boundless discovery by building the capabilities to apply AI to every aspect of the scientific method.  We are introducing scientific superintelligence to solve humankind's greatest challenges, enabling scientists to bring forth solutions in human health, climate, and sustainability at a pace and scale never experienced before. Learn more about this mission at  www.lila.ai
 If this sounds like an environment you’d love to work in, even if you only have some of the experience listed below, we encourage you to apply.
**Compensation**
 We expect the base salary for this role to fall between
 **$128,000 – $198,000 USD per year** 
 , along with bonus potential and generous early equity. The final offer will reflect your unique background, expertise, and impact.
**We’re All In**
 Lila Sciences is committed to equal employment opportunity regardless of race, color, ancestry, religion, sex, national origin, sexual orientation, age, citizenship, marital status, disability, gender identity or Veteran status.
 Information you provide during your application process will be handled in accordance with our Candidate Privacy Policy.
**A Note to Agencies**
*Lila Sciences does not accept unsolicited resumes from any source other than candidates. The submission of unsolicited resumes by recruitment or staffing agencies to Lila Sciences or its employees is strictly prohibited unless contacted directly by Lila Science’s internal Talent Acquisition team. Any resume submitted by an agency in the absence of a signed agreement will automatically become the property of Lila Sciences, and Lila Sciences will not owe any referral or other fees with respect thereto.*</t>
        </is>
      </c>
    </row>
    <row r="14">
      <c r="A14" t="inlineStr">
        <is>
          <t>li-4377842748</t>
        </is>
      </c>
      <c r="B14" t="inlineStr">
        <is>
          <t>Machine Learning Engineer</t>
        </is>
      </c>
      <c r="C14" t="inlineStr">
        <is>
          <t>Goliath Partners</t>
        </is>
      </c>
      <c r="D14" t="inlineStr">
        <is>
          <t>linkedin</t>
        </is>
      </c>
      <c r="E14" t="inlineStr"/>
      <c r="F14" t="inlineStr"/>
      <c r="G14" t="inlineStr"/>
      <c r="H14" t="inlineStr"/>
      <c r="I14" t="inlineStr">
        <is>
          <t>This is a rare opportunity to sit at the intersection of research, high\-performance computing, and large\-scale ML infrastructure, pushing the boundaries of ML applied to financial markets.
 You wouldn’t be building models for one team, you’d be building the core deep learning library and infrastructure that powers the entire research engine of the firm.
 What you’ll do
* Design, build, and evolve an internal deep learning library used firm\-wide
* Partner directly with quantitative researchers to translate research needs into reusable ML tooling
* Work alongside HPC and systems experts to optimize large training workflows for speed and cost efficiency
* Integrate the best of open\-source ML tooling with sophisticated in\-house infrastructure
* Stay on top of cutting\-edge advances in PyTorch, distributed training, CUDA optimization, and bring them into production internally
 What makes this different
* Your work directly accelerates dozens of research teams rather than a single product
* Real scale: large models, serious compute, and complex distributed workloads
* A highly technical environment where ML engineering is treated as a first\-class research enabler
* Direct exposure to some of the best quantitative researchers and systems engineers in the industry
 Background they’re looking for
* 2\+ years of ML engineering / research engineering experience
* Strong Python plus CUDA and/or C\+\+
* Experience scaling distributed deep learning workflows (PyTorch or similar)
* Experience building ML tooling, libraries, or infrastructure rather than just training models
* Interest in high\-performance systems and large\-scale compute environments
 Base: 250,000\-350,000, total comp into the 7 figures</t>
        </is>
      </c>
    </row>
    <row r="15">
      <c r="A15" t="inlineStr">
        <is>
          <t>li-4377820949</t>
        </is>
      </c>
      <c r="B15" t="inlineStr">
        <is>
          <t>Robotics AI Engineer</t>
        </is>
      </c>
      <c r="C15" t="inlineStr">
        <is>
          <t>Edison Smart®</t>
        </is>
      </c>
      <c r="D15" t="inlineStr">
        <is>
          <t>linkedin</t>
        </is>
      </c>
      <c r="E15" t="inlineStr"/>
      <c r="F15" t="inlineStr"/>
      <c r="G15" t="inlineStr">
        <is>
          <t>Chicago, IL</t>
        </is>
      </c>
      <c r="H15" t="inlineStr"/>
      <c r="I15" t="inlineStr">
        <is>
          <t>**Robotics AI Engineer \| Chicago, IL (On\-site) \| Up to $150,000** 
 Join a fast\-growing construction robotics startup based in Chicago, building autonomous systems that transform how physical work gets done.
 As a Software AI Engineer you’ll work at the intersection of AI, robotics, and real\-world deployment. You’ll help design and scale the intelligence that powers autonomous systems—from model training to on\-robot decision\-making.
**Required Skills** 
* Strong experience with Python
* Hands\-on with PyTorch and/or TensorFlow
* Experience building model training and deployment pipelines
* Knowledge of LLM integration and prompt engineering for autonomous systems
* Understanding of cloud and edge deployment constraints
* Familiarity with data pipelines and continuous learning systems</t>
        </is>
      </c>
    </row>
    <row r="16">
      <c r="A16" t="inlineStr">
        <is>
          <t>li-4246546678</t>
        </is>
      </c>
      <c r="B16" t="inlineStr">
        <is>
          <t>Applied AI Engineer</t>
        </is>
      </c>
      <c r="C16" t="inlineStr">
        <is>
          <t>xAI</t>
        </is>
      </c>
      <c r="D16" t="inlineStr">
        <is>
          <t>linkedin</t>
        </is>
      </c>
      <c r="E16" t="inlineStr"/>
      <c r="F16" t="inlineStr"/>
      <c r="G16" t="inlineStr">
        <is>
          <t>Palo Alto, CA</t>
        </is>
      </c>
      <c r="H16" t="inlineStr"/>
      <c r="I16" t="inlineStr">
        <is>
          <t>About xAI
 xAI’s mission is to create AI systems that can accurately understand the universe and aid humanity in its pursuit of knowledge.
 Our team is small, highly motivated, and focused on engineering excellence. This organization is for individuals who appreciate challenging themselves and thrive on curiosity.
 We operate with a flat organizational structure. All employees are expected to be hands\-on and to contribute directly to the company’s mission. Leadership is given to those who show initiative and consistently deliver excellence. Work ethic and strong prioritization skills are important.
 All engineers and researchers are expected to have strong communication skills. They should be able to concisely and accurately share knowledge with their teammates.
**About the role** 
 We’re seeking exceptional Applied AI Engineers to join a high\-priority project that approximately 600 million monthly users use. This is an exciting opportunity for individuals with a research engineer or research scientist background to apply their skills to recommendation systems, ranking algorithms, search technologies, and many other systems. You’ll work at the intersection of advanced AI research and real\-world impact, enhancing the ability to connect users with relevant content, accounts, and experiences.
**What You'll Do** 
* Designing and architecting recommendation algorithms across various product surfaces
* Leverage all of xAI’s infra and AI stacks to dramatically enhance the user experience
* Write data pipelines and training jobs that continuously learn from product data.
* Iterate and improve the algorithm by gathering user feedback in real time through experimentation
* Ensuring scalability and efficiency of machine learning systems
**Who You Are** 
* Knowledge of data infrastructure like Kafka, Clickhouse, and Spark
* Experienced in implementing recommender systems and/or deep learning applications at industrial scale
* Skilled in one or more DL software frameworks such as JAX or PyTorch
* Exceptional candidates may be experienced in writing CUDA kernels
**Interview Process** 
 After submitting your application, the team reviews your CV and statement of exceptional work. If your application passes this stage, you will be invited to a 15\-30 minutes phone interview, during which a member of our team will ask technical questions. If you clear the phone interview, you will proceed to next steps:
1. Deep dive coding challenge
2. Meet and greet with the wider team
 Our goal is to complete the process within one week. All interviews will be conducted in person when applicable.
**Location** 
 The role is based in  Palo Alto. Candidates are expected to be located near the Bay Area or open to relocation.
**Annual Salary Range** 
 $180,000 \- $440,000 USD
*xAI is an equal opportunity employer.* 
 California Consumer Privacy Act (CCPA) Notice</t>
        </is>
      </c>
    </row>
    <row r="17">
      <c r="A17" t="inlineStr">
        <is>
          <t>li-4235568776</t>
        </is>
      </c>
      <c r="B17" t="inlineStr">
        <is>
          <t>AI/ML Engineer</t>
        </is>
      </c>
      <c r="C17" t="inlineStr">
        <is>
          <t>Starr</t>
        </is>
      </c>
      <c r="D17" t="inlineStr">
        <is>
          <t>linkedin</t>
        </is>
      </c>
      <c r="E17" t="inlineStr"/>
      <c r="F17" t="inlineStr"/>
      <c r="G17" t="inlineStr">
        <is>
          <t>New York, NY</t>
        </is>
      </c>
      <c r="H17" t="inlineStr"/>
      <c r="I17" t="inlineStr">
        <is>
          <t>*Starr Insurance Companies is a leading insurance and investment organization, providing commercial property and casualty insurance, including travel and accident coverage, to almost every imaginable business and industry in virtually every part of the world.
 Cornelius Vander Starr established his first insurance company in Shanghai, China in 1919\. Today, we are one of the world’s fastest growing insurance organizations, capable of writing in 128 countries on 6 continents.*
 Join the Starr Enterprise Data and Artificial Intelligence Organization and start reimagining the future of insurance. The Data and AI team at Starr builds first\-of\-a\-kind capabilities that advance the insurance practice and scale across the entire enterprise. The team’s ultimate mission is to develop cutting\-edge data and AI capabilities that drive profit growth for Starr.
 The AI/ML engineer is responsible for uncovering meaningful data patterns and transforming them into actionable insights by leveraging predictive modeling, data mining, and machine learning algorithms. This includes propensity and uplift modeling, classification models, forecasting, foundation models, and other methodologies. This individual will work alongside Senior AI/ML Engineers to develop scalable AI/ML solutions and provide data\-driven and optimization insights across the enterprise. He/she will be passionate about learning and deploying leading technologies in the analytics space specific to the business needs to drive results and identify opportunities. As an AI/ML Engineer, this person will drive business impact by solving unique problems through advanced analytics, continuous improvement methodologies, and change management in a fast\-paced environment.
**Key Responsibilities:**
* Work alongside Senior AI/ML Engineers to design, develop, and deploy AI/ML solutions with best practices in statistics, machine learning, deep learning, and foundational models to improve the profitability for Starr. Example includes classification models, forecasting, propensity and uplift modeling, foundational model fine\-tuning, evaluation, and implementation, etc.
* Identify growth opportunities in underwriting, claims processing, risk assessment, and/or customer service through AI/ML augmentation.
* Collaborate cross\-functionally with business, IT, and Transformation to drive scalability and impact of the AI/ML solutions.
* Communicate complex AI/ML concepts and findings to business leaders in a clear and concise manner.
**Required Professional and Technical Expertise:**
* Master’s degree in Statistics, Data Science, Mathematics, Computer Science, Operational Research, or related disciplines. Ph.D. preferred.
* 2\+ years of experience with advanced analytics techniques (e.g., decision tree, logistic regression, hierarchical regression, neural network, random forest, etc.)
* 2\+ years expert level R or Python analytics experience with a proven track record in advanced analytics as well as hands\-on experience with digital and CRM data (structured and unstructured).
* Proven ability to understand, cleanse, and integrate massive disparate data sets and demonstrated familiarity with data modeling workflow.
* Strong communication; ability to effectively translate complex analytics findings to business insights and recommendations.
**Preferred Professional Technical Expertise:**
* Internship or project experience in AI engineering, machine learning, or a related field, preferably within the insurance or financial services industry.
* Knowledge of actuarial science and insurance\-specific data sets.
* Passionate about data science and self\-motivated to stay abreast of advances in data science techniques.
* Desire to work in a team based dynamic and fast\-paced business culture.
 For individuals assigned and/or hired to work in New York, Starr Insurance Companies is required by law to include a reasonable estimate of the compensation range for this role. The wage range for this role takes into account the wide range of factors that are considered in making compensation decisions including but not limited to skill sets: experience and training: licensure and certifications: and other business and organizational needs. A reasonable estimate of the current range is $135,000\-$175,000\.
 Starr is an equal opportunity employer, which means we'll consider all suitably qualified applicants regardless of gender identity or expression, ethnic origin, nationality, religion or beliefs, age, sexual orientation, disability status or any other protected characteristic. We recruit and develop our people based on merit and we're committed to creating an inclusive environment for all employees. We offer first class training and development opportunities to all employees. Our aim is to grow our own talent and bring out the best in people.</t>
        </is>
      </c>
    </row>
    <row r="18">
      <c r="A18" t="inlineStr">
        <is>
          <t>li-4367222147</t>
        </is>
      </c>
      <c r="B18" t="inlineStr">
        <is>
          <t>Machine Learning Engineer</t>
        </is>
      </c>
      <c r="C18" t="inlineStr">
        <is>
          <t>Energize Group</t>
        </is>
      </c>
      <c r="D18" t="inlineStr">
        <is>
          <t>linkedin</t>
        </is>
      </c>
      <c r="E18" t="inlineStr"/>
      <c r="F18" t="inlineStr"/>
      <c r="G18" t="inlineStr">
        <is>
          <t>Texas, United States</t>
        </is>
      </c>
      <c r="H18" t="inlineStr"/>
      <c r="I18" t="inlineStr">
        <is>
          <t>Our client is building rugged,
 **multi\-purpose humanoid robots** 
 designed to perform real work in real\-world environments.
 The founding team brings decades of experience across humanoid robotics, bionics, and large\-scale hardware product development, with systems that have operated in extreme environments across land, sea, space, and complex public settings. Their mission is to ship beautiful, reliable robotic products at scale while building a highly customer\-focused engineering team.
 We are looking for a
 **Deep Learning Manipulation Engineer** 
 to help train humanoid robots to perform dexterous manipulation tasks in the real world. This is an opportunity for someone who thrives on hard problems, enjoys ambiguity, and wants to see their work directly translated into deployed robotic systems. Candidates with experience shipping real products are especially compelling, though strong aptitude and drive are equally valued.
 As one of the early hires in this team, you will help shape the overall deep learning and manipulation strategy, infrastructure, and technical direction. You’ll work on cutting\-edge problems at the intersection of learning, control, sensing, and hardware.
**What You’ll Do** 
* Design and implement advanced deep learning models and training pipelines for dexterous manipulation on humanoid robots with high degrees of freedom and multi\-fingered hands
* Train models using curriculum learning approaches, progressing from simple interactions to precise grasping, long\-horizon tasks, tool use, and in\-hand manipulation
* Integrate tactile sensing and proprioception into end\-to\-end, closed\-loop learning systems
* Partner closely with teleoperation and data teams to design scalable data collection, labeling, and versioning strategies
* Leverage state\-of\-the\-art manipulation models while contributing new architectures for increasingly complex tasks
* Deploy learned policies onto robotic hardware with a focus on real\-time performance, safety, and robust integration with control systems and sensors
* Collaborate on the design and optimization of the end\-to\-end manipulation ML pipeline
* Stay current with the latest research and industry developments in robotic manipulation and learning
* Build evaluation frameworks to rigorously test learned policies in simulation and real\-world trials, measuring robustness and generalization
* Support the growth and development of the machine learning and autonomy teams
**Requirements** 
* Grit and curiosity to tackle some of the hardest problems in robot manipulation
* Comfort working in fast\-paced, ambiguous startup environments
* Master’s or PhD in Robotics, Computer Science, or a related field
* 3\+ years of experience applying deep learning to robotic manipulation
* Strong grounding in modern approaches such as behavior cloning, vision\-language\-action models, diffusion policies, and foundation models
* Experience working with large\-scale datasets and cloud\-based training infrastructure
* Clear understanding of the challenges involved in deploying neural networks on real robotic systems
* Strong software engineering skills and a first\-principles mindset
**Nice to Have** 
* Experience with adjacent ML areas in robotics such as perception, point clouds, segmentation, and object detection
* Publications at top machine learning or robotics conferences
* Hands\-on experience deploying robots, collecting large datasets, and training models that run reliably in production environments
**Why Join** 
* Opportunity to shape the future of humanoid robotics and real\-world autonomy
* Work alongside deeply experienced, mission\-driven engineers and researchers
* Access to advanced labs, prototyping tools, and the freedom to experiment
* Competitive compensation, strong benefits, flexible working arrangements, and meaningful equity</t>
        </is>
      </c>
    </row>
    <row r="19">
      <c r="A19" t="inlineStr">
        <is>
          <t>li-4376766311</t>
        </is>
      </c>
      <c r="B19" t="inlineStr">
        <is>
          <t>Machine Learning Engineer</t>
        </is>
      </c>
      <c r="C19" t="inlineStr">
        <is>
          <t>Data Capital Incorporation</t>
        </is>
      </c>
      <c r="D19" t="inlineStr">
        <is>
          <t>linkedin</t>
        </is>
      </c>
      <c r="E19" t="inlineStr"/>
      <c r="F19" t="inlineStr"/>
      <c r="G19" t="inlineStr"/>
      <c r="H19" t="inlineStr"/>
      <c r="I19" t="inlineStr">
        <is>
          <t>Required Skills:
 5\+ years of experience in ML Engineering or Applied Machine Learning.
 Strong Python skills and hands\-on experience with ML libraries (e.g., scikit\-learn, XGBoost, PyTorch, TensorFlow).
 Proficient with Databricks, MLflow, and PySpark.
 Solid understanding of model lifecycle and MLOps practices.
 Experience with AWS\-based data infrastructure and related DevOps practices.
 Demonstrated ability to productionize models and integrate with business system
 Strong understanding of mathematics and statistics relevant to machine learning and AI.
 Proven experience with machine learning models and algorithms (supervised, unsupervised, deep learning, etc.).
 Solid background in software engineering principles and best practices.
 Hands\-on experience with model training frameworks (e.g., TensorFlow, PyTorch, Hugging Face).
 Experience with MLOps tools and workflows, particularly on AWS (SageMaker, Lambda, S3, etc.).
 Practical experience with LLMs, RAGs, and AI agent architectures.
 Proficiency with the Databricks platform for data engineering and ML pipelines.
 Advanced programming skills in Python.
 Excellent communication and teamwork abilities.</t>
        </is>
      </c>
    </row>
    <row r="20">
      <c r="A20" t="inlineStr">
        <is>
          <t>li-4258154667</t>
        </is>
      </c>
      <c r="B20" t="inlineStr">
        <is>
          <t>Machine Learning Engineer II/III</t>
        </is>
      </c>
      <c r="C20" t="inlineStr">
        <is>
          <t>PathAI</t>
        </is>
      </c>
      <c r="D20" t="inlineStr">
        <is>
          <t>linkedin</t>
        </is>
      </c>
      <c r="E20" t="inlineStr"/>
      <c r="F20" t="inlineStr"/>
      <c r="G20" t="inlineStr"/>
      <c r="H20" t="inlineStr"/>
      <c r="I20" t="inlineStr">
        <is>
          <t>Who We Are
 PathAI's mission is to improve patient outcomes with AI\-powered pathology. Our platform promises substantial improvements to the accuracy of diagnosis and the efficacy of treatment of diseases like cancer, leveraging modern approaches in machine learning and artificial intelligence. We have a track record of success in deploying AI algorithms for histopathology in translational research, pathology labs and clinical trials. Rigorous science and careful analysis is critical to the success of everything we do. Our team, composed of diverse employees with a wide range of backgrounds and experiences, is passionate about solving challenging problems and making a huge impact on patient outcomes.
 Where You Fit
 We are seeking Machine Learning Engineers (MLE II, and III) to join our team and tackle unique machine learning challenges to advance medicine and improve patient care. You will work closely with teams across biomedical data science, product development, translational research, MLOps, and platform engineering to develop and deploy machine learning models for our AI products and services.
 What You’ll Do
 As an MLE at PathAI, your responsibilities will grow in scope as you progress through levels:
* Design, develop, and deploy machine learning models for research and product development projects.
* Collaborate cross\-functionally with scientists, engineers, and product teams to translate biological and clinical requirements into scalable ML solutions.
* Contribute to experimental design and analysis, including ideation, documentation, and reporting.
* Participate in knowledge sharing and team initiatives (e.g., design reviews, journal clubs, ML best practices, governance activities).
* Improve ML pipelines and infrastructure in partnership with MLOps and platform teams.
* Publish and present scientific work, supporting abstracts, manuscripts, and conference contributions.
**Level\-specific Expectations**
* MLE I: Contribute to projects with guidance, implement models, and learn best practices.
* MLE II: Independently deliver on projects, improve processes, and mentor junior engineers.
* MLE III: Lead initiatives end\-to\-end, set technical direction, and identify new opportunities with clear business and scientific impact.
 You will have the opportunity to work in a company where all employees put patients first. We believe that every team member provides valuable contributions to our success, and no task is too small for anyone if it's important to our company goals. Every PathAI employee is a contributor to our mission to pioneer better patient care by providing the best, most innovative AI tools to biotech, pathologists, clinicians and healthcare organizations. You will work alongside and with leading innovators in the field of AI and medicine and you will play a critical role in product development to impact patient outcomes.
 What You Bring
 We welcome applicants across all MLE levels. Minimum qualifications differ by level:
**Mle Ii**
* Master’s degree plus 2–4 years of experience, or Ph.D. with 0–2 years of experience.
* Proven track record of developing and deploying machine learning models into production or research applications.
* Strong proficiency in Python, ML frameworks, and data pipeline development.
* Demonstrated ability to work independently on projects, contribute to experimental design, and improve ML workflows.
* Strong communication skills and ability to collaborate across scientific and engineering teams.
**MLE III**
* Master’s degree plus 5\+ years of experience, or Ph.D. with 3\+ years of experience.
* Deep expertise in ML, computer vision, or biomedical AI, with a history of high\-impact contributions (publications, open\-source, or products).
* Mastery of ML frameworks, software engineering best practices, and deployment pipelines.
* Ability to lead end\-to\-end projects, mentor others, and set technical direction.
* Experience articulating technical improvements into business or clinical impact.
* Strong record of contributions to scientific strategy (abstracts, manuscripts, conference presentations).
 We Want To Hear From You
 At PathAI, we are looking for individuals who are team players, are willing to do the work no matter how big or small it may be, and who are passionate about everything they do. If this sounds like you, even if you may not match the job description to a tee, we encourage you to apply. You could be exactly what we're looking for.
*PathAI is an equal opportunity employer, dedicated to creating a workplace that is free of harassment and discrimination. We base our employment decisions on business needs, job requirements, and qualifications — that's all. We do not discriminate based on race, gender, religion, health, personal beliefs, age, family or parental status, or any other status. We don't tolerate any kind of discrimination or bias, and we are looking for teammates who feel the same way.*
 The cash compensation outlined below includes base salary or hourly wage and on\-target commission for employees in eligible roles. The summary below indicates if an employee in this position is eligible for annual bonus, overtime pay and equity awards. Individual compensation packages are tailored based on skills, experience, qualifications, and other job\-related factors.
**Annual Pay Range**
 Machine Learning Engineer II: $107,250 \- $164,450
 Machine Learning Engineer III: $130,500 \- $200,100
 Not Overtime Eligible
 Eligible for Equity</t>
        </is>
      </c>
    </row>
    <row r="21">
      <c r="A21" t="inlineStr">
        <is>
          <t>li-4363067630</t>
        </is>
      </c>
      <c r="B21" t="inlineStr">
        <is>
          <t>Senior AI / ML Engineer</t>
        </is>
      </c>
      <c r="C21" t="inlineStr">
        <is>
          <t>Third Republic</t>
        </is>
      </c>
      <c r="D21" t="inlineStr">
        <is>
          <t>linkedin</t>
        </is>
      </c>
      <c r="E21" t="inlineStr"/>
      <c r="F21" t="inlineStr"/>
      <c r="G21" t="inlineStr"/>
      <c r="H21" t="inlineStr"/>
      <c r="I21" t="inlineStr">
        <is>
          <t>***Role: Senior AI/ML Engineer***
***Location: New York City, 4 days a week onsite***
***Budget: $200\-300k \+ equity***
**About the Company** 
 An AI startup based in New York City is building a next\-generation platform for the financial sector. Their product automates complex, high\-value workflows for institutions like investment firms and advisory teams, delivering insights and outputs at a level that often exceeds human performance. They have received funding in the double digits of millions in their latest funding round.
**The Team** 
 The company is led by a high\-caliber team with backgrounds in top\-tier finance, venture capital, and leading AI research labs\- with backgrounds in Computer Science from the best institutions in the country. They operate primarily in person from their Manhattan office, with Fridays remote.
**The Role: Machine Learning / AI Engineer** 
 This role involves shaping and scaling the core AI engine that powers the product. Responsibilities include:
* Leading integration and fine\-tuning of large language models and retrieval systems.
* Building AI pipelines that work across structured and unstructured financial data.
* Developing modular, agent\-based components using modern orchestration techniques.
* Iterating on model performance based on real\-world user feedback.
* Prototyping and launching features that directly impact financial institutions.
* Collaborating across engineering, product, and customer teams to align outcomes.
**Requirements:** 
**Essential:** 
* 2\+ years of experience deploying machine learning models in production.
* Proficiency with Python and ML frameworks (e.g., PyTorch, Hugging Face, TensorFlow, LangChain).
* Experience with LLM integration and fine\-tuning.
* Familiarity with vector search tools (e.g., FAISS, Weaviate, Chroma, PGVector).
* Strong communication and the ability to execute independently in fast\-moving environments.
**Bonus:** 
* Experience building agentic AI systems using orchestration and function\-calling frameworks.
* Familiarity with financial datasets and domain\-specific challenges.
* Background in performance tuning and scaling AI pipelines.
* Prior startup or entrepreneurial experience.
* Interest in generative AI applications in complex business workflows.
 I have placed 2 happy engineers at this company in the last couple months, and have great rapport with the CTO and ownership team!</t>
        </is>
      </c>
    </row>
    <row r="22">
      <c r="A22" t="inlineStr">
        <is>
          <t>li-4354855122</t>
        </is>
      </c>
      <c r="B22" t="inlineStr">
        <is>
          <t>Machine Learning Engineer</t>
        </is>
      </c>
      <c r="C22" t="inlineStr">
        <is>
          <t>Inceed</t>
        </is>
      </c>
      <c r="D22" t="inlineStr">
        <is>
          <t>linkedin</t>
        </is>
      </c>
      <c r="E22" t="inlineStr"/>
      <c r="F22" t="inlineStr"/>
      <c r="G22" t="inlineStr">
        <is>
          <t>Oklahoma City, OK</t>
        </is>
      </c>
      <c r="H22" t="inlineStr"/>
      <c r="I22" t="inlineStr">
        <is>
          <t>**Position:**
 Machine Learning Engineer
**Compensation:**
 $120,000 \- $160,000 annually, depending on experience
**Location:**
 Oklahoma City, Oklahoma
 Inceed has partnered with a great company to help find a skilled
 **Machine Learning Engineer** 
 to join their team!
 This is an exciting opportunity to join a stable, technology\-driven organization that is rapidly growing and investing in the latest advancements. As a Machine Learning Engineer, you will play a key role in designing, building, and deploying real\-world machine learning solutions in a collaborative environment. This company values innovation, offers opportunities for career growth, and rewards long\-term commitment with unique perks. If you are passionate about machine learning and eager to make a tangible impact, this could be the next step in your career.
**Key Responsibilities \&amp; Duties:**
* Design, build, and deploy machine learning solutions in production environments
* Collaborate with software engineering teams on project delivery
* Own projects from development through deployment
* Utilize version control tools for code management
* Work in Linux\-based environments
* Optimize and maintain machine learning models for performance
**Required Qualifications \&amp; Experience:**
* Professional experience as a Machine Learning Engineer in production
* Strong software engineering foundation in any primary language
* Experience working in Linux environments
* Solid understanding of SQL
* Experience with version control using Git
* Ability to independently manage projects end\-to\-end
**Nice to Have Skills \&amp; Experience:**
* Experience in the healthcare or financial technology industries
* Exposure to workflow automation tools
* Familiarity with machine learning in cloud environments
* Background with data pipeline development
* Interest in process improvement and automation
**Perks \&amp; Benefits:**
* Health, dental, and vision insurance
* 401K with company match
* Paid time off and company holidays
* Profit sharing
* Unique long\-term service rewards
* Comprehensive and competitive benefits package
**Other Information:**
* Opportunities for career advancement and internal promotion
* Technology\-driven, innovative work environment
* Stable, growing organization with recent major wins
* Onsite position with a collaborative team culture
 If you are interested in learning more about the
 **Machine Learning Engineer** 
 opportunity, please submit your resume for consideration. Our client unable to provide sponsorship at this time.
*We are Inceed, a staffing direct placement firm who believes in the possibility of something better. Our mission is simple: We’re here to help every person, whether client, candidate, or employee, find and secure what’s better for them.* 
*Inceed is an equal opportunity employer. Inceed prohibits discrimination and harassment of any type and affords equal employment opportunities to employees and applicants without regard to race, color, religion, sex, sexual orientation, gender identity, or expression, pregnancy, age, national origin, disability status, genetic information, protected veteran status, or any other characteristic protected by law.* 
 \#MachineLearningEngineer \#SoftwareEngineering \#SQL \#Onsite</t>
        </is>
      </c>
    </row>
    <row r="23">
      <c r="A23" t="inlineStr">
        <is>
          <t>li-4348272559</t>
        </is>
      </c>
      <c r="B23" t="inlineStr">
        <is>
          <t>Machine Learning Engineer</t>
        </is>
      </c>
      <c r="C23" t="inlineStr">
        <is>
          <t>GPTZero</t>
        </is>
      </c>
      <c r="D23" t="inlineStr">
        <is>
          <t>linkedin</t>
        </is>
      </c>
      <c r="E23" t="inlineStr"/>
      <c r="F23" t="inlineStr"/>
      <c r="G23" t="inlineStr"/>
      <c r="H23" t="inlineStr"/>
      <c r="I23" t="inlineStr">
        <is>
          <t>GPTZero is on a mission to restore trust and transparency on the internet. As the leading AI detection platform, we empower educators, students, journalists, marketers, and writers to navigate the evolving landscape of AI\-generated content. With millions of users and institutions relying on us, we’re building a category\-defining company at the intersection of AI and information integrity.
 Our team comes from high\-performing engineering cultures, including Meta, Perplexity, AWS, Affirm, and leading AI research labs, including Princeton, Caltech, and Vector Institute.
**About this role:**
 In this role, you'll build the next generation of AI tools that preserve and enhance critical thinking for humanity. The ideal candidate is someone who is adept at creating reliable AI agents, prompt engineering, possesses a great product sense, and is also an excellent software engineer. You'll be working on a fast\-paced team of passionate builders to create industry\-defining software that has attracted millions of users globally.
**What you'll contribute:**
* Fine\-tune and evaluate state\-of\-the\-art language models
* Optimize prompts to maximize classification accuracy, personalize outputs, and enforce style guidelines
* Develop multi\-agent workflows incorporating data from diverse sources using RAG
* Improve and iterate on AI agents using observability and experimentation tools
* Stay up\-to\-date with the latest literature and emerging technologies to solve novel problems
* Work closely with product and design teams to develop intuitive applications that create societal impact
**Qualifications**
* 3\+ YOE in Python
* 1\+ YOE in LLM framework like Langchain or LlamaIndex
* 1\+ YOE with agentic or RAG applications
* Strong exploratory data analysis (EDA) skills to effectively leverage data in a way that informs pragmatic solutions
* Experience pushing the cutting\-edge in LLM abilities on novel tasks with subjective outputs
* Excellent software engineer with experience building highly extensible and modular codebases, as well as complex pipelines
* Self\-starter (pitch, plan, and implement as a project owner in a fast\-paced team)
* Highly motivated to make positive societal impact
* Ability to wear multiple hats and be a leader as our team grows
* Visa for work in Canada or US
*Bonus* 
 :
* Strong open\-source portfolio
* Publications at top\-tier ML venues
* Experience working in an early\-stage startup environment
* Experience with a prompt optimization framework like DsPY or TextGrad
 At GPTZero, our recruiting team is involved in every step of the hiring process. We use AI\-based tools (such as Endorsed.ai and Juicebox.ai) to help us to accelerate candidates at the resume review stage by marking when candidates met certain key criteria.
 **These tools are never the final say in a hiring decision \- humans are.**
 Compensation Range: $150K \- $230K</t>
        </is>
      </c>
    </row>
    <row r="24">
      <c r="A24" t="inlineStr">
        <is>
          <t>li-4368287188</t>
        </is>
      </c>
      <c r="B24" t="inlineStr">
        <is>
          <t>Machine Learning Engineer, Fraud</t>
        </is>
      </c>
      <c r="C24" t="inlineStr">
        <is>
          <t>Whatnot</t>
        </is>
      </c>
      <c r="D24" t="inlineStr">
        <is>
          <t>linkedin</t>
        </is>
      </c>
      <c r="E24" t="inlineStr"/>
      <c r="F24" t="inlineStr"/>
      <c r="G24" t="inlineStr">
        <is>
          <t>New York, NY</t>
        </is>
      </c>
      <c r="H24" t="inlineStr"/>
      <c r="I24" t="inlineStr">
        <is>
          <t>****🚀 Join the Future of Commerce with Whatnot!****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Poland, and Australia,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 Role****
* Design, train, and deploy both traditional ML and LLM\-powered models to detect fraudulent behaviors across users, payments, and marketplace interactions.
* Lead the end\-to\-end architecture of fraud detection, prevention, and intervention systems — balancing platform security with a seamless user experience.
* Build intelligent user graphs to model behavioral patterns, collusion networks, and account connectivity.
* Develop scalable data pipelines and real\-time inference systems supporting high\-volume, low\-latency ML workloads.
* Conduct deep behavioral and adversarial data analysis to uncover fraud trends and continuously improve detection accuracy.
* Partner cross\-functionally with Trust \&amp; Safety, Payments, and Infrastructure teams to develop features, labels, and model evaluation pipelines.
* Implement model monitoring and drift detection systems to ensure reliability and responsiveness.
* Contribute to fraud risk orchestration, combining rules, models, and heuristics for decision automation.
* Define and track key metrics and dashboards for fraud detection effectiveness (e.g., precision, recall, false\-positive rate, latency).
* Stay ahead of emerging fraud tactics and continuously translate insights into adaptive, production\-ready systems.
**We offer flexibility to work from home or from one of our global office hubs, and we value in\-person time for planning, problem\-solving, and connection. Team members in this role must live within commuting distance of our SF, NYC, LA OR SEA hubs.**
****👋 You****
 Curious about who thrives at Whatnot? We’ve found that embodying a low ego, growth mindset, and high\-impact drive goes a long way here.
* Bachelor’s degree in Computer Science, a related field, or equivalent work experience.
* 2–6 years of experience in machine learning or software engineering, ideally in risk, fraud, or trust \&amp; safety domains.
* Strong proficiency in Python and ML libraries (e.g., scikit\-learn, PyTorch, LightGBM).
* Solid backend development skills and experience deploying ML models to production (batch or real\-time).
* Experience in data analysis and ETL (SQL, Spark, DBT) for data pipeline building.
* Familiarity with fraud detection techniques such as chargeback prediction, anomaly detection, or graph\-based modeling.
* Experience with data orchestration frameworks (Dagster, Kubeflow) and feature store design.
* Ability to translate business risk into measurable ML solutions and collaborate across diverse
****💰Compensation****
 For US\-based applicants: $245,000 \- $345,000/year \+ benefits \+ stock options
 The salary range may be inclusive of several levels that would be applicable to the position. Final salary will be based on a number of factors including, level, relevant prior experience, skills and expertise. This range is only inclusive of base salary, not benefits (more details below) or equity in the form of stock options.
**🎁 Benefits**
* Generous Holiday and Time off Policy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$245K \- $345K</t>
        </is>
      </c>
    </row>
    <row r="25">
      <c r="A25" t="inlineStr">
        <is>
          <t>li-4368271736</t>
        </is>
      </c>
      <c r="B25" t="inlineStr">
        <is>
          <t>Machine Learning Engineer, Fraud</t>
        </is>
      </c>
      <c r="C25" t="inlineStr">
        <is>
          <t>Whatnot</t>
        </is>
      </c>
      <c r="D25" t="inlineStr">
        <is>
          <t>linkedin</t>
        </is>
      </c>
      <c r="E25" t="inlineStr"/>
      <c r="F25" t="inlineStr"/>
      <c r="G25" t="inlineStr">
        <is>
          <t>Los Angeles, CA</t>
        </is>
      </c>
      <c r="H25" t="inlineStr"/>
      <c r="I25" t="inlineStr">
        <is>
          <t>****🚀 Join the Future of Commerce with Whatnot!****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Poland, and Australia,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 Role****
* Design, train, and deploy both traditional ML and LLM\-powered models to detect fraudulent behaviors across users, payments, and marketplace interactions.
* Lead the end\-to\-end architecture of fraud detection, prevention, and intervention systems — balancing platform security with a seamless user experience.
* Build intelligent user graphs to model behavioral patterns, collusion networks, and account connectivity.
* Develop scalable data pipelines and real\-time inference systems supporting high\-volume, low\-latency ML workloads.
* Conduct deep behavioral and adversarial data analysis to uncover fraud trends and continuously improve detection accuracy.
* Partner cross\-functionally with Trust \&amp; Safety, Payments, and Infrastructure teams to develop features, labels, and model evaluation pipelines.
* Implement model monitoring and drift detection systems to ensure reliability and responsiveness.
* Contribute to fraud risk orchestration, combining rules, models, and heuristics for decision automation.
* Define and track key metrics and dashboards for fraud detection effectiveness (e.g., precision, recall, false\-positive rate, latency).
* Stay ahead of emerging fraud tactics and continuously translate insights into adaptive, production\-ready systems.
**We offer flexibility to work from home or from one of our global office hubs, and we value in\-person time for planning, problem\-solving, and connection. Team members in this role must live within commuting distance of our SF, NYC, LA OR SEA hubs.**
****👋 You****
 Curious about who thrives at Whatnot? We’ve found that embodying a low ego, growth mindset, and high\-impact drive goes a long way here.
* Bachelor’s degree in Computer Science, a related field, or equivalent work experience.
* 2–6 years of experience in machine learning or software engineering, ideally in risk, fraud, or trust \&amp; safety domains.
* Strong proficiency in Python and ML libraries (e.g., scikit\-learn, PyTorch, LightGBM).
* Solid backend development skills and experience deploying ML models to production (batch or real\-time).
* Experience in data analysis and ETL (SQL, Spark, DBT) for data pipeline building.
* Familiarity with fraud detection techniques such as chargeback prediction, anomaly detection, or graph\-based modeling.
* Experience with data orchestration frameworks (Dagster, Kubeflow) and feature store design.
* Ability to translate business risk into measurable ML solutions and collaborate across diverse
****💰Compensation****
 For US\-based applicants: $245,000 \- $345,000/year \+ benefits \+ stock options
 The salary range may be inclusive of several levels that would be applicable to the position. Final salary will be based on a number of factors including, level, relevant prior experience, skills and expertise. This range is only inclusive of base salary, not benefits (more details below) or equity in the form of stock options.
**🎁 Benefits**
* Generous Holiday and Time off Policy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$245K \- $345K</t>
        </is>
      </c>
    </row>
    <row r="26">
      <c r="A26" t="inlineStr">
        <is>
          <t>li-4368287187</t>
        </is>
      </c>
      <c r="B26" t="inlineStr">
        <is>
          <t>Machine Learning Engineer, Fraud</t>
        </is>
      </c>
      <c r="C26" t="inlineStr">
        <is>
          <t>Whatnot</t>
        </is>
      </c>
      <c r="D26" t="inlineStr">
        <is>
          <t>linkedin</t>
        </is>
      </c>
      <c r="E26" t="inlineStr"/>
      <c r="F26" t="inlineStr"/>
      <c r="G26" t="inlineStr">
        <is>
          <t>San Francisco, CA</t>
        </is>
      </c>
      <c r="H26" t="inlineStr"/>
      <c r="I26" t="inlineStr">
        <is>
          <t>****🚀 Join the Future of Commerce with Whatnot!****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Poland, and Australia,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 Role****
* Design, train, and deploy both traditional ML and LLM\-powered models to detect fraudulent behaviors across users, payments, and marketplace interactions.
* Lead the end\-to\-end architecture of fraud detection, prevention, and intervention systems — balancing platform security with a seamless user experience.
* Build intelligent user graphs to model behavioral patterns, collusion networks, and account connectivity.
* Develop scalable data pipelines and real\-time inference systems supporting high\-volume, low\-latency ML workloads.
* Conduct deep behavioral and adversarial data analysis to uncover fraud trends and continuously improve detection accuracy.
* Partner cross\-functionally with Trust \&amp; Safety, Payments, and Infrastructure teams to develop features, labels, and model evaluation pipelines.
* Implement model monitoring and drift detection systems to ensure reliability and responsiveness.
* Contribute to fraud risk orchestration, combining rules, models, and heuristics for decision automation.
* Define and track key metrics and dashboards for fraud detection effectiveness (e.g., precision, recall, false\-positive rate, latency).
* Stay ahead of emerging fraud tactics and continuously translate insights into adaptive, production\-ready systems.
**We offer flexibility to work from home or from one of our global office hubs, and we value in\-person time for planning, problem\-solving, and connection. Team members in this role must live within commuting distance of our SF, NYC, LA OR SEA hubs.**
****👋 You****
 Curious about who thrives at Whatnot? We’ve found that embodying a low ego, growth mindset, and high\-impact drive goes a long way here.
* Bachelor’s degree in Computer Science, a related field, or equivalent work experience.
* 2–6 years of experience in machine learning or software engineering, ideally in risk, fraud, or trust \&amp; safety domains.
* Strong proficiency in Python and ML libraries (e.g., scikit\-learn, PyTorch, LightGBM).
* Solid backend development skills and experience deploying ML models to production (batch or real\-time).
* Experience in data analysis and ETL (SQL, Spark, DBT) for data pipeline building.
* Familiarity with fraud detection techniques such as chargeback prediction, anomaly detection, or graph\-based modeling.
* Experience with data orchestration frameworks (Dagster, Kubeflow) and feature store design.
* Ability to translate business risk into measurable ML solutions and collaborate across diverse
****💰Compensation****
 For US\-based applicants: $245,000 \- $345,000/year \+ benefits \+ stock options
 The salary range may be inclusive of several levels that would be applicable to the position. Final salary will be based on a number of factors including, level, relevant prior experience, skills and expertise. This range is only inclusive of base salary, not benefits (more details below) or equity in the form of stock options.
**🎁 Benefits**
* Generous Holiday and Time off Policy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$245K \- $345K</t>
        </is>
      </c>
    </row>
    <row r="27">
      <c r="A27" t="inlineStr">
        <is>
          <t>li-4377802655</t>
        </is>
      </c>
      <c r="B27" t="inlineStr">
        <is>
          <t>Machine Learning Engineer</t>
        </is>
      </c>
      <c r="C27" t="inlineStr">
        <is>
          <t>Wiraa</t>
        </is>
      </c>
      <c r="D27" t="inlineStr">
        <is>
          <t>linkedin</t>
        </is>
      </c>
      <c r="E27" t="inlineStr"/>
      <c r="F27" t="inlineStr"/>
      <c r="G27" t="inlineStr"/>
      <c r="H27" t="inlineStr"/>
      <c r="I27" t="inlineStr">
        <is>
          <t>**About The Company**
 Yobi is a rapidly growing Behavioral AI company dedicated to ethically democratizing the benefits of data and artificial intelligence. Established in 2019, Yobi has developed one of the largest consented behavioral datasets in the United States, extending beyond the confines of traditional Big Tech walled gardens. Unlike conventional language model companies, Yobi focuses on building foundation models of human behavior grounded in real\-world actions such as purchases and store visits. Our private\-by\-design modeling approach ensures state\-of\-the\-art personalization and decision\-making capabilities for leading brands and agencies while safeguarding privacy, safety, and ethics. Our mission is to create a behavioral intelligence layer that enhances any system making personalization decisions, particularly in the open web and connected TV spaces, delivering walled\-garden results without the walls. With strategic partnerships with Microsoft and Databricks, a world\-class team of machine learning experts, and a focus on scalable, ethical AI, Yobi is at the forefront of transforming behavioral data into actionable insights.
**About The Role**
 As a Machine Learning Engineer (MLE) on the Core Signals team at Yobi, you will play a pivotal role in advancing our fundamental user\-behavioral modeling initiatives. Your primary focus will be on representation learning—developing models that capture and encode user behavior effectively—and leveraging these models to enhance existing products and develop new solutions. This role involves close collaboration with the Product and Applications teams to translate research and development gains into practical, scalable features. The position is a "full stack" ML role, encompassing data processing, model training, deployment, and evaluation. You will be expected to wear your product hat, contributing to product strategy and implementation, while also being flexible to support other functions within the company. The role offers a unique opportunity to work on large\-scale data systems, experiment with innovative modeling techniques, and directly impact the company's growth trajectory by building models that improve personalization and decision\-making across various platforms.
**Qualifications**
* Proven experience in machine learning, with the ability to apply ML techniques to novel problems
* Knowledge of representation learning, embeddings drift, CTR modeling, sequence modeling, or related areas
* Experience working with large\-scale data in an industrial setting
* Familiarity with data orchestration, build systems, and experiment tracking
* Comfort working with open\-source tools such as Airflow, Bazel, Github CI/CD, Spark (prior experience not mandatory but beneficial)
* Strong product sense and ability to contribute to product development and implementation
* Excellent problem\-solving skills and a proactive attitude
* Effective communication skills and ability to collaborate cross\-functionally
* Degree in Computer Science, Data Science, Machine Learning, or related field preferred
**Responsibilities**
* Develop and refine representation learning models to capture user behavior
* Utilize core models to enhance existing products and develop new features
* Collaborate with product teams to translate research into scalable solutions
* Engage in data processing, model training, deployment, and performance evaluation
* Participate in cross\-functional discussions to shape product and technical strategies
* Contribute to building and maintaining large\-scale data and model infrastructure
* Experiment with and implement innovative modeling techniques to improve personalization
* Support data orchestration and build system tasks to ensure smooth pipeline operations
* Stay updated with the latest advancements in machine learning and behavioral modeling
**Benefits**
* Competitive base salary
* Meaningful equity and financial upside with a significant percentage of company ownership
* Annual bonus targeted based on personal and company performance
* Comprehensive health, dental, and vision insurance plans with minimal out\-of\-pocket costs
* Unlimited paid time off to promote work\-life balance and impact\-driven work
* 401(k) plan with company matching contributions
* Fully remote or hybrid work options from multiple hubs including San Francisco Bay Area, Seattle, and New York City
* Opportunity to work with a world\-class team of experts from leading tech companies
* Participation in a fast\-growing, well\-funded startup with a clear path to profitability
 Equal Opportunity
 Yobi is an equal opportunity employer. We celebrate diversity and are committed to creating an inclusive environment for all employees. We do not discriminate based on race, ethnicity, gender, sexual orientation, age, disability, religion, or any other protected status. We encourage candidates from all backgrounds to apply and join our mission to ethically democratize behavioral AI and data\-driven personalization.</t>
        </is>
      </c>
    </row>
    <row r="28">
      <c r="A28" t="inlineStr">
        <is>
          <t>li-4377599756</t>
        </is>
      </c>
      <c r="B28" t="inlineStr">
        <is>
          <t>ML Engineer</t>
        </is>
      </c>
      <c r="C28" t="inlineStr">
        <is>
          <t>Wiraa</t>
        </is>
      </c>
      <c r="D28" t="inlineStr">
        <is>
          <t>linkedin</t>
        </is>
      </c>
      <c r="E28" t="inlineStr"/>
      <c r="F28" t="inlineStr"/>
      <c r="G28" t="inlineStr"/>
      <c r="H28" t="inlineStr"/>
      <c r="I28" t="inlineStr">
        <is>
          <t>**About The Company**
 General Motors (GM) is a leading global automotive manufacturer committed to innovation, sustainability, and safety. With a rich history of engineering excellence, GM is dedicated to transforming mobility through advanced technologies in autonomous driving, electric vehicles, and smart transportation solutions. Our vision is to create a world with Zero Crashes, Zero Emissions, and Zero Congestion, emphasizing a safer, cleaner, and more efficient future for all. We foster a culture of inclusion, collaboration, and continuous improvement, empowering our employees to make a meaningful impact on the future of transportation.
**About The Role**
 We are seeking a highly skilled Staff Machine Learning Engineer specializing in Offboard Embodied AI to join our innovative team in Mountain View, California. This hybrid role requires reporting to the Mountain View Technical Center at least three times per week. As a key member of our AI and ML research division, you will lead the development and deployment of large\-scale Foundation Models (FMs) that enhance our autonomous driving and robotics technologies. Your expertise will drive advancements in L2, L3, and L4 autonomous applications, directly impacting the safety, efficiency, and reliability of our automotive solutions. You will collaborate with cross\-functional teams, including data scientists, robotics engineers, and software developers, to translate cutting\-edge AI research into real\-world automotive innovations. This position offers an exciting opportunity to shape the future of mobility through innovative AI models and contribute to a dynamic and forward\-thinking organization.
**Qualifications**
* Bachelor’s, Master’s, or PhD degree in Computer Science, Robotics, Machine Learning, or a related field.
* Proven experience working with large\-scale Foundation Models, including Large Language Models (LLMs), Vision\-Language Models (VLMs), and vision\-focused models.
* Proficiency in AI frameworks such as PyTorch and TensorFlow.
* Experience with libraries like HuggingFace and OpenAI GPT.
* Strong data processing skills utilizing tools like Numpy, Pandas, and Apache Spark.
* Hands\-on experience deploying foundation models into production environments.
* Previous experience in Robotics or Autonomous Driving industries.
* Excellent communication and collaboration skills to work effectively with diverse teams and stakeholders.
**Responsibilities**
* Design, develop, and implement large\-scale Foundation Models tailored for automotive and robotics applications.
* Collaborate with cross\-functional teams to integrate foundation models into onboard and offboard systems, including distillation recipes for robotics models.
* Optimize model performance, ensuring efficient training, deployment, and real\-time inference capabilities.
* Conduct research to stay abreast of the latest advancements in AI frameworks, libraries, and methodologies.
* Lead projects from conception through deployment, documenting best practices and lessons learned.
* Mentor junior team members, fostering a culture of knowledge sharing and continuous learning.
* Participate in code reviews, model evaluations, and performance benchmarking to maintain high standards of quality and efficiency.
**Benefits**
* Competitive salary within the range of $143,000 to $220,000, commensurate with experience and qualifications.
* Performance\-based bonus potential and incentive pay programs.
* Relocation assistance and benefits for eligible candidates.
* Comprehensive health, dental, and vision insurance plans.
* Retirement savings plans with company matching contributions.
* Paid time off, holidays, and flexible work arrangements.
* Opportunities for professional development, training, and career growth.
* A collaborative and inclusive work environment focused on innovation and impact.
 Equal Opportunity
 General Motors is an equal opportunity employer committed to fostering an inclusive workplace. We do not discriminate based on sex, race, color, national origin, citizenship status, religion, age, disability, pregnancy, sexual orientation, gender identity, veteran status, or any other protected characteristic under applicable laws. We believe that diversity and inclusion are essential to our success and strive to create an environment where all employees can thrive and contribute to our mission of transforming mobility. We encourage all qualified candidates to apply and participate in our fair hiring process. Reasonable accommodations are available for applicants with disabilities; please contact us for assistance during the application process.</t>
        </is>
      </c>
    </row>
    <row r="29">
      <c r="A29" t="inlineStr">
        <is>
          <t>li-4304048806</t>
        </is>
      </c>
      <c r="B29" t="inlineStr">
        <is>
          <t>Machine Learning Engineer II</t>
        </is>
      </c>
      <c r="C29" t="inlineStr">
        <is>
          <t>Glidewell Dental</t>
        </is>
      </c>
      <c r="D29" t="inlineStr">
        <is>
          <t>linkedin</t>
        </is>
      </c>
      <c r="E29" t="inlineStr"/>
      <c r="F29" t="inlineStr"/>
      <c r="G29" t="inlineStr">
        <is>
          <t>Irvine, CA</t>
        </is>
      </c>
      <c r="H29" t="inlineStr"/>
      <c r="I29" t="inlineStr">
        <is>
          <t>**Essential Functions
 :** 
* Designs, develops, and deploys machine learning models for real\-world applications.
* Builds scalable pipelines for data ingestion, pre\-processing, training, and inference.
* Owns end to end development of machine learning algorithms including data analysis, feature engineering, model development, training, validation, and performance evaluation.
* Designs, implements, and optimizes retrieval\-augmented generation (RAG) pipelines that combine large language models (LLMs) with vector search/retrieval systems.
* Builds data ingestion and embedding pipelines for efficient indexing and retrieval.
* Fine\-tunes and adapts LLMs for domain\-specific tasks such as instruction tuning, prompt engineering, low\-rank adaptation (LoRA), etc.
* Engages in both engineering and research, exploring latest ML algorithms, solution architectures, and cutting\-edge approaches to improve retrieval and generation performance.
* Works with stakeholders to translate business requirements into robust technical solutions that deliver measurable impact.
* Works with engineering teams to continuously scale and advance machine learning across the organization.
* Identifies new opportunities of applying ML technology to improve business workflows and processes.
* Builds a deep understanding of the company’s products, services, data, and customers to deliver impactful solutions.
* Performs other related duties and projects as business needs require at direction of management.
**Education and Experience:**
* Master’s degree in Machine Learning, Deep Learning, or a computer science\-related field. PhD preferred.
* Minimum three (3\) years of relevant work experience in the areas below, or any equivalent education and/or experience from which comparable knowledge, skills and abilities have been demonstrated/achieved:
* Understands fundamental concepts, practices, and procedures of machine learning field.
* Data discovery, data aggregation, and feature engineering with SQL query writing skills.
* Training, evaluating, optimizing, deploying, and maintaining machine learning models on production systems.
* Logging, tracking, A/B testing, evaluating and analyzing the performance of different machine learning algorithms and models in production.
* Strong development skills in Python programming language and have experience in developing data\-driven, scalable, and reliable applications with Amazon Web Services (AWS).
* Applying machine learning algorithms to solve a wide range of optimization problems like customer sales prediction, recommendation engine, sentiment analysis, deep learning with image and natural language, customer segmentations/clustering, and object detection.
* Utilization of popular open\-source machine learning/deep learning libraries like LangChain, HuggingFace, Tensorflow, scikit\-learn, pandas, pyTorch, and Keras.
* Experience working with relational, non\-relational, and high\-scale data processing and storage frameworks like Structured Query Language (SQL), AWS RedShift, Aurora, S3, DynamoDB, MySQL, PostgreSQL.
* Experience with AWS Serverless architecture and AWS native services like BedRock, EC2, Lambda, Step Functions, SageMaker, Rekognition, Comprehend, Lex/Polly, and Transcribe.
**Pay Range:** 
 $122,000 \- $160,000/YR
***Glidewell Laboratories is the industry leader in dental technology due to our agility, speed, and cutting edge technology. We work in a fast\-paced and highly sought\-after employee\-friendly work environment. Behind all of this success is an amazing group of people who are passionate about bringing innovation to the marketplace, while providing quality and affordability to better the lives of people all over the world. If you share in our passion for teamwork and a vision for excellence, let's talk about a rewarding career at Glidewell!***
***In addition are the following generous employee benefits: Medical, Dental, Vision, 401K with company match, company\-paid life insurance, additional onsite dental services, vacation, holiday, and sick time, employee gym (with fitness classes and meditation room), employee medical/wellness center (with massage therapy and acupuncture), two company subsidized cafes, Internet cafes, employee lounges with big screen TVs, game tables, fun company sponsored events, a diverse work environment with over forty nationalities represented, and much more!***
***Glidewell Laboratories is an Equal Opportunity Employer and prohibits any kind of unlawful discrimination and harassment. We are committed to the principle of equal employment opportunity for all employees and to provide employees with a work environment free of discrimination and harassment on the basis of race, color, religion, national origin, sex, age, physical or mental disability, veteran status, sexual orientation, gender identity, genetic information, or any other status protected by the statutes, rules, and regulations in the locations where it operates. If you are an individual with a disability and need a reasonable accommodation to assist with your job search or application for employment, please contact us at recruitment@glidewelldental.com. Please indicate the specifics of the assistance needed.***</t>
        </is>
      </c>
    </row>
    <row r="30">
      <c r="A30" t="inlineStr">
        <is>
          <t>li-4368264939</t>
        </is>
      </c>
      <c r="B30" t="inlineStr">
        <is>
          <t>Machine Learning Engineer, Content and Navigation</t>
        </is>
      </c>
      <c r="C30" t="inlineStr">
        <is>
          <t>Whatnot</t>
        </is>
      </c>
      <c r="D30" t="inlineStr">
        <is>
          <t>linkedin</t>
        </is>
      </c>
      <c r="E30" t="inlineStr"/>
      <c r="F30" t="inlineStr"/>
      <c r="G30" t="inlineStr">
        <is>
          <t>Seattle, WA</t>
        </is>
      </c>
      <c r="H30" t="inlineStr"/>
      <c r="I30" t="inlineStr">
        <is>
          <t>****🚀 Join the Future of Commerce with Whatnot!****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Poland, and Australia,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 Role**
 The Discovery Content and Navigation (CAN) team’s mission is to capture intent and content signals to build a seamless, engaging, and personalized navigation experience for Whatnot buyers. We’re passionate about enabling and maintaining a healthy discovery ecosystem—one where buyers can easily find fun shows and connect with sellers.
 Our work spans a wide range of problems, including search, taxonomy, events, and intent and content understanding. We leverage AI technology, make data\-informed decisions, and ship quickly to deliver value to our users.
**What You'll Do**
* Lead the design, development, and productionization of ML models to capture intent and content signals that powers personalized navigational experience, search, and recommendations
* Lead ML\-based projects from end\-to\-end: scoping and planning, data collection and feature engineering, model training and deployment, backend implementation, and online experimentation
* Support product initiatives like category and brand recommendations, promote high quality and relevant livestreams and products in feed and search.
* Work closely with teammates and cross\-functional partners to implement ML\-based solutions into production at scale
* Drive technical excellence and establish ML best practices across the team and org.
**US Based: We offer flexibility to work from home or from one of our global office hubs, and we value in\-person time for planning, problem\-solving, and connection. Team members in this role must live within commuting distance of our New York, San Francisco, Los Angeles, and Seattle hubs.**
**👋 You**
 Curious about who thrives at Whatnot? We’ve found that embodying a low ego, growth mindset, and high\-impact drive goes a long way here.
 As Our Next Machine Learning Engineer You Should Have 4\+ Years Of Generalist Software Development Experience In High Growth Startups, Plus
* 4\+ years of industry experience building and deploying ML models to solve user problems at scale.
* Industry experience with a track record of applying practical methods to solve real\-world problems on consumer scale data.
* Experience in applied statistical and machine learning fields e.g. search, recommendations, content understanding, natural language processing, and large language models.
* Proficiency in Python, SQL, and common ML frameworks.
* Strong communication and leadership skills; ability to influence roadmap and align cross\-functional teams in a remote environment.
* Excellent product instincts. You first think about users rather than the best technical solution.
* You are known for shipping products and features lightning\-fast.
****💰Compensation****
 For US\-based applicants: $245,000 \- $345,000/year \+ benefits \+ stock options
 The salary range may be inclusive of several levels that would be applicable to the position. Final salary will be based on a number of factors including, level, relevant prior experience, skills and expertise. This range is only inclusive of base salary, not benefits (more details below) or equity in the form of stock options.
**🎁 Benefits**
* Flexible Time off Policy and Company\-wide Holidays (including a spring and winter break)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$245K \- $345K</t>
        </is>
      </c>
    </row>
    <row r="31">
      <c r="A31" t="inlineStr">
        <is>
          <t>li-4374762744</t>
        </is>
      </c>
      <c r="B31" t="inlineStr">
        <is>
          <t>Sr. AI Engineer</t>
        </is>
      </c>
      <c r="C31" t="inlineStr">
        <is>
          <t>Ringside Talent</t>
        </is>
      </c>
      <c r="D31" t="inlineStr">
        <is>
          <t>linkedin</t>
        </is>
      </c>
      <c r="E31" t="inlineStr"/>
      <c r="F31" t="inlineStr"/>
      <c r="G31" t="inlineStr"/>
      <c r="H31" t="inlineStr"/>
      <c r="I31" t="inlineStr">
        <is>
          <t>We are looking for a
 **Senior AI Engineer** 
 to work for our client. The ideal candidate aligns with the responsibilities and qualifications outlined below.
 If you're an AI engineer who wants to build real‑world, high‑impact machine learning solutions, not just prototypes, and you thrive at the intersection of software engineering, data platforms, and cloud architecture, this remote role gives you the freedom, challenge, and technical depth you’ve been looking for.
**About the Role** 
 Our client is seeking a highly skilled Senior AI Engineer to design, build, and deploy AI systems that integrate into enterprise applications at scale. You’ll work across Golang, Python, SQL, modern API frameworks, and platforms like Palantir to support mission‑critical analytics and decision‑making.
 In this role, you'll collaborate with product, data engineering, ML, and architecture teams to deliver AI models and intelligent services that power digital transformation.
**What You’ll Do** 
* Design, develop, and deploy AI/ML solutions using Python, Golang, and SQL
* Build and support scalable RESTful APIs that connect AI models with enterprise applications
* Integrate and operationalize models in cloud environments (AWS preferred)
* Work within Palantir Foundry to support data workflows, feature pipelines, and intelligence initiatives
* Optimize ML workflows for speed, accuracy, and reliability across production environments
* Collaborate cross‑functionally to translate business needs into ML‑backed solutions
* Participate in code reviews, architectural discussions, and model performance tuning
* Contribute to long‑term AI strategy, tooling selections, and platform modernization
* Support healthcare‑related AI use cases (preferred, not required)
**What You Bring** 
* Strong programming skills in Python, Golang, and SQL
* 5\+ years of combined AI engineering, data engineering, or ML software engineering experience
* Experience deploying AI/ML models in AWS or other cloud environments
* Hands‑on experience with Palantir Foundry (or similar platforms like Databricks, Snowflake, or Dataiku)
* Strong understanding of machine learning workflows, data structures, and MLOps best practices
* Experience building and maintaining APIs to support AI model consumption
* Familiarity with healthcare data structures, terminology, or compliance frameworks (preferred)
* Excellent communication skills and ability to collaborate across technical and executive teams
**What Our Client Offers** 
* Fully remote role with a collaborative technical team. (Applicants must be located in the United States)
* Opportunity to work on cutting‑edge AI initiatives with real enterprise impact
* Access to modern tools including Palantir, AWS, and advanced ML frameworks
* Ownership of end‑to‑end model development, deployment, and integration
* Competitive salary, bonus eligibility, and full benefits
* Strong commitment to innovation, learning, and career development</t>
        </is>
      </c>
    </row>
    <row r="32">
      <c r="A32" t="inlineStr">
        <is>
          <t>li-4376725654</t>
        </is>
      </c>
      <c r="B32" t="inlineStr">
        <is>
          <t>Sr Machine Learning Engineer</t>
        </is>
      </c>
      <c r="C32" t="inlineStr">
        <is>
          <t>The Walt Disney Company</t>
        </is>
      </c>
      <c r="D32" t="inlineStr">
        <is>
          <t>linkedin</t>
        </is>
      </c>
      <c r="E32" t="inlineStr"/>
      <c r="F32" t="inlineStr"/>
      <c r="G32" t="inlineStr">
        <is>
          <t>Seattle, WA</t>
        </is>
      </c>
      <c r="H32" t="inlineStr"/>
      <c r="I32" t="inlineStr">
        <is>
          <t>Technology is at the heart of Disney’s past, present, and future. Disney Entertainment and ESPN Product \&amp; Technology is a global organization of engineers, product developers, designers, technologists, data scientists, and more – all working to build and advance the technological backbone for Disney’s media business globally.
 The team marries technology with creativity to build world\-class products, enhance storytelling, and drive velocity, innovation, and scalability for our businesses. We are Storytellers and Innovators. Creators and Builders. Entertainers and Engineers. We work with every part of The Walt Disney Company’s media portfolio to advance the technological foundation and consumer media touch points serving millions of people around the world.
 Here are a few reasons why we think you’d love working here:
* Building the future of Disney’s media: Our Technologists are designing and building the products and platforms that will power our media, advertising, and distribution businesses for years to come.
* Reach, Scale \&amp; Impact: More than ever, Disney’s technology and products serve as a signature doorway for fans' connections with the company’s brands and stories. Disney\+. Hulu. ESPN. ABC. ABC News…and many more. These products and brands – and the unmatched stories, storytellers, and events they carry – matter to millions of people globally.
* Innovation: We develop and implement groundbreaking products and techniques that shape industry norms, and solve complex and distinctive technical problems.
 Ad Platforms is responsible for Disney’s industry\-leading ad technology and products – driving advertising performance, innovation, and value in Disney’s sports, news, and entertainment content, across all media platforms.
 Our mission is to advance AI and machine learning capabilities across Ad Platform by delivering scalable, high impact AI/ML and data science solutions that enhance Ad decisioning, forecasting, experimentation and Ad experience. We are seeking a Senior Machine Learning Engineer to join this innovative team. This role offers a unique leadership opportunity for an experienced ML engineer who thrives at the intersection of technical excellence, strategic impact, and cross\-functional collaboration.
**What You’ll Do**
* Drive innovation and apply state of the art AI and machine learning across advertising domains, including inventory forecasting, ad experience, ad pacing, pricing, targeting, and efficient ad delivery.
* Invent and iterate on novel solutions to complex advertising challenges with rapid prototyping and deployment cycles.
* Design, build, and scale robust ML systems that power core ad platform capabilities
* Champion engineering excellence through best practices in code quality, system design, and operational reliability.
* Mentor and support junior engineers, fostering a culture of continuous learning and technical growth.
**What To Bring**
* Bachelor's in computer science or equivalent experience.
* Minimum 5 years of hands\-on experience developing and deploying large\-scale machine learning systems.
* Strong knowledge of AI/ML technologies, mathematics and statistics.
* Excellent communication, collaboration skills, and a strong teamwork ethic with both technical and non\-technical audiences
* Strong foundations in algorithms, data structures, and numerical optimization with experience in programming languages such as Python (primary), Java and SQL
* Familiarity with tools and frameworks such as TensorFlow, Pytorch, Hugging libraries etc
* Proven proficiency in deep learning methodologies, including recurrent and sequence\-based models.
* Hands\-on experience with transformer architectures (e.g., BERT, GPT, ViT) for natural language and vision tasks.
* Strong understanding of multimodal embedding techniques for integrating text, image, audio, and structured data.
* Experience with LLM models such as GPT models, Claude, Gemini, Llama, etc.
* Strong grasp of LLM evaluation methodologies, experience with RAG architectures.
* A proven track record of thriving in a fast\-paced, data\-driven, and collaborative work environment is required.
**NICE\-TO\-HAVES**
* MS or PhD(preferred) in computer science or equivalent experience.
* Experience in digital video advertising or digital marketing domain.
* Experience with Databricks and AWS Sagemaker.
**Location** 
 : Seattle / Santa Monica
 The hiring range for this position in Los Angeles, CA area is $141,900 to $190,300 per year and in Seattle, WA is $148,700 \- $199,400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33">
      <c r="A33" t="inlineStr">
        <is>
          <t>li-4377844099</t>
        </is>
      </c>
      <c r="B33" t="inlineStr">
        <is>
          <t>AI Engineer</t>
        </is>
      </c>
      <c r="C33" t="inlineStr">
        <is>
          <t>Hirenza</t>
        </is>
      </c>
      <c r="D33" t="inlineStr">
        <is>
          <t>linkedin</t>
        </is>
      </c>
      <c r="E33" t="inlineStr"/>
      <c r="F33" t="inlineStr"/>
      <c r="G33" t="inlineStr"/>
      <c r="H33" t="inlineStr"/>
      <c r="I33" t="inlineStr">
        <is>
          <t>**About The Company**
 MassMutual is a leading financial services organization dedicated to helping individuals and businesses achieve their financial goals through innovative insurance and wealth management solutions. With a rich history of over 170 years, MassMutual has established a reputation for stability, integrity, and customer\-centric service. The company operates across various segments, including life insurance, retirement planning, and asset management, serving millions of clients nationwide. Committed to fostering a diverse and inclusive workplace, MassMutual emphasizes continuous innovation and responsible business practices to stay ahead in the evolving financial landscape.
**About The Role**
 We are seeking an experienced and impact\-driven AI Engineer to join our dynamic Data Science team. This full\-time hybrid position offers the opportunity to work from Boston, NYC, or Springfield, collaborating closely with experts in applied mathematics, statistics, computer science, and physics. As an AI Engineer at MassMutual, you will play a pivotal role in developing advanced artificial intelligence solutions that influence strategic decision\-making and drive transformative initiatives across the organization. Your expertise will be instrumental in deploying scalable AI systems, including large language models and generative AI, to address complex business challenges and improve operational efficiencies.
**Qualifications**
 Candidates should possess a minimum of 5\+ years of proficiency in SQL, database design, and Python programming, with familiarity in R being advantageous. A deep understanding of machine learning, natural language processing, optimization, and large language models is essential, along with at least 3\+ years of experience in data science or AI engineering roles. Hands\-on experience with AI deployment frameworks such as agentcore, strands, langchain, MCP, and A2A for at least 2\+ years is required. Candidates should also have extensive background in AI agents and LLM systems, including prompt management, multi\-step workflows, and evaluation of model behaviors. Experience building AI\-powered applications in collaboration with software engineers and product managers, as well as cloud\-native development using Docker, Kubernetes, and related technologies, is highly preferred. A master's degree in Computer Science, Statistics, Applied Mathematics, Electrical Engineering, Physics, or a related quantitative field is required.
**Responsibilities**
* Develop and deploy end\-to\-end machine learning and AI solutions supporting various enterprise use cases, utilizing large language models, deep learning, and probabilistic modeling from conception to production.
* Design and implement scalable generative AI and agentic AI systems aligned with business objectives, ensuring robustness and reliability.
* Establish best practices in AI development, emphasizing responsible AI deployment, ethical considerations, and compliance with organizational standards.
* Collaborate with engineering teams to build and optimize production\-grade AI pipelines, APIs, and integrations that facilitate seamless deployment and scalability.
* Create prototypes and deliver AI\-powered applications, including web interfaces, dashboards, and visualizations, to enable data\-driven decision\-making processes across various departments.
* Stay abreast of emerging trends in AI and machine learning, continuously integrating innovative techniques and tools into existing workflows.
* Mentor junior team members and communicate complex technical concepts effectively to non\-technical stakeholders to foster a shared understanding of AI initiatives.
**Benefits**
 MassMutual offers a comprehensive benefits package designed to support the health, well\-being, and professional growth of our employees. This includes competitive salary packages, health insurance plans, retirement savings options, and wellness programs. Employees have access to ongoing training and development opportunities, fostering a culture of continuous learning. The organization promotes a flexible work environment, including hybrid work arrangements, to support work\-life balance. Additionally, employees are encouraged to participate in community engagement initiatives and corporate social responsibility programs, reinforcing our commitment to making a positive impact both internally and externally.
 Equal Opportunity
 MassMutual is an equal employment opportunity employer. We celebrate diversity and are committed to creating an inclusive environment for all employees. We do not discriminate based on race, color, religion, gender, sexual orientation, gender identity or expression, age, national origin, disability, or any other protected status under applicable law. We welcome applications from all qualified individuals and strive to provide accommodations during the application process for candidates with disabilities. If you require assistance or accommodations, please contact us to share your needs.</t>
        </is>
      </c>
    </row>
    <row r="34">
      <c r="A34" t="inlineStr">
        <is>
          <t>li-4374849167</t>
        </is>
      </c>
      <c r="B34" t="inlineStr">
        <is>
          <t>Machine Learning Engineer</t>
        </is>
      </c>
      <c r="C34" t="inlineStr">
        <is>
          <t>Akkodis</t>
        </is>
      </c>
      <c r="D34" t="inlineStr">
        <is>
          <t>linkedin</t>
        </is>
      </c>
      <c r="E34" t="inlineStr"/>
      <c r="F34" t="inlineStr"/>
      <c r="G34" t="inlineStr">
        <is>
          <t>Exton, PA</t>
        </is>
      </c>
      <c r="H34" t="inlineStr"/>
      <c r="I34" t="inlineStr">
        <is>
          <t>Akkodis is seeking a
 **Machine Learning Engineer** 
 for a
 **Direct hire** 
 position based in
 **Exton, PA (Hybrid),** 
 ideally looking for applicants with solid exp with
 **Azure AI Foundry, Azure OpenAI, LLM, RAG,** 
 would come as a big plus.
**Salary Range: $120\- $135k/Annum \+ Benefits,** 
 The Salary may be negotiable based on experience, education, geographic location, and other factors.
 We are expanding our enterprise AI capabilities and are looking for a Machine Learning Engineer to design and deploy production\-ready AI and LLM solutions across our Microsoft ecosystem. You will work with Azure AI Foundry, Azure OpenAI, Microsoft Fabric, Dynamics CRM, and Azure SQL to build scalable, secure, and governed AI applications that drive real business impact.
**What You’ll Do** 
* **Build and deploy LLM\-based applications using Azure AI Foundry, Azure OpenAI, and Copilot Studio**
* **Develop scalable RAG architectures, embeddings, semantic search, and evaluation frameworks**
* **Integrate AI solutions across Azure APIs, Dynamics CRM, SharePoint, and enterprise platforms**
* **Build and optimize data pipelines using Microsoft Fabric Data Pipelines**
* **Engineer ingestion processes for Azure SQL Database**
* **Contribute to secure and governed Azure cloud architecture**
* **Implement CI/CD pipelines using Azure DevOps**
* **Build containerized services with Docker for reliable deployment**
* **Participate in technical design sessions and collaborate with business stakeholders**
**What You Bring** 
**Core Skills** 
* **Hands\-on experience with Azure AI Foundry, Copilot Studio, and Azure OpenAI**
* **Strong background in LLM development (RAG, prompt engineering, evaluation)**
* **Understanding of AI lifecycle management and responsible AI practices**
* **Experience with Microsoft Fabric for data ingestion and pipelines**
* **Strong Azure SQL engineering skills**
* **Cloud architecture knowledge and CI/CD experience (Azure DevOps)**
* **Experience integrating APIs and microservices**
**Highly Preferred** 
* **Experience with vector databases \&amp; semantic search**
* **Power BI integration knowledge**
* **Familiarity with Microsoft Purview or governance frameworks**
**Soft Skills** 
* **Strong communicator who can simplify complex AI concepts**
* **Able to translate business needs into scalable AI architecture**
* **Comfortable operating in an innovative, fast\-evolving environment**
* **Experience leading technical discussions and guiding solution design**
**If you are interested in this role, then please click APPLY NOW. For other opportunities available at Akkodis, or any questions, feel free to contact me at govind.choudhary@akkodisgroup.com.** 
 Equal Opportunity Employer/Veterans/Disabled
 Benefits offerings include but are not limited to:
 • 401(k) with match
 • Medical insurance
 • Dental Insurance
 • Vision assistance
 • Paid Holidays Off
**To read our Candidate Privacy Information Statement, which explains how we will use your information, please visit https://www.akkodis.com/en/privacy\-policy.**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t>
        </is>
      </c>
    </row>
    <row r="35">
      <c r="A35" t="inlineStr">
        <is>
          <t>li-4377875491</t>
        </is>
      </c>
      <c r="B35" t="inlineStr">
        <is>
          <t>Machine Learning Engineer II</t>
        </is>
      </c>
      <c r="C35" t="inlineStr">
        <is>
          <t>Wiraa</t>
        </is>
      </c>
      <c r="D35" t="inlineStr">
        <is>
          <t>linkedin</t>
        </is>
      </c>
      <c r="E35" t="inlineStr"/>
      <c r="F35" t="inlineStr"/>
      <c r="G35" t="inlineStr"/>
      <c r="H35" t="inlineStr"/>
      <c r="I35" t="inlineStr">
        <is>
          <t>**About The Company**
 At Instacart, we are revolutionizing the grocery industry by providing innovative solutions that connect consumers with their favorite products efficiently and conveniently. Our mission is to make food accessible to everyone, fostering a sense of community and love through shared meals. We believe that everyone deserves access to quality groceries and household essentials, and we are committed to delivering this through our reliable and flexible platform. Instacart has become a vital lifeline for millions, especially during times when access to physical stores is limited, and we continuously strive to enhance our services to meet the evolving needs of our community. Our company culture emphasizes collaboration, innovation, and a customer\-first approach, empowering our team members to make impactful contributions in a dynamic environment.
**About The Role**
 We are seeking talented economists and machine learning engineers to join our fast\-paced, innovative team. In this role, you will work on a wide range of challenging and impactful problems, from optimizing marketplace incentives to analyzing the influence of pricing strategies and product placement on customer behavior. You will be integral to designing and developing end\-to\-end machine learning solutions that support Instacart’s ambitious growth objectives. As part of a small, cross\-functional product team, you will have the opportunity to take ownership of projects, collaborate with diverse stakeholders, and contribute to organization\-wide initiatives. Your expertise will directly influence how we understand and serve our customers, ensuring that our platform remains competitive and responsive to market demands. This position offers significant growth opportunities and the chance to make a tangible impact on the future of grocery shopping.
**Qualifications**
* PhD in Economics or a related field with a focus on data\-intensive problems, or 3\-5 years of industry experience in machine learning or economics\-focused roles
* Strong foundation in economic theory, applied econometrics, and business acumen
* Expertise in causal inference with observational and experimental data
* Proficiency in programming languages such as R or Python
* Experience with data manipulation tools like SQL and Pandas
* Knowledge of machine learning frameworks including scikit\-learn, XGBoost, Keras, or TensorFlow
* Ability to identify high\-impact problems and deliver balanced solutions considering urgency and quality
* Willingness and ability to travel internationally as required
* Self\-motivated with a strong sense of ownership and initiative
**Responsibilities**
* Design and develop comprehensive machine learning solutions to address complex business problems
* Collaborate with product teams, engineers, data scientists, and stakeholders to understand problem requirements and translate them into effective solutions
* Lead the end\-to\-end process from problem framing, data analysis, model development, to deployment and testing
* Share insights, best practices, and research findings within the internal community of economists, data scientists, and engineers
* Contribute to organizational initiatives aimed at optimizing marketplace incentives, pricing strategies, and customer engagement
* Implement scalable machine learning models in cloud environments, ensuring robustness and efficiency
* Continuously evaluate and improve existing models based on performance metrics and business needs
* Stay updated with the latest research and advancements in economics and machine learning to inform project strategies
**Benefits**
* Highly competitive salary packages tailored to location and experience
* Equity grants for new hires and annual refresh grants to reward ongoing contributions
* Flexible work arrangements, including remote work options
* Comprehensive health, dental, and vision insurance plans
* Generous paid time off and holidays
* Opportunities for professional development and continuous learning
* Inclusive and collaborative company culture that values diversity and innovation
 Equal Opportunity
 Instacart is an equal opportunity employer. We celebrate diversity and are committed to creating an inclusive environment for all employees. We do not discriminate based on race, religion, color, national origin, gender, sexual orientation, age, disability, or any other protected status. We believe that diverse perspectives and backgrounds foster innovation and strengthen our ability to serve our community effectively.</t>
        </is>
      </c>
    </row>
    <row r="36">
      <c r="A36" t="inlineStr">
        <is>
          <t>li-4345958853</t>
        </is>
      </c>
      <c r="B36" t="inlineStr">
        <is>
          <t>AI Engineer</t>
        </is>
      </c>
      <c r="C36" t="inlineStr">
        <is>
          <t>Stifel Financial Corp.</t>
        </is>
      </c>
      <c r="D36" t="inlineStr">
        <is>
          <t>linkedin</t>
        </is>
      </c>
      <c r="E36" t="inlineStr"/>
      <c r="F36" t="inlineStr"/>
      <c r="G36" t="inlineStr">
        <is>
          <t>St Louis, MO</t>
        </is>
      </c>
      <c r="H36" t="inlineStr"/>
      <c r="I36" t="inlineStr">
        <is>
          <t>**Why Stifel**
 Stifel strives for a culture that puts its clients and associates first: a culture where everyone belongs, everyone is welcome, and everyone contributes to the success of our clients, their careers, and the firm as a whole.
 Let’s talk about how you can find your place here at Stifel,
 **where success meets success** 
 .
**What You'll Be Doing**
 The AI Engineer position will support the setup, configuration and ongoing development of solutions using Microsoft Copilot Studio, AgentFlow, Power Automate and related Microsoft AI tools. This position focuses on implementing and operationalizing existing AI strategies, configuring intelligent agents, and improving the performance through strong prompt design and applied problem solving.
**What We're Looking For**
* Assist in building, configuring, and maintaining AI agents within Microsoft Copilot Studio, including logic, triggers, and Power Automate workflows.
* Execute and maintain AI strategies that have already been defined, ensuring reliable deployment and performance across business functions.
* Develop, test, and refine prompt structures and techniques to improve the quality, accuracy, and tone of AI responses within Copilot and related tools.
* Continuously expand AI and automation knowledge through practical, self\-directed learning (e.g., Microsoft resources, YouTube tutorials, community examples).
* Troubleshoot and improve existing AI workflows and integrations in coordination with senior engineers or solution architects.
* Configure and validate data connections across Microsoft 365 applications (Teams, SharePoint, Outlook, Dynamics, etc.).
* Maintain clear, accurate records of agent configurations, workflows, and prompt libraries.
* Work closely with AI architects, automation leads, and business users to support smooth AI adoption.
**What You'll Bring**
* Foundational understanding of AI concepts, LLMs, and prompt engineering.
* Practical experience with Microsoft Power Platform (especially Power Automate or Copilot Studio).
* Basic familiarity with Microsoft 365 integrations and cloud\-based automation tools.
* Ability to learn independently using online educational resources (e.g., Microsoft Learn, YouTube, community channels).
* Strong analytical, troubleshooting, and documentation skills.
**Education \&amp; Experience**
* Preferred: Bachelor's degree in relevant field or equivalent experience.
* Minimum Required: 3\+ years' of technical experience with a familiarity of AI.
**Licenses \&amp; Credentials**
* Minimum Required: None.
**Systems \&amp; Technology**
* Exposure to AgentFlow, Power Virtual Agents, or other Microsoft AI development tools.
* Familiarity with Azure AI Services or similar automation frameworks.
* Understanding of how prompt design affects AI model responses and user experience.
* General awareness of enterprise security and compliance considerations in Microsoft environments.
**About Stifel**
 Stifel is more than 130 years old and still thinking like a start\-up. We are a global wealth management and investment banking firm serious about innovation and fresh ideas. Built on a simple premise of safeguarding our clients’ money as if it were our own, coined by our namesake, Herman Stifel, our success is intimately tied to our commitment to helping families, companies, and municipalities find their own success.
 While our headquarters is in St. Louis, we have offices in New York, San Francisco, Baltimore, London, Frankfurt, Toronto, and more than 400 other locations. Stifel is home to approximately 9,000 individuals who are currently building their careers as financial advisors, research analysts, project managers, marketing specialists, developers, bankers, operations associates, among hundreds more. Let’s talk about how you can find your place here at Stifel, where success meets success.
 At Stifel we offer an entrepreneurial environment, comprehensive benefits package to include health, dental and vision care, 401k, wellness initiatives, life insurance, and paid time off.
 Stifel is an Equal Opportunity Employer.</t>
        </is>
      </c>
    </row>
    <row r="37">
      <c r="A37" t="inlineStr">
        <is>
          <t>li-4352737562</t>
        </is>
      </c>
      <c r="B37" t="inlineStr">
        <is>
          <t>AI Engineer- Gen AI/SWE- Weights &amp; Biases</t>
        </is>
      </c>
      <c r="C37" t="inlineStr">
        <is>
          <t>Weights &amp; Biases</t>
        </is>
      </c>
      <c r="D37" t="inlineStr">
        <is>
          <t>linkedin</t>
        </is>
      </c>
      <c r="E37" t="inlineStr"/>
      <c r="F37" t="inlineStr"/>
      <c r="G37" t="inlineStr">
        <is>
          <t>Livingston, NJ</t>
        </is>
      </c>
      <c r="H37" t="inlineStr"/>
      <c r="I37" t="inlineStr">
        <is>
          <t>CoreWeave, the AI Hyperscaler™, acquired Weights \&amp; Biases to create the most powerful end\-to\-end platform to develop, deploy, and iterate AI faster. Since 2017, CoreWeave has operated a growing footprint of data centers covering every region of the US and across Europe, and was ranked as one of the TIME100 most influential companies of 2024\. By bringing together CoreWeave’s industry\-leading cloud infrastructure with the best\-in\-class tools AI practitioners know and love from Weights \&amp; Biases, we’re setting a new standard for how AI is built, trained, and scaled.
 The integration of our teams and technologies is accelerating our shared mission: to empower developers with the tools and infrastructure they need to push the boundaries of what AI can do. From experiment tracking and model optimization to high\-performance training clusters, agent building, and inference at scale, we’re combining forces to serve the full AI lifecycle — all in one seamless platform.
 Weights \&amp; Biases has long been trusted by over 1,500 organizations — including AstraZeneca, Canva, Cohere, OpenAI, Meta, Snowflake, Square,Toyota, and Wayve — to build better models, AI agents and applications. Now, as part of CoreWeave, that impact is amplified across a broader ecosystem of AI innovators, researchers, and enterprises.
 As we unite under one vision, we’re looking for bold thinkers and agile builders who are excited to shape the future of AI alongside us. If you're passionate about solving complex problems at the intersection of software, hardware, and AI, there's never been a more exciting time to join our team.
**What You'll Do**
 The AI team is a hands\-on applied AI group at Weights \&amp; Biases that turns frontier research into teachable workflows. We collaborate with leading enterprises and the OSS community. We are the team that took W\&amp;B from a few hundred users to millions of users and one of the most beloved tools in the ML community. A senior applied role at the research\-to\-product boundary. You will design, implement, and evaluate LLM applications and agents with cutting\-edge techniques from the latest research, then document and teach them to our community and customers. The focus is application, not novel research: rapid prototyping, careful evaluation, and production\-grade reference implementations with clear trade\-offs. We prioritize responsible, safe deployment and reproducibility.
**About The Role**
* Ship end\-to\-end GenAI workflows (prompting → RAG → tools/agents → eval → serve) with reproducible repos, W\&amp;B Reports, and dashboards others can run.
* Build agentic systems (tool use, function calling, multi\-step planners) with MCP servers/clients and secure tool/resource integrations.
* Design evaluation harnesses (RAG/agent evals, golden sets, regression tests, telemetry) and drive continuous improvement via offline \+ online metrics.
* Build in public: Publish engineering artifacts (code, docs, talks, tutorials) and engage with OSS and customer engineers; turn repeated patterns into reusable templates.
* Partner with product/solutions to launch LLM\-powered features with clear latency/cost/SLO targets and safety/guardrail checks.
* Run growth experiments to track the usage of the Weights \&amp; Biases suite of products from the artifacts built.
**Who You Are**
* Software engineering: 6\+ years building production systems; strong Python or TypeScript \+ system design, testing, CI/CD, observability.
* GenAI apps: shipped LLM\-powered features (tools/agents/function calling), with measurable impact (latency/cost/reliability).
* Agentic patterns: implemented planners/executors, tool orchestration, sandboxing, and failure taxonomies; familiarity with agent infra concerns.
* RAG: pragmatic mastery of chunking, embeddings, vector/hybrid search, rerankers; experience with vector DBs/search indices and retrieval policy design.
* Evaluation: designed LLM/RAG/agent evals (offline golden sets, counterfactuals, user studies, guardrail tests); stats literacy (variance, CIs, power).
* Serving \&amp; productization: comfortable with queueing, caching, streaming, and cost controls; can debug latency at model, retrieval, and network layers.
* Public signal: 2\+ substantial OSS repos/blog posts/talks/videos with adoption (stars, forks, downloads, views) and reproducible artifacts.
**Preferred**
* Experience building with AI SDKs / agent frameworks (e.g., TypeScript/Python SDKs, planning libraries) and shipping developer\-facing examples.
* Production agent security/sandboxing, red\-teaming, and policy/PII enforcement.
* Operated eval platforms or built judge models/heuristics; experience leading metrics reviews with product/UX.
* Customer\-facing enablement: templates or reference implementations adopted by external teams at scale.
**Wondering if you’re a good fit? We believe in investing in our people, and value candidates who can bring their own diversified experiences to our teams – even if you aren't a 100% skill or experience match. Here are a few qualities we’ve found compatible with our team. If some of this describes you, we’d love to talk.**
* You love turning ambiguous product ideas into clean, benchmarked, production\-ready LLM/agent workflows others can use today.
* You’re curious about the latest research from AI labs and excited to apply it to real\-world problems.
* You’re an expert in at least one of: RAG quality at scale, agent/tool orchestration, or GenAI DX (SDKs, examples, docs)—and you can demonstrate it with code and metrics.
**Why Us?**
**About**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takeoff, the growth opportunities within the organization are constantly expanding. You will be surrounded by some of the best talent in the industry, who will want to learn from you, too. Come join us!
 The base salary range for this role is $188,000 to $275,000\.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38">
      <c r="A38" t="inlineStr">
        <is>
          <t>li-4316672102</t>
        </is>
      </c>
      <c r="B38" t="inlineStr">
        <is>
          <t>Machine Learning Engineer, Agents</t>
        </is>
      </c>
      <c r="C38" t="inlineStr">
        <is>
          <t>Grammarly</t>
        </is>
      </c>
      <c r="D38" t="inlineStr">
        <is>
          <t>linkedin</t>
        </is>
      </c>
      <c r="E38" t="inlineStr"/>
      <c r="F38" t="inlineStr"/>
      <c r="G38" t="inlineStr"/>
      <c r="H38" t="inlineStr"/>
      <c r="I38" t="inlineStr">
        <is>
          <t>*Superhuman offers a dynamic hybrid working model for this role. This flexible approach gives team members the best of both worlds: plenty of focus time along with in\-person collaboration that helps foster trust, innovation, and a strong team culture.*
**About Superhuman**
 Grammarly is now part of Superhuman, the AI productivity platform on a mission to unlock the superhuman potential in everyone. The Superhuman suite of apps and agents brings AI wherever people work, integrating with over 1 million applications and websites. The company’s products include Grammarly’s writing assistance, Coda’s collaborative workspaces, Mail’s inbox management, and Go, the proactive AI assistant that understands context and delivers help automatically. Founded in 2009, Superhuman empowers over 40 million people, 50,000 organizations, and 3,000 educational institutions worldwide to eliminate busywork and focus on what matters.
 *Learn more at superhuman.com and about our values here.*
**The Opportunites**
 We are building a platform for AI Agents to come together and solve arbitrarily complex tasks, leveraging Superhuman ubiquitous UI. As a Machine Learning Engineer on this team, you will be at the heart of our company's transformation.
* Shape the Future of Productivity: Play a pivotal role in evolving Grammarly from a beloved writing assistant into an indispensable, AI\-native productivity suite for enterprises.
* Build a Groundbreaking AI Agent Platform: Spearhead the development of a new platform where multiple AI agents collaborate to solve complex user problems. You will be responsible for the core orchestration, routing, and planning systems.
* Own Critical ML Systems: Develop and deploy sophisticated ML models for core product experiences, including search ranking and proactive suggestions that anticipate user needs.
* Integrate Cutting\-Edge AI: Work at the forefront of the AI landscape, building ML components that integrate with the latest and most powerful models to create magical user experiences.
* Thrive in a High\-Impact Environment: Join a foundational team where you will operate with a high degree of autonomy and product sense in a fast\-paced, ambiguous environment.
* Ship Your Work Fast: Move quickly from idea to impact. We have no red tape or endless approvals—just a focus on making meaningful contributions to a platform used by millions.
 We are also hiring across our Responsible AI and Anti\-Abuse teams. As a Machine Learning Engineer on this team, you will be at the forefront of developing advanced ML systems to protect our users.
* Protect Shared Documents: Lead the development of advanced machine learning systems to identify abusive users and fraudulent content, with a special focus on documents and content shared between users.
* Analyze Content and Behavior: Build models that evaluate both document content and user behavior, allowing for nuanced and effective detection of spam, scams, and manipulative activity within shared environments.
* Own Key Detection Pipelines: Develop, deploy, and maintain critical systems for monitoring documents, interactions, and sharing patterns, providing proactive interventions to keep collaborative workspaces safe.
* Integrate Leading AI Approaches: Operate at the forefront of fraud prevention by leveraging the latest advances in NLP and machine learning to understand, flag, and stop suspicious patterns in real time.
* High\-Impact, Mission\-Aligned Work: Join a focused, mission\-driven team where your contributions directly protect millions of users. Enjoy autonomy, rapid iteration, and the chance to make decisions that shape the future of secure collaboration.
* Deliver Results Quickly: Move swiftly from concept to deployment, building solutions that enable safe document sharing and support Superhuman’s global user base.
**Qualifications**
* MS / PhD in Computer Science.
* 5\+ years of industry experience as a machine learning engineer or applied research scientist.
* A deep understanding of modern algorithms and approaches to ML, NLP, and LLMs.
* Experience building LLM\-based products.
* A deep care about the end\-user experience and strives to ensure high quality.
* Has a demonstrated ability to work independently with minimal guidance, proactively manages tasks and priorities across multiple projects, analyzes and executes work efficiently, collaborates effectively with cross\-functional teams, and thrives in fast\-paced, results\-driven environments.
 We invite you to share your knowledge, experience, and goals with us to help us find the best team match for you. Tell us your superpower!
**Compensation And Benefits**
 Superhuman offers all team members competitive pay along with a benefits package encompassing the following and more:
* Excellent health care (including a wide range of medical, dental, vision, mental health, and fertility benefits)
* Disability and life insurance options
* 401(k) and RRSP matching
* Paid parental leave
* 20 days of paid time off per year, 12 days of paid holidays per year, two floating holidays per year, and flexible sick time
* Generous stipends (including those for caregiving, pet care, wellness, your home office, and more)
* Annual professional development budget and opportunities
 Superhuman takes a market\-based approach to compensation, which means base pay may vary depending on your location. Our US locations are categorized into two compensation zones based on proximity to our hub locations.
 Base pay may vary considerably depending on job\-related knowledge, skills, and experience. The expected salary ranges for this position are outlined below by compensation zone and may be modified in the future.
 United States
 Zone 1: $250,000 \- $385,000/year (USD)
**We encourage you to apply**
 At Superhuman, we value our differences, and we encourage all to apply—especially those whose identities are traditionally underrepresented in tech organizations. We do not discriminate on the basis of race, religion, color, gender expression or identity, sexual orientation, ancestry, national origin, citizenship, age, marital status, veteran status, disability status, political belief, or any other characteristic protected by law. Superhuman is an equal opportunity employer and a participant in the US federal E\-Verify program (US). We also abide by the Employment Equity Act (Canada).</t>
        </is>
      </c>
    </row>
    <row r="39">
      <c r="A39" t="inlineStr">
        <is>
          <t>li-4373024200</t>
        </is>
      </c>
      <c r="B39" t="inlineStr">
        <is>
          <t>Founding Machine Learning Engineer</t>
        </is>
      </c>
      <c r="C39" t="inlineStr">
        <is>
          <t>Shields Group Search</t>
        </is>
      </c>
      <c r="D39" t="inlineStr">
        <is>
          <t>linkedin</t>
        </is>
      </c>
      <c r="E39" t="inlineStr"/>
      <c r="F39" t="inlineStr"/>
      <c r="G39" t="inlineStr">
        <is>
          <t>San Francisco, CA</t>
        </is>
      </c>
      <c r="H39" t="inlineStr"/>
      <c r="I39" t="inlineStr">
        <is>
          <t>**🚀 Founding Engineer (Machine Learning Engineering Focus)** 
 Early\-Stage AI Company \| Enterprise Focus \| Hands\-On Builder
 Fully in office in San Francisco
**Experience:** 
 3\-5 years
**🌐 About the Company** 
 Shields Group Search is partnering with a breakout, venture\-backed AI company that is quietly emerging as one of the most compelling infrastructure plays in its category.
 The company has raised $7\.5M\+ in Seed funding from top\-tier Silicon Valley funds and a highly selective group of operator\-angels. Their backers include investors and founders affiliated with firms and ecosystems such as Y Combinator, a16z, Founders Fund, Sequoia\-backed companies, and senior leaders from some of the most successful AI and enterprise software companies of the past decade. The cap table is stacked with people who have built and scaled category\-defining platforms before and know exactly what it takes to do it again.
 They already have real production traction, paying enterprise customers, and a product actively running in demanding environments. The company has also turned down multiple acquisition offers, choosing to stay independent and build something much larger. They are now gearing up for a Series A, with a clear mandate to harden their systems, scale responsibly, and evolve what they have built into a truly enterprise\-grade platform.
 The team is now expanding its core engineering group and looking to bring on a
 **Founding Engineer** 
 who will play a key role in shaping the product, architecture, and engineering culture from an early stage.
**🧠 The Role** 
 This role is best suited for a hands\-on Machine Learning Engineer with real\-world experience deploying, tuning, and maintaining ML models in production. While the team works on enterprise\-grade AI systems, this hire is not primarily focused on on\-prem enterprise deployments. Instead, the emphasis is on practical MLE execution, curiosity, and the ability to build and iterate quickly.
 As a Founding Engineer, you will work closely with the founders to translate research and ideas into scalable, production\-grade systems. This is a builder role for someone who enjoys writing code, learning fast, and growing alongside the company.
**🔧 What You’ll Do** 
* Build, deploy, and iterate on machine learning models in real production environments
* Own model deployment workflows, tuning, evaluation, and performance optimization
* Collaborate closely with founders on product direction and technical architecture
* Write high\-quality, production\-ready code across ML systems and supporting infrastructure
* Help establish early engineering best practices while remaining deeply hands\-on
* Contribute across the stack as needed in a fast\-moving early\-stage environment
**✅ What We’re Looking For** 
**Must\-Haves** 
* **3–5 years of professional experience** 
 in software engineering, ML engineering, or applied ML research
* **Strong MLE background** 
 with hands\-on experience deploying and tuning models in production
* Demonstrated ability to
 **write real production code** 
 , not just prototypes or research artifacts
* Experience working with modern ML frameworks and deployment workflows
* High curiosity, strong learning aptitude, and comfort operating in ambiguity
**Nice\-to\-Haves** 
* Applied ML research experience with a strong implementation bias
* Early\-stage startup experience
* Exposure to AI infrastructure, model monitoring, or reliability tooling
**🌟 Why This Role** 
* True
 **founding\-level impact** 
 at a mission\-driven AI company
* Direct collaboration with technical founders
* Ownership over core ML systems from day one
* Opportunity to grow into a senior technical leader as the company scales
* Competitive compensation and meaningful equity
**🎯 Ideal Candidate Profile** 
 This role is a great fit for someone who:
* Identifies as an
 **MLE who loves building** 
 , not just theorizing
* Enjoys translating research ideas into working systems
* Wants early ownership and long\-term growth
* Is excited to grow alongside a company tackling foundational AI problems</t>
        </is>
      </c>
    </row>
    <row r="40">
      <c r="A40" t="inlineStr">
        <is>
          <t>li-4375227866</t>
        </is>
      </c>
      <c r="B40" t="inlineStr">
        <is>
          <t>Machine Learning Engineer (mid to senior)</t>
        </is>
      </c>
      <c r="C40" t="inlineStr">
        <is>
          <t>Prodege, LLC</t>
        </is>
      </c>
      <c r="D40" t="inlineStr">
        <is>
          <t>linkedin</t>
        </is>
      </c>
      <c r="E40" t="inlineStr"/>
      <c r="F40" t="inlineStr"/>
      <c r="G40" t="inlineStr">
        <is>
          <t>El Segundo, CA</t>
        </is>
      </c>
      <c r="H40" t="inlineStr"/>
      <c r="I40" t="inlineStr">
        <is>
          <t>**Job Description:**
**Strategic Imperative:** 
 The
 **Machine Learning Engineer** 
 designs, builds, and productionizes end\-to\-end AI/ML systems that measurably improve business outcomes. This role owns the technical lifecycle of models from data and features through deployment, monitoring, and continuous improvement. You will ship reliable, well\-tested services that move KPIs in areas such as ranking, recommendations, yield optimization, fraud detection, and intelligent routing, while also contributing to emerging AI initiatives including LLMs and agentic systems.
**Prodege:** 
 A cutting\-edge marketing and consumer insights platform, Prodege has charted a course of innovation in the evolving technology landscape by helping leading brands, marketers, and agencies uncover the answers to their business questions, acquire new customers, increase revenue, and drive brand loyalty \&amp; product adoption. Bolstered by a major investment by Great Hill Partners in Q4 2021 and strategic acquisitions of Pollfish, BitBurst \&amp; AdGate Media in 2022, Prodege looks forward to more growth and innovation to empower our partners to gather meaningful, rich insights and better market to their target audiences.
 As an organization, we go the extra mile to “Create Rewarding Moments” every day for our partners, consumers, and team. Come join us today!
**Primary Objectives:** 
* **End\-to\-End ML Systems: Build automated, scalable workflows for data ingestion, feature engineering, training, evaluation, and inference.**
* **Feature Platforms: Develop and maintain high\-quality feature stores for batch and real\-time use cases.**
* **Production ML: Package and deploy models as APIs, microservices, or streaming/batch jobs in collaboration with software and data engineering.**
* **Monitoring and Experimentation: Implement telemetry, data drift detection, performance tracking, and A/B testing to ensure reliability and impact.**
* **Collaboration: Partner closely with Product, Data, and Engineering to translate business problems into measurable ML solutions.**
* **Engineering Excellence: Write clean, maintainable, testable code; participate in code reviews; follow strong CI/CD and version control practices.**
**Qualifications \-** 
*To perform this job successfully, an individual must be able to perform each job duty satisfactorily. The requirements listed below are representative of the knowledge, skill, and/or ability required. Reasonable accommodations may be made to enable individuals with disabilities to perform the essential functions.* 
**Detailed Job Duties:** 
 (
 *typical monthly, weekly, daily tasks which support the primary objectives* 
 )
**End\-to\-End ML Systems** 
* Design, validate, and scale ML models including classification, regression, ranking, recommendations, NLP, and optimization systems.
* Build and maintain end\-to\-end ML pipelines for training and inference in both batch and streaming environments.
* Run and analyze experiments to improve model performance and business outcomes.
**Feature Platforms** 
* Own feature quality, consistency, and governance across products and services.
* Ensure features are reliable for both offline training and online inference.
* Partner with data engineering on feature pipeline reliability, freshness, and availability.
**Production ML** 
* Deploy models via RESTful APIs, containerized services, or scheduled jobs, with appropriate reliability safeguards.
* Work with software and data engineering to integrate models into production systems.
* Ensure deployments are reproducible, versioned, and compatible with CI/CD practices.
**Monitoring and Experimentation** 
* Instrument production systems with comprehensive monitoring for data drift, latency, prediction quality, and business impact.
* Define success metrics and guardrails for model performance in production.
* Identify degradation, diagnose root causes, and implement fixes in a timely way.
**Cross\-Functional Collaboration** 
* Collaborate with stakeholders to define success metrics, communicate progress, and manage risks transparently.
* Translate business requirements into technical ML deliverables.
* Align model design with product roadmaps and engineering constraints.
**Engineering Excellence** 
* Write well\-structured, modular, and testable Python code.
* Participate in peer code reviews and uphold team standards.
* Document systems, assumptions, and design decisions clearly.
* Follow version control, testing, and deployment best practices.
**Emerging AI Contributions** 
* Build or integrate retrieval\-augmented generation systems using embeddings and vector stores.
* Experiment with prompt design, evaluation frameworks, and fine\-tuning where appropriate.
* Apply guardrails, monitoring, and safety controls to LLM\-powered features.
**Team Development** 
* Mentor junior engineers when applicable.
* Share learnings, patterns, and reusable components across teams.
* Contribute to shared tooling and best practices.
**NOTE: Depending on location or product team, the role may emphasize one of the following without changing level or title:** 
* AI Platform focus: deeper ownership of shared feature stores, experimentation frameworks, and ML infrastructure.
* Product focus: closer partnership with product teams to optimize ranking, recommendations, or marketplace yield.
* LLM focus: greater time on RAG systems, agentic workflows, and model fine\-tuning.
* Data\-heavy focus: more work on streaming pipelines and real\-time infere
 **nce.**
**What does SUCCESS look like?** 
 You consistently ship ML capabilities that are reliable, observable, and impactful. Your work improves measurable KPIs such as accuracy, latency, conversion, revenue lift, or fraud reduction. You balance rigor with pragmatism, document your systems clearly, and help the team move faster through thoughtful experimentation and strong collaboration.
**The MUST Haves:** 
 (
 *ex: job cannot be done without these skills, education, experience, certifications, licenses* 
 )
* Bachelor’s degree in Computer Science, Engineering, Mathematics, or related field, or equivalent experience.
* 3\+ years of hands\-on ML engineering experience delivering models to production.
* Strong Python and working SQL; solid software engineering fundamentals including testing, modular design, and version control.
* Experience with classical ML such as tree\-based models, linear/logistic models, and model evaluation.
* Working knowledge of a deep learning framework such as PyTorch or TensorFlow.
* Experience building data and feature pipelines for training and inference.
* Experience deploying models via APIs, microservices, or batch/streaming systems.
* Demonstrated ability to improve models through iteration, tuning, or redesign.
* Clear written and verbal communication; ability to partner effectively across teams.
**The Nice to Haves:** 
 (ex:
 *preferred additional skills, education, experience, certifications, licenses* 
 )
* Master’s degree or PhD in AI, Machine Learning, or a quantitative field.
* Experience with ranking or recommendation systems at scale.
* Experience with distributed computing frameworks such as Spark, Ray, or Flink.
* Cloud experience on AWS, Azure, or GCP plus MLOps tooling such as MLflow or model registries.
* Familiarity with Docker/Kubernetes.
* Exposure to LLM tooling including Hugging Face, embeddings, RAG, or agent frameworks.
* Additional languages such as Java, Scala, or Rust.
**Pay Transparency:** 
 The anticipated base salary range for this position is $160,000 to $185,000\. Range for Senior level can be higher. The final salary offered to a successful candidate will be dependent on several factors that may include, but are not limited to; the type and length of experience within the job, type and length of experience within the industry, the type and length of knowledge and skills for the position, education, training, etc. Prodege is a multi\-state employer and final compensation within this range could be impacted by work location. Please note that the compensation details listed in US role postings reflect the base salary only, and do not include bonus, equity, or benefits.
**Prodege Benefits:** 
 Prodege offers a comprehensive benefits package to US Full\-time employees including medical, dental, vision, STD, LTD and basic life insurance. Employees receive flexible PTO, as well as paid sick leave prorated based on hire date. US Employees have eight paid holidays throughout the calendar year. Employees receive an option to purchase shares of Company stock commensurate with their position, which vests over four years.
**Equal Employment Opportunity Statement** 
 At Prodege, we are committed to creating a diverse and inclusive environment. We are proud to be an
**Equal Opportunity Employer** 
 and do not discriminate on the basis of race, color, religion, sex, sexual orientation, gender identity or expression, national origin, age, disability, veteran status, or any other characteristic protected by law. We encourage individuals of all backgrounds to apply.
**FCIHO** 
 Employers will consider for employment qualified applicants with criminal histories in a manner consistent with the requirements of
 **FCIHO.**</t>
        </is>
      </c>
    </row>
    <row r="41">
      <c r="A41" t="inlineStr">
        <is>
          <t>li-4376768009</t>
        </is>
      </c>
      <c r="B41" t="inlineStr">
        <is>
          <t>Staff Machine Learning Engineer</t>
        </is>
      </c>
      <c r="C41" t="inlineStr">
        <is>
          <t>Cypress HCM</t>
        </is>
      </c>
      <c r="D41" t="inlineStr">
        <is>
          <t>linkedin</t>
        </is>
      </c>
      <c r="E41" t="inlineStr"/>
      <c r="F41" t="inlineStr"/>
      <c r="G41" t="inlineStr">
        <is>
          <t>Redwood City, CA</t>
        </is>
      </c>
      <c r="H41" t="inlineStr"/>
      <c r="I41" t="inlineStr">
        <is>
          <t>**Staff Machine Learning Engineer**
 Also open to principal\-level candidates
**Location:** 
 Redwood City, CA \| In the office 3 days per week
**Employees:** 
 650 \|
 **Team Size:** 
 20\|
 **Reporting To:** 
 Director of Platform Engineering
**Industry:** 
 Supply chain, warehouse automation, AI, robotics, product development
**Responsibilities** 
* Owning the architectural vision for ML applications within a growing SaaS product suite
* Translating business needs into scalable ML system designs in a small, growing office
* Design and implementation of ML model pipelines – data ingestion, training, validation, deployment, monitoring
* Collaborating with software engineering, robotics, product, and operations teams to align system goals with real\-world customer problems in fulfillment/supply chain/logistics
* Identifying opportunities to apply new techniques and technologies to their products
**Requirements** 
* 10\+ years of professional experience in SaaS and/or enterprise software
* Experience with the full ML pipeline – data collection, model training, MLOps, deployment
* Deep experience with production\-grade LLM and Gen\-AI
* Experience with cloud platforms and cloud ML services such as Vertex AI
* Experience building an AI strategy and roadmap for organizations/teams
* Understanding of big data architecture and technologies – data lakes, streaming pipelines
**Benefits** 
* Unlimited PTO, health, dental, vision, and life insurance. Wellness reimbursement. 401K with company match. HAS, FSA plans. Short\-term and long\-term disability. Supplemental life insurance.
**Compensation** 
* $200K \- $250K \+ Annual Bonus</t>
        </is>
      </c>
    </row>
    <row r="42">
      <c r="A42" t="inlineStr">
        <is>
          <t>li-4361527052</t>
        </is>
      </c>
      <c r="B42" t="inlineStr">
        <is>
          <t>Senior Machine Learning Engineer</t>
        </is>
      </c>
      <c r="C42" t="inlineStr">
        <is>
          <t>Axon</t>
        </is>
      </c>
      <c r="D42" t="inlineStr">
        <is>
          <t>linkedin</t>
        </is>
      </c>
      <c r="E42" t="inlineStr"/>
      <c r="F42" t="inlineStr"/>
      <c r="G42" t="inlineStr">
        <is>
          <t>San Francisco, CA</t>
        </is>
      </c>
      <c r="H42" t="inlineStr"/>
      <c r="I42" t="inlineStr">
        <is>
          <t>**Join Axon and be a Force for Good.**
 At Axon, we’re on a mission to Protect Life. We’re explorers, pursuing society’s most critical safety and justice issues with our ecosystem of devices and cloud software. Like our products, we work better together. We connect with candor and care, seeking out diverse perspectives from our customers, communities and each other.
 Life at Axon is fast\-paced, challenging and meaningful. Here, you’ll take ownership and drive real change. Constantly grow as you work hard for a mission that matters at a company where you matter.
**Your Impact**
 Are you eager to contribute to building AI products impacting the world for the greater good?
 As an ML Engineer at Axon, you will contribute to developing AI solutions transforming the public safety space and supporting our company’s mission: accelerate justice, protect truth, and save lives. Working closely with other ML engineers and scientists, you will enable new AI capabilities for Axon’s products (Fleet, Draft One, Axon Air, VR and more) by supporting the training, evaluation, testing and deployment of machine learning models on Axon devices and cloud.
 As part of a multidisciplinary team, you will be exposed to a wide range of AI domains and applications: from computer vision to speech recognition and natural language understanding.
****What You’ll Do****
**Location: Hybrid from our office in San Francisco, CA.**
**Reports to:** 
 Manager, Machine Learning Engineering
* Collaborate with scientists and product managers to build proof\-of\-concepts (POCs) contributing to shaping the Axon of tomorrow.
* Architect and develop secure, privacy\-preserving, solutions to enable the continuous improvement of existing AI models.
* Architect platforms that accelerate research and AI product development.
* Collaborate with scientists in architecting and implementing state\-of\-the\-art training techniques.
* Set high standards for ethical and responsible AI development.
****What You Bring****
* Bachelor’s Degree in Computer Science, Engineering, Electronics, Mathematics or an equivalent highly technical field.
* 6\+ years of software engineering experience and a proven track record of successfully deploying AI models to the cloud.
* Experience with Infrastructure\-as\-code and cloud architecture.
* Proficiency in Python and C\+\+, familiarity with ML frameworks such as TensorFlow, or PyTorch.
* Advanced knowledge and hands\-on experience with Linux.
* Excellent problem solving skills and ability to dive deep into system architecture.
* Excellent software design skills.
* Comfort communicating and interacting with scientists, engineers and product managers.
****What You Bring****
* Master’s Degree/PhD in Computer Science, Engineering, Electronics, Mathematics or an equivalent highly technical field.
* Experience with LLMOps \- evaluation, monitoring, quantization, teacher\-learner, etc.).
* Hands\-on experience with fine\-tuning large parameter models.
* Familiarity with model encryption and privacy preserving AI techniques.
****Benefits That Benefit You****
* Competitive salary and 401k with employer match
* Discretionary paid time off
* Paid parental leave for all
* Medical, Dental, Vision plans
* Fitness Programs
* Emotional \&amp; Mental Wellness support
* Learning \&amp; Development programs
* And yes, we have snacks in our offices
*Benefits listed herein may vary depending on the nature of your employment and the location where you work*
***Location:** 
 This role is based out of our San Francisco, CA office and follows a hybrid schedule. We rely on in\-person collaboration and ask that team members work onsite Tuesdays through Fridays, with the flexibility to work remotely on Mondays, unless there is an approved workplace accommodation. We believe that connection fuels innovation, and our in\-office culture is designed to foster meaningful teamwork, mentorship, and shared success.*
 Axon is a total compensation company, meaning compensation is made up of base pay, bonus, and stock awards. The actual base pay is dependent upon many factors, such as: level, function, training, transferable skills, work experience, business needs, geographic market, and often a combination of all these factors. Our benefits offer an array of options to help support you physically, financially and emotionally through the big milestones and in your everyday life. To see more details on our benefits offerings please visit https://www.axon.com/careers.
 Base Pay Range
 $173,363—$277,380 USD
 Don’t meet every single requirement? That's ok. At Axon, we Aim Far. We think big with a long\-term view because we want to reinvent the world to be a safer, better place. We are also committed to building diverse teams that reflect the communities we serve.
 Studies have shown that women and people of color are less likely to apply to jobs unless they check every box in the job description. If you’re excited about this role and our mission to Protect Life but your experience doesn’t align perfectly with every qualification listed here, we encourage you to apply anyways. You may be just the right candidate for this or other roles.
**Important Notes**
*The above job description is not intended as, nor should it be construed as, exhaustive of all duties, responsibilities, skills, efforts, or working conditions associated with this job. The job description may change or be supplemented at any time in accordance with business needs and conditions.*
*Some roles may also require legal eligibility to work in a firearms environment.*
*We collect personal information from applicants to evaluate candidates for employment. You may request access, deletion, or exercise other CCPA rights at
 **axongreenhousesupport@axon.com** 
 or via our Axon Privacy Web Form. For more information, please see the Your California Privacy Rights section of our Applicant and Candidate Privacy Notice.*
*Axon’s mission is to Protect Life and is committed to the well\-being and safety of its employees as well as Axon’s impact on the environment. All Axon employees must be aware of and committed to the appropriate environmental, health, and safety regulations, policies, and procedures. Axon employees are empowered to report safety concerns as they arise and activities potentially impacting the environment.*
*We are an equal opportunity employer that promotes justice, advances equity, values diversity and fosters inclusion. We’re committed to hiring the best talent — regardless of race, creed, color, ancestry, religion, sex (including pregnancy), national origin, sexual orientation, age, citizenship status, marital status, disability, gender identity, genetic information, veteran status, or any other characteristic protected by applicable laws, regulations and ordinances — and empowering all of our employees so they can do their best work. If you have a disability or special need that requires assistance or accommodation during the application or the recruiting process, please email recruitingops@axon.com. Please note that this email address is for accommodation purposes only. Axon will not respond to inquiries for other purposes.*</t>
        </is>
      </c>
    </row>
    <row r="43">
      <c r="A43" t="inlineStr">
        <is>
          <t>li-4373858826</t>
        </is>
      </c>
      <c r="B43" t="inlineStr">
        <is>
          <t>Lead AI Engineer  - Product Engineer</t>
        </is>
      </c>
      <c r="C43" t="inlineStr">
        <is>
          <t>TekVizor</t>
        </is>
      </c>
      <c r="D43" t="inlineStr">
        <is>
          <t>linkedin</t>
        </is>
      </c>
      <c r="E43" t="inlineStr"/>
      <c r="F43" t="inlineStr"/>
      <c r="G43" t="inlineStr">
        <is>
          <t>Pittsburgh, PA</t>
        </is>
      </c>
      <c r="H43" t="inlineStr"/>
      <c r="I43" t="inlineStr">
        <is>
          <t>**Lead AI Engineer \- AI/ML Agentic** 
 📍
 **Pittsburgh, PA (On‑site)** 
 🕒
 **Full\-Time** 
 🌍
 **U.S. Citizenship Required** 
 ✈️ Up to 10% Travel
 We are seeking an experienced Lead
 **AI Engineer** 
 to join our AI/ML team as we scale agentic capabilities. Our bespoke platform and suite of AI\-enabled applications accelerate the decision\-making process in real\-time, all in one place.
**What You’ll Do** 
* Design and build multi\-agent systems, memory, routing, and planning.
* Develop Agent Skills and tools as modular, composable services connected to backend systems, models, and data processing pipelines.
* Contribute to automated evaluation and observability systems for agents, tools, workflows, and prompts across the entire product lifecycle.
* Collaborate cross\-functionally with Product and Engineering to deploy agentic systems.
**Required Skills \&amp; Experience** 
* Bachelor’s, Master’s, or PhD in Computer Science, Computer Engineering, Data Science, Neuroscience, statistics or related field.
* 5\+ years building and deploying Agentic, ML or LLM\-powered systems in production environments.
* Hands\-on experience designing autonomous multi\-agent workflows that include state/action models for AI\-driven interaction (agent\-controlled UI, tool invocation, deterministic flows).
* Experience with agent frameworks such as Claude Agent SDK or OpenAI Agent SDK.
* Solid Python engineering skills.
* Hands\-on with MCP, LLM evaluation frameworks, deep learning, transformer architecture, agent orchestration, LangGraph.
* A passion for coding agents, exploring new technologies and Agentic Engineering.
**Strong Candidates Have** 
* Proven experience designing and deploying complex agentic systems using LLMs.
* Hands\-on work with
 **multi\-agent coordination** 
 , routing, and tool orchestration.
* Demonstrated portfolio or project showing LLMs interacting with frontend interfaces agentically.
* Passion for building, experimenting with, and optimizing agents.
**Desired Qualifications** 
* Experience in fast\-paced startup environments.
* Comfort with
 **Claude Code** 
**SDK,** 
 and modern GenAI coding best practices.
* Frameworks LangChain, AutoGen, Semantic Kernal.
**About the Role** 
 This is a full\-time, on\-site position based in Pittsburgh, PA, with occasional travel (up to 10%). You’ll be joining a high\-velocity team building the next generation of agentic AI systems. If you thrive in ambiguity, love building real agentic systems, and want to shape how LLMs interact with software interfaces at scale, this role is for you!
**Benefits:** 
* Employees manage their time off \- unlimited sick days and PTO.
* Professional Development \- Tuition reimbursement towards advanced education and specialized certifications.
* 401k with 4% and immediate vesting.
 \#AIJobs \#AgenticAI \#LLMEngineering \#AIEngineer \#Hiring \#MachineLearning \#GenerativeAI \#TechJobs \#Pittsburgh</t>
        </is>
      </c>
    </row>
    <row r="44">
      <c r="A44" t="inlineStr">
        <is>
          <t>li-4375227767</t>
        </is>
      </c>
      <c r="B44" t="inlineStr">
        <is>
          <t>Platform AI Engineer</t>
        </is>
      </c>
      <c r="C44" t="inlineStr">
        <is>
          <t>Infosys</t>
        </is>
      </c>
      <c r="D44" t="inlineStr">
        <is>
          <t>linkedin</t>
        </is>
      </c>
      <c r="E44" t="inlineStr"/>
      <c r="F44" t="inlineStr"/>
      <c r="G44" t="inlineStr">
        <is>
          <t>Charlotte, NC</t>
        </is>
      </c>
      <c r="H44" t="inlineStr"/>
      <c r="I44" t="inlineStr">
        <is>
          <t>**Infosys Limited** 
 is seeking a
 **Platform AI Engineer** 
 . In this role, you will enable digital transformation for our clients in a global delivery model, research on technologies independently, recommend appropriate solutions and contribute to technology\-specific best practices and standards. You will provide inputs for identifying best\-fit architectural solutions for one or more projects; develop design of applications, provide regular support and guidance to project teams on complex coding and issue resolution with the objective of ensuring best\-fit and high\-quality technical solutions within the area of technology specialization and in compliance with guidelines, policies and norms of Infosys. You will be part of a learning culture, where teamwork and collaboration are encouraged, excellence is rewarded, and diversity is respected and valued.
**Required Qualifications**
* Bachelor’s degree or foreign equivalent required from an accredited institution. Will also consider three years of progressive experience in the specialty in lieu of every year of education.
* Candidate must be located within commuting distance of Charlotte, NC or be willing to relocate to the area
* At least 4 years of experience in Information Technology
* Proficiency in Snowflake, Python and AWS experience
* Experience in Snowpark, SQL, RBAC
* Candidates authorized to work for any employer in the United States without employer\-based visa sponsorship are welcome to apply. Infosys is unable to provide immigration sponsorship for this role at this time
**Preferred Qualifications**
* Experience in AI/LLM technologies like Agentic AI,LLM, Langchain, Langgraph, building data/AI pipelines
* Ability to work in team in diverse/ multiple stakeholder environment
* Experience in Financial Services domain
* Experience working in an enterprise team, and cross\-functional projects
* Experience and desire to work in a Global delivery environment.
 The job entails sitting as well as working at a computer for extended periods of time. Should be able to communicate by telephone, email or face to face. Travel may be required as per the job requirements.
 Along with competitive pay, as a full\-time Infosys employee you are also eligible for the following benefits :\-
* Medical/Dental/Vision/Life Insurance
* Long\-term/Short\-term Disability
* Health and Dependent Care Reimbursement Accounts
* Insurance (Accident, Critical Illness, Hospital Indemnity, Legal)
* 401(k) plan and contributions dependent on salary level
* Paid holidays plus Paid Time Off
**About Us**
 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**Infosys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t>
        </is>
      </c>
    </row>
    <row r="45">
      <c r="A45" t="inlineStr">
        <is>
          <t>li-4329091190</t>
        </is>
      </c>
      <c r="B45" t="inlineStr">
        <is>
          <t>Staff Applied Machine Learning Engineer, LLMs</t>
        </is>
      </c>
      <c r="C45" t="inlineStr">
        <is>
          <t>Upstart</t>
        </is>
      </c>
      <c r="D45" t="inlineStr">
        <is>
          <t>linkedin</t>
        </is>
      </c>
      <c r="E45" t="inlineStr"/>
      <c r="F45" t="inlineStr"/>
      <c r="G45" t="inlineStr"/>
      <c r="H45" t="inlineStr"/>
      <c r="I45" t="inlineStr">
        <is>
          <t>**About Upstart**
 At Upstart, we’re united by a mission that matters: to radically reduce the cost and complexity of borrowing for all Americans. Every day, we bring creativity, experimentation, and advanced AI to reshape access to credit, helping millions move forward financially with clarity and confidence.
 As the leading AI lending marketplace, we partner with banks and credit unions to expand access to affordable credit through technology that’s both radically intelligent and deeply human. Our platform runs over one million predictions per borrower using more than 1,800 signals, powering smarter, fairer decisions for millions of customers. But the numbers only hint at the impact. Every idea, every voice, and every contribution moves us closer to a world where credit never stands between people and their financial progress.
 We’re proudly digital\-first, giving most Upstarters the flexibility to do their best work from wherever they thrive, alongside teammates across 80\+ cities in the US and Canada. Digital\-first doesn’t mean distant. We’re intentional about in\-person connection through team onsites, planning sessions, and moments that spark creativity and trust. And whether you choose to work primarily from home or collaborate in\-person from one of our offices in Columbus, Austin, the Bay Area, or New York City (opening Summer 2026\), you’ll have the support to work in the way that works best for you.
 If you’re energized by tackling meaningful problems, excited to innovate with purpose, and motivated by work that truly matters, we’d love to hear from you.
**The Team**
 Upstart’s new
 **Applied LLM team** 
 is building foundational infrastructure that democratizes access to generative AI for every product and engineering team across the company. This is a cross\-functional team at the intersection of machine learning, product, and engineering. Our mission is to bring the power of ML \- particularly large language models (LLMs) and generative AI \- to life in Upstart’s core products.
 As a
 **Staff Applied Machine Learning Engineer** 
 focused on building
 **LLM applications** 
 , you'll work closely with researchers, product managers, platform engineers, and designers to ship intelligent features that elevate the user experience and expand the capabilities of our systems.
**How you’ll make an impact:**
* Design and build user\-facing ML features that harness LLMs and generative AI to unlock new product capabilities
* Partner with product, design, and ML research to prototype and deliver high\-impact, ML\-powered experiences
* Own the technical architecture and implementation strategy for applied ML systems \- balancing latency, observability, and iteration speed
* Build scalable services and APIs that bring model outputs to users in trustworthy and intuitive ways
* Collaborate across platform, infra, and legal/compliance teams to ensure ML deployments meet standards for safety, fairness, and performance
* Establish and evangelize best practices for prompt design, model evaluation, and experimentation across the org
**What we’re looking for:** 
* Minimum qualifications:
+ 6\+ years of software engineering experience, with 2\+ years working directly on ML\-driven products or intelligent systems
+ Proven ability to lead complex initiatives across engineering, product, and research stakeholders
+ Strong backend development skills (e.g., Python with FastAPI or Flask), plus experience with cloud\-native tooling (e.g., Kubernetes, Docker, Terraform)
+ Experience integrating LLMs or ML models into production systems, including APIs and user\-facing applications
+ Excellent communication skills and a collaborative, product\-minded approach
+ Ability to think rigorously about system design, latency tradeoffs, and user impact when working with ML features
* Preferred qualifications:
+ Experience shipping GenAI or LLM\-powered features using frameworks like LangChain, LlamaIndex, or OpenAI APIs
+ Familiarity with retrieval\-augmented generation (RAG), vector search (e.g., FAISS, Pinecone), and real\-time inference patterns
+ Proficiency in full\-stack development, including front\-end work with React or similar frameworks
+ Strong intuition for prompt engineering, model testing, and evaluation methodologies
+ Experience navigating complex requirements around explainability, user trust, or compliance in ML applications
+ Track record of influencing architecture or product direction at a team or org level
***Position Location \-***
 This role is available in the following locations: US Remote
***Time Zone Requirements \-***
 This team operates on the East/West Coast time zones.
***Travel Requirements \-***
 This team has regular on\-site collaboration sessions. These occur 3\-4 days per quarter at one of our offices. If you need to travel to make these meetups, Upstart will cover all travel related expenses.
 At Upstart, your base pay is one part of your total compensation package. The anticipated base salary for this position is expected to be within the below range. Your actual base pay will depend on your geographic location–with our “digital first” philosophy, Upstart uses compensation regions that vary depending on location. Individual pay is also determined by job\-related skills, experience, and relevant education or training. Your recruiter can share more about the specific salary range for your preferred location during the hiring process.
 In addition, Upstart provides employees with target bonuses, equity compensation, and generous benefits packages (including medical, dental, vision, and 401k).
 United States \| Remote \- Anticipated Base Salary Range
 $178,400—$246,800 USD
**What You'll Love**
 At Upstart, our benefits are designed to support your health, financial well\-being, family, and personal growth. Here’s what you can expect:
* Competitive compensation, including base pay, bonus opportunities, and annual equity grants that vest quarterly
* Generous 401(k) plan with Upstart matching $2 for every $1 contributed, up to $15,000 per year
* Employee Stock Purchase Plan (ESPP) with discounted stock purchase options for eligible employees
* Affordable medical, dental, and vision coverage, with multiple plan options \- Upstart covers 90% to 100% of the cost depending on the plans you choose
* Health Savings Account contributions from Upstart for eligible plans
* Income protection benefits, including company\-paid Basic Life, AD\&amp;D, and Short\- and Long\-Term Disability coverage, with options to purchase supplemental coverage
* Paid time off, sick and safe time, and company holidays
* Paid family and parental leave to support caregiving and major life moments
* Family\-centered benefits through Carrot and Cleo, supporting fertility, parenthood, and caregiving
* Employee Assistance Program (EAP) offering mental health support and life\-centered resources
* Financial wellness resources, including access to financial planning tools and a financial concierge service
* Annual wellness allowance to support your physical and emotional well\-being and personal development, based on what matters most to you
* Annual productivity allowance to invest in relevant tools and resources you need to do your best work, no matter where you work from
* Connection and community through team events and onsites, all\-company updates, and employee resource groups (ERGs)
* Onsite perks, including catered lunches and fully stocked micro\-kitchens when working from one of our four offices, located in the Bay Area, Austin, Columbus, and New York City (opening Summer 2026!).
 Upstart is a proud Equal Opportunity Employer. Just as we are dedicated to improving access to affordable credit for all, we are committed to inclusive and fair hiring practices.
*If you require reasonable accommodation in completing an application, interviewing, completing any pre\-employment testing, or otherwise participating in the employee selection process, please email* 
*candidate\_accommodations@upstart.com*
 https://www.upstart.com/candidate\_privacy\_policy</t>
        </is>
      </c>
    </row>
    <row r="46">
      <c r="A46" t="inlineStr">
        <is>
          <t>li-4270116318</t>
        </is>
      </c>
      <c r="B46" t="inlineStr">
        <is>
          <t>Staff AI Engineer</t>
        </is>
      </c>
      <c r="C46" t="inlineStr">
        <is>
          <t>Conveyor</t>
        </is>
      </c>
      <c r="D46" t="inlineStr">
        <is>
          <t>linkedin</t>
        </is>
      </c>
      <c r="E46" t="inlineStr"/>
      <c r="F46" t="inlineStr"/>
      <c r="G46" t="inlineStr"/>
      <c r="H46" t="inlineStr"/>
      <c r="I46" t="inlineStr">
        <is>
          <t>**Why join Conveyor?**
 Hi, we’re Conveyor 👋, creators of the \#1 Customer Trust AI automation platform.
 We solve problems that our customers “hate with the fury of 1000 suns” (actual quote!) \- the dreaded customer security review and RFP processes. These are key parts of the B2B sales cycle, but both still involve too much time, effort, and mental anguish from those involved.
 Enter Conveyor, where our mission is to eliminate all of the misery from B2B customer trust with maximum automation. We’ve made a lot of progress – we have an awesome customer list whose lives we’ve significantly impacted through product, this year we launched the first AI agents for security reviews (Sue) and RFPs (Phil), and we just raised a $20M Series B from SignalFire and OVF! (TechCrunch) But we have ambitious goals and we’re looking for our next Staff AI Engineer to help make them a reality!
**The top 3 1/2 reasons you should be interested in working at Conveyor:**
* You’ll be selling a great product with a slam dunk AI use case while building sales processes and foundations to help scale the business.
* Everyone on the team is amazing at their jobs. We care deeply about psychological safety, and believe that the ability to take risks and exist in the learning zone is critical to our success. This also comes with high accountability, which isn’t for everyone. But, you have the potential to have an outsize impact on the direction and success of the company.
* We’re highly transparent and collaborative. Giving constructive, thoughtful feedback and asking hard questions are highly encouraged! We come together to figure it out when times are hard, and in celebration when we get our wins. 1/2\. Plus, we’ll even teach you how to saber a bottle of champagne
**About The Role**
 As one of the first AI engineers on the team, this is a unique opportunity to shape Conveyor’s AI core capabilities, and create a huge impact on a critical pillar in our product strategy. Reporting directly to the CTO, you’ll play a critical role in building and optimizing our AI development process and further building the team.
**What You’ll Do**
* You will analyze our AI quality and performance, propose and experiment with new technologies and ideas, then implement and improve Conveyor products.
* You will define and implement metrics and processes to evaluate and improve AI quality.
* You'll autonomously manage and own individual project priorities, deadlines, and deliverables.
* You’ll scope and implement project\-level solutions with minimal guidance.
* You’ll collaborate and pair frequently with teammates and peers.
* You'll inform the product roadmap and implementation decisions based on feasibility.
* You'll ensure that our product is maintainable, meaning that other engineers are able to contribute new functionality easily, and without frequent technical debt.
* You'll partner with Product and Design to effectively plan new features, avoiding bottlenecks and maximizing velocity when it comes time to implement.
**What We’re Looking For**
 We are looking for candidates with 8\+ years of experience in technical leadership roles, with a focus on AI/ML technologies in recent years. Strong preference for experience in startup environments.
**Required Skills**
* Strong software engineering foundations, building and shipping products. Your designs should be performant, maintainable (for years, not months), and evolvable.
* Recent experience in the AI/ML space, and specifically LLMs. Familiarity with key concepts, frameworks, tools and technologies. Experience evaluating different approaches and technologies, prompt engineering, evals and observability, RAG flows, search technologies, agent frameworks, etc.
* Able to perform both research/analysis and production software development work
* Curiosity and Continuous Learning: You are up to speed on developments in the fast\-paced AI/ML world, and constantly thinking about how to apply new technologies and offerings to our real\-world problems.
* Bias for action: Startup mentality, get things done, fast iterations, strong problem\-solving and decision\-making capabilities. Previous experience in a small startup (or as a founder) is highly preferred.
* Product Sense: You seek to understand the features you're working on, and actively propose positive changes. Collaborate with product and design to inform roadmap decisions.
* Team Player: You have excellent communication skills (verbal and written), enjoy collaborating with others and mentoring team members.
* Deliver Legendary Customer Experience: You have experience building and scaling products that delight real users.
* Ownership: Strong sense of ownership and accountability, honor commitments and be transparent about challenges.
**Job Location**
 This position is available in the United States and Canada.
 We are a remote\-first company so you’ll be working from home most of the time, traveling for in person sessions a few times a year.
 Preferred location: San Francisco Bay Area
 Ready to join our team and have a tremendous impact? We’d love to hear from you. Also, we know it’s tough, but please try to avoid the confidence gap . You don’t have to match all the listed requirements exactly to be considered for this role.</t>
        </is>
      </c>
    </row>
    <row r="47">
      <c r="A47" t="inlineStr">
        <is>
          <t>li-4377859962</t>
        </is>
      </c>
      <c r="B47" t="inlineStr">
        <is>
          <t>Senior AI Engineer - Senior Software Engineer</t>
        </is>
      </c>
      <c r="C47" t="inlineStr">
        <is>
          <t>Capgemini</t>
        </is>
      </c>
      <c r="D47" t="inlineStr">
        <is>
          <t>linkedin</t>
        </is>
      </c>
      <c r="E47" t="inlineStr"/>
      <c r="F47" t="inlineStr"/>
      <c r="G47" t="inlineStr">
        <is>
          <t>Atlanta, GA</t>
        </is>
      </c>
      <c r="H47" t="inlineStr"/>
      <c r="I47"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Location
 This is a hybrid role based across multiple locations \- Atlanta, Nashville, Chicago, Dallas, New jersey
**About The Job You're Considering**
 The Capgemini team offers extensive career opportunities and provides mentoring and coaching for teammates. This role is an experienced professional with a strong background in software development.
 Your role
* Guide best practices for containerization, scalability, and reliability
* Collaborate with architects, developers, and stakeholders in agile teams
**Your Skills And Experience**
* Design AI\-assisted language generation for producing clear, plain\-language draft messages.
* Implement draft message generation service within the validation pipeline.
* Auto\-generate draft text at the end of each validation run.
* Generative AI Integration (specifically text generation/RAG), Serverless Compute (Cloud Run/Functions), Document Processing, and API Integration.
 The base compensation range for this role in the posted location is: $76,200 \- $ 187,740\.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**Benefits**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48">
      <c r="A48" t="inlineStr">
        <is>
          <t>li-4377848028</t>
        </is>
      </c>
      <c r="B48" t="inlineStr">
        <is>
          <t>Staff Machine Learning Engineer - Wildfire</t>
        </is>
      </c>
      <c r="C48" t="inlineStr">
        <is>
          <t>Overstory</t>
        </is>
      </c>
      <c r="D48" t="inlineStr">
        <is>
          <t>linkedin</t>
        </is>
      </c>
      <c r="E48" t="inlineStr"/>
      <c r="F48" t="inlineStr"/>
      <c r="G48" t="inlineStr"/>
      <c r="H48" t="inlineStr"/>
      <c r="I48" t="inlineStr">
        <is>
          <t>The climate crisis is the defining challenge of our time—but it’s also the greatest opportunity for innovation, and a challenge we’re proud to take on. At Overstory, we’re harnessing cutting\-edge technology to enable a resilient electrical grid that keeps communities thriving as our world changes.
 The grid is the backbone of life as we know it. It powers hospitals, keeps food fresh, and ensures communities stay connected. But extreme weather, aging infrastructure, and growing wildfire risks are putting this critical system under pressure. All of this combined makes the electric utility industry the greatest opportunity for tackling climate change.
 One of the leading causes of catastrophic wildfires and power outages? Trees and brush coming into contact with power lines.
 That’s where we help. At Overstory, we use AI and advanced satellite imagery to pinpoint and prioritize vegetation risks before they materialize. By giving utilities critical analysis on those risks, we’re helping prevent outages, reduce wildfire risks, and accelerate the transition to a safer, more resilient grid.
 Our team spans the Americas and Europe, and we work with utility partners across the Americas and beyond. We’re outdoor enthusiasts, musicians, artists, athletes, parents, and adventurers—15 nationalities strong and growing. What unites us is a passion for solving complex problems, a commitment to climate action, and the belief that technology should be a force for good.
 Join us to help us build a more resilient world together.
**The role**
 As a
 **Staff Machine Learning Engineer** 
 at Overstory, you will lead the development and scaling of our Wildfire Fuel Detection Model. This core engine powers how we understand vegetation structure, fuel loads, and wildfire risk from satellite and environmental data. You’ll help shape the next generation of Overstory’s modeling capabilities by combining cutting\-edge ML techniques, large\-scale geospatial data, and real\-world domain expertise.
 You’ll work closely with data scientists, ML engineers, and product teams to ensure our wildfire models are accurate, robust, and production\-ready – balancing scientific rigor with practical engineering excellence. As a senior technical leader, you’ll mentor other engineers, drive architectural decisions, and define standards for modeling, experimentation, and deployment across Overstory.
**What You’ll Do**
 In collaboration with data, ML, and science colleagues, you will:
* Architect and build advanced ML models to map and predict vegetation and fuel conditions across diverse geographies.
* Design and maintain robust data and feature pipelines for large\-scale geospatial and temporal data.
* Partner with wildfire science and product teams to define modeling objectives and evaluation metrics tied to real\-world impact.
* Build reproducible experimentation frameworks and model evaluation workflows.
* Scale models from research to production with a focus on performance, reliability, and explainability.
* Lead the evolution of ML systems, tooling, and processes — ensuring that our wildfire fuelscape models remain state\-of\-the\-art and maintainable.
* Collaborate with MLOps peers to streamline training, inference, and monitoring in production environments.
**About You**
* You thrive at the intersection of machine learning, geospatial data, and environmental science, and are motivated by the opportunity to reduce wildfire risk through data\-driven insights.
* You love working in a remote\-first, fast\-moving environment where collaboration and adaptability are essential.
* 10\+ years of experience designing and building production\-grade ML pipelines and systems – but don’t filter yourself out if you feel you’re a strong candidate with 6\+ years.
* Strong background in deep learning, computer vision, or remote sensing.
* Skilled in designing end\-to\-end ML systems — from data ingestion and preprocessing to deployment and monitoring.
* Hands\-on experience with frameworks like PyTorch, TensorFlow, XGBoost, or LightGBM, and data tools like Dask, Spark, or GeoPandas.
* Familiarity with GCP and Vertex AI, or similar cloud\-based ML platforms.
* Strong communication skills and ability to collaborate across technical and scientific domains.
* Comfortable leading architectural discussions and mentoring other engineers.
* You are based in the US or Canada.
**Nice\-to\-haves**
* Background in wildfire science, forestry, or remote sensing.
* Experience integrating physics\-based models with ML or working with active learning and uncertainty quantification.
* Experience in model interpretability and data provenance for environmental ML systems.
* Experience with deep learning models for weather or climate data.
* Experience in remote\-first or globally distributed teams.
**What You Get**
* To be part of truly mission\-driven work that reduces wildfires, protects Earth’s natural resources, and helps solve our climate crisis.
* Flexible working environment with a lot of autonomy. We build our work days around our lives, not the other way around.
* Other benefits like a remote working budget, an educational budget, and time to develop new skills.
* To be surrounded by an excellent, vibrant, smart team who have each other's back and believe in a culture of openness, tolerance, and respect.
* Equity and a competitive salary.
**About Our Team**
 We are a group of 100 people from all over the world. Fifteen nationalities are represented in our team. We work remotely from eleven different countries and we are looking for candidates that are also living and working in one of these countries: United States, the Netherlands, United Kingdom, Ireland, Estonia, Portugal, France, Sweden, Denmark, Switzerland, and Canada. We meet up once a year in\-person for our unforgettable team gathering event. We also offer the option to occasionally meet up for in\-person collaboration.
**Diversity \&amp; Inclusion**
 We place enormous value on diversity and inclusion and strive to continually bring in people of all genders, races, creeds, ethnicities, abilities and backgrounds. We believe that the best ideas emerge when people with different perspectives and approaches work together on a problem.
 We’re always looking to diversify our team further, but we’re proud of the fact that four out of the nine people on our leadership team are female, 46% of the overall team are female and 20% of the team are people of color. Our team speaks fifteen languages: English, Dutch, French, Spanish, German, Italian, Portuguese, Russian, Luxembourgish, Lithuanian, Bulgarian, Cantonese, Estonian, Danish and Korean.
**Our values**
**Tackling the climate crisis is our greatest mission.**
 We act with urgency.
**Our curiosity fuels our growth.**
 We recognize that change is constant, and we find joy and power in exploration.
**We’re rooted in diversity.**
 Just as ecosystems need biodiversity to thrive, our resiliency comes from our differences.
**We Care For Each Other.**
 We love the power of machines but we nurture each other as humans.
**Trust is fundamental.**
 We assume the best in everyone, and we share ideas openly so that we have a positive impact.
 \_\_\_\_\_\_\_\_\_\_\_\_\_\_\_\_\_\_\_\_\_\_\_\_\_\_\_\_\_\_\_\_\_
**Use of AI in Our Hiring Process**
*We sometimes use AI tools to support parts of our hiring process, such as helping us manage applications more efficiently or ensuring job descriptions are clear and inclusive. But don’t worry, all hiring decisions are always made by people, not machines. Any data processed by AI is handled securely in line with GDPR and our Privacy Notice.*</t>
        </is>
      </c>
    </row>
    <row r="49">
      <c r="A49" t="inlineStr">
        <is>
          <t>li-4368826017</t>
        </is>
      </c>
      <c r="B49" t="inlineStr">
        <is>
          <t>Staff Machine Learning Engineer, Ad Ranking, Level 6</t>
        </is>
      </c>
      <c r="C49" t="inlineStr">
        <is>
          <t>Snap Inc.</t>
        </is>
      </c>
      <c r="D49" t="inlineStr">
        <is>
          <t>linkedin</t>
        </is>
      </c>
      <c r="E49" t="inlineStr"/>
      <c r="F49" t="inlineStr"/>
      <c r="G49" t="inlineStr">
        <is>
          <t>Los Angeles, CA</t>
        </is>
      </c>
      <c r="H49" t="inlineStr"/>
      <c r="I49"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We’re looking for a Staff Machine Learning Engineer to join the Ad Ranking team at Snap!
 What you’ll do:
* Set and drive the technical direction for the Ad Ranking team and advance the core ML capabilities of the ad optimization stack
* Design, build, and deploy machine learning solutions to support Snap's monetization strategies
* Own outcomes for large, cross\-team ML initiatives, from problem definition through long\-term iteration and impact
* Establish technical vision and roadmaps, and resolve complex technical tradeoffs across teams
* Influence and mentor engineers across org boundaries through technical leadership and collaboration
 Knowledge, Skills \&amp; Abilities:
* Strong understanding of machine learning and deep learning approaches and algorithms, and their applications to advertising, recommendation, and/or search domain
* Experience working for a team whose primary output is online ranking / recommendation models
* Ability to design, train, and optimize advanced machine learning models
* Ability to proactively learn new concepts and technology and apply them at work
* Skilled at solving open ambiguous problems
* Strong collaboration and mentorship skills
 Minimum Qualifications:
* Bachelor's Degree in a relevant technical field such as computer science or equivalent years of practical work experience
* 8\+ years of post\-Bachelor’s machine learning experience; or Master’s degree in a technical field \+ 7\+ year of post\-grad machine learning experience; or PhD in a relevant technical field \+ 4 years of post\-grad machine learning experience
* Experience developing machine learning models for ranking, recommendations, search, advertising, image generation, or other relevant applications of machine learning
 Preferred Qualifications:
* Experience in online advertising, including ad targeting, ranking, auction, and/or marketplace optimization.
* Advanced degree in computer science or related field
* Experience working with machine learning frameworks such as TensorFlow, Caffe2, PyTorch, Spark ML, scikit\-learn, or related frameworks
* Experience working with machine learning, ranking infrastructures, and system design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$229,000\-$343,000 annually.
 Zone B:
 The base salary range for this position is $218,000\-$326,000 annually.
 Zone C:
 The base salary range for this position is $195,000\-$292,000 annually.
 This position is eligible for equity in the form of RSUs.</t>
        </is>
      </c>
    </row>
    <row r="50">
      <c r="A50" t="inlineStr">
        <is>
          <t>li-4369075558</t>
        </is>
      </c>
      <c r="B50" t="inlineStr">
        <is>
          <t>Principal Applied AI Engineer</t>
        </is>
      </c>
      <c r="C50" t="inlineStr">
        <is>
          <t>Microsoft</t>
        </is>
      </c>
      <c r="D50" t="inlineStr">
        <is>
          <t>linkedin</t>
        </is>
      </c>
      <c r="E50" t="inlineStr"/>
      <c r="F50" t="inlineStr"/>
      <c r="G50" t="inlineStr"/>
      <c r="H50" t="inlineStr"/>
      <c r="I50" t="inlineStr">
        <is>
          <t>**Overview**
 Microsoft Dynamics 365 powers mission\-critical business operations across the globe. Within this ecosystem, the
 **Customer Experience Applications (CX Apps)** 
 team delivers Dynamics 365 Sales and Service an AI\-native solution enabling organizations to build intelligent, scalable, and omnichannel customer service operations through voice, chat, SMS, and more.
 As a
 **Principal Applied AI Engineer** 
 , you will be a principal technical leader responsible for driving the architecture, design, and implementation of AI\-first experiences across the Dynamics 365 Sales and Service platform. This role blends deep AI/ML expertise with modern software engineering excellence, applied at scale to mission\-critical enterprise SaaS applications.
 You will work across boundaries partnering with engineering, product, design, data science, and infrastructure teams to deliver intelligent, secure, and customer\-centric solutions. You will influence strategic decisions, guide junior engineers, and contribute directly to production systems used by some of the world’s largest enterprises.
 We are looking for a results\-driven, hands\-on technical leader who thrives in fast\-paced environments, thinks end\-to\-end, and brings both a strong systems mindset and deep AI/ML experience to solve enterprise\-grade challenges.
 This is an opportunity to be part of a high\-impact, high\-visibility product group at Microsoft. You’ll help define how AI reshapes enterprise customer service experiences and build intelligent systems that empower agents, improve customer satisfaction, and transform businesses worldwide.
 If you’re excited about solving real\-world problems with AI, working in a fast\-moving, collaborative engineering team, and building durable, customer\-centric solutions at scale—we’d love to hear from you.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As a Principal Engineer, you will:
* Own architecture, strategy, and execution of AI\-powered features across Dynamics 365 Sales and Service, ensuring technical alignment with Microsoft’s cloud\-scale services and AI platform direction.
* Design and deliver production\-ready AI solutions that leverage large language models (LLMs), natural language understanding, speech, and real\-time reasoning to improve agent productivity and customer satisfaction.
* Lead complex technical initiatives, including AI model integration, platform scalability, reliability, and long\-term maintainability.
* Collaborate deeply with applied scientists, product managers, and UX teams to translate customer needs into intelligent capabilities that deliver measurable business value.
* Drive engineering rigor across the team by establishing high standards for code quality, observability, testing, MLOps, and secure deployment practices.
* Mentor engineers across levels, fostering a culture of innovation, inclusivity, and continuous learning.
* Proactively identify technology gaps, evaluate emerging AI frameworks/tools (including open\-source and Azure AI offerings), and champion adoption where appropriate.
* Act as a technical advisor across the broader organization, contributing to cross\-team initiatives and long\-term architectural planning.
**Qualifications**
**Required Qualifications:**
* Bachelor's Degree in Computer Science or related technical field AND 6\+ years technical engineering experience with coding in languages including, but not limited to, C, C\+\+, C\#, Java, JavaScript, or Python
+ OR equivalent experience.
* 2\+ years of experience delivering AI/ML\-based systems at production scale, ideally including LLMs, transformers, RAG pipelines, or similar architectures.
* Demonstrated experience leading engineering teams or cross\-functional initiatives involving AI systems in cloud environments.
*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8\+ years of hands\-on software engineering experience with deep expertise in languages such as C\#, Python, Java, or equivalent.
* Proven track record of designing and deploying AI\-first applications at scale, with deep understanding of performance, privacy, compliance, and operational constraints in enterprise SaaS.
* Expertise in MLOps/LLMOps, including model versioning, retraining pipelines, A/B testing, monitoring, and rollout strategies.
* Deep knowledge of cloud platforms (preferably Azure) and experience deploying containerized AI services using Kubernetes, Docker, or similar.
* Hands\-on experience integrating models from Azure AI, OpenAI, HuggingFace, or custom\-trained models into scalable application pipelines.
* Strong architectural and systems thinking—capable of making trade\-offs between performance, cost, simplicity, and maintainability.
* Exceptional written and verbal communication skills with the ability to influence across roles and levels.
* Experience working in highly regulated or secure environments, including Zero Trust, privacy, and compliance practices.
* Prior experience working with or building solutions for customer service, CRM, or enterprise productivity scenarios is a strong plus.
 \#BICJobs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1">
      <c r="A51" t="inlineStr">
        <is>
          <t>li-4377827921</t>
        </is>
      </c>
      <c r="B51" t="inlineStr">
        <is>
          <t>Principal Applied AI Engineer</t>
        </is>
      </c>
      <c r="C51" t="inlineStr">
        <is>
          <t>Microsoft</t>
        </is>
      </c>
      <c r="D51" t="inlineStr">
        <is>
          <t>linkedin</t>
        </is>
      </c>
      <c r="E51" t="inlineStr"/>
      <c r="F51" t="inlineStr"/>
      <c r="G51" t="inlineStr">
        <is>
          <t>Redmond, WA</t>
        </is>
      </c>
      <c r="H51" t="inlineStr"/>
      <c r="I51" t="inlineStr">
        <is>
          <t>**Overview**
 Microsoft Dynamics 365 powers mission\-critical business operations across the globe. Within this ecosystem, the Customer Experience Applications (CX Apps) team delivers Dynamics 365 Sales and Service an AI\-native solution enabling organizations to build intelligent, scalable, and omnichannel customer service operations through voice, chat, SMS, and more.
 As a
 **Principal Applied AI Engineer** 
 , you will be a principal technical leader responsible for driving the architecture, design, and implementation of AI\-first experiences across the Dynamics 365 Sales and Service platform. This role blends deep AI/ML expertise with modern software engineering excellence, applied at scale to mission\-critical enterprise SaaS applications.
 You will work across boundaries partnering with engineering, product, design, data science, and infrastructure teams to deliver intelligent, secure, and customer\-centric solutions. You will influence strategic decisions, guide junior engineers, and contribute directly to production systems used by some of the world’s largest enterprises.
 We are looking for a results\-driven, hands\-on technical leader who thrives in fast\-paced environments, thinks end\-to\-end, and brings both a strong systems mindset and deep AI/ML experience to solve enterprise\-grade challenges.
 This is an opportunity to be part of a high\-impact, high\-visibility product group at Microsoft. You’ll help define how AI reshapes enterprise customer service experiences and build intelligent systems that empower agents, improve customer satisfaction, and transform businesses worldwide.
 If you’re excited about solving real\-world problems with AI, working in a fast\-moving, collaborative engineering team, and building durable, customer\-centric solutions at scale—we’d love to hear from you.
**Responsibilities**
 As a Principal Engineer, you will:
* Own architecture, strategy, and execution of AI\-powered features across Dynamics 365 Sales and Service, ensuring technical alignment with Microsoft’s cloud\-scale services and AI platform direction.
* Design and deliver production\-ready AI solutions that leverage large language models (LLMs), natural language understanding, speech, and real\-time reasoning to improve agent productivity and customer satisfaction.
* Lead complex technical initiatives, including AI model integration, platform scalability, reliability, and long\-term maintainability.
* Collaborate deeply with applied scientists, product managers, and UX teams to translate customer needs into intelligent capabilities that deliver measurable business value.
* Drive engineering rigor across the team by establishing high standards for code quality, observability, testing, MLOps, and secure deployment practices.
* Mentor engineers across levels, fostering a culture of innovation, inclusivity, and continuous learning.
* Proactively identify technology gaps, evaluate emerging AI frameworks/tools (including open\-source and Azure AI offerings), and champion adoption where appropriate.
* Act as a technical advisor across the broader organization, contributing to cross\-team initiatives and long\-term architectural planning.
**Qualifications**
**Required Qualifications:**
* Bachelor's Degree in Computer Science or related technical field AND 6\+ years technical engineering experience with coding in languages including, but not limited to, C, C\+\+, C\#, Java, JavaScript, or Python
+ OR equivalent experience.
* 2\+ years of experience delivering AI/ML\-based systems at production scale, ideally including LLMs, transformers, RAG pipelines, or similar architectures.
* Demonstrated experience leading engineering teams or cross\-functional initiatives involving AI systems in cloud environments.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 Microsoft Cloud background check upon hire/transfer and every two years thereafter.
**Preferred Qualifications**
* 8\+ years of hands\-on software engineering experience with deep expertise in languages such as C\#, Python, Java, or equivalent.
* Proven track record of designing and deploying AI\-first applications at scale, with deep understanding of performance, privacy, compliance, and operational constraints in enterprise SaaS.
* Expertise in MLOps/LLMOps, including model versioning, retraining pipelines, A/B testing, monitoring, and rollout strategies.
* Deep knowledge of cloud platforms (preferably Azure) and experience deploying containerized AI services using Kubernetes, Docker, or similar.
* Hands\-on experience integrating models from Azure AI, OpenAI, HuggingFace, or custom\-trained models into scalable application pipelines.
* Strong architectural and systems thinking—capable of making trade\-offs between performance, cost, simplicity, and maintainability.
* Exceptional written and verbal communication skills with the ability to influence across roles and levels.
* Experience working in highly regulated or secure environments, including Zero Trust, privacy, and compliance practices.
* Prior experience working with or building solutions for customer service, CRM, or enterprise productivity scenarios is a strong plus.
 \#BICJobs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2">
      <c r="A52" t="inlineStr">
        <is>
          <t>li-4376753347</t>
        </is>
      </c>
      <c r="B52" t="inlineStr">
        <is>
          <t>Senior Lead AI Engineer (AI Foundations, LLM Core and Agentic AI)</t>
        </is>
      </c>
      <c r="C52" t="inlineStr">
        <is>
          <t>TalentAlly</t>
        </is>
      </c>
      <c r="D52" t="inlineStr">
        <is>
          <t>linkedin</t>
        </is>
      </c>
      <c r="E52" t="inlineStr"/>
      <c r="F52" t="inlineStr"/>
      <c r="G52" t="inlineStr">
        <is>
          <t>San Jose, CA</t>
        </is>
      </c>
      <c r="H52" t="inlineStr"/>
      <c r="I52"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6 years of experience developing AI and ML algorithms or technologies, or a Master's degree in Computer Science, AI, Electrical Engineering, Computer Engineering, or related fields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$229,900 \- $262,400 for Sr. Lead AI Engineer
 McLean, VA: $229,900 \- $262,400 for Sr. Lead AI Engineer
 New York, NY: $250,800 \- $286,200 for Sr. Lead AI Engineer
 San Francisco, CA: $250,800 \- $286,200 for Sr. Lead AI Engineer
 San Jose, CA: $250,800 \- $286,200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PDN\-a12948e5\-d9e1\-48ec\-9d81\-bb3d52974cbc</t>
        </is>
      </c>
    </row>
    <row r="53">
      <c r="A53" t="inlineStr">
        <is>
          <t>li-4361527992</t>
        </is>
      </c>
      <c r="B53" t="inlineStr">
        <is>
          <t>Staff AI Engineer - Utah</t>
        </is>
      </c>
      <c r="C53" t="inlineStr">
        <is>
          <t>Podium</t>
        </is>
      </c>
      <c r="D53" t="inlineStr">
        <is>
          <t>linkedin</t>
        </is>
      </c>
      <c r="E53" t="inlineStr"/>
      <c r="F53" t="inlineStr"/>
      <c r="G53" t="inlineStr">
        <is>
          <t>Lehi, UT</t>
        </is>
      </c>
      <c r="H53" t="inlineStr"/>
      <c r="I53" t="inlineStr">
        <is>
          <t>At Podium, we bring AI Employees to local businesses that turn every conversation into revenue. Trusted by 60,000\+ businesses across Auto, Home Services, and Aesthetics, Podium captures and converts leads 24/7, driving both new business and repeat customers.
 In under 24 months, we crossed $100M in AI Agent ARR, scaling 300% year\-over\-year. During this time, we’ve deployed 10,000 AI employees to empower real business outcomes for our customers. Podium is building what we believe will be the most impactful AI employee ecosystem for local business.
 Podium has been recognized as the Best AI Implementation by Inc. Magazine, highlighted by OpenAI for building revenue\-driving AI Agents, and awarded the \#1 AI Agent for Business Operations by G2\.
 Our growth is fueled by hiring exceptional people, holding them to high standards, and creating opportunities for them to grow and make an impact. Our
 **operating principles** 
 guide daily behavior and ensure we hire people who will thrive at Podium. If you're hungry for growth, aligned to our operating principles, and ready to get to work, you won't find a better place to learn and accelerate your career.
**Staff AI Engineer**
**The Role**
 We are looking for a talented
 **Staff AI Engineer** 
 to help build and scale our AI Agent platform—a powerful system that autonomously interacts with customers, handling millions of conversations every month. In this role, you’ll design and deliver the software that enables local businesses to manage complex customer interactions automatically, book more appointments, and serve their customers more effectively across multiple channels (e.g., voice, SMS, chat).
 If you thrive in fast\-paced, highly iterative environments, enjoy solving complex distributed systems challenges, and want to see your work drive immediate business impact, this role is for you!
**What You Will Be Doing**
* Build and scale the AI Agent platform — enabling high\-volume, real\-time conversational workflows that deliver accuracy and low latency at scale.
* Design and implement APIs, services, and infrastructure that power multi\-turn, cross\-channel customer interactions.
* Own the full lifecycle: architecture, implementation, deployment, and ongoing reliability.
* Prototype rapidly, iterate with live interaction data, and continuously improve system performance and user experience.
* Implement observability, monitoring, and operational best practices to ensure reliability in production, focusing on agent accuracy and latency.
* Collaborate with engineers, product managers, and AI/ML scientists to deliver end\-to\-end features that power critical business outcomes.
**What You Should Have**
* 10\+ years of professional software engineering experience with at least one modern language such as Go, Python, or Elixir.
* 1\+ years of professional experience deploying and maintaining AI agents in production environments that interact with tools, APIs, or real\-world workflows.
* Proven success designing and maintaining distributed or high\-throughput systems.
* Strong problem\-solving ability and comfort navigating ambiguity in large\-scale systems.
* Excellent communication skills and the ability to work effectively across teams.
* A willingness to work across the entire stack—from infrastructure to APIs to user\-facing components—wherever the problem needs solving.
* Ability to thrive in a fast\-paced environment with shifting priorities.
* Must be willing to work on site, 5 days per week.
**What We Hope You Have**
* 2\+ years of professional experience deploying and maintaining AI agents in production environments that interact with tools, APIs, or real\-world workflows.
* Practical experience designing and implementing evaluations for LLM behavior — including accuracy, safety, reliability, and cost monitoring.
* Strong understanding of prompt design, context engineering, and guardrail strategies for dependable, interpretable agent behavior.
* Experience with modern agent frameworks such as LangGraph, CrewAI, or AutoGen, including multi\-step reasoning, memory, and orchestration patterns.
* Hands\-on experience with fine\-tuning and data curation for improving model performance.
**Why you’ll love working here:** 
* Podium is the best place to work to:
+ Join the leaders in AI agents
+ Unlock career\-defining growth
+ Build with world\-class talent
+ Make a real impact on local business
**Benefits:**
* Open and transparent culture
* Life insurance, long and short\-term disability coverage
* Paid maternity and paternity leave
* Fertility Benefits
* Generous vacation time, plus three 4\-day summer holiday weekends
* Excellent medical, dental, and vision benefits
* 401k Plan with company matching
* Bi\-annual swag drops with cool Podium gear and apparel
*Podium is an equal opportunity employer. Podium provides equal employment opportunities (EEO) to all employees and applicants for employment without regard to race, color, religion, gender, national origin, sexual orientation, gender identity or expression, age, disability, genetic information, marital status or veteran status.*</t>
        </is>
      </c>
    </row>
    <row r="54">
      <c r="A54" t="inlineStr">
        <is>
          <t>li-4208904078</t>
        </is>
      </c>
      <c r="B54" t="inlineStr">
        <is>
          <t>Data Scientist / AI Engineer</t>
        </is>
      </c>
      <c r="C54" t="inlineStr">
        <is>
          <t>Innovative Defense Technologies (IDT)</t>
        </is>
      </c>
      <c r="D54" t="inlineStr">
        <is>
          <t>linkedin</t>
        </is>
      </c>
      <c r="E54">
        <f>HYPERLINK("https://www.linkedin.com/jobs/view/4208904078", "https://www.linkedin.com/jobs/view/4208904078")</f>
        <v/>
      </c>
      <c r="F54" t="inlineStr"/>
      <c r="G54" t="inlineStr">
        <is>
          <t>Arlington, VA</t>
        </is>
      </c>
      <c r="H54" t="inlineStr"/>
      <c r="I54" t="inlineStr">
        <is>
          <t>**Description**
 Background Information:
 Innovative Defense Technologies(IDT), provider of cutting\-edge cloud\-based integration, automated testing and data analysis for complex, mission\-critical systems in the US Department of Defense (DOD), is seeking a Data Scientist/AI Engineer to be based in our Arlington, VA or Mount Laurel, NJ office. Leveraging advanced software automation, model\-based systems engineering (MBSE), and AI\-driven capabilities, IDT accelerates capability development, enhances operational readiness, and reduces lifecycle costs for the Department of Defense. The company is dedicated to transforming defense systems through innovation, efficiency, and mission\-critical results.
 Overview:
 The Data Scientist position offers an engineer the opportunity to showcase their knowledge and talents as part of a collaborative team developing innovative AI and Data Analysis solutions for Innovative Defense Technologies. The responsibilities of this role include leading and supporting feasibility studies, building capabilities to discover explanatory features in high\-dimensionality datasets, and developing and integrating state\-of\-the\-art AI/ML solutions to support mission\-critical software capabilities.
 All applicants must be able to obtain/maintain an active U.S. Security Clearance.
 Responsibilities Include:
* Develop solutions to deliver analytical and AI/ML capabilities from problem formulation to a productized, deployable, maintainable capability
* Leverage state\-of\-the\-art theory and technologies to solve complex problems
* Establish and leverage Big Data frameworks to store, extract and analyze relevant data
* Develop software solutions by understanding customer requirements and program intent
* Determine operational feasibility by evaluating analysis, problem definition, requirements, solution development, and proposed solutions
* Be responsible for solutions that meet software design, quality, and performance requirements
* Work with minimal supervision in a collaborative work environment to implement best\-in\-class solutions
 Minimum Required Qualifications:
* Bachelor’s Degree in Statistics, Data Science, Computer Science, Math, or a quantitative field or equivalent full\-time professional experience required; Master’s Degree in Data Science or other technical field highly preferred
* 3\+ years of experience in predictive modeling, data science and analysis
 Required Skills:
* Previous experience in a ML or data scientist role and a track record of building ML and Data Science capabilities
* Experience working with data mining and ML algorithms including decision trees, probability networks, association rules, clustering, and neural networks
* Experience in and knowledge of mathematical optimization techniques, non\-linear programming, evolutionary and biologically\-inspired optimization algorithms
* In\-depth understanding and knowledge of statistical analysis, sampling, statistical learning theory, and Design of Experiments (DOE)
* Strong proficiency in Python
* Experience using ML libraries, such as scikit\-learn, PyTorch, Keras, etc.
* Knowledge of data and information visualization principles and experience using related tools
 Preferred Skills:
* Strong software engineering background
* Skills with other programming languages, such as Julia, Java or C/C\+\+
* Demonstrated ability to develop experimental and analytic plans for data modeling processes, use of strong baselines, ability to accurately determine cause and effect relations
* Experience with application container platforms
* Familiarity with continuous integration/delivery tools (e.g. Jenkins)
* Familiarity with version control tools (e.g. Subversion, Git, etc.)
* Familiarity with VMware or other virtualization software
* Experience developing applications for DOD command and control systems
* Familiarity with Large Language Models (LLM) and LLM parameter tuning
* Familiarity with network science and graph theory
 Competencies:
* Solid analytical abilities, coupled with a strong sense of ownership, urgency, and drive
* Attention to detail
* Strong sense of intellectual curiosity and desire to learn
* Initiative, creativity, reliability, teamwork
* Ability to deal well with ambiguity, prioritize needs, and deliver results in a dynamic environment
 Price range: $90,000 \- $150,000 or $114,000 \- $184,000
* Pursuant to New Jersey Senate Bill 2310, IDT is required to disclose the “pay scale” or “pay range” associated with a job posting. Notably, however, this amount may not be reflective of actual compensation that may be earned as pay is dependent on a candidate’s experience, skills, and education. The posted range does not include bonuses, commissions, tips, or other benefits. Click here for additional information about New Jersey Senate Bill 2310\. IDT is often looking to place multiple candidates at various levels. Therefore, more than one pay range has been included, commensurate with experience.
 EEO Statement:
 IDT is an Equal Opportunity employer.</t>
        </is>
      </c>
    </row>
    <row r="55">
      <c r="A55" t="inlineStr">
        <is>
          <t>li-4377827914</t>
        </is>
      </c>
      <c r="B55" t="inlineStr">
        <is>
          <t>Applied Scientist II</t>
        </is>
      </c>
      <c r="C55" t="inlineStr">
        <is>
          <t>Microsoft</t>
        </is>
      </c>
      <c r="D55" t="inlineStr">
        <is>
          <t>linkedin</t>
        </is>
      </c>
      <c r="E55">
        <f>HYPERLINK("https://www.linkedin.com/jobs/view/4377827914", "https://www.linkedin.com/jobs/view/4377827914")</f>
        <v/>
      </c>
      <c r="F55" t="inlineStr"/>
      <c r="G55" t="inlineStr"/>
      <c r="H55" t="inlineStr"/>
      <c r="I55" t="inlineStr">
        <is>
          <t>**Overview**
 AI has created an unprecedented opportunity to make work better for hundreds of millions of people. Microsoft’s productivity division is hiring
 **Applied Scientists II** 
 to help ensure we maximize this amazing opportunity. Our scientists collaborate closely with people across Microsoft’s product teams and Microsoft Research to see their ideas realized in products and services like M365, M365 Copilot, Office AI, and Office Products (Excel, PowerPoint, Word, etc.). They also contribute back to the scientific community through peer\-reviewed publications at top venues, scientific presentations, and beyond.
 We are looking for
 **Applied Scientists II** 
 who are creative, self\-driven, curious, people\-oriented and comfortable defining a path through ambiguity towards high\-level goals. Research areas of interest include but are certainly not limited to reinforcement learning, agentic systems multimodal modeling, post\-training techniques and their application, human\-centered artificial intelligence (AI), domain\-specific large language model (LLM) applications (e.g. long\-form writing assistance), personalization, computational social science, memory, agentic retrieval\-augmented generation (RAG), real\-time AI systems, collaborative AI, privacy\-preserving AI, trustworthy AI, data\-centric AI, AI flywheels, and multilingual AI.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Defining, leading, and helping to conduct research projects that simultaneously advance the state\-of\-the\-art and directly benefit Microsoft’s core productivity products.
* Shape product direction by integrating rigorous scientific methods into the product lifecycle.
* Collaborating and coordinating with people in a range of roles, including researchers, engineers, product managers, designers, and other key product stakeholders. Serving as a bridge between research and product.
* Teaching, guiding, and tutoring colleagues without research backgrounds in state\-of\-the\-art techniques and research best practices.
* Sharing your research with others via a range of means, including publication, to enable others to build on your work and to contribute to the understanding of our products as cutting\-edge and science driven.
* Effectively communicating with product leaders (and often Microsoft researchers (MSR)) throughout the planning and execution of applied research projects, which often involves learning and teaching complex concepts.
**Qualifications**
**Required Qualifications:**
* Bachelor's Degree in Statistics, Econometrics, Computer Science, Electrical or Computer Engineering, or related field AND 2\+ years related experience (e.g., statistics, predictive analytics, research) OR Master's Degree in Statistics, Econometrics, Computer Science, Electrical or Computer Engineering, or related field AND 1\+ year(s) related experience (e.g., statistics, predictive analytics, research) OR Doctorate in Statistics, Econometrics, Computer Science, Electrical or Computer Engineering, or related field OR equivalent experience.
**Preferred Qualifications**
* At least one internship or prior role at a leading technology company, or start\-up, or related organizations.
* A record of publications in top\-tier scientific venues (e.g., NeurIPS, ICML, ICLR, ACL, NAACL, KDD, WWW, CHI, PNAS, Nature, EMNLP, CVPR, ICCV, ECCV, CoRL).
* Proven real\-world impact from your research, demonstrated through shipped products, improved user experiences, or other measurable benefits for diverse stakeholders.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Applied Sciences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6">
      <c r="A56" t="inlineStr">
        <is>
          <t>li-4369054073</t>
        </is>
      </c>
      <c r="B56" t="inlineStr">
        <is>
          <t>Applied Scientist, Device Ad Products &amp; Personalization</t>
        </is>
      </c>
      <c r="C56" t="inlineStr">
        <is>
          <t>Amazon</t>
        </is>
      </c>
      <c r="D56" t="inlineStr">
        <is>
          <t>linkedin</t>
        </is>
      </c>
      <c r="E56">
        <f>HYPERLINK("https://www.linkedin.com/jobs/view/4369054073", "https://www.linkedin.com/jobs/view/4369054073")</f>
        <v/>
      </c>
      <c r="F56">
        <f>HYPERLINK("https://www.amazon.jobs/jobs/3173331/applied-scientist-device-ad-products\u002d\u002dpersonalization?cmpid=SPLICX0248M&amp;utm_source=linkedin.com&amp;utm_campaign=cxro&amp;utm_medium=social_media&amp;utm_content=job_posting&amp;ss=paid&amp;urlHash=0XhR", "https://www.amazon.jobs/jobs/3173331/applied-scientist-device-ad-products\u002d\u002dpersonalization?cmpid=SPLICX0248M&amp;utm_source=linkedin.com&amp;utm_campaign=cxro&amp;utm_medium=social_media&amp;utm_content=job_posting&amp;ss=paid&amp;urlHash=0XhR")</f>
        <v/>
      </c>
      <c r="G56" t="inlineStr">
        <is>
          <t>New York, NY</t>
        </is>
      </c>
      <c r="H56" t="inlineStr"/>
      <c r="I56" t="inlineStr">
        <is>
          <t>**Description**
 We are seeking an Applied Scientist for our Device Ad Products science team. This team addresses challenging optimization problems related to how advertisements are priced, selected, allocated and shown to customers on Amazon devices including Fire TV, Alexa and Fire Tablet. As Applied Scientist, you will be responsible for improving advertising performance and delivering innovative advertising experiences for display and video ads on Amazon Devices. This team leads initiatives to improve advertising fundamentals such as relevance, coverage, CTR, and CPSU (cost per sign up for streaming services) which in turn increase advertising revenue across Amazon's devices worldwide. You will own the scoping, implementation, and launch of science based ad solutions and experiences specifically for these entertainment focused environments.
 Key job responsibilities
* Gain a comprehensive understanding of the customer lifecycle journey with Amazon Ads, and develop sophisticated models to optimize various conversion KPIs for enhanced marketing effectiveness.
* Develop scalable data processing pipelines and architectures to ingest, transform, and enrich Customer data from various sources (Retail, Prime Video, FireTV and AppStore).
* Build machine learning models, perform proof\-of\-concept, experiment, optimize, and deploy your models into production; work closely with product managers and engineers to launch your models to customers.
* Drive innovation within your team and partner closely with other scientists, engineers and Product Managers to build science roadmaps
* Establish scalable, efficient, automated processes for large\-scale data analysis, machine\-learning model development, model validation and serving.
* Stay up\-to\-date with the latest advancements in machine learning, natural language processing, knowledge representation, multi\-modal learning and related fields, and identify opportunities to apply them to Advertising Use Cases.
* We are looking for world class researchers with experience in one or more of the following areas of Agentic AI for ads targeting \- autonomous agents, multi agent orchestration, Planning, large multimodal models (especially vision\-language models), reinforcement learning (RL) and sequential decision making.
* Effectively communicate complex science problems and solutions to both technical and non\-technical audiences.
 A day in the life
 In this role, you will regularly work with scientists and technical leaders across the advertising organization, including other science teams, product management, and senior leadership. You will also collaborate with science leaders across Amazon Devices and Prime Video organizations to build company\-wide alignment. You will manage and work closely alongside your team of applied and data scientists to guide them through high\-ambiguity problems and deliver robust, scalable solutions.
**About The Team**
 This role is on Device Ads and Personalization (DAPP) team, which is under Amazon Publisher Monetization (APM). This team has a vision to create innovative Ad experiences on Amazon Devices, providing customers better convenience and more selection.
**Basic Qualifications**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 PhD
* 3\+ years of deep learning, computer vision, human robotic interaction, algorithms implementation experience
* Experience in building speech recognition, machine translation and natural language processing systems (e.g., commercial speech products or government speech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**Company** 
 \- Amazon.com Services LLC
 Job ID: A3173331</t>
        </is>
      </c>
    </row>
    <row r="57">
      <c r="A57" t="inlineStr">
        <is>
          <t>li-4329190427</t>
        </is>
      </c>
      <c r="B57" t="inlineStr">
        <is>
          <t>Senior Applied Scientist</t>
        </is>
      </c>
      <c r="C57" t="inlineStr">
        <is>
          <t>Microsoft</t>
        </is>
      </c>
      <c r="D57" t="inlineStr">
        <is>
          <t>linkedin</t>
        </is>
      </c>
      <c r="E57">
        <f>HYPERLINK("https://www.linkedin.com/jobs/view/4329190427", "https://www.linkedin.com/jobs/view/4329190427")</f>
        <v/>
      </c>
      <c r="F57">
        <f>HYPERLINK("https://apply.careers.microsoft.com/careers/job/1970393556630600?utm_source=linkedin&amp;domain=microsoft.com&amp;src=LinkedIn&amp;urlHash=HmOv", "https://apply.careers.microsoft.com/careers/job/1970393556630600?utm_source=linkedin&amp;domain=microsoft.com&amp;src=LinkedIn&amp;urlHash=HmOv")</f>
        <v/>
      </c>
      <c r="G57" t="inlineStr">
        <is>
          <t>Redmond, WA</t>
        </is>
      </c>
      <c r="H57" t="inlineStr"/>
      <c r="I57" t="inlineStr">
        <is>
          <t>**Overview**
 We seek a Senior Applied Scientist with expertise in Machine Learning, Generative AI, Agentic Modeling, Data Science, or related areas. The ideal candidate should be passionate about generative modeling, experimental prompt tuning, and large\-scale modeling optimization. The candidate should have hands\-on experience on working with LLMs, or SLMs such as Qwen, Llama or its variants. Microsoft AI unites product, engineering, and science teams to advance Bing and Consumer Copilot, aiming to provide the best generative search experience through advanced AI/ML technologies and innovative AI features.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Building and owning production machine learning models to improve results.
* Working hands on with SOTA generative models like Qwen, Llama, Mistral, GPT and others, to deliver big impact.
* Finding insights and forming hypothesis on large\-scale data with various machine learning, feature engineering, statistical, and data mining techniques: e.g. regression, classification, NLP, optimization.
* Professional working experience on prompt engineering with large LLMs like GPT, Gemini, Claude etc.
* Designing experiments, understanding the resulting data, and producing actionable, trustworthy conclusions from them.
* Wrangling large amounts of data (think petabytes) using various tools, including open\-source ones and your own. All programming languages are welcome, especially Python, C\#, R, C\+\+, Java, and SQL.
* Taking complex problems and the associated data and giving the answers in a concise form to assist senior executives in making key business decisions.
**Qualifications**
**Required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**Preferred Qualifications**
* Proficient oral and writing skills.
 \#MicrosoftAI \#ML \#GenAI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8">
      <c r="A58" t="inlineStr">
        <is>
          <t>li-4202085097</t>
        </is>
      </c>
      <c r="B58" t="inlineStr">
        <is>
          <t>Principal Applied Scientist- AI</t>
        </is>
      </c>
      <c r="C58" t="inlineStr">
        <is>
          <t>UiPath</t>
        </is>
      </c>
      <c r="D58" t="inlineStr">
        <is>
          <t>linkedin</t>
        </is>
      </c>
      <c r="E58">
        <f>HYPERLINK("https://www.linkedin.com/jobs/view/4202085097", "https://www.linkedin.com/jobs/view/4202085097")</f>
        <v/>
      </c>
      <c r="F58" t="inlineStr"/>
      <c r="G58" t="inlineStr">
        <is>
          <t>Bellevue, WA</t>
        </is>
      </c>
      <c r="H58" t="inlineStr"/>
      <c r="I58" t="inlineStr">
        <is>
          <t>**Life at UiPath**
 The people at UiPath believe in the transformative power of automation to change how the world works. We’re committed to creating category\-leading enterprise software that unleashes that power.
 To make that happen, we need people who are curious, self\-propelled, generous, and genuine. People who love being part of a fast\-moving, fast\-thinking growth company. And people who care—about each other, about UiPath, and about our larger purpose.
 Could that be you?
 As a
 **Principal Applied Scientist** 
 at UiPath, you’ll drive the frontier of machine learning research and development, crafting the foundation for transformative product innovations. This is a hands\-on, leadership role at the intersection of applied research, engineering, and strategy—where you'll influence the technical direction of our most advanced ML initiatives.
 We are seeking a scientist with a proven track record of leading high\-impact research and deploying cutting\-edge machine learning systems at scale. You should be deeply curious about AI and ML, committed to pushing boundaries, and motivated to solve real\-world automation problems in scalable and innovative ways.
 The ideal candidate has substantial experience designing and executing complex experiments, building high\-performance ML systems, and mentoring teams. Above all, we value collaboration, humility, technical excellence, and a bias for action.
**Background**
 This role is with the
 **UiPath advanced machine learning research group** 
 , which builds large multi\-modal models designed to act and operate software like humans. Our mission is to push the boundaries of AI in pursuit of useful general intelligence for enterprise automation.
**What You’ll Do At UiPath**
* Lead the design and development of state\-of\-the\-art machine learning and deep learning systems for real\-world production environments.
* Innovate in NLP, NLU, NLG, computer vision, and multi\-modal learning to drive breakthroughs in software automation.
* Define and drive the roadmap for scalable ML infrastructure and research\-to\-production pipelines.
* Architect experiments, conduct in\-depth benchmarking, and analyze large\-scale datasets to evaluate and improve model performance.
* Collaborate cross\-functionally with engineering, product, and research teams to integrate ML systems into UiPath products.
* Mentor and guide other scientists and engineers, providing technical leadership and fostering a culture of innovation and rigor.
* Stay ahead of industry and academic advancements, influencing the company’s research strategy and sharing insights across the organization.
**What You’ll Bring To The Team**
* PhD or MS in Computer Science, Machine Learning, Statistics, or a related field.
* 5\+ years of experience in machine learning research and large\-scale system deployment.
* Deep expertise in areas such as natural language processing, computer vision, multimodal learning, or reinforcement learning.
* Demonstrated success leading ML projects from research to production.
* Strong programming skills in Python and proficiency with ML frameworks such as TensorFlow, PyTorch, or JAX.
* Experience working with large\-scale datasets and cloud\-based ML infrastructure.
* Excellent communication skills with a collaborative and mentoring mindset.
* Prior experience in automation, RPA, or related enterprise AI applications is a plus.
* Candidates must be authorized to work in the United States for this role.
 Maybe you don’t tick all the boxes above—but still think you’d be great for the job? Go ahead, apply anyway. Please. Because we know that experience comes in all shapes and sizes—and passion can’t be learned.
 Many of our roles allow for flexibility in when and where work gets done. Depending on the needs of the business and the role, the number of hybrid, office\-based, and remote workers will vary from team to team. Applications are assessed on a rolling basis and there is no fixed deadline for this requisition. The application window may change depending on the volume of applications received or may close immediately if a qualified candidate is selected.
 We value a range of diverse backgrounds, experiences and ideas. We pride ourselves on our diversity and inclusive workplace that provides equal opportunities to all persons regardless of age, race, color, religion, sex, sexual orientation, gender identity, and expression, national origin, disability, neurodiversity, military and/or veteran status, or any other protected classes. Additionally, UiPath provides reasonable accommodations for candidates on request and respects applicants' privacy rights. To review these and other legal disclosures, visit our privacy policy.
 Compensation Range: $200K \- $290K</t>
        </is>
      </c>
    </row>
    <row r="59">
      <c r="A59" t="inlineStr">
        <is>
          <t>li-4328918475</t>
        </is>
      </c>
      <c r="B59" t="inlineStr">
        <is>
          <t>Senior Applied Scientist</t>
        </is>
      </c>
      <c r="C59" t="inlineStr">
        <is>
          <t>Microsoft</t>
        </is>
      </c>
      <c r="D59" t="inlineStr">
        <is>
          <t>linkedin</t>
        </is>
      </c>
      <c r="E59">
        <f>HYPERLINK("https://www.linkedin.com/jobs/view/4328918475", "https://www.linkedin.com/jobs/view/4328918475")</f>
        <v/>
      </c>
      <c r="F59" t="inlineStr"/>
      <c r="G59" t="inlineStr">
        <is>
          <t>Redmond, WA</t>
        </is>
      </c>
      <c r="H59" t="inlineStr"/>
      <c r="I59" t="inlineStr">
        <is>
          <t>**Overview**
 Be at the forefront of AI by joining M365 Copilot team and take part in shaping the future of AI\-powered user experiences across multiple Microsoft platforms. As an Senior Applied Scientist, you will transform how M365 users conduct Deep Research by finetuning LLMs, chain of thought techniques, intelligent information retrieval techniques or through agent orchestration. These innovations will enhance M365 Chat, Researcher agent, Windows Companions, or highly personalized search and recommendations systems in widely used office applications.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You will master and gain expertise in broad areas of AI and ML, including trending research techniques.
* You’ll also gain deep knowledge of building enterprise intelligence on office user’s data.
* You will review business requirements and incorporate research to meet business goals.
* You ‘ll provide strategic direction for the kinds of data used to solve problems and apply deep subject matter knowledge to support business impact.
* You will participate in onboarding of junior team members and assist in developing academics to be members of multidiscipline teams.
* You’ll identify new research talent to join Microsoft and collaborate with the academic community to develop the recruiting pipeline.
* You will document work in progress and experimentation results and share findings to promote innovation.
* You’ll also use your deep understanding of fairness and bias to contribute to ethics and privacy policies related to research processes and data collection.
* You will collaborate with a multidisciplinary team to create scalable and ethical AI solutions.
**Qualifications**
**Required Qualifications:**
* Doctorate in Data Science, Mathematics, Statistics, Econometrics, Economics, Operations Research, Computer Science, or related field AND 1\+ year(s) data\-science experience (e.g., managing structured and unstructured data, applying statistical techniques and reporting results)
+ OR Master's Degree in Data Science, Mathematics, Statistics, Econometrics, Economics, Operations Research, Computer Science, or related field AND 3\+ years data\-science experience (e.g., managing structured and unstructured data, applying statistical techniques and reporting results)
+ OR Bachelor's Degree in Data Science, Mathematics, Statistics, Econometrics, Economics, Operations Research, Computer Science, or related field AND 5\+ years data\-science experience (e.g., managing structured and unstructured data, applying statistical techniques and reporting results)
+ OR equivalent experience.
**Preferred Qualifications**
* Doctorate in Data Science, Mathematics, Statistics, Econometrics, Economics, Operations Research, Computer Science, or related field AND 3\+ years data\-science experience (e.g., managing structured and unstructured data, applying statistical techniques and reporting results)
+ OR Master's Degree in Data Science, Mathematics, Statistics, Econometrics, Economics, Operations Research, Computer Science, or related field AND 5\+ years data\-science experience (e.g., managing structured and unstructured data, applying statistical techniques and reporting results)
+ OR Bachelor's Degree in Data Science, Mathematics, Statistics, Econometrics, Economics, Operations Research, Computer Science, or related field AND 7\+ years data\-science experience (e.g., managing structured and unstructured data, applying statistical techniques and reporting results)
+ OR equivalent experience. 3\+ years experience creating publications (e.g., patents, libraries, peer\-reviewed academic papers).
* 3\+ years experience conducting research as part of a research program (in academic or industry settings).
* 1\+ year(s) experience developing and deploying live production systems, as part of a product team.
* 1\+ year(s) experience developing and deploying live production systems, with LLM's (Large Language Models)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60">
      <c r="A60" t="inlineStr">
        <is>
          <t>li-4377834825</t>
        </is>
      </c>
      <c r="B60" t="inlineStr">
        <is>
          <t>Senior Applied Scientist</t>
        </is>
      </c>
      <c r="C60" t="inlineStr">
        <is>
          <t>Microsoft</t>
        </is>
      </c>
      <c r="D60" t="inlineStr">
        <is>
          <t>linkedin</t>
        </is>
      </c>
      <c r="E60">
        <f>HYPERLINK("https://www.linkedin.com/jobs/view/4377834825", "https://www.linkedin.com/jobs/view/4377834825")</f>
        <v/>
      </c>
      <c r="F60" t="inlineStr"/>
      <c r="G60" t="inlineStr">
        <is>
          <t>Redmond, WA</t>
        </is>
      </c>
      <c r="H60" t="inlineStr"/>
      <c r="I60" t="inlineStr">
        <is>
          <t>**Overview**
 You’ll join the asset generation team in Microsoft AI focusing on image and video retrieval, recommendation and generation. You will build core generative AI solutions that power customer\-facing AI solutions and services for Microsoft Advertising at Bing platforms. In this role, you’ll combine solid computer vision skills with applied ML expertise to design, prototype, evaluate and ship production systems—using techniques like knowledge distillation, prompt engineering, reinforcement learning, image/video processing and rigorous evaluation/metrics to continuously improve image and video asset qualities. You’ll partner closely across product, research, and service engineering to deliver the innovative and robust solutions for enterprise customers.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Research, develop, and build effective and innovative production\-grade generative AI and classical computer vision systems, with end\-to\-end ownership from concept through deployment and service operations.
* Lead technical design for core GenAI capabilities on image and video assets (e.g., image and video generation, super\-resolution and summarization) and make data\-driven tradeoffs across quality, latency, cost, and safety.
* Define and improve model and system quality using evaluation frameworks, experiment design, and metric evaluation; ensure robust testing and regression coverage.
* Collaborate with the partner teams to build solutions that meet enterprise requirements and align with customer needs and make business impact.
**Qualifications**
**Required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**Preferred Qualifications**
* Master's Degree in Statistics, Econometrics, Computer Science, Electrical or Computer Engineering, or related field AND 6\+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 Demonstrated solid modelling skills in training and inferencing on online and offline computer vision models and related performance optimization for latency and artifact.
* Experience with prompt engineering, knowledge distillation and post\-training.
* Experience building and shipping generative AI systems (including image and video systems).
* Familiarity with compliance and security standards in enterprise AI solutions.
* Track record of delivering enterprise\-facing AI products at scale.
* Experience building and operating ML/AI systems in cloud environments; familiarity with MLOps practices (Azure a plus).
* Experience in publishing papers in top\-tier computer vision and machine learning conferences such as CVPR, ICML, ICCV, Neurips and ICLR.
 \#MicrosoftAI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61">
      <c r="A61" t="inlineStr">
        <is>
          <t>li-4346123109</t>
        </is>
      </c>
      <c r="B61" t="inlineStr">
        <is>
          <t>Senior Applied Scientist, Distributed SQL</t>
        </is>
      </c>
      <c r="C61" t="inlineStr">
        <is>
          <t>Amazon Web Services (AWS)</t>
        </is>
      </c>
      <c r="D61" t="inlineStr">
        <is>
          <t>linkedin</t>
        </is>
      </c>
      <c r="E61">
        <f>HYPERLINK("https://www.linkedin.com/jobs/view/4346123109", "https://www.linkedin.com/jobs/view/4346123109")</f>
        <v/>
      </c>
      <c r="F61">
        <f>HYPERLINK("https://www.amazon.jobs/jobs/3148444/senior-applied-scientist-distributed-sql?cmpid=SPLICX0248M&amp;utm_source=linkedin.com&amp;utm_campaign=cxro&amp;utm_medium=social_media&amp;utm_content=job_posting&amp;ss=paid&amp;urlHash=4Zha", "https://www.amazon.jobs/jobs/3148444/senior-applied-scientist-distributed-sql?cmpid=SPLICX0248M&amp;utm_source=linkedin.com&amp;utm_campaign=cxro&amp;utm_medium=social_media&amp;utm_content=job_posting&amp;ss=paid&amp;urlHash=4Zha")</f>
        <v/>
      </c>
      <c r="G61" t="inlineStr">
        <is>
          <t>Seattle, WA</t>
        </is>
      </c>
      <c r="H61" t="inlineStr"/>
      <c r="I61" t="inlineStr">
        <is>
          <t>**Description**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
**Company** 
 \- Amazon Development Center U.S., Inc.
 Job ID: A3148444</t>
        </is>
      </c>
    </row>
    <row r="62">
      <c r="A62" t="inlineStr">
        <is>
          <t>li-4292582083</t>
        </is>
      </c>
      <c r="B62" t="inlineStr">
        <is>
          <t>Sr. Applied Scientist - Privacy, Privacy Engineering</t>
        </is>
      </c>
      <c r="C62" t="inlineStr">
        <is>
          <t>Amazon</t>
        </is>
      </c>
      <c r="D62" t="inlineStr">
        <is>
          <t>linkedin</t>
        </is>
      </c>
      <c r="E62">
        <f>HYPERLINK("https://www.linkedin.com/jobs/view/4292582083", "https://www.linkedin.com/jobs/view/4292582083")</f>
        <v/>
      </c>
      <c r="F62">
        <f>HYPERLINK("https://www.amazon.jobs/jobs/2997657/sr-applied-scientist\u002d\u002dprivacy-privacy-engineering?cmpid=SPLICX0248M&amp;utm_source=linkedin.com&amp;utm_campaign=cxro&amp;utm_medium=social_media&amp;utm_content=job_posting&amp;ss=paid&amp;urlHash=P282", "https://www.amazon.jobs/jobs/2997657/sr-applied-scientist\u002d\u002dprivacy-privacy-engineering?cmpid=SPLICX0248M&amp;utm_source=linkedin.com&amp;utm_campaign=cxro&amp;utm_medium=social_media&amp;utm_content=job_posting&amp;ss=paid&amp;urlHash=P282")</f>
        <v/>
      </c>
      <c r="G62" t="inlineStr">
        <is>
          <t>Santa Clara, CA</t>
        </is>
      </c>
      <c r="H62" t="inlineStr"/>
      <c r="I62" t="inlineStr">
        <is>
          <t>**Description**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A2997657</t>
        </is>
      </c>
    </row>
    <row r="63">
      <c r="A63" t="inlineStr">
        <is>
          <t>li-4244509790</t>
        </is>
      </c>
      <c r="B63" t="inlineStr">
        <is>
          <t>Sr. Applied Scientist, AGI Info</t>
        </is>
      </c>
      <c r="C63" t="inlineStr">
        <is>
          <t>Amazon</t>
        </is>
      </c>
      <c r="D63" t="inlineStr">
        <is>
          <t>linkedin</t>
        </is>
      </c>
      <c r="E63">
        <f>HYPERLINK("https://www.linkedin.com/jobs/view/4244509790", "https://www.linkedin.com/jobs/view/4244509790")</f>
        <v/>
      </c>
      <c r="F63" t="inlineStr"/>
      <c r="G63" t="inlineStr">
        <is>
          <t>Sunnyvale, CA</t>
        </is>
      </c>
      <c r="H63" t="inlineStr"/>
      <c r="I63" t="inlineStr">
        <is>
          <t>**Description**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WA, BELLEVUE \- 167,100\.00 \- 226,100\.00 USD annually
**Company** 
 \- Amazon.com Services LLC
 Job ID: A2999351</t>
        </is>
      </c>
    </row>
    <row r="64">
      <c r="A64" t="inlineStr">
        <is>
          <t>li-4194476443</t>
        </is>
      </c>
      <c r="B64" t="inlineStr">
        <is>
          <t>Principal Applied Scientist, FAR (Frontier AI &amp; Robotics)</t>
        </is>
      </c>
      <c r="C64" t="inlineStr">
        <is>
          <t>Amazon</t>
        </is>
      </c>
      <c r="D64" t="inlineStr">
        <is>
          <t>linkedin</t>
        </is>
      </c>
      <c r="E64">
        <f>HYPERLINK("https://www.linkedin.com/jobs/view/4194476443", "https://www.linkedin.com/jobs/view/4194476443")</f>
        <v/>
      </c>
      <c r="F64" t="inlineStr"/>
      <c r="G64" t="inlineStr">
        <is>
          <t>San Francisco, CA</t>
        </is>
      </c>
      <c r="H64" t="inlineStr"/>
      <c r="I64" t="inlineStr">
        <is>
          <t>**Description**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 Medical, Dental, and Vision Coverage
* Maternity and Parental Leave Options
* Paid Time Off (PTO)
*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
**Basic Qualifications**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\- 228,700\.00 \- 309,400\.00 USD annually
 USA, WA, Seattle \- 198,900\.00 \- 269,000\.00 USD annually
**Company** 
 \- Amazon.com Services LLC
 Job ID: A2938625</t>
        </is>
      </c>
    </row>
    <row r="65">
      <c r="A65" t="inlineStr">
        <is>
          <t>li-4368828436</t>
        </is>
      </c>
      <c r="B65" t="inlineStr">
        <is>
          <t>Machine Learning Engineer II/ Senior Machine Learning Engineer I, Physical Sciences</t>
        </is>
      </c>
      <c r="C65" t="inlineStr">
        <is>
          <t>Lila Sciences</t>
        </is>
      </c>
      <c r="D65" t="inlineStr">
        <is>
          <t>linkedin</t>
        </is>
      </c>
      <c r="E65">
        <f>HYPERLINK("https://www.linkedin.com/jobs/view/4368828436", "https://www.linkedin.com/jobs/view/4368828436")</f>
        <v/>
      </c>
      <c r="F65" t="inlineStr"/>
      <c r="G65" t="inlineStr">
        <is>
          <t>Cambridge, MA</t>
        </is>
      </c>
      <c r="H65" t="inlineStr"/>
      <c r="I65" t="inlineStr">
        <is>
          <t>**Your Impact at Lila**
 This Machine Learning Engineer for the Physical Sciences team focuses on building and operating end\-to\-end, scalable machine learning workflows that solve a diversity scientific use cases in materials, chemistry and physical sciences. Your work will advance research efforts on state\-of\-the\-art algorithms to build towards scientific superintelligence across today’s greatest challenges in physical sciences.
**What You'll Be Building**
* Design, implement, and maintain end‑to‑end ML pipelines (data ingestion, feature engineering, training, evaluation, deployment, monitoring).
* Productionize models and services with robust testing, observability, and documentation in collaboration with cross\-functional software teams and build CI/CD workflows and automated evaluations to ensure safe, frequent releases.
* Collaborate with domain scientists and platform engineers to translate research insights into performant, scalable systems.
* Contribute to technical design reviews, coding standards, and mentoring of best practices.
**What You’ll Need To Succeed**
* BS/MS/PhD in Computer Science, Engineering, or a related quantitative field, or equivalent industry experience.
* Strong Python software engineering fundamentals (testing, packaging, typing); experience with machine learning frameworks (e.g., PyTorch, Huggingface, etc.).
* Experience deploying ML services to production in cloud\-based infrastructure (FastAPI/GRPC, containers, orchestration, cloud infra).
* Hands‑on experience with model deployment in production systems (LLMs, multimodal models, databases, RAG) with strong debugging and profiling skills.
* Clear communication and collaboration in cross‑functional settings.
**Bonus Points For**
* Exposure to scientific or engineering domains (materials, chemistry, physics) and related data formats/benchmarks.
* GPU optimization experience (CUDA, Triton, compilation, distributed training).
* Prior contributions to open‑source ML or scientific software.
* Experience with workflow orchestration, data provenance, or large‑scale compute environments.
**About Lila**
 Lila Sciences is the world’s first scientific superintelligence platform and autonomous lab for life, chemistry, and materials science.  We are pioneering a new age of boundless discovery by building the capabilities to apply AI to every aspect of the scientific method.  We are introducing scientific superintelligence to solve humankind's greatest challenges, enabling scientists to bring forth solutions in human health, climate, and sustainability at a pace and scale never experienced before. Learn more about this mission at  www.lila.ai
 If this sounds like an environment you’d love to work in, even if you only have some of the experience listed below, we encourage you to apply.
**Compensation**
 We expect the base salary for this role to fall between
 **$128,000 – $198,000 USD per year** 
 , along with bonus potential and generous early equity. The final offer will reflect your unique background, expertise, and impact.
**We’re All In**
 Lila Sciences is committed to equal employment opportunity regardless of race, color, ancestry, religion, sex, national origin, sexual orientation, age, citizenship, marital status, disability, gender identity or Veteran status.
 Information you provide during your application process will be handled in accordance with our Candidate Privacy Policy.
**A Note to Agencies**
*Lila Sciences does not accept unsolicited resumes from any source other than candidates. The submission of unsolicited resumes by recruitment or staffing agencies to Lila Sciences or its employees is strictly prohibited unless contacted directly by Lila Science’s internal Talent Acquisition team. Any resume submitted by an agency in the absence of a signed agreement will automatically become the property of Lila Sciences, and Lila Sciences will not owe any referral or other fees with respect thereto.*</t>
        </is>
      </c>
    </row>
    <row r="66">
      <c r="A66" t="inlineStr">
        <is>
          <t>li-4377842748</t>
        </is>
      </c>
      <c r="B66" t="inlineStr">
        <is>
          <t>Machine Learning Engineer</t>
        </is>
      </c>
      <c r="C66" t="inlineStr">
        <is>
          <t>Goliath Partners</t>
        </is>
      </c>
      <c r="D66" t="inlineStr">
        <is>
          <t>linkedin</t>
        </is>
      </c>
      <c r="E66">
        <f>HYPERLINK("https://www.linkedin.com/jobs/view/4377842748", "https://www.linkedin.com/jobs/view/4377842748")</f>
        <v/>
      </c>
      <c r="F66" t="inlineStr"/>
      <c r="G66" t="inlineStr"/>
      <c r="H66" t="inlineStr"/>
      <c r="I66" t="inlineStr">
        <is>
          <t>This is a rare opportunity to sit at the intersection of research, high\-performance computing, and large\-scale ML infrastructure, pushing the boundaries of ML applied to financial markets.
 You wouldn’t be building models for one team, you’d be building the core deep learning library and infrastructure that powers the entire research engine of the firm.
 What you’ll do
* Design, build, and evolve an internal deep learning library used firm\-wide
* Partner directly with quantitative researchers to translate research needs into reusable ML tooling
* Work alongside HPC and systems experts to optimize large training workflows for speed and cost efficiency
* Integrate the best of open\-source ML tooling with sophisticated in\-house infrastructure
* Stay on top of cutting\-edge advances in PyTorch, distributed training, CUDA optimization, and bring them into production internally
 What makes this different
* Your work directly accelerates dozens of research teams rather than a single product
* Real scale: large models, serious compute, and complex distributed workloads
* A highly technical environment where ML engineering is treated as a first\-class research enabler
* Direct exposure to some of the best quantitative researchers and systems engineers in the industry
 Background they’re looking for
* 2\+ years of ML engineering / research engineering experience
* Strong Python plus CUDA and/or C\+\+
* Experience scaling distributed deep learning workflows (PyTorch or similar)
* Experience building ML tooling, libraries, or infrastructure rather than just training models
* Interest in high\-performance systems and large\-scale compute environments
 Base: 250,000\-350,000, total comp into the 7 figures</t>
        </is>
      </c>
    </row>
    <row r="67">
      <c r="A67" t="inlineStr">
        <is>
          <t>li-4377820949</t>
        </is>
      </c>
      <c r="B67" t="inlineStr">
        <is>
          <t>Robotics AI Engineer</t>
        </is>
      </c>
      <c r="C67" t="inlineStr">
        <is>
          <t>Edison Smart®</t>
        </is>
      </c>
      <c r="D67" t="inlineStr">
        <is>
          <t>linkedin</t>
        </is>
      </c>
      <c r="E67">
        <f>HYPERLINK("https://www.linkedin.com/jobs/view/4377820949", "https://www.linkedin.com/jobs/view/4377820949")</f>
        <v/>
      </c>
      <c r="F67" t="inlineStr"/>
      <c r="G67" t="inlineStr">
        <is>
          <t>Chicago, IL</t>
        </is>
      </c>
      <c r="H67" t="inlineStr"/>
      <c r="I67" t="inlineStr">
        <is>
          <t>**Robotics AI Engineer \| Chicago, IL (On\-site) \| Up to $150,000** 
 Join a fast\-growing construction robotics startup based in Chicago, building autonomous systems that transform how physical work gets done.
 As a Software AI Engineer you’ll work at the intersection of AI, robotics, and real\-world deployment. You’ll help design and scale the intelligence that powers autonomous systems—from model training to on\-robot decision\-making.
**Required Skills** 
* Strong experience with Python
* Hands\-on with PyTorch and/or TensorFlow
* Experience building model training and deployment pipelines
* Knowledge of LLM integration and prompt engineering for autonomous systems
* Understanding of cloud and edge deployment constraints
* Familiarity with data pipelines and continuous learning systems</t>
        </is>
      </c>
    </row>
    <row r="68">
      <c r="A68" t="inlineStr">
        <is>
          <t>li-4246546678</t>
        </is>
      </c>
      <c r="B68" t="inlineStr">
        <is>
          <t>Applied AI Engineer</t>
        </is>
      </c>
      <c r="C68" t="inlineStr">
        <is>
          <t>xAI</t>
        </is>
      </c>
      <c r="D68" t="inlineStr">
        <is>
          <t>linkedin</t>
        </is>
      </c>
      <c r="E68">
        <f>HYPERLINK("https://www.linkedin.com/jobs/view/4246546678", "https://www.linkedin.com/jobs/view/4246546678")</f>
        <v/>
      </c>
      <c r="F68" t="inlineStr"/>
      <c r="G68" t="inlineStr">
        <is>
          <t>Palo Alto, CA</t>
        </is>
      </c>
      <c r="H68" t="inlineStr"/>
      <c r="I68" t="inlineStr">
        <is>
          <t>About xAI
 xAI’s mission is to create AI systems that can accurately understand the universe and aid humanity in its pursuit of knowledge.
 Our team is small, highly motivated, and focused on engineering excellence. This organization is for individuals who appreciate challenging themselves and thrive on curiosity.
 We operate with a flat organizational structure. All employees are expected to be hands\-on and to contribute directly to the company’s mission. Leadership is given to those who show initiative and consistently deliver excellence. Work ethic and strong prioritization skills are important.
 All engineers and researchers are expected to have strong communication skills. They should be able to concisely and accurately share knowledge with their teammates.
**About the role** 
 We’re seeking exceptional Applied AI Engineers to join a high\-priority project that approximately 600 million monthly users use. This is an exciting opportunity for individuals with a research engineer or research scientist background to apply their skills to recommendation systems, ranking algorithms, search technologies, and many other systems. You’ll work at the intersection of advanced AI research and real\-world impact, enhancing the ability to connect users with relevant content, accounts, and experiences.
**What You'll Do** 
* Designing and architecting recommendation algorithms across various product surfaces
* Leverage all of xAI’s infra and AI stacks to dramatically enhance the user experience
* Write data pipelines and training jobs that continuously learn from product data.
* Iterate and improve the algorithm by gathering user feedback in real time through experimentation
* Ensuring scalability and efficiency of machine learning systems
**Who You Are** 
* Knowledge of data infrastructure like Kafka, Clickhouse, and Spark
* Experienced in implementing recommender systems and/or deep learning applications at industrial scale
* Skilled in one or more DL software frameworks such as JAX or PyTorch
* Exceptional candidates may be experienced in writing CUDA kernels
**Interview Process** 
 After submitting your application, the team reviews your CV and statement of exceptional work. If your application passes this stage, you will be invited to a 15\-30 minutes phone interview, during which a member of our team will ask technical questions. If you clear the phone interview, you will proceed to next steps:
1. Deep dive coding challenge
2. Meet and greet with the wider team
 Our goal is to complete the process within one week. All interviews will be conducted in person when applicable.
**Location** 
 The role is based in  Palo Alto. Candidates are expected to be located near the Bay Area or open to relocation.
**Annual Salary Range** 
 $180,000 \- $440,000 USD
*xAI is an equal opportunity employer.* 
 California Consumer Privacy Act (CCPA) Notice</t>
        </is>
      </c>
    </row>
    <row r="69">
      <c r="A69" t="inlineStr">
        <is>
          <t>li-4235568776</t>
        </is>
      </c>
      <c r="B69" t="inlineStr">
        <is>
          <t>AI/ML Engineer</t>
        </is>
      </c>
      <c r="C69" t="inlineStr">
        <is>
          <t>Starr</t>
        </is>
      </c>
      <c r="D69" t="inlineStr">
        <is>
          <t>linkedin</t>
        </is>
      </c>
      <c r="E69">
        <f>HYPERLINK("https://www.linkedin.com/jobs/view/4235568776", "https://www.linkedin.com/jobs/view/4235568776")</f>
        <v/>
      </c>
      <c r="F69">
        <f>HYPERLINK("https://starrcompanies.wd1.myworkdayjobs.com/careers/job/399-Park-Avenue-New-York-NY/AI-ML-Engineer_JR3316?source=LinkedIn&amp;urlHash=VE16", "https://starrcompanies.wd1.myworkdayjobs.com/careers/job/399-Park-Avenue-New-York-NY/AI-ML-Engineer_JR3316?source=LinkedIn&amp;urlHash=VE16")</f>
        <v/>
      </c>
      <c r="G69" t="inlineStr">
        <is>
          <t>New York, NY</t>
        </is>
      </c>
      <c r="H69" t="inlineStr"/>
      <c r="I69" t="inlineStr">
        <is>
          <t>*Starr Insurance Companies is a leading insurance and investment organization, providing commercial property and casualty insurance, including travel and accident coverage, to almost every imaginable business and industry in virtually every part of the world.
 Cornelius Vander Starr established his first insurance company in Shanghai, China in 1919\. Today, we are one of the world’s fastest growing insurance organizations, capable of writing in 128 countries on 6 continents.*
 Join the Starr Enterprise Data and Artificial Intelligence Organization and start reimagining the future of insurance. The Data and AI team at Starr builds first\-of\-a\-kind capabilities that advance the insurance practice and scale across the entire enterprise. The team’s ultimate mission is to develop cutting\-edge data and AI capabilities that drive profit growth for Starr.
 The AI/ML engineer is responsible for uncovering meaningful data patterns and transforming them into actionable insights by leveraging predictive modeling, data mining, and machine learning algorithms. This includes propensity and uplift modeling, classification models, forecasting, foundation models, and other methodologies. This individual will work alongside Senior AI/ML Engineers to develop scalable AI/ML solutions and provide data\-driven and optimization insights across the enterprise. He/she will be passionate about learning and deploying leading technologies in the analytics space specific to the business needs to drive results and identify opportunities. As an AI/ML Engineer, this person will drive business impact by solving unique problems through advanced analytics, continuous improvement methodologies, and change management in a fast\-paced environment.
**Key Responsibilities:**
* Work alongside Senior AI/ML Engineers to design, develop, and deploy AI/ML solutions with best practices in statistics, machine learning, deep learning, and foundational models to improve the profitability for Starr. Example includes classification models, forecasting, propensity and uplift modeling, foundational model fine\-tuning, evaluation, and implementation, etc.
* Identify growth opportunities in underwriting, claims processing, risk assessment, and/or customer service through AI/ML augmentation.
* Collaborate cross\-functionally with business, IT, and Transformation to drive scalability and impact of the AI/ML solutions.
* Communicate complex AI/ML concepts and findings to business leaders in a clear and concise manner.
**Required Professional and Technical Expertise:**
* Master’s degree in Statistics, Data Science, Mathematics, Computer Science, Operational Research, or related disciplines. Ph.D. preferred.
* 2\+ years of experience with advanced analytics techniques (e.g., decision tree, logistic regression, hierarchical regression, neural network, random forest, etc.)
* 2\+ years expert level R or Python analytics experience with a proven track record in advanced analytics as well as hands\-on experience with digital and CRM data (structured and unstructured).
* Proven ability to understand, cleanse, and integrate massive disparate data sets and demonstrated familiarity with data modeling workflow.
* Strong communication; ability to effectively translate complex analytics findings to business insights and recommendations.
**Preferred Professional Technical Expertise:**
* Internship or project experience in AI engineering, machine learning, or a related field, preferably within the insurance or financial services industry.
* Knowledge of actuarial science and insurance\-specific data sets.
* Passionate about data science and self\-motivated to stay abreast of advances in data science techniques.
* Desire to work in a team based dynamic and fast\-paced business culture.
 For individuals assigned and/or hired to work in New York, Starr Insurance Companies is required by law to include a reasonable estimate of the compensation range for this role. The wage range for this role takes into account the wide range of factors that are considered in making compensation decisions including but not limited to skill sets: experience and training: licensure and certifications: and other business and organizational needs. A reasonable estimate of the current range is $135,000\-$175,000\.
 Starr is an equal opportunity employer, which means we'll consider all suitably qualified applicants regardless of gender identity or expression, ethnic origin, nationality, religion or beliefs, age, sexual orientation, disability status or any other protected characteristic. We recruit and develop our people based on merit and we're committed to creating an inclusive environment for all employees. We offer first class training and development opportunities to all employees. Our aim is to grow our own talent and bring out the best in people.</t>
        </is>
      </c>
    </row>
    <row r="70">
      <c r="A70" t="inlineStr">
        <is>
          <t>li-4367222147</t>
        </is>
      </c>
      <c r="B70" t="inlineStr">
        <is>
          <t>Machine Learning Engineer</t>
        </is>
      </c>
      <c r="C70" t="inlineStr">
        <is>
          <t>Energize Group</t>
        </is>
      </c>
      <c r="D70" t="inlineStr">
        <is>
          <t>linkedin</t>
        </is>
      </c>
      <c r="E70">
        <f>HYPERLINK("https://www.linkedin.com/jobs/view/4367222147", "https://www.linkedin.com/jobs/view/4367222147")</f>
        <v/>
      </c>
      <c r="F70" t="inlineStr"/>
      <c r="G70" t="inlineStr">
        <is>
          <t>Texas, United States</t>
        </is>
      </c>
      <c r="H70" t="inlineStr"/>
      <c r="I70" t="inlineStr">
        <is>
          <t>Our client is building rugged,
 **multi\-purpose humanoid robots** 
 designed to perform real work in real\-world environments.
 The founding team brings decades of experience across humanoid robotics, bionics, and large\-scale hardware product development, with systems that have operated in extreme environments across land, sea, space, and complex public settings. Their mission is to ship beautiful, reliable robotic products at scale while building a highly customer\-focused engineering team.
 We are looking for a
 **Deep Learning Manipulation Engineer** 
 to help train humanoid robots to perform dexterous manipulation tasks in the real world. This is an opportunity for someone who thrives on hard problems, enjoys ambiguity, and wants to see their work directly translated into deployed robotic systems. Candidates with experience shipping real products are especially compelling, though strong aptitude and drive are equally valued.
 As one of the early hires in this team, you will help shape the overall deep learning and manipulation strategy, infrastructure, and technical direction. You’ll work on cutting\-edge problems at the intersection of learning, control, sensing, and hardware.
**What You’ll Do** 
* Design and implement advanced deep learning models and training pipelines for dexterous manipulation on humanoid robots with high degrees of freedom and multi\-fingered hands
* Train models using curriculum learning approaches, progressing from simple interactions to precise grasping, long\-horizon tasks, tool use, and in\-hand manipulation
* Integrate tactile sensing and proprioception into end\-to\-end, closed\-loop learning systems
* Partner closely with teleoperation and data teams to design scalable data collection, labeling, and versioning strategies
* Leverage state\-of\-the\-art manipulation models while contributing new architectures for increasingly complex tasks
* Deploy learned policies onto robotic hardware with a focus on real\-time performance, safety, and robust integration with control systems and sensors
* Collaborate on the design and optimization of the end\-to\-end manipulation ML pipeline
* Stay current with the latest research and industry developments in robotic manipulation and learning
* Build evaluation frameworks to rigorously test learned policies in simulation and real\-world trials, measuring robustness and generalization
* Support the growth and development of the machine learning and autonomy teams
**Requirements** 
* Grit and curiosity to tackle some of the hardest problems in robot manipulation
* Comfort working in fast\-paced, ambiguous startup environments
* Master’s or PhD in Robotics, Computer Science, or a related field
* 3\+ years of experience applying deep learning to robotic manipulation
* Strong grounding in modern approaches such as behavior cloning, vision\-language\-action models, diffusion policies, and foundation models
* Experience working with large\-scale datasets and cloud\-based training infrastructure
* Clear understanding of the challenges involved in deploying neural networks on real robotic systems
* Strong software engineering skills and a first\-principles mindset
**Nice to Have** 
* Experience with adjacent ML areas in robotics such as perception, point clouds, segmentation, and object detection
* Publications at top machine learning or robotics conferences
* Hands\-on experience deploying robots, collecting large datasets, and training models that run reliably in production environments
**Why Join** 
* Opportunity to shape the future of humanoid robotics and real\-world autonomy
* Work alongside deeply experienced, mission\-driven engineers and researchers
* Access to advanced labs, prototyping tools, and the freedom to experiment
* Competitive compensation, strong benefits, flexible working arrangements, and meaningful equity</t>
        </is>
      </c>
    </row>
    <row r="71">
      <c r="A71" t="inlineStr">
        <is>
          <t>li-4376766311</t>
        </is>
      </c>
      <c r="B71" t="inlineStr">
        <is>
          <t>Machine Learning Engineer</t>
        </is>
      </c>
      <c r="C71" t="inlineStr">
        <is>
          <t>Data Capital Incorporation</t>
        </is>
      </c>
      <c r="D71" t="inlineStr">
        <is>
          <t>linkedin</t>
        </is>
      </c>
      <c r="E71">
        <f>HYPERLINK("https://www.linkedin.com/jobs/view/4376766311", "https://www.linkedin.com/jobs/view/4376766311")</f>
        <v/>
      </c>
      <c r="F71" t="inlineStr"/>
      <c r="G71" t="inlineStr"/>
      <c r="H71" t="inlineStr"/>
      <c r="I71" t="inlineStr">
        <is>
          <t>Required Skills:
 5\+ years of experience in ML Engineering or Applied Machine Learning.
 Strong Python skills and hands\-on experience with ML libraries (e.g., scikit\-learn, XGBoost, PyTorch, TensorFlow).
 Proficient with Databricks, MLflow, and PySpark.
 Solid understanding of model lifecycle and MLOps practices.
 Experience with AWS\-based data infrastructure and related DevOps practices.
 Demonstrated ability to productionize models and integrate with business system
 Strong understanding of mathematics and statistics relevant to machine learning and AI.
 Proven experience with machine learning models and algorithms (supervised, unsupervised, deep learning, etc.).
 Solid background in software engineering principles and best practices.
 Hands\-on experience with model training frameworks (e.g., TensorFlow, PyTorch, Hugging Face).
 Experience with MLOps tools and workflows, particularly on AWS (SageMaker, Lambda, S3, etc.).
 Practical experience with LLMs, RAGs, and AI agent architectures.
 Proficiency with the Databricks platform for data engineering and ML pipelines.
 Advanced programming skills in Python.
 Excellent communication and teamwork abilities.</t>
        </is>
      </c>
    </row>
    <row r="72">
      <c r="A72" t="inlineStr">
        <is>
          <t>li-4258154667</t>
        </is>
      </c>
      <c r="B72" t="inlineStr">
        <is>
          <t>Machine Learning Engineer II/III</t>
        </is>
      </c>
      <c r="C72" t="inlineStr">
        <is>
          <t>PathAI</t>
        </is>
      </c>
      <c r="D72" t="inlineStr">
        <is>
          <t>linkedin</t>
        </is>
      </c>
      <c r="E72">
        <f>HYPERLINK("https://www.linkedin.com/jobs/view/4258154667", "https://www.linkedin.com/jobs/view/4258154667")</f>
        <v/>
      </c>
      <c r="F72" t="inlineStr"/>
      <c r="G72" t="inlineStr"/>
      <c r="H72" t="inlineStr"/>
      <c r="I72" t="inlineStr">
        <is>
          <t>Who We Are
 PathAI's mission is to improve patient outcomes with AI\-powered pathology. Our platform promises substantial improvements to the accuracy of diagnosis and the efficacy of treatment of diseases like cancer, leveraging modern approaches in machine learning and artificial intelligence. We have a track record of success in deploying AI algorithms for histopathology in translational research, pathology labs and clinical trials. Rigorous science and careful analysis is critical to the success of everything we do. Our team, composed of diverse employees with a wide range of backgrounds and experiences, is passionate about solving challenging problems and making a huge impact on patient outcomes.
 Where You Fit
 We are seeking Machine Learning Engineers (MLE II, and III) to join our team and tackle unique machine learning challenges to advance medicine and improve patient care. You will work closely with teams across biomedical data science, product development, translational research, MLOps, and platform engineering to develop and deploy machine learning models for our AI products and services.
 What You’ll Do
 As an MLE at PathAI, your responsibilities will grow in scope as you progress through levels:
* Design, develop, and deploy machine learning models for research and product development projects.
* Collaborate cross\-functionally with scientists, engineers, and product teams to translate biological and clinical requirements into scalable ML solutions.
* Contribute to experimental design and analysis, including ideation, documentation, and reporting.
* Participate in knowledge sharing and team initiatives (e.g., design reviews, journal clubs, ML best practices, governance activities).
* Improve ML pipelines and infrastructure in partnership with MLOps and platform teams.
* Publish and present scientific work, supporting abstracts, manuscripts, and conference contributions.
**Level\-specific Expectations**
* MLE I: Contribute to projects with guidance, implement models, and learn best practices.
* MLE II: Independently deliver on projects, improve processes, and mentor junior engineers.
* MLE III: Lead initiatives end\-to\-end, set technical direction, and identify new opportunities with clear business and scientific impact.
 You will have the opportunity to work in a company where all employees put patients first. We believe that every team member provides valuable contributions to our success, and no task is too small for anyone if it's important to our company goals. Every PathAI employee is a contributor to our mission to pioneer better patient care by providing the best, most innovative AI tools to biotech, pathologists, clinicians and healthcare organizations. You will work alongside and with leading innovators in the field of AI and medicine and you will play a critical role in product development to impact patient outcomes.
 What You Bring
 We welcome applicants across all MLE levels. Minimum qualifications differ by level:
**Mle Ii**
* Master’s degree plus 2–4 years of experience, or Ph.D. with 0–2 years of experience.
* Proven track record of developing and deploying machine learning models into production or research applications.
* Strong proficiency in Python, ML frameworks, and data pipeline development.
* Demonstrated ability to work independently on projects, contribute to experimental design, and improve ML workflows.
* Strong communication skills and ability to collaborate across scientific and engineering teams.
**MLE III**
* Master’s degree plus 5\+ years of experience, or Ph.D. with 3\+ years of experience.
* Deep expertise in ML, computer vision, or biomedical AI, with a history of high\-impact contributions (publications, open\-source, or products).
* Mastery of ML frameworks, software engineering best practices, and deployment pipelines.
* Ability to lead end\-to\-end projects, mentor others, and set technical direction.
* Experience articulating technical improvements into business or clinical impact.
* Strong record of contributions to scientific strategy (abstracts, manuscripts, conference presentations).
 We Want To Hear From You
 At PathAI, we are looking for individuals who are team players, are willing to do the work no matter how big or small it may be, and who are passionate about everything they do. If this sounds like you, even if you may not match the job description to a tee, we encourage you to apply. You could be exactly what we're looking for.
*PathAI is an equal opportunity employer, dedicated to creating a workplace that is free of harassment and discrimination. We base our employment decisions on business needs, job requirements, and qualifications — that's all. We do not discriminate based on race, gender, religion, health, personal beliefs, age, family or parental status, or any other status. We don't tolerate any kind of discrimination or bias, and we are looking for teammates who feel the same way.*
 The cash compensation outlined below includes base salary or hourly wage and on\-target commission for employees in eligible roles. The summary below indicates if an employee in this position is eligible for annual bonus, overtime pay and equity awards. Individual compensation packages are tailored based on skills, experience, qualifications, and other job\-related factors.
**Annual Pay Range**
 Machine Learning Engineer II: $107,250 \- $164,450
 Machine Learning Engineer III: $130,500 \- $200,100
 Not Overtime Eligible
 Eligible for Equity</t>
        </is>
      </c>
    </row>
    <row r="73">
      <c r="A73" t="inlineStr">
        <is>
          <t>li-4363067630</t>
        </is>
      </c>
      <c r="B73" t="inlineStr">
        <is>
          <t>Senior AI / ML Engineer</t>
        </is>
      </c>
      <c r="C73" t="inlineStr">
        <is>
          <t>Third Republic</t>
        </is>
      </c>
      <c r="D73" t="inlineStr">
        <is>
          <t>linkedin</t>
        </is>
      </c>
      <c r="E73">
        <f>HYPERLINK("https://www.linkedin.com/jobs/view/4363067630", "https://www.linkedin.com/jobs/view/4363067630")</f>
        <v/>
      </c>
      <c r="F73" t="inlineStr"/>
      <c r="G73" t="inlineStr"/>
      <c r="H73" t="inlineStr"/>
      <c r="I73" t="inlineStr">
        <is>
          <t>***Role: Senior AI/ML Engineer***
***Location: New York City, 4 days a week onsite***
***Budget: $200\-300k \+ equity***
**About the Company** 
 An AI startup based in New York City is building a next\-generation platform for the financial sector. Their product automates complex, high\-value workflows for institutions like investment firms and advisory teams, delivering insights and outputs at a level that often exceeds human performance. They have received funding in the double digits of millions in their latest funding round.
**The Team** 
 The company is led by a high\-caliber team with backgrounds in top\-tier finance, venture capital, and leading AI research labs\- with backgrounds in Computer Science from the best institutions in the country. They operate primarily in person from their Manhattan office, with Fridays remote.
**The Role: Machine Learning / AI Engineer** 
 This role involves shaping and scaling the core AI engine that powers the product. Responsibilities include:
* Leading integration and fine\-tuning of large language models and retrieval systems.
* Building AI pipelines that work across structured and unstructured financial data.
* Developing modular, agent\-based components using modern orchestration techniques.
* Iterating on model performance based on real\-world user feedback.
* Prototyping and launching features that directly impact financial institutions.
* Collaborating across engineering, product, and customer teams to align outcomes.
**Requirements:** 
**Essential:** 
* 2\+ years of experience deploying machine learning models in production.
* Proficiency with Python and ML frameworks (e.g., PyTorch, Hugging Face, TensorFlow, LangChain).
* Experience with LLM integration and fine\-tuning.
* Familiarity with vector search tools (e.g., FAISS, Weaviate, Chroma, PGVector).
* Strong communication and the ability to execute independently in fast\-moving environments.
**Bonus:** 
* Experience building agentic AI systems using orchestration and function\-calling frameworks.
* Familiarity with financial datasets and domain\-specific challenges.
* Background in performance tuning and scaling AI pipelines.
* Prior startup or entrepreneurial experience.
* Interest in generative AI applications in complex business workflows.
 I have placed 2 happy engineers at this company in the last couple months, and have great rapport with the CTO and ownership team!</t>
        </is>
      </c>
    </row>
    <row r="74">
      <c r="A74" t="inlineStr">
        <is>
          <t>li-4354855122</t>
        </is>
      </c>
      <c r="B74" t="inlineStr">
        <is>
          <t>Machine Learning Engineer</t>
        </is>
      </c>
      <c r="C74" t="inlineStr">
        <is>
          <t>Inceed</t>
        </is>
      </c>
      <c r="D74" t="inlineStr">
        <is>
          <t>linkedin</t>
        </is>
      </c>
      <c r="E74">
        <f>HYPERLINK("https://www.linkedin.com/jobs/view/4354855122", "https://www.linkedin.com/jobs/view/4354855122")</f>
        <v/>
      </c>
      <c r="F74" t="inlineStr"/>
      <c r="G74" t="inlineStr">
        <is>
          <t>Oklahoma City, OK</t>
        </is>
      </c>
      <c r="H74" t="inlineStr"/>
      <c r="I74" t="inlineStr">
        <is>
          <t>**Position:**
 Machine Learning Engineer
**Compensation:**
 $120,000 \- $160,000 annually, depending on experience
**Location:**
 Oklahoma City, Oklahoma
 Inceed has partnered with a great company to help find a skilled
 **Machine Learning Engineer** 
 to join their team!
 This is an exciting opportunity to join a stable, technology\-driven organization that is rapidly growing and investing in the latest advancements. As a Machine Learning Engineer, you will play a key role in designing, building, and deploying real\-world machine learning solutions in a collaborative environment. This company values innovation, offers opportunities for career growth, and rewards long\-term commitment with unique perks. If you are passionate about machine learning and eager to make a tangible impact, this could be the next step in your career.
**Key Responsibilities \&amp; Duties:**
* Design, build, and deploy machine learning solutions in production environments
* Collaborate with software engineering teams on project delivery
* Own projects from development through deployment
* Utilize version control tools for code management
* Work in Linux\-based environments
* Optimize and maintain machine learning models for performance
**Required Qualifications \&amp; Experience:**
* Professional experience as a Machine Learning Engineer in production
* Strong software engineering foundation in any primary language
* Experience working in Linux environments
* Solid understanding of SQL
* Experience with version control using Git
* Ability to independently manage projects end\-to\-end
**Nice to Have Skills \&amp; Experience:**
* Experience in the healthcare or financial technology industries
* Exposure to workflow automation tools
* Familiarity with machine learning in cloud environments
* Background with data pipeline development
* Interest in process improvement and automation
**Perks \&amp; Benefits:**
* Health, dental, and vision insurance
* 401K with company match
* Paid time off and company holidays
* Profit sharing
* Unique long\-term service rewards
* Comprehensive and competitive benefits package
**Other Information:**
* Opportunities for career advancement and internal promotion
* Technology\-driven, innovative work environment
* Stable, growing organization with recent major wins
* Onsite position with a collaborative team culture
 If you are interested in learning more about the
 **Machine Learning Engineer** 
 opportunity, please submit your resume for consideration. Our client unable to provide sponsorship at this time.
*We are Inceed, a staffing direct placement firm who believes in the possibility of something better. Our mission is simple: We’re here to help every person, whether client, candidate, or employee, find and secure what’s better for them.* 
*Inceed is an equal opportunity employer. Inceed prohibits discrimination and harassment of any type and affords equal employment opportunities to employees and applicants without regard to race, color, religion, sex, sexual orientation, gender identity, or expression, pregnancy, age, national origin, disability status, genetic information, protected veteran status, or any other characteristic protected by law.* 
 \#MachineLearningEngineer \#SoftwareEngineering \#SQL \#Onsite</t>
        </is>
      </c>
    </row>
    <row r="75">
      <c r="A75" t="inlineStr">
        <is>
          <t>li-4348272559</t>
        </is>
      </c>
      <c r="B75" t="inlineStr">
        <is>
          <t>Machine Learning Engineer</t>
        </is>
      </c>
      <c r="C75" t="inlineStr">
        <is>
          <t>GPTZero</t>
        </is>
      </c>
      <c r="D75" t="inlineStr">
        <is>
          <t>linkedin</t>
        </is>
      </c>
      <c r="E75">
        <f>HYPERLINK("https://www.linkedin.com/jobs/view/4348272559", "https://www.linkedin.com/jobs/view/4348272559")</f>
        <v/>
      </c>
      <c r="F75" t="inlineStr"/>
      <c r="G75" t="inlineStr"/>
      <c r="H75" t="inlineStr"/>
      <c r="I75" t="inlineStr">
        <is>
          <t>GPTZero is on a mission to restore trust and transparency on the internet. As the leading AI detection platform, we empower educators, students, journalists, marketers, and writers to navigate the evolving landscape of AI\-generated content. With millions of users and institutions relying on us, we’re building a category\-defining company at the intersection of AI and information integrity.
 Our team comes from high\-performing engineering cultures, including Meta, Perplexity, AWS, Affirm, and leading AI research labs, including Princeton, Caltech, and Vector Institute.
**About this role:**
 In this role, you'll build the next generation of AI tools that preserve and enhance critical thinking for humanity. The ideal candidate is someone who is adept at creating reliable AI agents, prompt engineering, possesses a great product sense, and is also an excellent software engineer. You'll be working on a fast\-paced team of passionate builders to create industry\-defining software that has attracted millions of users globally.
**What you'll contribute:**
* Fine\-tune and evaluate state\-of\-the\-art language models
* Optimize prompts to maximize classification accuracy, personalize outputs, and enforce style guidelines
* Develop multi\-agent workflows incorporating data from diverse sources using RAG
* Improve and iterate on AI agents using observability and experimentation tools
* Stay up\-to\-date with the latest literature and emerging technologies to solve novel problems
* Work closely with product and design teams to develop intuitive applications that create societal impact
**Qualifications**
* 3\+ YOE in Python
* 1\+ YOE in LLM framework like Langchain or LlamaIndex
* 1\+ YOE with agentic or RAG applications
* Strong exploratory data analysis (EDA) skills to effectively leverage data in a way that informs pragmatic solutions
* Experience pushing the cutting\-edge in LLM abilities on novel tasks with subjective outputs
* Excellent software engineer with experience building highly extensible and modular codebases, as well as complex pipelines
* Self\-starter (pitch, plan, and implement as a project owner in a fast\-paced team)
* Highly motivated to make positive societal impact
* Ability to wear multiple hats and be a leader as our team grows
* Visa for work in Canada or US
*Bonus* 
 :
* Strong open\-source portfolio
* Publications at top\-tier ML venues
* Experience working in an early\-stage startup environment
* Experience with a prompt optimization framework like DsPY or TextGrad
 At GPTZero, our recruiting team is involved in every step of the hiring process. We use AI\-based tools (such as Endorsed.ai and Juicebox.ai) to help us to accelerate candidates at the resume review stage by marking when candidates met certain key criteria.
 **These tools are never the final say in a hiring decision \- humans are.**
 Compensation Range: $150K \- $230K</t>
        </is>
      </c>
    </row>
    <row r="76">
      <c r="A76" t="inlineStr">
        <is>
          <t>li-4368287188</t>
        </is>
      </c>
      <c r="B76" t="inlineStr">
        <is>
          <t>Machine Learning Engineer, Fraud</t>
        </is>
      </c>
      <c r="C76" t="inlineStr">
        <is>
          <t>Whatnot</t>
        </is>
      </c>
      <c r="D76" t="inlineStr">
        <is>
          <t>linkedin</t>
        </is>
      </c>
      <c r="E76">
        <f>HYPERLINK("https://www.linkedin.com/jobs/view/4368287188", "https://www.linkedin.com/jobs/view/4368287188")</f>
        <v/>
      </c>
      <c r="F76" t="inlineStr"/>
      <c r="G76" t="inlineStr">
        <is>
          <t>New York, NY</t>
        </is>
      </c>
      <c r="H76" t="inlineStr"/>
      <c r="I76" t="inlineStr">
        <is>
          <t>****🚀 Join the Future of Commerce with Whatnot!****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Poland, and Australia,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 Role****
* Design, train, and deploy both traditional ML and LLM\-powered models to detect fraudulent behaviors across users, payments, and marketplace interactions.
* Lead the end\-to\-end architecture of fraud detection, prevention, and intervention systems — balancing platform security with a seamless user experience.
* Build intelligent user graphs to model behavioral patterns, collusion networks, and account connectivity.
* Develop scalable data pipelines and real\-time inference systems supporting high\-volume, low\-latency ML workloads.
* Conduct deep behavioral and adversarial data analysis to uncover fraud trends and continuously improve detection accuracy.
* Partner cross\-functionally with Trust \&amp; Safety, Payments, and Infrastructure teams to develop features, labels, and model evaluation pipelines.
* Implement model monitoring and drift detection systems to ensure reliability and responsiveness.
* Contribute to fraud risk orchestration, combining rules, models, and heuristics for decision automation.
* Define and track key metrics and dashboards for fraud detection effectiveness (e.g., precision, recall, false\-positive rate, latency).
* Stay ahead of emerging fraud tactics and continuously translate insights into adaptive, production\-ready systems.
**We offer flexibility to work from home or from one of our global office hubs, and we value in\-person time for planning, problem\-solving, and connection. Team members in this role must live within commuting distance of our SF, NYC, LA OR SEA hubs.**
****👋 You****
 Curious about who thrives at Whatnot? We’ve found that embodying a low ego, growth mindset, and high\-impact drive goes a long way here.
* Bachelor’s degree in Computer Science, a related field, or equivalent work experience.
* 2–6 years of experience in machine learning or software engineering, ideally in risk, fraud, or trust \&amp; safety domains.
* Strong proficiency in Python and ML libraries (e.g., scikit\-learn, PyTorch, LightGBM).
* Solid backend development skills and experience deploying ML models to production (batch or real\-time).
* Experience in data analysis and ETL (SQL, Spark, DBT) for data pipeline building.
* Familiarity with fraud detection techniques such as chargeback prediction, anomaly detection, or graph\-based modeling.
* Experience with data orchestration frameworks (Dagster, Kubeflow) and feature store design.
* Ability to translate business risk into measurable ML solutions and collaborate across diverse
****💰Compensation****
 For US\-based applicants: $245,000 \- $345,000/year \+ benefits \+ stock options
 The salary range may be inclusive of several levels that would be applicable to the position. Final salary will be based on a number of factors including, level, relevant prior experience, skills and expertise. This range is only inclusive of base salary, not benefits (more details below) or equity in the form of stock options.
**🎁 Benefits**
* Generous Holiday and Time off Policy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$245K \- $345K</t>
        </is>
      </c>
    </row>
    <row r="77">
      <c r="A77" t="inlineStr">
        <is>
          <t>li-4368271736</t>
        </is>
      </c>
      <c r="B77" t="inlineStr">
        <is>
          <t>Machine Learning Engineer, Fraud</t>
        </is>
      </c>
      <c r="C77" t="inlineStr">
        <is>
          <t>Whatnot</t>
        </is>
      </c>
      <c r="D77" t="inlineStr">
        <is>
          <t>linkedin</t>
        </is>
      </c>
      <c r="E77">
        <f>HYPERLINK("https://www.linkedin.com/jobs/view/4368271736", "https://www.linkedin.com/jobs/view/4368271736")</f>
        <v/>
      </c>
      <c r="F77">
        <f>HYPERLINK("https://jobs.ashbyhq.com/whatnot/5d6dc8c4-4e0c-4a6a-8bfd-194917564cf2/application?utm_source=LinkedInJobWrapping&amp;urlHash=hIFr", "https://jobs.ashbyhq.com/whatnot/5d6dc8c4-4e0c-4a6a-8bfd-194917564cf2/application?utm_source=LinkedInJobWrapping&amp;urlHash=hIFr")</f>
        <v/>
      </c>
      <c r="G77" t="inlineStr">
        <is>
          <t>Los Angeles, CA</t>
        </is>
      </c>
      <c r="H77" t="inlineStr"/>
      <c r="I77" t="inlineStr">
        <is>
          <t>****🚀 Join the Future of Commerce with Whatnot!****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Poland, and Australia,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 Role****
* Design, train, and deploy both traditional ML and LLM\-powered models to detect fraudulent behaviors across users, payments, and marketplace interactions.
* Lead the end\-to\-end architecture of fraud detection, prevention, and intervention systems — balancing platform security with a seamless user experience.
* Build intelligent user graphs to model behavioral patterns, collusion networks, and account connectivity.
* Develop scalable data pipelines and real\-time inference systems supporting high\-volume, low\-latency ML workloads.
* Conduct deep behavioral and adversarial data analysis to uncover fraud trends and continuously improve detection accuracy.
* Partner cross\-functionally with Trust \&amp; Safety, Payments, and Infrastructure teams to develop features, labels, and model evaluation pipelines.
* Implement model monitoring and drift detection systems to ensure reliability and responsiveness.
* Contribute to fraud risk orchestration, combining rules, models, and heuristics for decision automation.
* Define and track key metrics and dashboards for fraud detection effectiveness (e.g., precision, recall, false\-positive rate, latency).
* Stay ahead of emerging fraud tactics and continuously translate insights into adaptive, production\-ready systems.
**We offer flexibility to work from home or from one of our global office hubs, and we value in\-person time for planning, problem\-solving, and connection. Team members in this role must live within commuting distance of our SF, NYC, LA OR SEA hubs.**
****👋 You****
 Curious about who thrives at Whatnot? We’ve found that embodying a low ego, growth mindset, and high\-impact drive goes a long way here.
* Bachelor’s degree in Computer Science, a related field, or equivalent work experience.
* 2–6 years of experience in machine learning or software engineering, ideally in risk, fraud, or trust \&amp; safety domains.
* Strong proficiency in Python and ML libraries (e.g., scikit\-learn, PyTorch, LightGBM).
* Solid backend development skills and experience deploying ML models to production (batch or real\-time).
* Experience in data analysis and ETL (SQL, Spark, DBT) for data pipeline building.
* Familiarity with fraud detection techniques such as chargeback prediction, anomaly detection, or graph\-based modeling.
* Experience with data orchestration frameworks (Dagster, Kubeflow) and feature store design.
* Ability to translate business risk into measurable ML solutions and collaborate across diverse
****💰Compensation****
 For US\-based applicants: $245,000 \- $345,000/year \+ benefits \+ stock options
 The salary range may be inclusive of several levels that would be applicable to the position. Final salary will be based on a number of factors including, level, relevant prior experience, skills and expertise. This range is only inclusive of base salary, not benefits (more details below) or equity in the form of stock options.
**🎁 Benefits**
* Generous Holiday and Time off Policy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$245K \- $345K</t>
        </is>
      </c>
    </row>
    <row r="78">
      <c r="A78" t="inlineStr">
        <is>
          <t>li-4368287187</t>
        </is>
      </c>
      <c r="B78" t="inlineStr">
        <is>
          <t>Machine Learning Engineer, Fraud</t>
        </is>
      </c>
      <c r="C78" t="inlineStr">
        <is>
          <t>Whatnot</t>
        </is>
      </c>
      <c r="D78" t="inlineStr">
        <is>
          <t>linkedin</t>
        </is>
      </c>
      <c r="E78">
        <f>HYPERLINK("https://www.linkedin.com/jobs/view/4368287187", "https://www.linkedin.com/jobs/view/4368287187")</f>
        <v/>
      </c>
      <c r="F78">
        <f>HYPERLINK("https://jobs.ashbyhq.com/whatnot/5d6dc8c4-4e0c-4a6a-8bfd-194917564cf2/application?utm_source=LinkedInJobWrapping&amp;urlHash=hIFr", "https://jobs.ashbyhq.com/whatnot/5d6dc8c4-4e0c-4a6a-8bfd-194917564cf2/application?utm_source=LinkedInJobWrapping&amp;urlHash=hIFr")</f>
        <v/>
      </c>
      <c r="G78" t="inlineStr">
        <is>
          <t>San Francisco, CA</t>
        </is>
      </c>
      <c r="H78" t="inlineStr"/>
      <c r="I78" t="inlineStr">
        <is>
          <t>****🚀 Join the Future of Commerce with Whatnot!****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Poland, and Australia,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 Role****
* Design, train, and deploy both traditional ML and LLM\-powered models to detect fraudulent behaviors across users, payments, and marketplace interactions.
* Lead the end\-to\-end architecture of fraud detection, prevention, and intervention systems — balancing platform security with a seamless user experience.
* Build intelligent user graphs to model behavioral patterns, collusion networks, and account connectivity.
* Develop scalable data pipelines and real\-time inference systems supporting high\-volume, low\-latency ML workloads.
* Conduct deep behavioral and adversarial data analysis to uncover fraud trends and continuously improve detection accuracy.
* Partner cross\-functionally with Trust \&amp; Safety, Payments, and Infrastructure teams to develop features, labels, and model evaluation pipelines.
* Implement model monitoring and drift detection systems to ensure reliability and responsiveness.
* Contribute to fraud risk orchestration, combining rules, models, and heuristics for decision automation.
* Define and track key metrics and dashboards for fraud detection effectiveness (e.g., precision, recall, false\-positive rate, latency).
* Stay ahead of emerging fraud tactics and continuously translate insights into adaptive, production\-ready systems.
**We offer flexibility to work from home or from one of our global office hubs, and we value in\-person time for planning, problem\-solving, and connection. Team members in this role must live within commuting distance of our SF, NYC, LA OR SEA hubs.**
****👋 You****
 Curious about who thrives at Whatnot? We’ve found that embodying a low ego, growth mindset, and high\-impact drive goes a long way here.
* Bachelor’s degree in Computer Science, a related field, or equivalent work experience.
* 2–6 years of experience in machine learning or software engineering, ideally in risk, fraud, or trust \&amp; safety domains.
* Strong proficiency in Python and ML libraries (e.g., scikit\-learn, PyTorch, LightGBM).
* Solid backend development skills and experience deploying ML models to production (batch or real\-time).
* Experience in data analysis and ETL (SQL, Spark, DBT) for data pipeline building.
* Familiarity with fraud detection techniques such as chargeback prediction, anomaly detection, or graph\-based modeling.
* Experience with data orchestration frameworks (Dagster, Kubeflow) and feature store design.
* Ability to translate business risk into measurable ML solutions and collaborate across diverse
****💰Compensation****
 For US\-based applicants: $245,000 \- $345,000/year \+ benefits \+ stock options
 The salary range may be inclusive of several levels that would be applicable to the position. Final salary will be based on a number of factors including, level, relevant prior experience, skills and expertise. This range is only inclusive of base salary, not benefits (more details below) or equity in the form of stock options.
**🎁 Benefits**
* Generous Holiday and Time off Policy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$245K \- $345K</t>
        </is>
      </c>
    </row>
    <row r="79">
      <c r="A79" t="inlineStr">
        <is>
          <t>li-4377802655</t>
        </is>
      </c>
      <c r="B79" t="inlineStr">
        <is>
          <t>Machine Learning Engineer</t>
        </is>
      </c>
      <c r="C79" t="inlineStr">
        <is>
          <t>Wiraa</t>
        </is>
      </c>
      <c r="D79" t="inlineStr">
        <is>
          <t>linkedin</t>
        </is>
      </c>
      <c r="E79">
        <f>HYPERLINK("https://www.linkedin.com/jobs/view/4377802655", "https://www.linkedin.com/jobs/view/4377802655")</f>
        <v/>
      </c>
      <c r="F79">
        <f>HYPERLINK("https://www.wiraa.com/job-description/us09F3848DDADA0F3CD74F5952779BC090?source=Linkedin&amp;urlHash=k_lm", "https://www.wiraa.com/job-description/us09F3848DDADA0F3CD74F5952779BC090?source=Linkedin&amp;urlHash=k_lm")</f>
        <v/>
      </c>
      <c r="G79" t="inlineStr"/>
      <c r="H79" t="inlineStr"/>
      <c r="I79" t="inlineStr">
        <is>
          <t>**About The Company**
 Yobi is a rapidly growing Behavioral AI company dedicated to ethically democratizing the benefits of data and artificial intelligence. Established in 2019, Yobi has developed one of the largest consented behavioral datasets in the United States, extending beyond the confines of traditional Big Tech walled gardens. Unlike conventional language model companies, Yobi focuses on building foundation models of human behavior grounded in real\-world actions such as purchases and store visits. Our private\-by\-design modeling approach ensures state\-of\-the\-art personalization and decision\-making capabilities for leading brands and agencies while safeguarding privacy, safety, and ethics. Our mission is to create a behavioral intelligence layer that enhances any system making personalization decisions, particularly in the open web and connected TV spaces, delivering walled\-garden results without the walls. With strategic partnerships with Microsoft and Databricks, a world\-class team of machine learning experts, and a focus on scalable, ethical AI, Yobi is at the forefront of transforming behavioral data into actionable insights.
**About The Role**
 As a Machine Learning Engineer (MLE) on the Core Signals team at Yobi, you will play a pivotal role in advancing our fundamental user\-behavioral modeling initiatives. Your primary focus will be on representation learning—developing models that capture and encode user behavior effectively—and leveraging these models to enhance existing products and develop new solutions. This role involves close collaboration with the Product and Applications teams to translate research and development gains into practical, scalable features. The position is a "full stack" ML role, encompassing data processing, model training, deployment, and evaluation. You will be expected to wear your product hat, contributing to product strategy and implementation, while also being flexible to support other functions within the company. The role offers a unique opportunity to work on large\-scale data systems, experiment with innovative modeling techniques, and directly impact the company's growth trajectory by building models that improve personalization and decision\-making across various platforms.
**Qualifications**
* Proven experience in machine learning, with the ability to apply ML techniques to novel problems
* Knowledge of representation learning, embeddings drift, CTR modeling, sequence modeling, or related areas
* Experience working with large\-scale data in an industrial setting
* Familiarity with data orchestration, build systems, and experiment tracking
* Comfort working with open\-source tools such as Airflow, Bazel, Github CI/CD, Spark (prior experience not mandatory but beneficial)
* Strong product sense and ability to contribute to product development and implementation
* Excellent problem\-solving skills and a proactive attitude
* Effective communication skills and ability to collaborate cross\-functionally
* Degree in Computer Science, Data Science, Machine Learning, or related field preferred
**Responsibilities**
* Develop and refine representation learning models to capture user behavior
* Utilize core models to enhance existing products and develop new features
* Collaborate with product teams to translate research into scalable solutions
* Engage in data processing, model training, deployment, and performance evaluation
* Participate in cross\-functional discussions to shape product and technical strategies
* Contribute to building and maintaining large\-scale data and model infrastructure
* Experiment with and implement innovative modeling techniques to improve personalization
* Support data orchestration and build system tasks to ensure smooth pipeline operations
* Stay updated with the latest advancements in machine learning and behavioral modeling
**Benefits**
* Competitive base salary
* Meaningful equity and financial upside with a significant percentage of company ownership
* Annual bonus targeted based on personal and company performance
* Comprehensive health, dental, and vision insurance plans with minimal out\-of\-pocket costs
* Unlimited paid time off to promote work\-life balance and impact\-driven work
* 401(k) plan with company matching contributions
* Fully remote or hybrid work options from multiple hubs including San Francisco Bay Area, Seattle, and New York City
* Opportunity to work with a world\-class team of experts from leading tech companies
* Participation in a fast\-growing, well\-funded startup with a clear path to profitability
 Equal Opportunity
 Yobi is an equal opportunity employer. We celebrate diversity and are committed to creating an inclusive environment for all employees. We do not discriminate based on race, ethnicity, gender, sexual orientation, age, disability, religion, or any other protected status. We encourage candidates from all backgrounds to apply and join our mission to ethically democratize behavioral AI and data\-driven personalization.</t>
        </is>
      </c>
    </row>
    <row r="80">
      <c r="A80" t="inlineStr">
        <is>
          <t>li-4377599756</t>
        </is>
      </c>
      <c r="B80" t="inlineStr">
        <is>
          <t>ML Engineer</t>
        </is>
      </c>
      <c r="C80" t="inlineStr">
        <is>
          <t>Wiraa</t>
        </is>
      </c>
      <c r="D80" t="inlineStr">
        <is>
          <t>linkedin</t>
        </is>
      </c>
      <c r="E80">
        <f>HYPERLINK("https://www.linkedin.com/jobs/view/4377599756", "https://www.linkedin.com/jobs/view/4377599756")</f>
        <v/>
      </c>
      <c r="F80">
        <f>HYPERLINK("https://www.wiraa.com/job-description/usDE191DE1C3881B84C148C26BCFEA272B?source=Linkedin&amp;urlHash=v0I1", "https://www.wiraa.com/job-description/usDE191DE1C3881B84C148C26BCFEA272B?source=Linkedin&amp;urlHash=v0I1")</f>
        <v/>
      </c>
      <c r="G80" t="inlineStr"/>
      <c r="H80" t="inlineStr"/>
      <c r="I80" t="inlineStr">
        <is>
          <t>**About The Company**
 General Motors (GM) is a leading global automotive manufacturer committed to innovation, sustainability, and safety. With a rich history of engineering excellence, GM is dedicated to transforming mobility through advanced technologies in autonomous driving, electric vehicles, and smart transportation solutions. Our vision is to create a world with Zero Crashes, Zero Emissions, and Zero Congestion, emphasizing a safer, cleaner, and more efficient future for all. We foster a culture of inclusion, collaboration, and continuous improvement, empowering our employees to make a meaningful impact on the future of transportation.
**About The Role**
 We are seeking a highly skilled Staff Machine Learning Engineer specializing in Offboard Embodied AI to join our innovative team in Mountain View, California. This hybrid role requires reporting to the Mountain View Technical Center at least three times per week. As a key member of our AI and ML research division, you will lead the development and deployment of large\-scale Foundation Models (FMs) that enhance our autonomous driving and robotics technologies. Your expertise will drive advancements in L2, L3, and L4 autonomous applications, directly impacting the safety, efficiency, and reliability of our automotive solutions. You will collaborate with cross\-functional teams, including data scientists, robotics engineers, and software developers, to translate cutting\-edge AI research into real\-world automotive innovations. This position offers an exciting opportunity to shape the future of mobility through innovative AI models and contribute to a dynamic and forward\-thinking organization.
**Qualifications**
* Bachelor’s, Master’s, or PhD degree in Computer Science, Robotics, Machine Learning, or a related field.
* Proven experience working with large\-scale Foundation Models, including Large Language Models (LLMs), Vision\-Language Models (VLMs), and vision\-focused models.
* Proficiency in AI frameworks such as PyTorch and TensorFlow.
* Experience with libraries like HuggingFace and OpenAI GPT.
* Strong data processing skills utilizing tools like Numpy, Pandas, and Apache Spark.
* Hands\-on experience deploying foundation models into production environments.
* Previous experience in Robotics or Autonomous Driving industries.
* Excellent communication and collaboration skills to work effectively with diverse teams and stakeholders.
**Responsibilities**
* Design, develop, and implement large\-scale Foundation Models tailored for automotive and robotics applications.
* Collaborate with cross\-functional teams to integrate foundation models into onboard and offboard systems, including distillation recipes for robotics models.
* Optimize model performance, ensuring efficient training, deployment, and real\-time inference capabilities.
* Conduct research to stay abreast of the latest advancements in AI frameworks, libraries, and methodologies.
* Lead projects from conception through deployment, documenting best practices and lessons learned.
* Mentor junior team members, fostering a culture of knowledge sharing and continuous learning.
* Participate in code reviews, model evaluations, and performance benchmarking to maintain high standards of quality and efficiency.
**Benefits**
* Competitive salary within the range of $143,000 to $220,000, commensurate with experience and qualifications.
* Performance\-based bonus potential and incentive pay programs.
* Relocation assistance and benefits for eligible candidates.
* Comprehensive health, dental, and vision insurance plans.
* Retirement savings plans with company matching contributions.
* Paid time off, holidays, and flexible work arrangements.
* Opportunities for professional development, training, and career growth.
* A collaborative and inclusive work environment focused on innovation and impact.
 Equal Opportunity
 General Motors is an equal opportunity employer committed to fostering an inclusive workplace. We do not discriminate based on sex, race, color, national origin, citizenship status, religion, age, disability, pregnancy, sexual orientation, gender identity, veteran status, or any other protected characteristic under applicable laws. We believe that diversity and inclusion are essential to our success and strive to create an environment where all employees can thrive and contribute to our mission of transforming mobility. We encourage all qualified candidates to apply and participate in our fair hiring process. Reasonable accommodations are available for applicants with disabilities; please contact us for assistance during the application process.</t>
        </is>
      </c>
    </row>
    <row r="81">
      <c r="A81" t="inlineStr">
        <is>
          <t>li-4304048806</t>
        </is>
      </c>
      <c r="B81" t="inlineStr">
        <is>
          <t>Machine Learning Engineer II</t>
        </is>
      </c>
      <c r="C81" t="inlineStr">
        <is>
          <t>Glidewell Dental</t>
        </is>
      </c>
      <c r="D81" t="inlineStr">
        <is>
          <t>linkedin</t>
        </is>
      </c>
      <c r="E81">
        <f>HYPERLINK("https://www.linkedin.com/jobs/view/4304048806", "https://www.linkedin.com/jobs/view/4304048806")</f>
        <v/>
      </c>
      <c r="F81" t="inlineStr"/>
      <c r="G81" t="inlineStr">
        <is>
          <t>Irvine, CA</t>
        </is>
      </c>
      <c r="H81" t="inlineStr"/>
      <c r="I81" t="inlineStr">
        <is>
          <t>**Essential Functions
 :** 
* Designs, develops, and deploys machine learning models for real\-world applications.
* Builds scalable pipelines for data ingestion, pre\-processing, training, and inference.
* Owns end to end development of machine learning algorithms including data analysis, feature engineering, model development, training, validation, and performance evaluation.
* Designs, implements, and optimizes retrieval\-augmented generation (RAG) pipelines that combine large language models (LLMs) with vector search/retrieval systems.
* Builds data ingestion and embedding pipelines for efficient indexing and retrieval.
* Fine\-tunes and adapts LLMs for domain\-specific tasks such as instruction tuning, prompt engineering, low\-rank adaptation (LoRA), etc.
* Engages in both engineering and research, exploring latest ML algorithms, solution architectures, and cutting\-edge approaches to improve retrieval and generation performance.
* Works with stakeholders to translate business requirements into robust technical solutions that deliver measurable impact.
* Works with engineering teams to continuously scale and advance machine learning across the organization.
* Identifies new opportunities of applying ML technology to improve business workflows and processes.
* Builds a deep understanding of the company’s products, services, data, and customers to deliver impactful solutions.
* Performs other related duties and projects as business needs require at direction of management.
**Education and Experience:**
* Master’s degree in Machine Learning, Deep Learning, or a computer science\-related field. PhD preferred.
* Minimum three (3\) years of relevant work experience in the areas below, or any equivalent education and/or experience from which comparable knowledge, skills and abilities have been demonstrated/achieved:
* Understands fundamental concepts, practices, and procedures of machine learning field.
* Data discovery, data aggregation, and feature engineering with SQL query writing skills.
* Training, evaluating, optimizing, deploying, and maintaining machine learning models on production systems.
* Logging, tracking, A/B testing, evaluating and analyzing the performance of different machine learning algorithms and models in production.
* Strong development skills in Python programming language and have experience in developing data\-driven, scalable, and reliable applications with Amazon Web Services (AWS).
* Applying machine learning algorithms to solve a wide range of optimization problems like customer sales prediction, recommendation engine, sentiment analysis, deep learning with image and natural language, customer segmentations/clustering, and object detection.
* Utilization of popular open\-source machine learning/deep learning libraries like LangChain, HuggingFace, Tensorflow, scikit\-learn, pandas, pyTorch, and Keras.
* Experience working with relational, non\-relational, and high\-scale data processing and storage frameworks like Structured Query Language (SQL), AWS RedShift, Aurora, S3, DynamoDB, MySQL, PostgreSQL.
* Experience with AWS Serverless architecture and AWS native services like BedRock, EC2, Lambda, Step Functions, SageMaker, Rekognition, Comprehend, Lex/Polly, and Transcribe.
**Pay Range:** 
 $122,000 \- $160,000/YR
***Glidewell Laboratories is the industry leader in dental technology due to our agility, speed, and cutting edge technology. We work in a fast\-paced and highly sought\-after employee\-friendly work environment. Behind all of this success is an amazing group of people who are passionate about bringing innovation to the marketplace, while providing quality and affordability to better the lives of people all over the world. If you share in our passion for teamwork and a vision for excellence, let's talk about a rewarding career at Glidewell!***
***In addition are the following generous employee benefits: Medical, Dental, Vision, 401K with company match, company\-paid life insurance, additional onsite dental services, vacation, holiday, and sick time, employee gym (with fitness classes and meditation room), employee medical/wellness center (with massage therapy and acupuncture), two company subsidized cafes, Internet cafes, employee lounges with big screen TVs, game tables, fun company sponsored events, a diverse work environment with over forty nationalities represented, and much more!***
***Glidewell Laboratories is an Equal Opportunity Employer and prohibits any kind of unlawful discrimination and harassment. We are committed to the principle of equal employment opportunity for all employees and to provide employees with a work environment free of discrimination and harassment on the basis of race, color, religion, national origin, sex, age, physical or mental disability, veteran status, sexual orientation, gender identity, genetic information, or any other status protected by the statutes, rules, and regulations in the locations where it operates. If you are an individual with a disability and need a reasonable accommodation to assist with your job search or application for employment, please contact us at recruitment@glidewelldental.com. Please indicate the specifics of the assistance needed.***</t>
        </is>
      </c>
    </row>
    <row r="82">
      <c r="A82" t="inlineStr">
        <is>
          <t>li-4368264939</t>
        </is>
      </c>
      <c r="B82" t="inlineStr">
        <is>
          <t>Machine Learning Engineer, Content and Navigation</t>
        </is>
      </c>
      <c r="C82" t="inlineStr">
        <is>
          <t>Whatnot</t>
        </is>
      </c>
      <c r="D82" t="inlineStr">
        <is>
          <t>linkedin</t>
        </is>
      </c>
      <c r="E82">
        <f>HYPERLINK("https://www.linkedin.com/jobs/view/4368264939", "https://www.linkedin.com/jobs/view/4368264939")</f>
        <v/>
      </c>
      <c r="F82">
        <f>HYPERLINK("https://jobs.ashbyhq.com/whatnot/fc9888be-75e6-47f3-891f-814a666cfe0a/application?utm_source=LinkedInJobWrapping&amp;urlHash=BFat", "https://jobs.ashbyhq.com/whatnot/fc9888be-75e6-47f3-891f-814a666cfe0a/application?utm_source=LinkedInJobWrapping&amp;urlHash=BFat")</f>
        <v/>
      </c>
      <c r="G82" t="inlineStr">
        <is>
          <t>Seattle, WA</t>
        </is>
      </c>
      <c r="H82" t="inlineStr"/>
      <c r="I82" t="inlineStr">
        <is>
          <t>****🚀 Join the Future of Commerce with Whatnot!****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Poland, and Australia,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 Role**
 The Discovery Content and Navigation (CAN) team’s mission is to capture intent and content signals to build a seamless, engaging, and personalized navigation experience for Whatnot buyers. We’re passionate about enabling and maintaining a healthy discovery ecosystem—one where buyers can easily find fun shows and connect with sellers.
 Our work spans a wide range of problems, including search, taxonomy, events, and intent and content understanding. We leverage AI technology, make data\-informed decisions, and ship quickly to deliver value to our users.
**What You'll Do**
* Lead the design, development, and productionization of ML models to capture intent and content signals that powers personalized navigational experience, search, and recommendations
* Lead ML\-based projects from end\-to\-end: scoping and planning, data collection and feature engineering, model training and deployment, backend implementation, and online experimentation
* Support product initiatives like category and brand recommendations, promote high quality and relevant livestreams and products in feed and search.
* Work closely with teammates and cross\-functional partners to implement ML\-based solutions into production at scale
* Drive technical excellence and establish ML best practices across the team and org.
**US Based: We offer flexibility to work from home or from one of our global office hubs, and we value in\-person time for planning, problem\-solving, and connection. Team members in this role must live within commuting distance of our New York, San Francisco, Los Angeles, and Seattle hubs.**
**👋 You**
 Curious about who thrives at Whatnot? We’ve found that embodying a low ego, growth mindset, and high\-impact drive goes a long way here.
 As Our Next Machine Learning Engineer You Should Have 4\+ Years Of Generalist Software Development Experience In High Growth Startups, Plus
* 4\+ years of industry experience building and deploying ML models to solve user problems at scale.
* Industry experience with a track record of applying practical methods to solve real\-world problems on consumer scale data.
* Experience in applied statistical and machine learning fields e.g. search, recommendations, content understanding, natural language processing, and large language models.
* Proficiency in Python, SQL, and common ML frameworks.
* Strong communication and leadership skills; ability to influence roadmap and align cross\-functional teams in a remote environment.
* Excellent product instincts. You first think about users rather than the best technical solution.
* You are known for shipping products and features lightning\-fast.
****💰Compensation****
 For US\-based applicants: $245,000 \- $345,000/year \+ benefits \+ stock options
 The salary range may be inclusive of several levels that would be applicable to the position. Final salary will be based on a number of factors including, level, relevant prior experience, skills and expertise. This range is only inclusive of base salary, not benefits (more details below) or equity in the form of stock options.
**🎁 Benefits**
* Flexible Time off Policy and Company\-wide Holidays (including a spring and winter break)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$245K \- $345K</t>
        </is>
      </c>
    </row>
    <row r="83">
      <c r="A83" t="inlineStr">
        <is>
          <t>li-4374762744</t>
        </is>
      </c>
      <c r="B83" t="inlineStr">
        <is>
          <t>Sr. AI Engineer</t>
        </is>
      </c>
      <c r="C83" t="inlineStr">
        <is>
          <t>Ringside Talent</t>
        </is>
      </c>
      <c r="D83" t="inlineStr">
        <is>
          <t>linkedin</t>
        </is>
      </c>
      <c r="E83">
        <f>HYPERLINK("https://www.linkedin.com/jobs/view/4374762744", "https://www.linkedin.com/jobs/view/4374762744")</f>
        <v/>
      </c>
      <c r="F83" t="inlineStr"/>
      <c r="G83" t="inlineStr"/>
      <c r="H83" t="inlineStr"/>
      <c r="I83" t="inlineStr">
        <is>
          <t>We are looking for a
 **Senior AI Engineer** 
 to work for our client. The ideal candidate aligns with the responsibilities and qualifications outlined below.
 If you're an AI engineer who wants to build real‑world, high‑impact machine learning solutions, not just prototypes, and you thrive at the intersection of software engineering, data platforms, and cloud architecture, this remote role gives you the freedom, challenge, and technical depth you’ve been looking for.
**About the Role** 
 Our client is seeking a highly skilled Senior AI Engineer to design, build, and deploy AI systems that integrate into enterprise applications at scale. You’ll work across Golang, Python, SQL, modern API frameworks, and platforms like Palantir to support mission‑critical analytics and decision‑making.
 In this role, you'll collaborate with product, data engineering, ML, and architecture teams to deliver AI models and intelligent services that power digital transformation.
**What You’ll Do** 
* Design, develop, and deploy AI/ML solutions using Python, Golang, and SQL
* Build and support scalable RESTful APIs that connect AI models with enterprise applications
* Integrate and operationalize models in cloud environments (AWS preferred)
* Work within Palantir Foundry to support data workflows, feature pipelines, and intelligence initiatives
* Optimize ML workflows for speed, accuracy, and reliability across production environments
* Collaborate cross‑functionally to translate business needs into ML‑backed solutions
* Participate in code reviews, architectural discussions, and model performance tuning
* Contribute to long‑term AI strategy, tooling selections, and platform modernization
* Support healthcare‑related AI use cases (preferred, not required)
**What You Bring** 
* Strong programming skills in Python, Golang, and SQL
* 5\+ years of combined AI engineering, data engineering, or ML software engineering experience
* Experience deploying AI/ML models in AWS or other cloud environments
* Hands‑on experience with Palantir Foundry (or similar platforms like Databricks, Snowflake, or Dataiku)
* Strong understanding of machine learning workflows, data structures, and MLOps best practices
* Experience building and maintaining APIs to support AI model consumption
* Familiarity with healthcare data structures, terminology, or compliance frameworks (preferred)
* Excellent communication skills and ability to collaborate across technical and executive teams
**What Our Client Offers** 
* Fully remote role with a collaborative technical team. (Applicants must be located in the United States)
* Opportunity to work on cutting‑edge AI initiatives with real enterprise impact
* Access to modern tools including Palantir, AWS, and advanced ML frameworks
* Ownership of end‑to‑end model development, deployment, and integration
* Competitive salary, bonus eligibility, and full benefits
* Strong commitment to innovation, learning, and career development</t>
        </is>
      </c>
    </row>
    <row r="84">
      <c r="A84" t="inlineStr">
        <is>
          <t>li-4376725654</t>
        </is>
      </c>
      <c r="B84" t="inlineStr">
        <is>
          <t>Sr Machine Learning Engineer</t>
        </is>
      </c>
      <c r="C84" t="inlineStr">
        <is>
          <t>The Walt Disney Company</t>
        </is>
      </c>
      <c r="D84" t="inlineStr">
        <is>
          <t>linkedin</t>
        </is>
      </c>
      <c r="E84">
        <f>HYPERLINK("https://www.linkedin.com/jobs/view/4376725654", "https://www.linkedin.com/jobs/view/4376725654")</f>
        <v/>
      </c>
      <c r="F84" t="inlineStr"/>
      <c r="G84" t="inlineStr">
        <is>
          <t>Seattle, WA</t>
        </is>
      </c>
      <c r="H84" t="inlineStr"/>
      <c r="I84" t="inlineStr">
        <is>
          <t>Technology is at the heart of Disney’s past, present, and future. Disney Entertainment and ESPN Product \&amp; Technology is a global organization of engineers, product developers, designers, technologists, data scientists, and more – all working to build and advance the technological backbone for Disney’s media business globally.
 The team marries technology with creativity to build world\-class products, enhance storytelling, and drive velocity, innovation, and scalability for our businesses. We are Storytellers and Innovators. Creators and Builders. Entertainers and Engineers. We work with every part of The Walt Disney Company’s media portfolio to advance the technological foundation and consumer media touch points serving millions of people around the world.
 Here are a few reasons why we think you’d love working here:
* Building the future of Disney’s media: Our Technologists are designing and building the products and platforms that will power our media, advertising, and distribution businesses for years to come.
* Reach, Scale \&amp; Impact: More than ever, Disney’s technology and products serve as a signature doorway for fans' connections with the company’s brands and stories. Disney\+. Hulu. ESPN. ABC. ABC News…and many more. These products and brands – and the unmatched stories, storytellers, and events they carry – matter to millions of people globally.
* Innovation: We develop and implement groundbreaking products and techniques that shape industry norms, and solve complex and distinctive technical problems.
 Ad Platforms is responsible for Disney’s industry\-leading ad technology and products – driving advertising performance, innovation, and value in Disney’s sports, news, and entertainment content, across all media platforms.
 Our mission is to advance AI and machine learning capabilities across Ad Platform by delivering scalable, high impact AI/ML and data science solutions that enhance Ad decisioning, forecasting, experimentation and Ad experience. We are seeking a Senior Machine Learning Engineer to join this innovative team. This role offers a unique leadership opportunity for an experienced ML engineer who thrives at the intersection of technical excellence, strategic impact, and cross\-functional collaboration.
**What You’ll Do**
* Drive innovation and apply state of the art AI and machine learning across advertising domains, including inventory forecasting, ad experience, ad pacing, pricing, targeting, and efficient ad delivery.
* Invent and iterate on novel solutions to complex advertising challenges with rapid prototyping and deployment cycles.
* Design, build, and scale robust ML systems that power core ad platform capabilities
* Champion engineering excellence through best practices in code quality, system design, and operational reliability.
* Mentor and support junior engineers, fostering a culture of continuous learning and technical growth.
**What To Bring**
* Bachelor's in computer science or equivalent experience.
* Minimum 5 years of hands\-on experience developing and deploying large\-scale machine learning systems.
* Strong knowledge of AI/ML technologies, mathematics and statistics.
* Excellent communication, collaboration skills, and a strong teamwork ethic with both technical and non\-technical audiences
* Strong foundations in algorithms, data structures, and numerical optimization with experience in programming languages such as Python (primary), Java and SQL
* Familiarity with tools and frameworks such as TensorFlow, Pytorch, Hugging libraries etc
* Proven proficiency in deep learning methodologies, including recurrent and sequence\-based models.
* Hands\-on experience with transformer architectures (e.g., BERT, GPT, ViT) for natural language and vision tasks.
* Strong understanding of multimodal embedding techniques for integrating text, image, audio, and structured data.
* Experience with LLM models such as GPT models, Claude, Gemini, Llama, etc.
* Strong grasp of LLM evaluation methodologies, experience with RAG architectures.
* A proven track record of thriving in a fast\-paced, data\-driven, and collaborative work environment is required.
**NICE\-TO\-HAVES**
* MS or PhD(preferred) in computer science or equivalent experience.
* Experience in digital video advertising or digital marketing domain.
* Experience with Databricks and AWS Sagemaker.
**Location** 
 : Seattle / Santa Monica
 The hiring range for this position in Los Angeles, CA area is $141,900 to $190,300 per year and in Seattle, WA is $148,700 \- $199,400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85">
      <c r="A85" t="inlineStr">
        <is>
          <t>li-4377844099</t>
        </is>
      </c>
      <c r="B85" t="inlineStr">
        <is>
          <t>AI Engineer</t>
        </is>
      </c>
      <c r="C85" t="inlineStr">
        <is>
          <t>Hirenza</t>
        </is>
      </c>
      <c r="D85" t="inlineStr">
        <is>
          <t>linkedin</t>
        </is>
      </c>
      <c r="E85">
        <f>HYPERLINK("https://www.linkedin.com/jobs/view/4377844099", "https://www.linkedin.com/jobs/view/4377844099")</f>
        <v/>
      </c>
      <c r="F85" t="inlineStr"/>
      <c r="G85" t="inlineStr"/>
      <c r="H85" t="inlineStr"/>
      <c r="I85" t="inlineStr">
        <is>
          <t>**About The Company**
 MassMutual is a leading financial services organization dedicated to helping individuals and businesses achieve their financial goals through innovative insurance and wealth management solutions. With a rich history of over 170 years, MassMutual has established a reputation for stability, integrity, and customer\-centric service. The company operates across various segments, including life insurance, retirement planning, and asset management, serving millions of clients nationwide. Committed to fostering a diverse and inclusive workplace, MassMutual emphasizes continuous innovation and responsible business practices to stay ahead in the evolving financial landscape.
**About The Role**
 We are seeking an experienced and impact\-driven AI Engineer to join our dynamic Data Science team. This full\-time hybrid position offers the opportunity to work from Boston, NYC, or Springfield, collaborating closely with experts in applied mathematics, statistics, computer science, and physics. As an AI Engineer at MassMutual, you will play a pivotal role in developing advanced artificial intelligence solutions that influence strategic decision\-making and drive transformative initiatives across the organization. Your expertise will be instrumental in deploying scalable AI systems, including large language models and generative AI, to address complex business challenges and improve operational efficiencies.
**Qualifications**
 Candidates should possess a minimum of 5\+ years of proficiency in SQL, database design, and Python programming, with familiarity in R being advantageous. A deep understanding of machine learning, natural language processing, optimization, and large language models is essential, along with at least 3\+ years of experience in data science or AI engineering roles. Hands\-on experience with AI deployment frameworks such as agentcore, strands, langchain, MCP, and A2A for at least 2\+ years is required. Candidates should also have extensive background in AI agents and LLM systems, including prompt management, multi\-step workflows, and evaluation of model behaviors. Experience building AI\-powered applications in collaboration with software engineers and product managers, as well as cloud\-native development using Docker, Kubernetes, and related technologies, is highly preferred. A master's degree in Computer Science, Statistics, Applied Mathematics, Electrical Engineering, Physics, or a related quantitative field is required.
**Responsibilities**
* Develop and deploy end\-to\-end machine learning and AI solutions supporting various enterprise use cases, utilizing large language models, deep learning, and probabilistic modeling from conception to production.
* Design and implement scalable generative AI and agentic AI systems aligned with business objectives, ensuring robustness and reliability.
* Establish best practices in AI development, emphasizing responsible AI deployment, ethical considerations, and compliance with organizational standards.
* Collaborate with engineering teams to build and optimize production\-grade AI pipelines, APIs, and integrations that facilitate seamless deployment and scalability.
* Create prototypes and deliver AI\-powered applications, including web interfaces, dashboards, and visualizations, to enable data\-driven decision\-making processes across various departments.
* Stay abreast of emerging trends in AI and machine learning, continuously integrating innovative techniques and tools into existing workflows.
* Mentor junior team members and communicate complex technical concepts effectively to non\-technical stakeholders to foster a shared understanding of AI initiatives.
**Benefits**
 MassMutual offers a comprehensive benefits package designed to support the health, well\-being, and professional growth of our employees. This includes competitive salary packages, health insurance plans, retirement savings options, and wellness programs. Employees have access to ongoing training and development opportunities, fostering a culture of continuous learning. The organization promotes a flexible work environment, including hybrid work arrangements, to support work\-life balance. Additionally, employees are encouraged to participate in community engagement initiatives and corporate social responsibility programs, reinforcing our commitment to making a positive impact both internally and externally.
 Equal Opportunity
 MassMutual is an equal employment opportunity employer. We celebrate diversity and are committed to creating an inclusive environment for all employees. We do not discriminate based on race, color, religion, gender, sexual orientation, gender identity or expression, age, national origin, disability, or any other protected status under applicable law. We welcome applications from all qualified individuals and strive to provide accommodations during the application process for candidates with disabilities. If you require assistance or accommodations, please contact us to share your needs.</t>
        </is>
      </c>
    </row>
    <row r="86">
      <c r="A86" t="inlineStr">
        <is>
          <t>li-4374849167</t>
        </is>
      </c>
      <c r="B86" t="inlineStr">
        <is>
          <t>Machine Learning Engineer</t>
        </is>
      </c>
      <c r="C86" t="inlineStr">
        <is>
          <t>Akkodis</t>
        </is>
      </c>
      <c r="D86" t="inlineStr">
        <is>
          <t>linkedin</t>
        </is>
      </c>
      <c r="E86">
        <f>HYPERLINK("https://www.linkedin.com/jobs/view/4374849167", "https://www.linkedin.com/jobs/view/4374849167")</f>
        <v/>
      </c>
      <c r="F86" t="inlineStr"/>
      <c r="G86" t="inlineStr">
        <is>
          <t>Exton, PA</t>
        </is>
      </c>
      <c r="H86" t="inlineStr"/>
      <c r="I86" t="inlineStr">
        <is>
          <t>Akkodis is seeking a
 **Machine Learning Engineer** 
 for a
 **Direct hire** 
 position based in
 **Exton, PA (Hybrid),** 
 ideally looking for applicants with solid exp with
 **Azure AI Foundry, Azure OpenAI, LLM, RAG,** 
 would come as a big plus.
**Salary Range: $120\- $135k/Annum \+ Benefits,** 
 The Salary may be negotiable based on experience, education, geographic location, and other factors.
 We are expanding our enterprise AI capabilities and are looking for a Machine Learning Engineer to design and deploy production\-ready AI and LLM solutions across our Microsoft ecosystem. You will work with Azure AI Foundry, Azure OpenAI, Microsoft Fabric, Dynamics CRM, and Azure SQL to build scalable, secure, and governed AI applications that drive real business impact.
**What You’ll Do** 
* **Build and deploy LLM\-based applications using Azure AI Foundry, Azure OpenAI, and Copilot Studio**
* **Develop scalable RAG architectures, embeddings, semantic search, and evaluation frameworks**
* **Integrate AI solutions across Azure APIs, Dynamics CRM, SharePoint, and enterprise platforms**
* **Build and optimize data pipelines using Microsoft Fabric Data Pipelines**
* **Engineer ingestion processes for Azure SQL Database**
* **Contribute to secure and governed Azure cloud architecture**
* **Implement CI/CD pipelines using Azure DevOps**
* **Build containerized services with Docker for reliable deployment**
* **Participate in technical design sessions and collaborate with business stakeholders**
**What You Bring** 
**Core Skills** 
* **Hands\-on experience with Azure AI Foundry, Copilot Studio, and Azure OpenAI**
* **Strong background in LLM development (RAG, prompt engineering, evaluation)**
* **Understanding of AI lifecycle management and responsible AI practices**
* **Experience with Microsoft Fabric for data ingestion and pipelines**
* **Strong Azure SQL engineering skills**
* **Cloud architecture knowledge and CI/CD experience (Azure DevOps)**
* **Experience integrating APIs and microservices**
**Highly Preferred** 
* **Experience with vector databases \&amp; semantic search**
* **Power BI integration knowledge**
* **Familiarity with Microsoft Purview or governance frameworks**
**Soft Skills** 
* **Strong communicator who can simplify complex AI concepts**
* **Able to translate business needs into scalable AI architecture**
* **Comfortable operating in an innovative, fast\-evolving environment**
* **Experience leading technical discussions and guiding solution design**
**If you are interested in this role, then please click APPLY NOW. For other opportunities available at Akkodis, or any questions, feel free to contact me at govind.choudhary@akkodisgroup.com.** 
 Equal Opportunity Employer/Veterans/Disabled
 Benefits offerings include but are not limited to:
 • 401(k) with match
 • Medical insurance
 • Dental Insurance
 • Vision assistance
 • Paid Holidays Off
**To read our Candidate Privacy Information Statement, which explains how we will use your information, please visit https://www.akkodis.com/en/privacy\-policy.**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t>
        </is>
      </c>
    </row>
    <row r="87">
      <c r="A87" t="inlineStr">
        <is>
          <t>li-4377875491</t>
        </is>
      </c>
      <c r="B87" t="inlineStr">
        <is>
          <t>Machine Learning Engineer II</t>
        </is>
      </c>
      <c r="C87" t="inlineStr">
        <is>
          <t>Wiraa</t>
        </is>
      </c>
      <c r="D87" t="inlineStr">
        <is>
          <t>linkedin</t>
        </is>
      </c>
      <c r="E87">
        <f>HYPERLINK("https://www.linkedin.com/jobs/view/4377875491", "https://www.linkedin.com/jobs/view/4377875491")</f>
        <v/>
      </c>
      <c r="F87">
        <f>HYPERLINK("https://www.wiraa.com/job-description/usE03A4B58B01E4F99657718805C0F098B?source=Linkedin&amp;urlHash=m_IK", "https://www.wiraa.com/job-description/usE03A4B58B01E4F99657718805C0F098B?source=Linkedin&amp;urlHash=m_IK")</f>
        <v/>
      </c>
      <c r="G87" t="inlineStr"/>
      <c r="H87" t="inlineStr"/>
      <c r="I87" t="inlineStr">
        <is>
          <t>**About The Company**
 At Instacart, we are revolutionizing the grocery industry by providing innovative solutions that connect consumers with their favorite products efficiently and conveniently. Our mission is to make food accessible to everyone, fostering a sense of community and love through shared meals. We believe that everyone deserves access to quality groceries and household essentials, and we are committed to delivering this through our reliable and flexible platform. Instacart has become a vital lifeline for millions, especially during times when access to physical stores is limited, and we continuously strive to enhance our services to meet the evolving needs of our community. Our company culture emphasizes collaboration, innovation, and a customer\-first approach, empowering our team members to make impactful contributions in a dynamic environment.
**About The Role**
 We are seeking talented economists and machine learning engineers to join our fast\-paced, innovative team. In this role, you will work on a wide range of challenging and impactful problems, from optimizing marketplace incentives to analyzing the influence of pricing strategies and product placement on customer behavior. You will be integral to designing and developing end\-to\-end machine learning solutions that support Instacart’s ambitious growth objectives. As part of a small, cross\-functional product team, you will have the opportunity to take ownership of projects, collaborate with diverse stakeholders, and contribute to organization\-wide initiatives. Your expertise will directly influence how we understand and serve our customers, ensuring that our platform remains competitive and responsive to market demands. This position offers significant growth opportunities and the chance to make a tangible impact on the future of grocery shopping.
**Qualifications**
* PhD in Economics or a related field with a focus on data\-intensive problems, or 3\-5 years of industry experience in machine learning or economics\-focused roles
* Strong foundation in economic theory, applied econometrics, and business acumen
* Expertise in causal inference with observational and experimental data
* Proficiency in programming languages such as R or Python
* Experience with data manipulation tools like SQL and Pandas
* Knowledge of machine learning frameworks including scikit\-learn, XGBoost, Keras, or TensorFlow
* Ability to identify high\-impact problems and deliver balanced solutions considering urgency and quality
* Willingness and ability to travel internationally as required
* Self\-motivated with a strong sense of ownership and initiative
**Responsibilities**
* Design and develop comprehensive machine learning solutions to address complex business problems
* Collaborate with product teams, engineers, data scientists, and stakeholders to understand problem requirements and translate them into effective solutions
* Lead the end\-to\-end process from problem framing, data analysis, model development, to deployment and testing
* Share insights, best practices, and research findings within the internal community of economists, data scientists, and engineers
* Contribute to organizational initiatives aimed at optimizing marketplace incentives, pricing strategies, and customer engagement
* Implement scalable machine learning models in cloud environments, ensuring robustness and efficiency
* Continuously evaluate and improve existing models based on performance metrics and business needs
* Stay updated with the latest research and advancements in economics and machine learning to inform project strategies
**Benefits**
* Highly competitive salary packages tailored to location and experience
* Equity grants for new hires and annual refresh grants to reward ongoing contributions
* Flexible work arrangements, including remote work options
* Comprehensive health, dental, and vision insurance plans
* Generous paid time off and holidays
* Opportunities for professional development and continuous learning
* Inclusive and collaborative company culture that values diversity and innovation
 Equal Opportunity
 Instacart is an equal opportunity employer. We celebrate diversity and are committed to creating an inclusive environment for all employees. We do not discriminate based on race, religion, color, national origin, gender, sexual orientation, age, disability, or any other protected status. We believe that diverse perspectives and backgrounds foster innovation and strengthen our ability to serve our community effectively.</t>
        </is>
      </c>
    </row>
    <row r="88">
      <c r="A88" t="inlineStr">
        <is>
          <t>li-4345958853</t>
        </is>
      </c>
      <c r="B88" t="inlineStr">
        <is>
          <t>AI Engineer</t>
        </is>
      </c>
      <c r="C88" t="inlineStr">
        <is>
          <t>Stifel Financial Corp.</t>
        </is>
      </c>
      <c r="D88" t="inlineStr">
        <is>
          <t>linkedin</t>
        </is>
      </c>
      <c r="E88">
        <f>HYPERLINK("https://www.linkedin.com/jobs/view/4345958853", "https://www.linkedin.com/jobs/view/4345958853")</f>
        <v/>
      </c>
      <c r="F88">
        <f>HYPERLINK("https://careers-stifel.icims.com/jobs/8569/ai-engineer/job?in_iframe=1&amp;mode=apply&amp;iis=LinkedIn&amp;iisn=LinkedIn&amp;urlHash=h6Pc", "https://careers-stifel.icims.com/jobs/8569/ai-engineer/job?in_iframe=1&amp;mode=apply&amp;iis=LinkedIn&amp;iisn=LinkedIn&amp;urlHash=h6Pc")</f>
        <v/>
      </c>
      <c r="G88" t="inlineStr">
        <is>
          <t>St Louis, MO</t>
        </is>
      </c>
      <c r="H88" t="inlineStr"/>
      <c r="I88" t="inlineStr">
        <is>
          <t>**Why Stifel**
 Stifel strives for a culture that puts its clients and associates first: a culture where everyone belongs, everyone is welcome, and everyone contributes to the success of our clients, their careers, and the firm as a whole.
 Let’s talk about how you can find your place here at Stifel,
 **where success meets success** 
 .
**What You'll Be Doing**
 The AI Engineer position will support the setup, configuration and ongoing development of solutions using Microsoft Copilot Studio, AgentFlow, Power Automate and related Microsoft AI tools. This position focuses on implementing and operationalizing existing AI strategies, configuring intelligent agents, and improving the performance through strong prompt design and applied problem solving.
**What We're Looking For**
* Assist in building, configuring, and maintaining AI agents within Microsoft Copilot Studio, including logic, triggers, and Power Automate workflows.
* Execute and maintain AI strategies that have already been defined, ensuring reliable deployment and performance across business functions.
* Develop, test, and refine prompt structures and techniques to improve the quality, accuracy, and tone of AI responses within Copilot and related tools.
* Continuously expand AI and automation knowledge through practical, self\-directed learning (e.g., Microsoft resources, YouTube tutorials, community examples).
* Troubleshoot and improve existing AI workflows and integrations in coordination with senior engineers or solution architects.
* Configure and validate data connections across Microsoft 365 applications (Teams, SharePoint, Outlook, Dynamics, etc.).
* Maintain clear, accurate records of agent configurations, workflows, and prompt libraries.
* Work closely with AI architects, automation leads, and business users to support smooth AI adoption.
**What You'll Bring**
* Foundational understanding of AI concepts, LLMs, and prompt engineering.
* Practical experience with Microsoft Power Platform (especially Power Automate or Copilot Studio).
* Basic familiarity with Microsoft 365 integrations and cloud\-based automation tools.
* Ability to learn independently using online educational resources (e.g., Microsoft Learn, YouTube, community channels).
* Strong analytical, troubleshooting, and documentation skills.
**Education \&amp; Experience**
* Preferred: Bachelor's degree in relevant field or equivalent experience.
* Minimum Required: 3\+ years' of technical experience with a familiarity of AI.
**Licenses \&amp; Credentials**
* Minimum Required: None.
**Systems \&amp; Technology**
* Exposure to AgentFlow, Power Virtual Agents, or other Microsoft AI development tools.
* Familiarity with Azure AI Services or similar automation frameworks.
* Understanding of how prompt design affects AI model responses and user experience.
* General awareness of enterprise security and compliance considerations in Microsoft environments.
**About Stifel**
 Stifel is more than 130 years old and still thinking like a start\-up. We are a global wealth management and investment banking firm serious about innovation and fresh ideas. Built on a simple premise of safeguarding our clients’ money as if it were our own, coined by our namesake, Herman Stifel, our success is intimately tied to our commitment to helping families, companies, and municipalities find their own success.
 While our headquarters is in St. Louis, we have offices in New York, San Francisco, Baltimore, London, Frankfurt, Toronto, and more than 400 other locations. Stifel is home to approximately 9,000 individuals who are currently building their careers as financial advisors, research analysts, project managers, marketing specialists, developers, bankers, operations associates, among hundreds more. Let’s talk about how you can find your place here at Stifel, where success meets success.
 At Stifel we offer an entrepreneurial environment, comprehensive benefits package to include health, dental and vision care, 401k, wellness initiatives, life insurance, and paid time off.
 Stifel is an Equal Opportunity Employer.</t>
        </is>
      </c>
    </row>
    <row r="89">
      <c r="A89" t="inlineStr">
        <is>
          <t>li-4352737562</t>
        </is>
      </c>
      <c r="B89" t="inlineStr">
        <is>
          <t>AI Engineer- Gen AI/SWE- Weights &amp; Biases</t>
        </is>
      </c>
      <c r="C89" t="inlineStr">
        <is>
          <t>Weights &amp; Biases</t>
        </is>
      </c>
      <c r="D89" t="inlineStr">
        <is>
          <t>linkedin</t>
        </is>
      </c>
      <c r="E89">
        <f>HYPERLINK("https://www.linkedin.com/jobs/view/4352737562", "https://www.linkedin.com/jobs/view/4352737562")</f>
        <v/>
      </c>
      <c r="F89" t="inlineStr"/>
      <c r="G89" t="inlineStr">
        <is>
          <t>Livingston, NJ</t>
        </is>
      </c>
      <c r="H89" t="inlineStr"/>
      <c r="I89" t="inlineStr">
        <is>
          <t>CoreWeave, the AI Hyperscaler™, acquired Weights \&amp; Biases to create the most powerful end\-to\-end platform to develop, deploy, and iterate AI faster. Since 2017, CoreWeave has operated a growing footprint of data centers covering every region of the US and across Europe, and was ranked as one of the TIME100 most influential companies of 2024\. By bringing together CoreWeave’s industry\-leading cloud infrastructure with the best\-in\-class tools AI practitioners know and love from Weights \&amp; Biases, we’re setting a new standard for how AI is built, trained, and scaled.
 The integration of our teams and technologies is accelerating our shared mission: to empower developers with the tools and infrastructure they need to push the boundaries of what AI can do. From experiment tracking and model optimization to high\-performance training clusters, agent building, and inference at scale, we’re combining forces to serve the full AI lifecycle — all in one seamless platform.
 Weights \&amp; Biases has long been trusted by over 1,500 organizations — including AstraZeneca, Canva, Cohere, OpenAI, Meta, Snowflake, Square,Toyota, and Wayve — to build better models, AI agents and applications. Now, as part of CoreWeave, that impact is amplified across a broader ecosystem of AI innovators, researchers, and enterprises.
 As we unite under one vision, we’re looking for bold thinkers and agile builders who are excited to shape the future of AI alongside us. If you're passionate about solving complex problems at the intersection of software, hardware, and AI, there's never been a more exciting time to join our team.
**What You'll Do**
 The AI team is a hands\-on applied AI group at Weights \&amp; Biases that turns frontier research into teachable workflows. We collaborate with leading enterprises and the OSS community. We are the team that took W\&amp;B from a few hundred users to millions of users and one of the most beloved tools in the ML community. A senior applied role at the research\-to\-product boundary. You will design, implement, and evaluate LLM applications and agents with cutting\-edge techniques from the latest research, then document and teach them to our community and customers. The focus is application, not novel research: rapid prototyping, careful evaluation, and production\-grade reference implementations with clear trade\-offs. We prioritize responsible, safe deployment and reproducibility.
**About The Role**
* Ship end\-to\-end GenAI workflows (prompting → RAG → tools/agents → eval → serve) with reproducible repos, W\&amp;B Reports, and dashboards others can run.
* Build agentic systems (tool use, function calling, multi\-step planners) with MCP servers/clients and secure tool/resource integrations.
* Design evaluation harnesses (RAG/agent evals, golden sets, regression tests, telemetry) and drive continuous improvement via offline \+ online metrics.
* Build in public: Publish engineering artifacts (code, docs, talks, tutorials) and engage with OSS and customer engineers; turn repeated patterns into reusable templates.
* Partner with product/solutions to launch LLM\-powered features with clear latency/cost/SLO targets and safety/guardrail checks.
* Run growth experiments to track the usage of the Weights \&amp; Biases suite of products from the artifacts built.
**Who You Are**
* Software engineering: 6\+ years building production systems; strong Python or TypeScript \+ system design, testing, CI/CD, observability.
* GenAI apps: shipped LLM\-powered features (tools/agents/function calling), with measurable impact (latency/cost/reliability).
* Agentic patterns: implemented planners/executors, tool orchestration, sandboxing, and failure taxonomies; familiarity with agent infra concerns.
* RAG: pragmatic mastery of chunking, embeddings, vector/hybrid search, rerankers; experience with vector DBs/search indices and retrieval policy design.
* Evaluation: designed LLM/RAG/agent evals (offline golden sets, counterfactuals, user studies, guardrail tests); stats literacy (variance, CIs, power).
* Serving \&amp; productization: comfortable with queueing, caching, streaming, and cost controls; can debug latency at model, retrieval, and network layers.
* Public signal: 2\+ substantial OSS repos/blog posts/talks/videos with adoption (stars, forks, downloads, views) and reproducible artifacts.
**Preferred**
* Experience building with AI SDKs / agent frameworks (e.g., TypeScript/Python SDKs, planning libraries) and shipping developer\-facing examples.
* Production agent security/sandboxing, red\-teaming, and policy/PII enforcement.
* Operated eval platforms or built judge models/heuristics; experience leading metrics reviews with product/UX.
* Customer\-facing enablement: templates or reference implementations adopted by external teams at scale.
**Wondering if you’re a good fit? We believe in investing in our people, and value candidates who can bring their own diversified experiences to our teams – even if you aren't a 100% skill or experience match. Here are a few qualities we’ve found compatible with our team. If some of this describes you, we’d love to talk.**
* You love turning ambiguous product ideas into clean, benchmarked, production\-ready LLM/agent workflows others can use today.
* You’re curious about the latest research from AI labs and excited to apply it to real\-world problems.
* You’re an expert in at least one of: RAG quality at scale, agent/tool orchestration, or GenAI DX (SDKs, examples, docs)—and you can demonstrate it with code and metrics.
**Why Us?**
**About**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takeoff, the growth opportunities within the organization are constantly expanding. You will be surrounded by some of the best talent in the industry, who will want to learn from you, too. Come join us!
 The base salary range for this role is $188,000 to $275,000\.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90">
      <c r="A90" t="inlineStr">
        <is>
          <t>li-4316672102</t>
        </is>
      </c>
      <c r="B90" t="inlineStr">
        <is>
          <t>Machine Learning Engineer, Agents</t>
        </is>
      </c>
      <c r="C90" t="inlineStr">
        <is>
          <t>Grammarly</t>
        </is>
      </c>
      <c r="D90" t="inlineStr">
        <is>
          <t>linkedin</t>
        </is>
      </c>
      <c r="E90">
        <f>HYPERLINK("https://www.linkedin.com/jobs/view/4316672102", "https://www.linkedin.com/jobs/view/4316672102")</f>
        <v/>
      </c>
      <c r="F90" t="inlineStr"/>
      <c r="G90" t="inlineStr"/>
      <c r="H90" t="inlineStr"/>
      <c r="I90" t="inlineStr">
        <is>
          <t>*Superhuman offers a dynamic hybrid working model for this role. This flexible approach gives team members the best of both worlds: plenty of focus time along with in\-person collaboration that helps foster trust, innovation, and a strong team culture.*
**About Superhuman**
 Grammarly is now part of Superhuman, the AI productivity platform on a mission to unlock the superhuman potential in everyone. The Superhuman suite of apps and agents brings AI wherever people work, integrating with over 1 million applications and websites. The company’s products include Grammarly’s writing assistance, Coda’s collaborative workspaces, Mail’s inbox management, and Go, the proactive AI assistant that understands context and delivers help automatically. Founded in 2009, Superhuman empowers over 40 million people, 50,000 organizations, and 3,000 educational institutions worldwide to eliminate busywork and focus on what matters.
 *Learn more at superhuman.com and about our values here.*
**The Opportunites**
 We are building a platform for AI Agents to come together and solve arbitrarily complex tasks, leveraging Superhuman ubiquitous UI. As a Machine Learning Engineer on this team, you will be at the heart of our company's transformation.
* Shape the Future of Productivity: Play a pivotal role in evolving Grammarly from a beloved writing assistant into an indispensable, AI\-native productivity suite for enterprises.
* Build a Groundbreaking AI Agent Platform: Spearhead the development of a new platform where multiple AI agents collaborate to solve complex user problems. You will be responsible for the core orchestration, routing, and planning systems.
* Own Critical ML Systems: Develop and deploy sophisticated ML models for core product experiences, including search ranking and proactive suggestions that anticipate user needs.
* Integrate Cutting\-Edge AI: Work at the forefront of the AI landscape, building ML components that integrate with the latest and most powerful models to create magical user experiences.
* Thrive in a High\-Impact Environment: Join a foundational team where you will operate with a high degree of autonomy and product sense in a fast\-paced, ambiguous environment.
* Ship Your Work Fast: Move quickly from idea to impact. We have no red tape or endless approvals—just a focus on making meaningful contributions to a platform used by millions.
 We are also hiring across our Responsible AI and Anti\-Abuse teams. As a Machine Learning Engineer on this team, you will be at the forefront of developing advanced ML systems to protect our users.
* Protect Shared Documents: Lead the development of advanced machine learning systems to identify abusive users and fraudulent content, with a special focus on documents and content shared between users.
* Analyze Content and Behavior: Build models that evaluate both document content and user behavior, allowing for nuanced and effective detection of spam, scams, and manipulative activity within shared environments.
* Own Key Detection Pipelines: Develop, deploy, and maintain critical systems for monitoring documents, interactions, and sharing patterns, providing proactive interventions to keep collaborative workspaces safe.
* Integrate Leading AI Approaches: Operate at the forefront of fraud prevention by leveraging the latest advances in NLP and machine learning to understand, flag, and stop suspicious patterns in real time.
* High\-Impact, Mission\-Aligned Work: Join a focused, mission\-driven team where your contributions directly protect millions of users. Enjoy autonomy, rapid iteration, and the chance to make decisions that shape the future of secure collaboration.
* Deliver Results Quickly: Move swiftly from concept to deployment, building solutions that enable safe document sharing and support Superhuman’s global user base.
**Qualifications**
* MS / PhD in Computer Science.
* 5\+ years of industry experience as a machine learning engineer or applied research scientist.
* A deep understanding of modern algorithms and approaches to ML, NLP, and LLMs.
* Experience building LLM\-based products.
* A deep care about the end\-user experience and strives to ensure high quality.
* Has a demonstrated ability to work independently with minimal guidance, proactively manages tasks and priorities across multiple projects, analyzes and executes work efficiently, collaborates effectively with cross\-functional teams, and thrives in fast\-paced, results\-driven environments.
 We invite you to share your knowledge, experience, and goals with us to help us find the best team match for you. Tell us your superpower!
**Compensation And Benefits**
 Superhuman offers all team members competitive pay along with a benefits package encompassing the following and more:
* Excellent health care (including a wide range of medical, dental, vision, mental health, and fertility benefits)
* Disability and life insurance options
* 401(k) and RRSP matching
* Paid parental leave
* 20 days of paid time off per year, 12 days of paid holidays per year, two floating holidays per year, and flexible sick time
* Generous stipends (including those for caregiving, pet care, wellness, your home office, and more)
* Annual professional development budget and opportunities
 Superhuman takes a market\-based approach to compensation, which means base pay may vary depending on your location. Our US locations are categorized into two compensation zones based on proximity to our hub locations.
 Base pay may vary considerably depending on job\-related knowledge, skills, and experience. The expected salary ranges for this position are outlined below by compensation zone and may be modified in the future.
 United States
 Zone 1: $250,000 \- $385,000/year (USD)
**We encourage you to apply**
 At Superhuman, we value our differences, and we encourage all to apply—especially those whose identities are traditionally underrepresented in tech organizations. We do not discriminate on the basis of race, religion, color, gender expression or identity, sexual orientation, ancestry, national origin, citizenship, age, marital status, veteran status, disability status, political belief, or any other characteristic protected by law. Superhuman is an equal opportunity employer and a participant in the US federal E\-Verify program (US). We also abide by the Employment Equity Act (Canada).</t>
        </is>
      </c>
    </row>
    <row r="91">
      <c r="A91" t="inlineStr">
        <is>
          <t>li-4373024200</t>
        </is>
      </c>
      <c r="B91" t="inlineStr">
        <is>
          <t>Founding Machine Learning Engineer</t>
        </is>
      </c>
      <c r="C91" t="inlineStr">
        <is>
          <t>Shields Group Search</t>
        </is>
      </c>
      <c r="D91" t="inlineStr">
        <is>
          <t>linkedin</t>
        </is>
      </c>
      <c r="E91">
        <f>HYPERLINK("https://www.linkedin.com/jobs/view/4373024200", "https://www.linkedin.com/jobs/view/4373024200")</f>
        <v/>
      </c>
      <c r="F91" t="inlineStr"/>
      <c r="G91" t="inlineStr">
        <is>
          <t>San Francisco, CA</t>
        </is>
      </c>
      <c r="H91" t="inlineStr"/>
      <c r="I91" t="inlineStr">
        <is>
          <t>**🚀 Founding Engineer (Machine Learning Engineering Focus)** 
 Early\-Stage AI Company \| Enterprise Focus \| Hands\-On Builder
 Fully in office in San Francisco
**Experience:** 
 3\-5 years
**🌐 About the Company** 
 Shields Group Search is partnering with a breakout, venture\-backed AI company that is quietly emerging as one of the most compelling infrastructure plays in its category.
 The company has raised $7\.5M\+ in Seed funding from top\-tier Silicon Valley funds and a highly selective group of operator\-angels. Their backers include investors and founders affiliated with firms and ecosystems such as Y Combinator, a16z, Founders Fund, Sequoia\-backed companies, and senior leaders from some of the most successful AI and enterprise software companies of the past decade. The cap table is stacked with people who have built and scaled category\-defining platforms before and know exactly what it takes to do it again.
 They already have real production traction, paying enterprise customers, and a product actively running in demanding environments. The company has also turned down multiple acquisition offers, choosing to stay independent and build something much larger. They are now gearing up for a Series A, with a clear mandate to harden their systems, scale responsibly, and evolve what they have built into a truly enterprise\-grade platform.
 The team is now expanding its core engineering group and looking to bring on a
 **Founding Engineer** 
 who will play a key role in shaping the product, architecture, and engineering culture from an early stage.
**🧠 The Role** 
 This role is best suited for a hands\-on Machine Learning Engineer with real\-world experience deploying, tuning, and maintaining ML models in production. While the team works on enterprise\-grade AI systems, this hire is not primarily focused on on\-prem enterprise deployments. Instead, the emphasis is on practical MLE execution, curiosity, and the ability to build and iterate quickly.
 As a Founding Engineer, you will work closely with the founders to translate research and ideas into scalable, production\-grade systems. This is a builder role for someone who enjoys writing code, learning fast, and growing alongside the company.
**🔧 What You’ll Do** 
* Build, deploy, and iterate on machine learning models in real production environments
* Own model deployment workflows, tuning, evaluation, and performance optimization
* Collaborate closely with founders on product direction and technical architecture
* Write high\-quality, production\-ready code across ML systems and supporting infrastructure
* Help establish early engineering best practices while remaining deeply hands\-on
* Contribute across the stack as needed in a fast\-moving early\-stage environment
**✅ What We’re Looking For** 
**Must\-Haves** 
* **3–5 years of professional experience** 
 in software engineering, ML engineering, or applied ML research
* **Strong MLE background** 
 with hands\-on experience deploying and tuning models in production
* Demonstrated ability to
 **write real production code** 
 , not just prototypes or research artifacts
* Experience working with modern ML frameworks and deployment workflows
* High curiosity, strong learning aptitude, and comfort operating in ambiguity
**Nice\-to\-Haves** 
* Applied ML research experience with a strong implementation bias
* Early\-stage startup experience
* Exposure to AI infrastructure, model monitoring, or reliability tooling
**🌟 Why This Role** 
* True
 **founding\-level impact** 
 at a mission\-driven AI company
* Direct collaboration with technical founders
* Ownership over core ML systems from day one
* Opportunity to grow into a senior technical leader as the company scales
* Competitive compensation and meaningful equity
**🎯 Ideal Candidate Profile** 
 This role is a great fit for someone who:
* Identifies as an
 **MLE who loves building** 
 , not just theorizing
* Enjoys translating research ideas into working systems
* Wants early ownership and long\-term growth
* Is excited to grow alongside a company tackling foundational AI problems</t>
        </is>
      </c>
    </row>
    <row r="92">
      <c r="A92" t="inlineStr">
        <is>
          <t>li-4375227866</t>
        </is>
      </c>
      <c r="B92" t="inlineStr">
        <is>
          <t>Machine Learning Engineer (mid to senior)</t>
        </is>
      </c>
      <c r="C92" t="inlineStr">
        <is>
          <t>Prodege, LLC</t>
        </is>
      </c>
      <c r="D92" t="inlineStr">
        <is>
          <t>linkedin</t>
        </is>
      </c>
      <c r="E92">
        <f>HYPERLINK("https://www.linkedin.com/jobs/view/4375227866", "https://www.linkedin.com/jobs/view/4375227866")</f>
        <v/>
      </c>
      <c r="F92" t="inlineStr"/>
      <c r="G92" t="inlineStr">
        <is>
          <t>El Segundo, CA</t>
        </is>
      </c>
      <c r="H92" t="inlineStr"/>
      <c r="I92" t="inlineStr">
        <is>
          <t>**Job Description:**
**Strategic Imperative:** 
 The
 **Machine Learning Engineer** 
 designs, builds, and productionizes end\-to\-end AI/ML systems that measurably improve business outcomes. This role owns the technical lifecycle of models from data and features through deployment, monitoring, and continuous improvement. You will ship reliable, well\-tested services that move KPIs in areas such as ranking, recommendations, yield optimization, fraud detection, and intelligent routing, while also contributing to emerging AI initiatives including LLMs and agentic systems.
**Prodege:** 
 A cutting\-edge marketing and consumer insights platform, Prodege has charted a course of innovation in the evolving technology landscape by helping leading brands, marketers, and agencies uncover the answers to their business questions, acquire new customers, increase revenue, and drive brand loyalty \&amp; product adoption. Bolstered by a major investment by Great Hill Partners in Q4 2021 and strategic acquisitions of Pollfish, BitBurst \&amp; AdGate Media in 2022, Prodege looks forward to more growth and innovation to empower our partners to gather meaningful, rich insights and better market to their target audiences.
 As an organization, we go the extra mile to “Create Rewarding Moments” every day for our partners, consumers, and team. Come join us today!
**Primary Objectives:** 
* **End\-to\-End ML Systems: Build automated, scalable workflows for data ingestion, feature engineering, training, evaluation, and inference.**
* **Feature Platforms: Develop and maintain high\-quality feature stores for batch and real\-time use cases.**
* **Production ML: Package and deploy models as APIs, microservices, or streaming/batch jobs in collaboration with software and data engineering.**
* **Monitoring and Experimentation: Implement telemetry, data drift detection, performance tracking, and A/B testing to ensure reliability and impact.**
* **Collaboration: Partner closely with Product, Data, and Engineering to translate business problems into measurable ML solutions.**
* **Engineering Excellence: Write clean, maintainable, testable code; participate in code reviews; follow strong CI/CD and version control practices.**
**Qualifications \-** 
*To perform this job successfully, an individual must be able to perform each job duty satisfactorily. The requirements listed below are representative of the knowledge, skill, and/or ability required. Reasonable accommodations may be made to enable individuals with disabilities to perform the essential functions.* 
**Detailed Job Duties:** 
 (
 *typical monthly, weekly, daily tasks which support the primary objectives* 
 )
**End\-to\-End ML Systems** 
* Design, validate, and scale ML models including classification, regression, ranking, recommendations, NLP, and optimization systems.
* Build and maintain end\-to\-end ML pipelines for training and inference in both batch and streaming environments.
* Run and analyze experiments to improve model performance and business outcomes.
**Feature Platforms** 
* Own feature quality, consistency, and governance across products and services.
* Ensure features are reliable for both offline training and online inference.
* Partner with data engineering on feature pipeline reliability, freshness, and availability.
**Production ML** 
* Deploy models via RESTful APIs, containerized services, or scheduled jobs, with appropriate reliability safeguards.
* Work with software and data engineering to integrate models into production systems.
* Ensure deployments are reproducible, versioned, and compatible with CI/CD practices.
**Monitoring and Experimentation** 
* Instrument production systems with comprehensive monitoring for data drift, latency, prediction quality, and business impact.
* Define success metrics and guardrails for model performance in production.
* Identify degradation, diagnose root causes, and implement fixes in a timely way.
**Cross\-Functional Collaboration** 
* Collaborate with stakeholders to define success metrics, communicate progress, and manage risks transparently.
* Translate business requirements into technical ML deliverables.
* Align model design with product roadmaps and engineering constraints.
**Engineering Excellence** 
* Write well\-structured, modular, and testable Python code.
* Participate in peer code reviews and uphold team standards.
* Document systems, assumptions, and design decisions clearly.
* Follow version control, testing, and deployment best practices.
**Emerging AI Contributions** 
* Build or integrate retrieval\-augmented generation systems using embeddings and vector stores.
* Experiment with prompt design, evaluation frameworks, and fine\-tuning where appropriate.
* Apply guardrails, monitoring, and safety controls to LLM\-powered features.
**Team Development** 
* Mentor junior engineers when applicable.
* Share learnings, patterns, and reusable components across teams.
* Contribute to shared tooling and best practices.
**NOTE: Depending on location or product team, the role may emphasize one of the following without changing level or title:** 
* AI Platform focus: deeper ownership of shared feature stores, experimentation frameworks, and ML infrastructure.
* Product focus: closer partnership with product teams to optimize ranking, recommendations, or marketplace yield.
* LLM focus: greater time on RAG systems, agentic workflows, and model fine\-tuning.
* Data\-heavy focus: more work on streaming pipelines and real\-time infere
 **nce.**
**What does SUCCESS look like?** 
 You consistently ship ML capabilities that are reliable, observable, and impactful. Your work improves measurable KPIs such as accuracy, latency, conversion, revenue lift, or fraud reduction. You balance rigor with pragmatism, document your systems clearly, and help the team move faster through thoughtful experimentation and strong collaboration.
**The MUST Haves:** 
 (
 *ex: job cannot be done without these skills, education, experience, certifications, licenses* 
 )
* Bachelor’s degree in Computer Science, Engineering, Mathematics, or related field, or equivalent experience.
* 3\+ years of hands\-on ML engineering experience delivering models to production.
* Strong Python and working SQL; solid software engineering fundamentals including testing, modular design, and version control.
* Experience with classical ML such as tree\-based models, linear/logistic models, and model evaluation.
* Working knowledge of a deep learning framework such as PyTorch or TensorFlow.
* Experience building data and feature pipelines for training and inference.
* Experience deploying models via APIs, microservices, or batch/streaming systems.
* Demonstrated ability to improve models through iteration, tuning, or redesign.
* Clear written and verbal communication; ability to partner effectively across teams.
**The Nice to Haves:** 
 (ex:
 *preferred additional skills, education, experience, certifications, licenses* 
 )
* Master’s degree or PhD in AI, Machine Learning, or a quantitative field.
* Experience with ranking or recommendation systems at scale.
* Experience with distributed computing frameworks such as Spark, Ray, or Flink.
* Cloud experience on AWS, Azure, or GCP plus MLOps tooling such as MLflow or model registries.
* Familiarity with Docker/Kubernetes.
* Exposure to LLM tooling including Hugging Face, embeddings, RAG, or agent frameworks.
* Additional languages such as Java, Scala, or Rust.
**Pay Transparency:** 
 The anticipated base salary range for this position is $160,000 to $185,000\. Range for Senior level can be higher. The final salary offered to a successful candidate will be dependent on several factors that may include, but are not limited to; the type and length of experience within the job, type and length of experience within the industry, the type and length of knowledge and skills for the position, education, training, etc. Prodege is a multi\-state employer and final compensation within this range could be impacted by work location. Please note that the compensation details listed in US role postings reflect the base salary only, and do not include bonus, equity, or benefits.
**Prodege Benefits:** 
 Prodege offers a comprehensive benefits package to US Full\-time employees including medical, dental, vision, STD, LTD and basic life insurance. Employees receive flexible PTO, as well as paid sick leave prorated based on hire date. US Employees have eight paid holidays throughout the calendar year. Employees receive an option to purchase shares of Company stock commensurate with their position, which vests over four years.
**Equal Employment Opportunity Statement** 
 At Prodege, we are committed to creating a diverse and inclusive environment. We are proud to be an
**Equal Opportunity Employer** 
 and do not discriminate on the basis of race, color, religion, sex, sexual orientation, gender identity or expression, national origin, age, disability, veteran status, or any other characteristic protected by law. We encourage individuals of all backgrounds to apply.
**FCIHO** 
 Employers will consider for employment qualified applicants with criminal histories in a manner consistent with the requirements of
 **FCIHO.**</t>
        </is>
      </c>
    </row>
    <row r="93">
      <c r="A93" t="inlineStr">
        <is>
          <t>li-4376768009</t>
        </is>
      </c>
      <c r="B93" t="inlineStr">
        <is>
          <t>Staff Machine Learning Engineer</t>
        </is>
      </c>
      <c r="C93" t="inlineStr">
        <is>
          <t>Cypress HCM</t>
        </is>
      </c>
      <c r="D93" t="inlineStr">
        <is>
          <t>linkedin</t>
        </is>
      </c>
      <c r="E93">
        <f>HYPERLINK("https://www.linkedin.com/jobs/view/4376768009", "https://www.linkedin.com/jobs/view/4376768009")</f>
        <v/>
      </c>
      <c r="F93" t="inlineStr"/>
      <c r="G93" t="inlineStr">
        <is>
          <t>Redwood City, CA</t>
        </is>
      </c>
      <c r="H93" t="inlineStr"/>
      <c r="I93" t="inlineStr">
        <is>
          <t>**Staff Machine Learning Engineer**
 Also open to principal\-level candidates
**Location:** 
 Redwood City, CA \| In the office 3 days per week
**Employees:** 
 650 \|
 **Team Size:** 
 20\|
 **Reporting To:** 
 Director of Platform Engineering
**Industry:** 
 Supply chain, warehouse automation, AI, robotics, product development
**Responsibilities** 
* Owning the architectural vision for ML applications within a growing SaaS product suite
* Translating business needs into scalable ML system designs in a small, growing office
* Design and implementation of ML model pipelines – data ingestion, training, validation, deployment, monitoring
* Collaborating with software engineering, robotics, product, and operations teams to align system goals with real\-world customer problems in fulfillment/supply chain/logistics
* Identifying opportunities to apply new techniques and technologies to their products
**Requirements** 
* 10\+ years of professional experience in SaaS and/or enterprise software
* Experience with the full ML pipeline – data collection, model training, MLOps, deployment
* Deep experience with production\-grade LLM and Gen\-AI
* Experience with cloud platforms and cloud ML services such as Vertex AI
* Experience building an AI strategy and roadmap for organizations/teams
* Understanding of big data architecture and technologies – data lakes, streaming pipelines
**Benefits** 
* Unlimited PTO, health, dental, vision, and life insurance. Wellness reimbursement. 401K with company match. HAS, FSA plans. Short\-term and long\-term disability. Supplemental life insurance.
**Compensation** 
* $200K \- $250K \+ Annual Bonus</t>
        </is>
      </c>
    </row>
    <row r="94">
      <c r="A94" t="inlineStr">
        <is>
          <t>li-4361527052</t>
        </is>
      </c>
      <c r="B94" t="inlineStr">
        <is>
          <t>Senior Machine Learning Engineer</t>
        </is>
      </c>
      <c r="C94" t="inlineStr">
        <is>
          <t>Axon</t>
        </is>
      </c>
      <c r="D94" t="inlineStr">
        <is>
          <t>linkedin</t>
        </is>
      </c>
      <c r="E94">
        <f>HYPERLINK("https://www.linkedin.com/jobs/view/4361527052", "https://www.linkedin.com/jobs/view/4361527052")</f>
        <v/>
      </c>
      <c r="F94">
        <f>HYPERLINK("https://job-boards.greenhouse.io/axon/jobs/7589179003?gh_src=cdbb51d93us&amp;urlHash=2I6e", "https://job-boards.greenhouse.io/axon/jobs/7589179003?gh_src=cdbb51d93us&amp;urlHash=2I6e")</f>
        <v/>
      </c>
      <c r="G94" t="inlineStr">
        <is>
          <t>San Francisco, CA</t>
        </is>
      </c>
      <c r="H94" t="inlineStr"/>
      <c r="I94" t="inlineStr">
        <is>
          <t>**Join Axon and be a Force for Good.**
 At Axon, we’re on a mission to Protect Life. We’re explorers, pursuing society’s most critical safety and justice issues with our ecosystem of devices and cloud software. Like our products, we work better together. We connect with candor and care, seeking out diverse perspectives from our customers, communities and each other.
 Life at Axon is fast\-paced, challenging and meaningful. Here, you’ll take ownership and drive real change. Constantly grow as you work hard for a mission that matters at a company where you matter.
**Your Impact**
 Are you eager to contribute to building AI products impacting the world for the greater good?
 As an ML Engineer at Axon, you will contribute to developing AI solutions transforming the public safety space and supporting our company’s mission: accelerate justice, protect truth, and save lives. Working closely with other ML engineers and scientists, you will enable new AI capabilities for Axon’s products (Fleet, Draft One, Axon Air, VR and more) by supporting the training, evaluation, testing and deployment of machine learning models on Axon devices and cloud.
 As part of a multidisciplinary team, you will be exposed to a wide range of AI domains and applications: from computer vision to speech recognition and natural language understanding.
****What You’ll Do****
**Location: Hybrid from our office in San Francisco, CA.**
**Reports to:** 
 Manager, Machine Learning Engineering
* Collaborate with scientists and product managers to build proof\-of\-concepts (POCs) contributing to shaping the Axon of tomorrow.
* Architect and develop secure, privacy\-preserving, solutions to enable the continuous improvement of existing AI models.
* Architect platforms that accelerate research and AI product development.
* Collaborate with scientists in architecting and implementing state\-of\-the\-art training techniques.
* Set high standards for ethical and responsible AI development.
****What You Bring****
* Bachelor’s Degree in Computer Science, Engineering, Electronics, Mathematics or an equivalent highly technical field.
* 6\+ years of software engineering experience and a proven track record of successfully deploying AI models to the cloud.
* Experience with Infrastructure\-as\-code and cloud architecture.
* Proficiency in Python and C\+\+, familiarity with ML frameworks such as TensorFlow, or PyTorch.
* Advanced knowledge and hands\-on experience with Linux.
* Excellent problem solving skills and ability to dive deep into system architecture.
* Excellent software design skills.
* Comfort communicating and interacting with scientists, engineers and product managers.
****What You Bring****
* Master’s Degree/PhD in Computer Science, Engineering, Electronics, Mathematics or an equivalent highly technical field.
* Experience with LLMOps \- evaluation, monitoring, quantization, teacher\-learner, etc.).
* Hands\-on experience with fine\-tuning large parameter models.
* Familiarity with model encryption and privacy preserving AI techniques.
****Benefits That Benefit You****
* Competitive salary and 401k with employer match
* Discretionary paid time off
* Paid parental leave for all
* Medical, Dental, Vision plans
* Fitness Programs
* Emotional \&amp; Mental Wellness support
* Learning \&amp; Development programs
* And yes, we have snacks in our offices
*Benefits listed herein may vary depending on the nature of your employment and the location where you work*
***Location:** 
 This role is based out of our San Francisco, CA office and follows a hybrid schedule. We rely on in\-person collaboration and ask that team members work onsite Tuesdays through Fridays, with the flexibility to work remotely on Mondays, unless there is an approved workplace accommodation. We believe that connection fuels innovation, and our in\-office culture is designed to foster meaningful teamwork, mentorship, and shared success.*
 Axon is a total compensation company, meaning compensation is made up of base pay, bonus, and stock awards. The actual base pay is dependent upon many factors, such as: level, function, training, transferable skills, work experience, business needs, geographic market, and often a combination of all these factors. Our benefits offer an array of options to help support you physically, financially and emotionally through the big milestones and in your everyday life. To see more details on our benefits offerings please visit https://www.axon.com/careers.
 Base Pay Range
 $173,363—$277,380 USD
 Don’t meet every single requirement? That's ok. At Axon, we Aim Far. We think big with a long\-term view because we want to reinvent the world to be a safer, better place. We are also committed to building diverse teams that reflect the communities we serve.
 Studies have shown that women and people of color are less likely to apply to jobs unless they check every box in the job description. If you’re excited about this role and our mission to Protect Life but your experience doesn’t align perfectly with every qualification listed here, we encourage you to apply anyways. You may be just the right candidate for this or other roles.
**Important Notes**
*The above job description is not intended as, nor should it be construed as, exhaustive of all duties, responsibilities, skills, efforts, or working conditions associated with this job. The job description may change or be supplemented at any time in accordance with business needs and conditions.*
*Some roles may also require legal eligibility to work in a firearms environment.*
*We collect personal information from applicants to evaluate candidates for employment. You may request access, deletion, or exercise other CCPA rights at
 **axongreenhousesupport@axon.com** 
 or via our Axon Privacy Web Form. For more information, please see the Your California Privacy Rights section of our Applicant and Candidate Privacy Notice.*
*Axon’s mission is to Protect Life and is committed to the well\-being and safety of its employees as well as Axon’s impact on the environment. All Axon employees must be aware of and committed to the appropriate environmental, health, and safety regulations, policies, and procedures. Axon employees are empowered to report safety concerns as they arise and activities potentially impacting the environment.*
*We are an equal opportunity employer that promotes justice, advances equity, values diversity and fosters inclusion. We’re committed to hiring the best talent — regardless of race, creed, color, ancestry, religion, sex (including pregnancy), national origin, sexual orientation, age, citizenship status, marital status, disability, gender identity, genetic information, veteran status, or any other characteristic protected by applicable laws, regulations and ordinances — and empowering all of our employees so they can do their best work. If you have a disability or special need that requires assistance or accommodation during the application or the recruiting process, please email recruitingops@axon.com. Please note that this email address is for accommodation purposes only. Axon will not respond to inquiries for other purposes.*</t>
        </is>
      </c>
    </row>
    <row r="95">
      <c r="A95" t="inlineStr">
        <is>
          <t>li-4373858826</t>
        </is>
      </c>
      <c r="B95" t="inlineStr">
        <is>
          <t>Lead AI Engineer  - Product Engineer</t>
        </is>
      </c>
      <c r="C95" t="inlineStr">
        <is>
          <t>TekVizor</t>
        </is>
      </c>
      <c r="D95" t="inlineStr">
        <is>
          <t>linkedin</t>
        </is>
      </c>
      <c r="E95">
        <f>HYPERLINK("https://www.linkedin.com/jobs/view/4373858826", "https://www.linkedin.com/jobs/view/4373858826")</f>
        <v/>
      </c>
      <c r="F95" t="inlineStr"/>
      <c r="G95" t="inlineStr">
        <is>
          <t>Pittsburgh, PA</t>
        </is>
      </c>
      <c r="H95" t="inlineStr"/>
      <c r="I95" t="inlineStr">
        <is>
          <t>**Lead AI Engineer \- AI/ML Agentic** 
 📍
 **Pittsburgh, PA (On‑site)** 
 🕒
 **Full\-Time** 
 🌍
 **U.S. Citizenship Required** 
 ✈️ Up to 10% Travel
 We are seeking an experienced Lead
 **AI Engineer** 
 to join our AI/ML team as we scale agentic capabilities. Our bespoke platform and suite of AI\-enabled applications accelerate the decision\-making process in real\-time, all in one place.
**What You’ll Do** 
* Design and build multi\-agent systems, memory, routing, and planning.
* Develop Agent Skills and tools as modular, composable services connected to backend systems, models, and data processing pipelines.
* Contribute to automated evaluation and observability systems for agents, tools, workflows, and prompts across the entire product lifecycle.
* Collaborate cross\-functionally with Product and Engineering to deploy agentic systems.
**Required Skills \&amp; Experience** 
* Bachelor’s, Master’s, or PhD in Computer Science, Computer Engineering, Data Science, Neuroscience, statistics or related field.
* 5\+ years building and deploying Agentic, ML or LLM\-powered systems in production environments.
* Hands\-on experience designing autonomous multi\-agent workflows that include state/action models for AI\-driven interaction (agent\-controlled UI, tool invocation, deterministic flows).
* Experience with agent frameworks such as Claude Agent SDK or OpenAI Agent SDK.
* Solid Python engineering skills.
* Hands\-on with MCP, LLM evaluation frameworks, deep learning, transformer architecture, agent orchestration, LangGraph.
* A passion for coding agents, exploring new technologies and Agentic Engineering.
**Strong Candidates Have** 
* Proven experience designing and deploying complex agentic systems using LLMs.
* Hands\-on work with
 **multi\-agent coordination** 
 , routing, and tool orchestration.
* Demonstrated portfolio or project showing LLMs interacting with frontend interfaces agentically.
* Passion for building, experimenting with, and optimizing agents.
**Desired Qualifications** 
* Experience in fast\-paced startup environments.
* Comfort with
 **Claude Code** 
**SDK,** 
 and modern GenAI coding best practices.
* Frameworks LangChain, AutoGen, Semantic Kernal.
**About the Role** 
 This is a full\-time, on\-site position based in Pittsburgh, PA, with occasional travel (up to 10%). You’ll be joining a high\-velocity team building the next generation of agentic AI systems. If you thrive in ambiguity, love building real agentic systems, and want to shape how LLMs interact with software interfaces at scale, this role is for you!
**Benefits:** 
* Employees manage their time off \- unlimited sick days and PTO.
* Professional Development \- Tuition reimbursement towards advanced education and specialized certifications.
* 401k with 4% and immediate vesting.
 \#AIJobs \#AgenticAI \#LLMEngineering \#AIEngineer \#Hiring \#MachineLearning \#GenerativeAI \#TechJobs \#Pittsburgh</t>
        </is>
      </c>
    </row>
    <row r="96">
      <c r="A96" t="inlineStr">
        <is>
          <t>li-4375227767</t>
        </is>
      </c>
      <c r="B96" t="inlineStr">
        <is>
          <t>Platform AI Engineer</t>
        </is>
      </c>
      <c r="C96" t="inlineStr">
        <is>
          <t>Infosys</t>
        </is>
      </c>
      <c r="D96" t="inlineStr">
        <is>
          <t>linkedin</t>
        </is>
      </c>
      <c r="E96">
        <f>HYPERLINK("https://www.linkedin.com/jobs/view/4375227767", "https://www.linkedin.com/jobs/view/4375227767")</f>
        <v/>
      </c>
      <c r="F96">
        <f>HYPERLINK("https://digitalcareers.infosys.com/infosys/global-careers/apply-platform-ai-engineer/527255?Codes=LinkedIn&amp;urlHash=nVLW", "https://digitalcareers.infosys.com/infosys/global-careers/apply-platform-ai-engineer/527255?Codes=LinkedIn&amp;urlHash=nVLW")</f>
        <v/>
      </c>
      <c r="G96" t="inlineStr">
        <is>
          <t>Charlotte, NC</t>
        </is>
      </c>
      <c r="H96" t="inlineStr"/>
      <c r="I96" t="inlineStr">
        <is>
          <t>**Infosys Limited** 
 is seeking a
 **Platform AI Engineer** 
 . In this role, you will enable digital transformation for our clients in a global delivery model, research on technologies independently, recommend appropriate solutions and contribute to technology\-specific best practices and standards. You will provide inputs for identifying best\-fit architectural solutions for one or more projects; develop design of applications, provide regular support and guidance to project teams on complex coding and issue resolution with the objective of ensuring best\-fit and high\-quality technical solutions within the area of technology specialization and in compliance with guidelines, policies and norms of Infosys. You will be part of a learning culture, where teamwork and collaboration are encouraged, excellence is rewarded, and diversity is respected and valued.
**Required Qualifications**
* Bachelor’s degree or foreign equivalent required from an accredited institution. Will also consider three years of progressive experience in the specialty in lieu of every year of education.
* Candidate must be located within commuting distance of Charlotte, NC or be willing to relocate to the area
* At least 4 years of experience in Information Technology
* Proficiency in Snowflake, Python and AWS experience
* Experience in Snowpark, SQL, RBAC
* Candidates authorized to work for any employer in the United States without employer\-based visa sponsorship are welcome to apply. Infosys is unable to provide immigration sponsorship for this role at this time
**Preferred Qualifications**
* Experience in AI/LLM technologies like Agentic AI,LLM, Langchain, Langgraph, building data/AI pipelines
* Ability to work in team in diverse/ multiple stakeholder environment
* Experience in Financial Services domain
* Experience working in an enterprise team, and cross\-functional projects
* Experience and desire to work in a Global delivery environment.
 The job entails sitting as well as working at a computer for extended periods of time. Should be able to communicate by telephone, email or face to face. Travel may be required as per the job requirements.
 Along with competitive pay, as a full\-time Infosys employee you are also eligible for the following benefits :\-
* Medical/Dental/Vision/Life Insurance
* Long\-term/Short\-term Disability
* Health and Dependent Care Reimbursement Accounts
* Insurance (Accident, Critical Illness, Hospital Indemnity, Legal)
* 401(k) plan and contributions dependent on salary level
* Paid holidays plus Paid Time Off
**About Us**
 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**Infosys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t>
        </is>
      </c>
    </row>
    <row r="97">
      <c r="A97" t="inlineStr">
        <is>
          <t>li-4329091190</t>
        </is>
      </c>
      <c r="B97" t="inlineStr">
        <is>
          <t>Staff Applied Machine Learning Engineer, LLMs</t>
        </is>
      </c>
      <c r="C97" t="inlineStr">
        <is>
          <t>Upstart</t>
        </is>
      </c>
      <c r="D97" t="inlineStr">
        <is>
          <t>linkedin</t>
        </is>
      </c>
      <c r="E97">
        <f>HYPERLINK("https://www.linkedin.com/jobs/view/4329091190", "https://www.linkedin.com/jobs/view/4329091190")</f>
        <v/>
      </c>
      <c r="F97" t="inlineStr"/>
      <c r="G97" t="inlineStr"/>
      <c r="H97" t="inlineStr"/>
      <c r="I97" t="inlineStr">
        <is>
          <t>**About Upstart**
 At Upstart, we’re united by a mission that matters: to radically reduce the cost and complexity of borrowing for all Americans. Every day, we bring creativity, experimentation, and advanced AI to reshape access to credit, helping millions move forward financially with clarity and confidence.
 As the leading AI lending marketplace, we partner with banks and credit unions to expand access to affordable credit through technology that’s both radically intelligent and deeply human. Our platform runs over one million predictions per borrower using more than 1,800 signals, powering smarter, fairer decisions for millions of customers. But the numbers only hint at the impact. Every idea, every voice, and every contribution moves us closer to a world where credit never stands between people and their financial progress.
 We’re proudly digital\-first, giving most Upstarters the flexibility to do their best work from wherever they thrive, alongside teammates across 80\+ cities in the US and Canada. Digital\-first doesn’t mean distant. We’re intentional about in\-person connection through team onsites, planning sessions, and moments that spark creativity and trust. And whether you choose to work primarily from home or collaborate in\-person from one of our offices in Columbus, Austin, the Bay Area, or New York City (opening Summer 2026\), you’ll have the support to work in the way that works best for you.
 If you’re energized by tackling meaningful problems, excited to innovate with purpose, and motivated by work that truly matters, we’d love to hear from you.
**The Team**
 Upstart’s new
 **Applied LLM team** 
 is building foundational infrastructure that democratizes access to generative AI for every product and engineering team across the company. This is a cross\-functional team at the intersection of machine learning, product, and engineering. Our mission is to bring the power of ML \- particularly large language models (LLMs) and generative AI \- to life in Upstart’s core products.
 As a
 **Staff Applied Machine Learning Engineer** 
 focused on building
 **LLM applications** 
 , you'll work closely with researchers, product managers, platform engineers, and designers to ship intelligent features that elevate the user experience and expand the capabilities of our systems.
**How you’ll make an impact:**
* Design and build user\-facing ML features that harness LLMs and generative AI to unlock new product capabilities
* Partner with product, design, and ML research to prototype and deliver high\-impact, ML\-powered experiences
* Own the technical architecture and implementation strategy for applied ML systems \- balancing latency, observability, and iteration speed
* Build scalable services and APIs that bring model outputs to users in trustworthy and intuitive ways
* Collaborate across platform, infra, and legal/compliance teams to ensure ML deployments meet standards for safety, fairness, and performance
* Establish and evangelize best practices for prompt design, model evaluation, and experimentation across the org
**What we’re looking for:** 
* Minimum qualifications:
+ 6\+ years of software engineering experience, with 2\+ years working directly on ML\-driven products or intelligent systems
+ Proven ability to lead complex initiatives across engineering, product, and research stakeholders
+ Strong backend development skills (e.g., Python with FastAPI or Flask), plus experience with cloud\-native tooling (e.g., Kubernetes, Docker, Terraform)
+ Experience integrating LLMs or ML models into production systems, including APIs and user\-facing applications
+ Excellent communication skills and a collaborative, product\-minded approach
+ Ability to think rigorously about system design, latency tradeoffs, and user impact when working with ML features
* Preferred qualifications:
+ Experience shipping GenAI or LLM\-powered features using frameworks like LangChain, LlamaIndex, or OpenAI APIs
+ Familiarity with retrieval\-augmented generation (RAG), vector search (e.g., FAISS, Pinecone), and real\-time inference patterns
+ Proficiency in full\-stack development, including front\-end work with React or similar frameworks
+ Strong intuition for prompt engineering, model testing, and evaluation methodologies
+ Experience navigating complex requirements around explainability, user trust, or compliance in ML applications
+ Track record of influencing architecture or product direction at a team or org level
***Position Location \-***
 This role is available in the following locations: US Remote
***Time Zone Requirements \-***
 This team operates on the East/West Coast time zones.
***Travel Requirements \-***
 This team has regular on\-site collaboration sessions. These occur 3\-4 days per quarter at one of our offices. If you need to travel to make these meetups, Upstart will cover all travel related expenses.
 At Upstart, your base pay is one part of your total compensation package. The anticipated base salary for this position is expected to be within the below range. Your actual base pay will depend on your geographic location–with our “digital first” philosophy, Upstart uses compensation regions that vary depending on location. Individual pay is also determined by job\-related skills, experience, and relevant education or training. Your recruiter can share more about the specific salary range for your preferred location during the hiring process.
 In addition, Upstart provides employees with target bonuses, equity compensation, and generous benefits packages (including medical, dental, vision, and 401k).
 United States \| Remote \- Anticipated Base Salary Range
 $178,400—$246,800 USD
**What You'll Love**
 At Upstart, our benefits are designed to support your health, financial well\-being, family, and personal growth. Here’s what you can expect:
* Competitive compensation, including base pay, bonus opportunities, and annual equity grants that vest quarterly
* Generous 401(k) plan with Upstart matching $2 for every $1 contributed, up to $15,000 per year
* Employee Stock Purchase Plan (ESPP) with discounted stock purchase options for eligible employees
* Affordable medical, dental, and vision coverage, with multiple plan options \- Upstart covers 90% to 100% of the cost depending on the plans you choose
* Health Savings Account contributions from Upstart for eligible plans
* Income protection benefits, including company\-paid Basic Life, AD\&amp;D, and Short\- and Long\-Term Disability coverage, with options to purchase supplemental coverage
* Paid time off, sick and safe time, and company holidays
* Paid family and parental leave to support caregiving and major life moments
* Family\-centered benefits through Carrot and Cleo, supporting fertility, parenthood, and caregiving
* Employee Assistance Program (EAP) offering mental health support and life\-centered resources
* Financial wellness resources, including access to financial planning tools and a financial concierge service
* Annual wellness allowance to support your physical and emotional well\-being and personal development, based on what matters most to you
* Annual productivity allowance to invest in relevant tools and resources you need to do your best work, no matter where you work from
* Connection and community through team events and onsites, all\-company updates, and employee resource groups (ERGs)
* Onsite perks, including catered lunches and fully stocked micro\-kitchens when working from one of our four offices, located in the Bay Area, Austin, Columbus, and New York City (opening Summer 2026!).
 Upstart is a proud Equal Opportunity Employer. Just as we are dedicated to improving access to affordable credit for all, we are committed to inclusive and fair hiring practices.
*If you require reasonable accommodation in completing an application, interviewing, completing any pre\-employment testing, or otherwise participating in the employee selection process, please email* 
*candidate\_accommodations@upstart.com*
 https://www.upstart.com/candidate\_privacy\_policy</t>
        </is>
      </c>
    </row>
    <row r="98">
      <c r="A98" t="inlineStr">
        <is>
          <t>li-4270116318</t>
        </is>
      </c>
      <c r="B98" t="inlineStr">
        <is>
          <t>Staff AI Engineer</t>
        </is>
      </c>
      <c r="C98" t="inlineStr">
        <is>
          <t>Conveyor</t>
        </is>
      </c>
      <c r="D98" t="inlineStr">
        <is>
          <t>linkedin</t>
        </is>
      </c>
      <c r="E98">
        <f>HYPERLINK("https://www.linkedin.com/jobs/view/4270116318", "https://www.linkedin.com/jobs/view/4270116318")</f>
        <v/>
      </c>
      <c r="F98">
        <f>HYPERLINK("https://app.dover.com/apply/conveyor/1ba85ce7-7f2e-4230-ba94-4bb67a3371b8?rs=42706078&amp;urlHash=haCF", "https://app.dover.com/apply/conveyor/1ba85ce7-7f2e-4230-ba94-4bb67a3371b8?rs=42706078&amp;urlHash=haCF")</f>
        <v/>
      </c>
      <c r="G98" t="inlineStr"/>
      <c r="H98" t="inlineStr"/>
      <c r="I98" t="inlineStr">
        <is>
          <t>**Why join Conveyor?**
 Hi, we’re Conveyor 👋, creators of the \#1 Customer Trust AI automation platform.
 We solve problems that our customers “hate with the fury of 1000 suns” (actual quote!) \- the dreaded customer security review and RFP processes. These are key parts of the B2B sales cycle, but both still involve too much time, effort, and mental anguish from those involved.
 Enter Conveyor, where our mission is to eliminate all of the misery from B2B customer trust with maximum automation. We’ve made a lot of progress – we have an awesome customer list whose lives we’ve significantly impacted through product, this year we launched the first AI agents for security reviews (Sue) and RFPs (Phil), and we just raised a $20M Series B from SignalFire and OVF! (TechCrunch) But we have ambitious goals and we’re looking for our next Staff AI Engineer to help make them a reality!
**The top 3 1/2 reasons you should be interested in working at Conveyor:**
* You’ll be selling a great product with a slam dunk AI use case while building sales processes and foundations to help scale the business.
* Everyone on the team is amazing at their jobs. We care deeply about psychological safety, and believe that the ability to take risks and exist in the learning zone is critical to our success. This also comes with high accountability, which isn’t for everyone. But, you have the potential to have an outsize impact on the direction and success of the company.
* We’re highly transparent and collaborative. Giving constructive, thoughtful feedback and asking hard questions are highly encouraged! We come together to figure it out when times are hard, and in celebration when we get our wins. 1/2\. Plus, we’ll even teach you how to saber a bottle of champagne
**About The Role**
 As one of the first AI engineers on the team, this is a unique opportunity to shape Conveyor’s AI core capabilities, and create a huge impact on a critical pillar in our product strategy. Reporting directly to the CTO, you’ll play a critical role in building and optimizing our AI development process and further building the team.
**What You’ll Do**
* You will analyze our AI quality and performance, propose and experiment with new technologies and ideas, then implement and improve Conveyor products.
* You will define and implement metrics and processes to evaluate and improve AI quality.
* You'll autonomously manage and own individual project priorities, deadlines, and deliverables.
* You’ll scope and implement project\-level solutions with minimal guidance.
* You’ll collaborate and pair frequently with teammates and peers.
* You'll inform the product roadmap and implementation decisions based on feasibility.
* You'll ensure that our product is maintainable, meaning that other engineers are able to contribute new functionality easily, and without frequent technical debt.
* You'll partner with Product and Design to effectively plan new features, avoiding bottlenecks and maximizing velocity when it comes time to implement.
**What We’re Looking For**
 We are looking for candidates with 8\+ years of experience in technical leadership roles, with a focus on AI/ML technologies in recent years. Strong preference for experience in startup environments.
**Required Skills**
* Strong software engineering foundations, building and shipping products. Your designs should be performant, maintainable (for years, not months), and evolvable.
* Recent experience in the AI/ML space, and specifically LLMs. Familiarity with key concepts, frameworks, tools and technologies. Experience evaluating different approaches and technologies, prompt engineering, evals and observability, RAG flows, search technologies, agent frameworks, etc.
* Able to perform both research/analysis and production software development work
* Curiosity and Continuous Learning: You are up to speed on developments in the fast\-paced AI/ML world, and constantly thinking about how to apply new technologies and offerings to our real\-world problems.
* Bias for action: Startup mentality, get things done, fast iterations, strong problem\-solving and decision\-making capabilities. Previous experience in a small startup (or as a founder) is highly preferred.
* Product Sense: You seek to understand the features you're working on, and actively propose positive changes. Collaborate with product and design to inform roadmap decisions.
* Team Player: You have excellent communication skills (verbal and written), enjoy collaborating with others and mentoring team members.
* Deliver Legendary Customer Experience: You have experience building and scaling products that delight real users.
* Ownership: Strong sense of ownership and accountability, honor commitments and be transparent about challenges.
**Job Location**
 This position is available in the United States and Canada.
 We are a remote\-first company so you’ll be working from home most of the time, traveling for in person sessions a few times a year.
 Preferred location: San Francisco Bay Area
 Ready to join our team and have a tremendous impact? We’d love to hear from you. Also, we know it’s tough, but please try to avoid the confidence gap . You don’t have to match all the listed requirements exactly to be considered for this role.</t>
        </is>
      </c>
    </row>
    <row r="99">
      <c r="A99" t="inlineStr">
        <is>
          <t>li-4377859962</t>
        </is>
      </c>
      <c r="B99" t="inlineStr">
        <is>
          <t>Senior AI Engineer - Senior Software Engineer</t>
        </is>
      </c>
      <c r="C99" t="inlineStr">
        <is>
          <t>Capgemini</t>
        </is>
      </c>
      <c r="D99" t="inlineStr">
        <is>
          <t>linkedin</t>
        </is>
      </c>
      <c r="E99">
        <f>HYPERLINK("https://www.linkedin.com/jobs/view/4377859962", "https://www.linkedin.com/jobs/view/4377859962")</f>
        <v/>
      </c>
      <c r="F99" t="inlineStr"/>
      <c r="G99" t="inlineStr">
        <is>
          <t>Atlanta, GA</t>
        </is>
      </c>
      <c r="H99" t="inlineStr"/>
      <c r="I99"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Location
 This is a hybrid role based across multiple locations \- Atlanta, Nashville, Chicago, Dallas, New jersey
**About The Job You're Considering**
 The Capgemini team offers extensive career opportunities and provides mentoring and coaching for teammates. This role is an experienced professional with a strong background in software development.
 Your role
* Guide best practices for containerization, scalability, and reliability
* Collaborate with architects, developers, and stakeholders in agile teams
**Your Skills And Experience**
* Design AI\-assisted language generation for producing clear, plain\-language draft messages.
* Implement draft message generation service within the validation pipeline.
* Auto\-generate draft text at the end of each validation run.
* Generative AI Integration (specifically text generation/RAG), Serverless Compute (Cloud Run/Functions), Document Processing, and API Integration.
 The base compensation range for this role in the posted location is: $76,200 \- $ 187,740\.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**Benefits**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100">
      <c r="A100" t="inlineStr">
        <is>
          <t>li-4377848028</t>
        </is>
      </c>
      <c r="B100" t="inlineStr">
        <is>
          <t>Staff Machine Learning Engineer - Wildfire</t>
        </is>
      </c>
      <c r="C100" t="inlineStr">
        <is>
          <t>Overstory</t>
        </is>
      </c>
      <c r="D100" t="inlineStr">
        <is>
          <t>linkedin</t>
        </is>
      </c>
      <c r="E100">
        <f>HYPERLINK("https://www.linkedin.com/jobs/view/4377848028", "https://www.linkedin.com/jobs/view/4377848028")</f>
        <v/>
      </c>
      <c r="F100" t="inlineStr"/>
      <c r="G100" t="inlineStr"/>
      <c r="H100" t="inlineStr"/>
      <c r="I100" t="inlineStr">
        <is>
          <t>The climate crisis is the defining challenge of our time—but it’s also the greatest opportunity for innovation, and a challenge we’re proud to take on. At Overstory, we’re harnessing cutting\-edge technology to enable a resilient electrical grid that keeps communities thriving as our world changes.
 The grid is the backbone of life as we know it. It powers hospitals, keeps food fresh, and ensures communities stay connected. But extreme weather, aging infrastructure, and growing wildfire risks are putting this critical system under pressure. All of this combined makes the electric utility industry the greatest opportunity for tackling climate change.
 One of the leading causes of catastrophic wildfires and power outages? Trees and brush coming into contact with power lines.
 That’s where we help. At Overstory, we use AI and advanced satellite imagery to pinpoint and prioritize vegetation risks before they materialize. By giving utilities critical analysis on those risks, we’re helping prevent outages, reduce wildfire risks, and accelerate the transition to a safer, more resilient grid.
 Our team spans the Americas and Europe, and we work with utility partners across the Americas and beyond. We’re outdoor enthusiasts, musicians, artists, athletes, parents, and adventurers—15 nationalities strong and growing. What unites us is a passion for solving complex problems, a commitment to climate action, and the belief that technology should be a force for good.
 Join us to help us build a more resilient world together.
**The role**
 As a
 **Staff Machine Learning Engineer** 
 at Overstory, you will lead the development and scaling of our Wildfire Fuel Detection Model. This core engine powers how we understand vegetation structure, fuel loads, and wildfire risk from satellite and environmental data. You’ll help shape the next generation of Overstory’s modeling capabilities by combining cutting\-edge ML techniques, large\-scale geospatial data, and real\-world domain expertise.
 You’ll work closely with data scientists, ML engineers, and product teams to ensure our wildfire models are accurate, robust, and production\-ready – balancing scientific rigor with practical engineering excellence. As a senior technical leader, you’ll mentor other engineers, drive architectural decisions, and define standards for modeling, experimentation, and deployment across Overstory.
**What You’ll Do**
 In collaboration with data, ML, and science colleagues, you will:
* Architect and build advanced ML models to map and predict vegetation and fuel conditions across diverse geographies.
* Design and maintain robust data and feature pipelines for large\-scale geospatial and temporal data.
* Partner with wildfire science and product teams to define modeling objectives and evaluation metrics tied to real\-world impact.
* Build reproducible experimentation frameworks and model evaluation workflows.
* Scale models from research to production with a focus on performance, reliability, and explainability.
* Lead the evolution of ML systems, tooling, and processes — ensuring that our wildfire fuelscape models remain state\-of\-the\-art and maintainable.
* Collaborate with MLOps peers to streamline training, inference, and monitoring in production environments.
**About You**
* You thrive at the intersection of machine learning, geospatial data, and environmental science, and are motivated by the opportunity to reduce wildfire risk through data\-driven insights.
* You love working in a remote\-first, fast\-moving environment where collaboration and adaptability are essential.
* 10\+ years of experience designing and building production\-grade ML pipelines and systems – but don’t filter yourself out if you feel you’re a strong candidate with 6\+ years.
* Strong background in deep learning, computer vision, or remote sensing.
* Skilled in designing end\-to\-end ML systems — from data ingestion and preprocessing to deployment and monitoring.
* Hands\-on experience with frameworks like PyTorch, TensorFlow, XGBoost, or LightGBM, and data tools like Dask, Spark, or GeoPandas.
* Familiarity with GCP and Vertex AI, or similar cloud\-based ML platforms.
* Strong communication skills and ability to collaborate across technical and scientific domains.
* Comfortable leading architectural discussions and mentoring other engineers.
* You are based in the US or Canada.
**Nice\-to\-haves**
* Background in wildfire science, forestry, or remote sensing.
* Experience integrating physics\-based models with ML or working with active learning and uncertainty quantification.
* Experience in model interpretability and data provenance for environmental ML systems.
* Experience with deep learning models for weather or climate data.
* Experience in remote\-first or globally distributed teams.
**What You Get**
* To be part of truly mission\-driven work that reduces wildfires, protects Earth’s natural resources, and helps solve our climate crisis.
* Flexible working environment with a lot of autonomy. We build our work days around our lives, not the other way around.
* Other benefits like a remote working budget, an educational budget, and time to develop new skills.
* To be surrounded by an excellent, vibrant, smart team who have each other's back and believe in a culture of openness, tolerance, and respect.
* Equity and a competitive salary.
**About Our Team**
 We are a group of 100 people from all over the world. Fifteen nationalities are represented in our team. We work remotely from eleven different countries and we are looking for candidates that are also living and working in one of these countries: United States, the Netherlands, United Kingdom, Ireland, Estonia, Portugal, France, Sweden, Denmark, Switzerland, and Canada. We meet up once a year in\-person for our unforgettable team gathering event. We also offer the option to occasionally meet up for in\-person collaboration.
**Diversity \&amp; Inclusion**
 We place enormous value on diversity and inclusion and strive to continually bring in people of all genders, races, creeds, ethnicities, abilities and backgrounds. We believe that the best ideas emerge when people with different perspectives and approaches work together on a problem.
 We’re always looking to diversify our team further, but we’re proud of the fact that four out of the nine people on our leadership team are female, 46% of the overall team are female and 20% of the team are people of color. Our team speaks fifteen languages: English, Dutch, French, Spanish, German, Italian, Portuguese, Russian, Luxembourgish, Lithuanian, Bulgarian, Cantonese, Estonian, Danish and Korean.
**Our values**
**Tackling the climate crisis is our greatest mission.**
 We act with urgency.
**Our curiosity fuels our growth.**
 We recognize that change is constant, and we find joy and power in exploration.
**We’re rooted in diversity.**
 Just as ecosystems need biodiversity to thrive, our resiliency comes from our differences.
**We Care For Each Other.**
 We love the power of machines but we nurture each other as humans.
**Trust is fundamental.**
 We assume the best in everyone, and we share ideas openly so that we have a positive impact.
 \_\_\_\_\_\_\_\_\_\_\_\_\_\_\_\_\_\_\_\_\_\_\_\_\_\_\_\_\_\_\_\_\_
**Use of AI in Our Hiring Process**
*We sometimes use AI tools to support parts of our hiring process, such as helping us manage applications more efficiently or ensuring job descriptions are clear and inclusive. But don’t worry, all hiring decisions are always made by people, not machines. Any data processed by AI is handled securely in line with GDPR and our Privacy Notice.*</t>
        </is>
      </c>
    </row>
    <row r="101">
      <c r="A101" t="inlineStr">
        <is>
          <t>li-4368826017</t>
        </is>
      </c>
      <c r="B101" t="inlineStr">
        <is>
          <t>Staff Machine Learning Engineer, Ad Ranking, Level 6</t>
        </is>
      </c>
      <c r="C101" t="inlineStr">
        <is>
          <t>Snap Inc.</t>
        </is>
      </c>
      <c r="D101" t="inlineStr">
        <is>
          <t>linkedin</t>
        </is>
      </c>
      <c r="E101">
        <f>HYPERLINK("https://www.linkedin.com/jobs/view/4368826017", "https://www.linkedin.com/jobs/view/4368826017")</f>
        <v/>
      </c>
      <c r="F101" t="inlineStr"/>
      <c r="G101" t="inlineStr">
        <is>
          <t>Los Angeles, CA</t>
        </is>
      </c>
      <c r="H101" t="inlineStr"/>
      <c r="I101"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We’re looking for a Staff Machine Learning Engineer to join the Ad Ranking team at Snap!
 What you’ll do:
* Set and drive the technical direction for the Ad Ranking team and advance the core ML capabilities of the ad optimization stack
* Design, build, and deploy machine learning solutions to support Snap's monetization strategies
* Own outcomes for large, cross\-team ML initiatives, from problem definition through long\-term iteration and impact
* Establish technical vision and roadmaps, and resolve complex technical tradeoffs across teams
* Influence and mentor engineers across org boundaries through technical leadership and collaboration
 Knowledge, Skills \&amp; Abilities:
* Strong understanding of machine learning and deep learning approaches and algorithms, and their applications to advertising, recommendation, and/or search domain
* Experience working for a team whose primary output is online ranking / recommendation models
* Ability to design, train, and optimize advanced machine learning models
* Ability to proactively learn new concepts and technology and apply them at work
* Skilled at solving open ambiguous problems
* Strong collaboration and mentorship skills
 Minimum Qualifications:
* Bachelor's Degree in a relevant technical field such as computer science or equivalent years of practical work experience
* 8\+ years of post\-Bachelor’s machine learning experience; or Master’s degree in a technical field \+ 7\+ year of post\-grad machine learning experience; or PhD in a relevant technical field \+ 4 years of post\-grad machine learning experience
* Experience developing machine learning models for ranking, recommendations, search, advertising, image generation, or other relevant applications of machine learning
 Preferred Qualifications:
* Experience in online advertising, including ad targeting, ranking, auction, and/or marketplace optimization.
* Advanced degree in computer science or related field
* Experience working with machine learning frameworks such as TensorFlow, Caffe2, PyTorch, Spark ML, scikit\-learn, or related frameworks
* Experience working with machine learning, ranking infrastructures, and system design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$229,000\-$343,000 annually.
 Zone B:
 The base salary range for this position is $218,000\-$326,000 annually.
 Zone C:
 The base salary range for this position is $195,000\-$292,000 annually.
 This position is eligible for equity in the form of RSUs.</t>
        </is>
      </c>
    </row>
    <row r="102">
      <c r="A102" t="inlineStr">
        <is>
          <t>li-4369075558</t>
        </is>
      </c>
      <c r="B102" t="inlineStr">
        <is>
          <t>Principal Applied AI Engineer</t>
        </is>
      </c>
      <c r="C102" t="inlineStr">
        <is>
          <t>Microsoft</t>
        </is>
      </c>
      <c r="D102" t="inlineStr">
        <is>
          <t>linkedin</t>
        </is>
      </c>
      <c r="E102">
        <f>HYPERLINK("https://www.linkedin.com/jobs/view/4369075558", "https://www.linkedin.com/jobs/view/4369075558")</f>
        <v/>
      </c>
      <c r="F102" t="inlineStr"/>
      <c r="G102" t="inlineStr"/>
      <c r="H102" t="inlineStr"/>
      <c r="I102" t="inlineStr">
        <is>
          <t>**Overview**
 Microsoft Dynamics 365 powers mission\-critical business operations across the globe. Within this ecosystem, the
 **Customer Experience Applications (CX Apps)** 
 team delivers Dynamics 365 Sales and Service an AI\-native solution enabling organizations to build intelligent, scalable, and omnichannel customer service operations through voice, chat, SMS, and more.
 As a
 **Principal Applied AI Engineer** 
 , you will be a principal technical leader responsible for driving the architecture, design, and implementation of AI\-first experiences across the Dynamics 365 Sales and Service platform. This role blends deep AI/ML expertise with modern software engineering excellence, applied at scale to mission\-critical enterprise SaaS applications.
 You will work across boundaries partnering with engineering, product, design, data science, and infrastructure teams to deliver intelligent, secure, and customer\-centric solutions. You will influence strategic decisions, guide junior engineers, and contribute directly to production systems used by some of the world’s largest enterprises.
 We are looking for a results\-driven, hands\-on technical leader who thrives in fast\-paced environments, thinks end\-to\-end, and brings both a strong systems mindset and deep AI/ML experience to solve enterprise\-grade challenges.
 This is an opportunity to be part of a high\-impact, high\-visibility product group at Microsoft. You’ll help define how AI reshapes enterprise customer service experiences and build intelligent systems that empower agents, improve customer satisfaction, and transform businesses worldwide.
 If you’re excited about solving real\-world problems with AI, working in a fast\-moving, collaborative engineering team, and building durable, customer\-centric solutions at scale—we’d love to hear from you.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As a Principal Engineer, you will:
* Own architecture, strategy, and execution of AI\-powered features across Dynamics 365 Sales and Service, ensuring technical alignment with Microsoft’s cloud\-scale services and AI platform direction.
* Design and deliver production\-ready AI solutions that leverage large language models (LLMs), natural language understanding, speech, and real\-time reasoning to improve agent productivity and customer satisfaction.
* Lead complex technical initiatives, including AI model integration, platform scalability, reliability, and long\-term maintainability.
* Collaborate deeply with applied scientists, product managers, and UX teams to translate customer needs into intelligent capabilities that deliver measurable business value.
* Drive engineering rigor across the team by establishing high standards for code quality, observability, testing, MLOps, and secure deployment practices.
* Mentor engineers across levels, fostering a culture of innovation, inclusivity, and continuous learning.
* Proactively identify technology gaps, evaluate emerging AI frameworks/tools (including open\-source and Azure AI offerings), and champion adoption where appropriate.
* Act as a technical advisor across the broader organization, contributing to cross\-team initiatives and long\-term architectural planning.
**Qualifications**
**Required Qualifications:**
* Bachelor's Degree in Computer Science or related technical field AND 6\+ years technical engineering experience with coding in languages including, but not limited to, C, C\+\+, C\#, Java, JavaScript, or Python
+ OR equivalent experience.
* 2\+ years of experience delivering AI/ML\-based systems at production scale, ideally including LLMs, transformers, RAG pipelines, or similar architectures.
* Demonstrated experience leading engineering teams or cross\-functional initiatives involving AI systems in cloud environments.
*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8\+ years of hands\-on software engineering experience with deep expertise in languages such as C\#, Python, Java, or equivalent.
* Proven track record of designing and deploying AI\-first applications at scale, with deep understanding of performance, privacy, compliance, and operational constraints in enterprise SaaS.
* Expertise in MLOps/LLMOps, including model versioning, retraining pipelines, A/B testing, monitoring, and rollout strategies.
* Deep knowledge of cloud platforms (preferably Azure) and experience deploying containerized AI services using Kubernetes, Docker, or similar.
* Hands\-on experience integrating models from Azure AI, OpenAI, HuggingFace, or custom\-trained models into scalable application pipelines.
* Strong architectural and systems thinking—capable of making trade\-offs between performance, cost, simplicity, and maintainability.
* Exceptional written and verbal communication skills with the ability to influence across roles and levels.
* Experience working in highly regulated or secure environments, including Zero Trust, privacy, and compliance practices.
* Prior experience working with or building solutions for customer service, CRM, or enterprise productivity scenarios is a strong plus.
 \#BICJobs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03">
      <c r="A103" t="inlineStr">
        <is>
          <t>li-4377827921</t>
        </is>
      </c>
      <c r="B103" t="inlineStr">
        <is>
          <t>Principal Applied AI Engineer</t>
        </is>
      </c>
      <c r="C103" t="inlineStr">
        <is>
          <t>Microsoft</t>
        </is>
      </c>
      <c r="D103" t="inlineStr">
        <is>
          <t>linkedin</t>
        </is>
      </c>
      <c r="E103">
        <f>HYPERLINK("https://www.linkedin.com/jobs/view/4377827921", "https://www.linkedin.com/jobs/view/4377827921")</f>
        <v/>
      </c>
      <c r="F103">
        <f>HYPERLINK("https://apply.careers.microsoft.com/careers/job/1970393556735302?utm_source=linkedin&amp;domain=microsoft.com&amp;src=LinkedIn&amp;urlHash=jHZj", "https://apply.careers.microsoft.com/careers/job/1970393556735302?utm_source=linkedin&amp;domain=microsoft.com&amp;src=LinkedIn&amp;urlHash=jHZj")</f>
        <v/>
      </c>
      <c r="G103" t="inlineStr">
        <is>
          <t>Redmond, WA</t>
        </is>
      </c>
      <c r="H103" t="inlineStr"/>
      <c r="I103" t="inlineStr">
        <is>
          <t>**Overview**
 Microsoft Dynamics 365 powers mission\-critical business operations across the globe. Within this ecosystem, the Customer Experience Applications (CX Apps) team delivers Dynamics 365 Sales and Service an AI\-native solution enabling organizations to build intelligent, scalable, and omnichannel customer service operations through voice, chat, SMS, and more.
 As a
 **Principal Applied AI Engineer** 
 , you will be a principal technical leader responsible for driving the architecture, design, and implementation of AI\-first experiences across the Dynamics 365 Sales and Service platform. This role blends deep AI/ML expertise with modern software engineering excellence, applied at scale to mission\-critical enterprise SaaS applications.
 You will work across boundaries partnering with engineering, product, design, data science, and infrastructure teams to deliver intelligent, secure, and customer\-centric solutions. You will influence strategic decisions, guide junior engineers, and contribute directly to production systems used by some of the world’s largest enterprises.
 We are looking for a results\-driven, hands\-on technical leader who thrives in fast\-paced environments, thinks end\-to\-end, and brings both a strong systems mindset and deep AI/ML experience to solve enterprise\-grade challenges.
 This is an opportunity to be part of a high\-impact, high\-visibility product group at Microsoft. You’ll help define how AI reshapes enterprise customer service experiences and build intelligent systems that empower agents, improve customer satisfaction, and transform businesses worldwide.
 If you’re excited about solving real\-world problems with AI, working in a fast\-moving, collaborative engineering team, and building durable, customer\-centric solutions at scale—we’d love to hear from you.
**Responsibilities**
 As a Principal Engineer, you will:
* Own architecture, strategy, and execution of AI\-powered features across Dynamics 365 Sales and Service, ensuring technical alignment with Microsoft’s cloud\-scale services and AI platform direction.
* Design and deliver production\-ready AI solutions that leverage large language models (LLMs), natural language understanding, speech, and real\-time reasoning to improve agent productivity and customer satisfaction.
* Lead complex technical initiatives, including AI model integration, platform scalability, reliability, and long\-term maintainability.
* Collaborate deeply with applied scientists, product managers, and UX teams to translate customer needs into intelligent capabilities that deliver measurable business value.
* Drive engineering rigor across the team by establishing high standards for code quality, observability, testing, MLOps, and secure deployment practices.
* Mentor engineers across levels, fostering a culture of innovation, inclusivity, and continuous learning.
* Proactively identify technology gaps, evaluate emerging AI frameworks/tools (including open\-source and Azure AI offerings), and champion adoption where appropriate.
* Act as a technical advisor across the broader organization, contributing to cross\-team initiatives and long\-term architectural planning.
**Qualifications**
**Required Qualifications:**
* Bachelor's Degree in Computer Science or related technical field AND 6\+ years technical engineering experience with coding in languages including, but not limited to, C, C\+\+, C\#, Java, JavaScript, or Python
+ OR equivalent experience.
* 2\+ years of experience delivering AI/ML\-based systems at production scale, ideally including LLMs, transformers, RAG pipelines, or similar architectures.
* Demonstrated experience leading engineering teams or cross\-functional initiatives involving AI systems in cloud environments.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 Microsoft Cloud background check upon hire/transfer and every two years thereafter.
**Preferred Qualifications**
* 8\+ years of hands\-on software engineering experience with deep expertise in languages such as C\#, Python, Java, or equivalent.
* Proven track record of designing and deploying AI\-first applications at scale, with deep understanding of performance, privacy, compliance, and operational constraints in enterprise SaaS.
* Expertise in MLOps/LLMOps, including model versioning, retraining pipelines, A/B testing, monitoring, and rollout strategies.
* Deep knowledge of cloud platforms (preferably Azure) and experience deploying containerized AI services using Kubernetes, Docker, or similar.
* Hands\-on experience integrating models from Azure AI, OpenAI, HuggingFace, or custom\-trained models into scalable application pipelines.
* Strong architectural and systems thinking—capable of making trade\-offs between performance, cost, simplicity, and maintainability.
* Exceptional written and verbal communication skills with the ability to influence across roles and levels.
* Experience working in highly regulated or secure environments, including Zero Trust, privacy, and compliance practices.
* Prior experience working with or building solutions for customer service, CRM, or enterprise productivity scenarios is a strong plus.
 \#BICJobs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04">
      <c r="A104" t="inlineStr">
        <is>
          <t>li-4376753347</t>
        </is>
      </c>
      <c r="B104" t="inlineStr">
        <is>
          <t>Senior Lead AI Engineer (AI Foundations, LLM Core and Agentic AI)</t>
        </is>
      </c>
      <c r="C104" t="inlineStr">
        <is>
          <t>TalentAlly</t>
        </is>
      </c>
      <c r="D104" t="inlineStr">
        <is>
          <t>linkedin</t>
        </is>
      </c>
      <c r="E104">
        <f>HYPERLINK("https://www.linkedin.com/jobs/view/4376753347", "https://www.linkedin.com/jobs/view/4376753347")</f>
        <v/>
      </c>
      <c r="F104" t="inlineStr"/>
      <c r="G104" t="inlineStr">
        <is>
          <t>San Jose, CA</t>
        </is>
      </c>
      <c r="H104" t="inlineStr"/>
      <c r="I104"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6 years of experience developing AI and ML algorithms or technologies, or a Master's degree in Computer Science, AI, Electrical Engineering, Computer Engineering, or related fields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$229,900 \- $262,400 for Sr. Lead AI Engineer
 McLean, VA: $229,900 \- $262,400 for Sr. Lead AI Engineer
 New York, NY: $250,800 \- $286,200 for Sr. Lead AI Engineer
 San Francisco, CA: $250,800 \- $286,200 for Sr. Lead AI Engineer
 San Jose, CA: $250,800 \- $286,200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PDN\-a12948e5\-d9e1\-48ec\-9d81\-bb3d52974cbc</t>
        </is>
      </c>
    </row>
    <row r="105">
      <c r="A105" t="inlineStr">
        <is>
          <t>li-4361527992</t>
        </is>
      </c>
      <c r="B105" t="inlineStr">
        <is>
          <t>Staff AI Engineer - Utah</t>
        </is>
      </c>
      <c r="C105" t="inlineStr">
        <is>
          <t>Podium</t>
        </is>
      </c>
      <c r="D105" t="inlineStr">
        <is>
          <t>linkedin</t>
        </is>
      </c>
      <c r="E105">
        <f>HYPERLINK("https://www.linkedin.com/jobs/view/4361527992", "https://www.linkedin.com/jobs/view/4361527992")</f>
        <v/>
      </c>
      <c r="F105" t="inlineStr"/>
      <c r="G105" t="inlineStr">
        <is>
          <t>Lehi, UT</t>
        </is>
      </c>
      <c r="H105" t="inlineStr"/>
      <c r="I105" t="inlineStr">
        <is>
          <t>At Podium, we bring AI Employees to local businesses that turn every conversation into revenue. Trusted by 60,000\+ businesses across Auto, Home Services, and Aesthetics, Podium captures and converts leads 24/7, driving both new business and repeat customers.
 In under 24 months, we crossed $100M in AI Agent ARR, scaling 300% year\-over\-year. During this time, we’ve deployed 10,000 AI employees to empower real business outcomes for our customers. Podium is building what we believe will be the most impactful AI employee ecosystem for local business.
 Podium has been recognized as the Best AI Implementation by Inc. Magazine, highlighted by OpenAI for building revenue\-driving AI Agents, and awarded the \#1 AI Agent for Business Operations by G2\.
 Our growth is fueled by hiring exceptional people, holding them to high standards, and creating opportunities for them to grow and make an impact. Our
 **operating principles** 
 guide daily behavior and ensure we hire people who will thrive at Podium. If you're hungry for growth, aligned to our operating principles, and ready to get to work, you won't find a better place to learn and accelerate your career.
**Staff AI Engineer**
**The Role**
 We are looking for a talented
 **Staff AI Engineer** 
 to help build and scale our AI Agent platform—a powerful system that autonomously interacts with customers, handling millions of conversations every month. In this role, you’ll design and deliver the software that enables local businesses to manage complex customer interactions automatically, book more appointments, and serve their customers more effectively across multiple channels (e.g., voice, SMS, chat).
 If you thrive in fast\-paced, highly iterative environments, enjoy solving complex distributed systems challenges, and want to see your work drive immediate business impact, this role is for you!
**What You Will Be Doing**
* Build and scale the AI Agent platform — enabling high\-volume, real\-time conversational workflows that deliver accuracy and low latency at scale.
* Design and implement APIs, services, and infrastructure that power multi\-turn, cross\-channel customer interactions.
* Own the full lifecycle: architecture, implementation, deployment, and ongoing reliability.
* Prototype rapidly, iterate with live interaction data, and continuously improve system performance and user experience.
* Implement observability, monitoring, and operational best practices to ensure reliability in production, focusing on agent accuracy and latency.
* Collaborate with engineers, product managers, and AI/ML scientists to deliver end\-to\-end features that power critical business outcomes.
**What You Should Have**
* 10\+ years of professional software engineering experience with at least one modern language such as Go, Python, or Elixir.
* 1\+ years of professional experience deploying and maintaining AI agents in production environments that interact with tools, APIs, or real\-world workflows.
* Proven success designing and maintaining distributed or high\-throughput systems.
* Strong problem\-solving ability and comfort navigating ambiguity in large\-scale systems.
* Excellent communication skills and the ability to work effectively across teams.
* A willingness to work across the entire stack—from infrastructure to APIs to user\-facing components—wherever the problem needs solving.
* Ability to thrive in a fast\-paced environment with shifting priorities.
* Must be willing to work on site, 5 days per week.
**What We Hope You Have**
* 2\+ years of professional experience deploying and maintaining AI agents in production environments that interact with tools, APIs, or real\-world workflows.
* Practical experience designing and implementing evaluations for LLM behavior — including accuracy, safety, reliability, and cost monitoring.
* Strong understanding of prompt design, context engineering, and guardrail strategies for dependable, interpretable agent behavior.
* Experience with modern agent frameworks such as LangGraph, CrewAI, or AutoGen, including multi\-step reasoning, memory, and orchestration patterns.
* Hands\-on experience with fine\-tuning and data curation for improving model performance.
**Why you’ll love working here:** 
* Podium is the best place to work to:
+ Join the leaders in AI agents
+ Unlock career\-defining growth
+ Build with world\-class talent
+ Make a real impact on local business
**Benefits:**
* Open and transparent culture
* Life insurance, long and short\-term disability coverage
* Paid maternity and paternity leave
* Fertility Benefits
* Generous vacation time, plus three 4\-day summer holiday weekends
* Excellent medical, dental, and vision benefits
* 401k Plan with company matching
* Bi\-annual swag drops with cool Podium gear and apparel
*Podium is an equal opportunity employer. Podium provides equal employment opportunities (EEO) to all employees and applicants for employment without regard to race, color, religion, gender, national origin, sexual orientation, gender identity or expression, age, disability, genetic information, marital status or veteran status.*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2026-02-25T17:18:05Z</dcterms:created>
  <dcterms:modified xsi:type="dcterms:W3CDTF">2026-02-25T17:18:05Z</dcterms:modified>
</cp:coreProperties>
</file>