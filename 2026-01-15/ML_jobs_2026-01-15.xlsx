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in-790ea23ab3c55b8b</t>
        </is>
      </c>
      <c r="B2" t="inlineStr">
        <is>
          <t>Lead ML Engineer, Full Stack</t>
        </is>
      </c>
      <c r="C2" t="inlineStr">
        <is>
          <t>Salesforce</t>
        </is>
      </c>
      <c r="D2" t="inlineStr">
        <is>
          <t>indeed</t>
        </is>
      </c>
      <c r="E2">
        <f>HYPERLINK("https://www.indeed.com/viewjob?jk=790ea23ab3c55b8b", "https://www.indeed.com/viewjob?jk=790ea23ab3c55b8b")</f>
        <v/>
      </c>
      <c r="F2">
        <f>HYPERLINK("https://salesforce.wd12.myworkdayjobs.com/en-US/External_Career_Site/job/California---Palo-Alto/Lead-ML-Engineer--Full-Stack_JR325023", "https://salesforce.wd12.myworkdayjobs.com/en-US/External_Career_Site/job/California---Palo-Alto/Lead-ML-Engineer--Full-Stack_JR325023")</f>
        <v/>
      </c>
      <c r="G2" t="inlineStr">
        <is>
          <t>Palo Alto, CA, US</t>
        </is>
      </c>
      <c r="H2" s="2" t="n">
        <v>46036</v>
      </c>
      <c r="I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
Salesforce is seeking a passionate and highly skilled AI/SW Engineer to join our team in Tableau developing the \#1 AI\-powered analytics agents for helping customers see, understand, and act on data.
On the Analytics Agent team, you will work at the forefront of agentic application development, building groundbreaking, multi\-modal products and tools that transform how people engage with data.
This is an opportunity to contribute to a dynamic, fast\-paced environment, applying your expertise to build scalable, data\-intensive systems for analytics. We're looking for curious and motivated engineers who want to play a significant role in pushing the boundaries of what AI agents can achieve.
**Key Responsibilities**
------------------------
* Collaborate with product managers, fellow engineers, and researchers to build next\-generation generative AI products and prototypes to make our customers successful.
* Propose and rapidly iterate on ideas and experiments, as though in a startup environment, to achieve product\-market fit for cutting\-edge analytics agents.
* Build and shape user experiences using context engineering and generative AI capabilities.
* Design and build scalable and performant agentic systems, taking throughput and latency into account, recognizing how and where to apply parallel processing, stream processing, and asynchronous I/O.
* Evaluate the performance and quality of the agentic solutions you are building against customer use cases.
* Solve challenges with probabilistic software, ensuring defensive error handling, streaming data optimization, caching, and explainability.
* Implement logging, tracing mechanisms, and tools to facilitate debugging, diagnostics, and performance tracking.
* Engage in light DevOps tasks, leveraging infrastructure best practices to deploy and monitor AI\-driven systems.
**Requirements**
----------------
* Adaptable and Innovative Mindset: Fearless about learning new technologies and excited to work in a fast\-paced, ambiguous environment. Possess a problem\-first approach with a careful and principled methodology for building resilient systems.
* Expertise in shaping experiences with LLMs and agents.
* Proficient with evaluation of ML model performance.
* Strong Programming and Distributed Systems Development Skills: Proficient in Python, Java, or other languages. Experience building full\-stack applications with expertise in either backend, frontend, or both. Ability to handle error cases, write asynchronous code, and work effectively with streaming data. Professional experience in developing, scaling, and maintaining applications at a production scale.
* Experience with Modern Software Development Practices: Familiar with DevOps principles, infrastructure best practices, and cloud\-based deployments. Knowledgeable about queues, message buses, and event\-driven architectures.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$189,100 \- $260,100 annually. In select cities within the San Francisco and New York City metropolitan area, the base salary range for this role is $207,800 \- $285,800 annually.\&amp;\#xa;\&amp;\#xa;The range represents base salary only, and does not include company bonus, incentive for sales roles, equity or benefits, as applicable.</t>
        </is>
      </c>
    </row>
    <row r="3">
      <c r="A3" t="inlineStr">
        <is>
          <t>in-26d13fc8dc488d7e</t>
        </is>
      </c>
      <c r="B3" t="inlineStr">
        <is>
          <t>Senior Machine Learning Engineer</t>
        </is>
      </c>
      <c r="C3" t="inlineStr">
        <is>
          <t>Cohere Health</t>
        </is>
      </c>
      <c r="D3" t="inlineStr">
        <is>
          <t>indeed</t>
        </is>
      </c>
      <c r="E3">
        <f>HYPERLINK("https://www.indeed.com/viewjob?jk=26d13fc8dc488d7e", "https://www.indeed.com/viewjob?jk=26d13fc8dc488d7e")</f>
        <v/>
      </c>
      <c r="F3">
        <f>HYPERLINK("https://grnh.se/c6tq8v1s3us", "https://grnh.se/c6tq8v1s3us")</f>
        <v/>
      </c>
      <c r="G3" t="inlineStr">
        <is>
          <t>Remote, US</t>
        </is>
      </c>
      <c r="H3" s="2" t="n">
        <v>46036</v>
      </c>
      <c r="I3" t="inlineStr">
        <is>
          <t>**Opportunity Overview:**
We are seeking innovative and highly driven Senior Machine Learning Engineers to design and deploy advanced machine learning solutions across retrieval, classification, and generative AI use cases. In this role, you will apply state\-of\-the\-art language models and agentic architectures to complex clinical data, uncovering meaningful insights that directly support our product, leadership, and clinical operations teams.
You will work cross\-functionally with product managers, clinicians, and technical leadership to translate real\-world healthcare challenges into scalable, production\-ready machine learning systems. This opportunity offers the chance to tackle a wide range of strategic and operational problems while building reliable, high\-impact AI solutions in a mission\-driven clinical environment.
**What you'll do:**
* Design, develop and deploy advanced machine learning algorithms for retrieval, classification and generative use cases.
* Apply advanced analysis techniques and statistical concepts to draw insights from massive datasets, create intuitive simulations, data visualizations, and business narratives.
* Develop reliable and scalable production machine learning systems.
* Write and maintain reusable codebases to perform data preprocessing, model training, evaluation, and deployment
* Provide software and machine learning best practice guidance to junior engineers
* Work cross\-functionally with diverse stakeholders, including product managers, clinicians, and technical leadership to align ML solutions with Cohere's core objectives.
**What you'll need:**
* You have 5\+ years experience in applied ML in the industry with a masters degree in computer science, machine learning, mathematics or a similar field
* Clear understanding of model building, model maintenance and the measures that optimize models for production use
* Understand experimental design and can independently perform collection, measurement, and interpretation of results.
* Excellent written and verbal communication skills \- experience collaborating with and presenting to technical and non technical (i.e., clinical, service operations) audiences.
* Expert in Python with experience in deep learning frameworks (e.g., PyTorch)
* Experience with generative AI and Retrieval Augmented Generation (RAG)
**Pay \&amp; Perks:**
 Fully remote opportunity with about 5% travel
 Medical, dental, vision, life, disability insurance, and Employee Assistance Program
 401K retirement plan with company match; flexible spending and health savings account
️ Up to 184 hours (23 days) of PTO per year \+ company holidays
 Up to 14 weeks of paid parental leave
 Pet insurance
The salary range for this position is $135,000 to $175,000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 is a fast\-growing clinical intelligence company that's improving lives at scale by promoting the best patient\-specific care options, using cutting\-edge AI combined with deep clinical expertise. In only four years our solutions have been adopted by health plans covering over 15 million lives, while our revenues and company size have quadrupled. That growth combined with capital raises totaling $106M positions us extremely well for continued success. Our awards include: 2023 and 2024 BuiltIn Best Place to Work; Top 5 LinkedIn™ Startup; TripleTree iAward; multiple KLAS Research Points of Light awards, along with recognition on Fierce Healthcare's Fierce 15 and CB Insights' Digital Health 150 lists.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row>
    <row r="4">
      <c r="A4" t="inlineStr">
        <is>
          <t>in-8985a0d2d17093fd</t>
        </is>
      </c>
      <c r="B4" t="inlineStr">
        <is>
          <t>Machine Learning Engineer, Speech Products</t>
        </is>
      </c>
      <c r="C4" t="inlineStr">
        <is>
          <t>Apple</t>
        </is>
      </c>
      <c r="D4" t="inlineStr">
        <is>
          <t>indeed</t>
        </is>
      </c>
      <c r="E4">
        <f>HYPERLINK("https://www.indeed.com/viewjob?jk=8985a0d2d17093fd", "https://www.indeed.com/viewjob?jk=8985a0d2d17093fd")</f>
        <v/>
      </c>
      <c r="F4">
        <f>HYPERLINK("https://jsv3.recruitics.com/redirect?rx_cid=3427&amp;rx_jobId=200641189-3401_rxr-660&amp;rx_url=https%3A%2F%2Fjobs.apple.com%2Fen-us%2Fdetails%2F200641189-3401%2Fmachine-learning-engineer-speech-products%3Fboard_id%3DJB001%26rx_campaign%3Dindeed0%26rx_ch%3Djobp4p%26rx_group%3D122365%26rx_id%3Dadaf69a3-f1ee-11f0-b21a-bd75a6ab21f4%26rx_job%3D200641189-3401_rxr-660%26rx_medium%3Dcpc%26rx_r%3Dnone%26rx_source%3Dindeed%26rx_ts%3D20260115T163810Z%26rx_vp%3Dcpc%26team%3DMLAI", "https://jsv3.recruitics.com/redirect?rx_cid=3427&amp;rx_jobId=200641189-3401_rxr-660&amp;rx_url=https%3A%2F%2Fjobs.apple.com%2Fen-us%2Fdetails%2F200641189-3401%2Fmachine-learning-engineer-speech-products%3Fboard_id%3DJB001%26rx_campaign%3Dindeed0%26rx_ch%3Djobp4p%26rx_group%3D122365%26rx_id%3Dadaf69a3-f1ee-11f0-b21a-bd75a6ab21f4%26rx_job%3D200641189-3401_rxr-660%26rx_medium%3Dcpc%26rx_r%3Dnone%26rx_source%3Dindeed%26rx_ts%3D20260115T163810Z%26rx_vp%3Dcpc%26team%3DMLAI")</f>
        <v/>
      </c>
      <c r="G4" t="inlineStr">
        <is>
          <t>CA, US</t>
        </is>
      </c>
      <c r="H4" s="2" t="n">
        <v>46036</v>
      </c>
      <c r="I4" t="inlineStr">
        <is>
          <t>We’re seeking engineers excited about applying machine learning to build and maintain the core ML products behind Apple’s speech technologies. You’ll join a highly technical, collaborative team of ML, software, and infrastructure experts to develop systems used by millions of people. This role offers the chance to work on impactful projects across Apple and to apply your ML, data science, and analytical skills to solve complex problems and deliver innovative user\-facing products.  
**Description**  
Join a pivotal team that builds the automation and scalable infrastructure that carries Apple’s speech research into production for millions of users. We design and maintain the training and evaluation pipelines that enable rapid experimentation, robust model validation, and seamless deployment of next\-generation speech technologies.  
In this role, you will engineer and refine the systems that transform research ideas into reliable, production\-ready modeling workflows. You’ll improve automation, ensure high\-quality model behavior at scale, and create the frameworks that accelerate model development across the speech organization. Your work forms the backbone of Apple’s state\-of\-the\-art speech capabilities\-powering technologies that reach our users around the world.  
","responsibilities":"Build and maintain scalable pipelines for training and evaluating speech models for fast and reliable experimentation and for production  
Integrate new model architectures, training recipes, and evaluation methods into existing systems  
Monitor pipeline health and model performance, helping identify regressions or data issues  
Collaborate with modeling and infrastructure teams to improve reliability and efficiency  
Contribute to tooling that supports experiment tracking, reproducibility, and analysis  
Document workflows and follow best practices for ML software development  
**Preferred Qualifications**  
Hands\-on experience with distributed compute and data systems (Spark, Ray)  
Working knowledge of speech/ASR/TTS concepts (audio features, tokenization, speech augmentation, alignment, evaluation metrics)  
Comfort working cross\-functionally with research scientists, data engineers, and product teams  
**Minimum Qualifications**  
Experience designing, building, and maintaining scalable ML pipelines for training, evaluation, and continuous monitoring.  
Strong software engineering skills, with proficiency in Python  
Solid understanding of core ML concepts, such as supervised/unsupervised learning, model evaluation, and performance analysis.  
Strong verbal and written communication skills  
Bachelor’s or graduate degree in Computer Science, Computer Engineering, or a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in-868ab729c3c18a3a</t>
        </is>
      </c>
      <c r="B5" t="inlineStr">
        <is>
          <t>Machine Learning Engineer, Speech Products</t>
        </is>
      </c>
      <c r="C5" t="inlineStr">
        <is>
          <t>Apple</t>
        </is>
      </c>
      <c r="D5" t="inlineStr">
        <is>
          <t>indeed</t>
        </is>
      </c>
      <c r="E5">
        <f>HYPERLINK("https://www.indeed.com/viewjob?jk=868ab729c3c18a3a", "https://www.indeed.com/viewjob?jk=868ab729c3c18a3a")</f>
        <v/>
      </c>
      <c r="F5">
        <f>HYPERLINK("https://jsv3.recruitics.com/redirect?rx_cid=3427&amp;rx_jobId=200641189-1242_rxr-660&amp;rx_url=https%3A%2F%2Fjobs.apple.com%2Fen-us%2Fdetails%2F200641189-1242%2Fmachine-learning-engineer-speech-products%3Fboard_id%3DJB001%26rx_campaign%3Dindeed0%26rx_ch%3Djobp4p%26rx_group%3D122365%26rx_id%3Da7dec3df-f1ee-11f0-b21a-eff4e22f2d10%26rx_job%3D200641189-1242_rxr-660%26rx_medium%3Dcpc%26rx_r%3Dnone%26rx_source%3Dindeed%26rx_ts%3D20260115T163810Z%26rx_vp%3Dcpc%26team%3DMLAI", "https://jsv3.recruitics.com/redirect?rx_cid=3427&amp;rx_jobId=200641189-1242_rxr-660&amp;rx_url=https%3A%2F%2Fjobs.apple.com%2Fen-us%2Fdetails%2F200641189-1242%2Fmachine-learning-engineer-speech-products%3Fboard_id%3DJB001%26rx_campaign%3Dindeed0%26rx_ch%3Djobp4p%26rx_group%3D122365%26rx_id%3Da7dec3df-f1ee-11f0-b21a-eff4e22f2d10%26rx_job%3D200641189-1242_rxr-660%26rx_medium%3Dcpc%26rx_r%3Dnone%26rx_source%3Dindeed%26rx_ts%3D20260115T163810Z%26rx_vp%3Dcpc%26team%3DMLAI")</f>
        <v/>
      </c>
      <c r="G5" t="inlineStr">
        <is>
          <t>CA, US</t>
        </is>
      </c>
      <c r="H5" s="2" t="n">
        <v>46036</v>
      </c>
      <c r="I5" t="inlineStr">
        <is>
          <t>We’re seeking engineers excited about applying machine learning to build and maintain the core ML products behind Apple’s speech technologies. You’ll join a highly technical, collaborative team of ML, software, and infrastructure experts to develop systems used by millions of people. This role offers the chance to work on impactful projects across Apple and to apply your ML, data science, and analytical skills to solve complex problems and deliver innovative user\-facing products.  
**Description**  
Join a pivotal team that builds the automation and scalable infrastructure that carries Apple’s speech research into production for millions of users. We design and maintain the training and evaluation pipelines that enable rapid experimentation, robust model validation, and seamless deployment of next\-generation speech technologies.  
In this role, you will engineer and refine the systems that transform research ideas into reliable, production\-ready modeling workflows. You’ll improve automation, ensure high\-quality model behavior at scale, and create the frameworks that accelerate model development across the speech organization. Your work forms the backbone of Apple’s state\-of\-the\-art speech capabilities\-powering technologies that reach our users around the world.  
","responsibilities":"Build and maintain scalable pipelines for training and evaluating speech models for fast and reliable experimentation and for production  
Integrate new model architectures, training recipes, and evaluation methods into existing systems  
Monitor pipeline health and model performance, helping identify regressions or data issues  
Collaborate with modeling and infrastructure teams to improve reliability and efficiency  
Contribute to tooling that supports experiment tracking, reproducibility, and analysis  
Document workflows and follow best practices for ML software development  
**Preferred Qualifications**  
Hands\-on experience with distributed compute and data systems (Spark, Ray)  
Working knowledge of speech/ASR/TTS concepts (audio features, tokenization, speech augmentation, alignment, evaluation metrics)  
Comfort working cross\-functionally with research scientists, data engineers, and product teams  
**Minimum Qualifications**  
Experience designing, building, and maintaining scalable ML pipelines for training, evaluation, and continuous monitoring.  
Strong software engineering skills, with proficiency in Python  
Solid understanding of core ML concepts, such as supervised/unsupervised learning, model evaluation, and performance analysis.  
Strong verbal and written communication skills  
Bachelor’s or graduate degree in Computer Science, Computer Engineering, or a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in-0ae51579673a0e8b</t>
        </is>
      </c>
      <c r="B6" t="inlineStr">
        <is>
          <t>Senior Machine Learning Engineer</t>
        </is>
      </c>
      <c r="C6" t="inlineStr">
        <is>
          <t>Spokeo</t>
        </is>
      </c>
      <c r="D6" t="inlineStr">
        <is>
          <t>indeed</t>
        </is>
      </c>
      <c r="E6">
        <f>HYPERLINK("https://www.indeed.com/viewjob?jk=0ae51579673a0e8b", "https://www.indeed.com/viewjob?jk=0ae51579673a0e8b")</f>
        <v/>
      </c>
      <c r="F6">
        <f>HYPERLINK("https://spokeo.na.teamtailor.com/jobs/537693-senior-machine-learning-engineer", "https://spokeo.na.teamtailor.com/jobs/537693-senior-machine-learning-engineer")</f>
        <v/>
      </c>
      <c r="G6" t="inlineStr">
        <is>
          <t>Pasadena, CA, US</t>
        </is>
      </c>
      <c r="H6" s="2" t="n">
        <v>46036</v>
      </c>
      <c r="I6" t="inlineStr">
        <is>
          <t>**About Spokeo:**
Join our mission to make the world more transparent with data.
Spokeo is a people search engine that helps over 18 million monthly visitors reconnect with friends, reunite with families, and protect against fraud. Additionally, our 12 billion records and over 250 million unique profiles help business professionals locate people and assets, research criminal investigation subjects, and more.
Founded in 2006, we have grown to a company of nearly 200 dedicated employees, with flexible work locations and an average tenure of 5\.3 years. Find out why we were named a “Best Company” by Comparably for Women, Compensation, Happiest Employees, Company Perks \&amp; Benefits, and Work\-Life Balance, as well as “Best CEO” for co\-founder Harrison Tang.
 **About this Opportunity**
We are seeking a highly skilled Senior Machine Learning Engineer to join our dynamic AI team. This role will design, develop, and deploy scalable machine learning models that power our cutting\-edge products. It will work closely with data scientists, software engineers, and product teams to translate business needs into high\-impact AI solutions.
Initially, this role will focus on transitioning our entity resolution system from a rule\-based approach to a robust, ML\-driven pipeline. Work will include tasks such as developing pairwise matching models, feature engineering for identity signals, and setting up training and inference workflows at scale. For later phases, the role may also take ownership of building models for selecting the most accurate or canonical attributes for a given individual.
**What You’ll Do:**
* Develop, deploy, and maintain end\-to\-end machine learning pipelines.
* Design, develop, and optimize machine learning models, including data preparation, feature engineering, model training, evaluation, and updates.
* Collaborate cross\-functionally with other software engineers, data scientists, and product managers to productionize and manage ML models.
* Stay current with the latest state\-of\-the\-art research and advancements in AI and machine learning (ML). Apply innovative techniques as needed.
* Ensure robustness, scalability, and security of deployed machine learning systems.
**Who You Are:**
* Have at least a completed Bachelor’s degree in Computer Science, Mathematics, Electrical Engineering, or Materials Science. Those with more advanced degrees in the mentioned fields are welcome.
* At least 7 years of professional experience in machine learning and data science.
* Solid foundation in machine learning algorithms.
* Extensive experience with Spark, Python, and ML frameworks (e.g., Scikit\-learn, XGBoost, SparkML, PyTorch, TensorFlow).
* Experience building end\-to\-end ML pipelines on cloud platforms (AWS, GCP, Azure), including feature engineering, training, validation, evaluation, and deployment.
* Familiarity with entity resolution or record linkage problems in real\-world settings.
* Prior experience handling ETL jobs is a plus.
**Working at Spokeo**
Spokeo offers a bonus program, equity plans, and 401K. Once a year, we do a discretionary, merit\-based salary increase. Additional benefits include 100% medical/dental/vision coverage and unlimited employee PTO.
Spokeo extends written offers to candidates who successfully complete their selection process. Spokeo’s offers include a base salary, participation in a company bonus program, stock options, and comprehensive benefits. A final offer will depend on several factors, including, but not limited to, marketplace competition, job leveling, the candidate’s experience, skills, etc.
Privacy Notice for Candidates: https://www.spokeo.com/recruiting\-policy
Spokeo is an equal\-opportunity employer. Applicants will receive consideration for employment without regard to race, color, religion, sex, national origin, sexual orientation, gender identity, disability, or protected veteran status. Spokeo fosters a business culture where ideas and decisions from all people help us grow, innovate, create the best products, and be relevant in a rapidly changing world.
Recruiters or staffing agencies: Spokeo is not obligated to compensate any external recruiter or search firm who presents a candidate or their resume or profile to a Spokeo employee without 1\) a current, fully executed agreement on file, and 2\) being assigned to the open position (as a search) via our applicant tracking solution.
\#LI\-Remote</t>
        </is>
      </c>
    </row>
    <row r="7">
      <c r="A7" t="inlineStr">
        <is>
          <t>in-c1ea9c75890207b6</t>
        </is>
      </c>
      <c r="B7" t="inlineStr">
        <is>
          <t>Robotics &amp; AI Engineer</t>
        </is>
      </c>
      <c r="C7" t="inlineStr">
        <is>
          <t>Spark Management</t>
        </is>
      </c>
      <c r="D7" t="inlineStr">
        <is>
          <t>indeed</t>
        </is>
      </c>
      <c r="E7">
        <f>HYPERLINK("https://www.indeed.com/viewjob?jk=c1ea9c75890207b6", "https://www.indeed.com/viewjob?jk=c1ea9c75890207b6")</f>
        <v/>
      </c>
      <c r="F7">
        <f>HYPERLINK("http://www.indeed.com/job/robotics-ai-engineer-c1ea9c75890207b6", "http://www.indeed.com/job/robotics-ai-engineer-c1ea9c75890207b6")</f>
        <v/>
      </c>
      <c r="G7" t="inlineStr">
        <is>
          <t>Irvine, CA, US</t>
        </is>
      </c>
      <c r="H7" s="2" t="n">
        <v>46037</v>
      </c>
      <c r="I7" t="inlineStr">
        <is>
          <t>**Founding Robotics \&amp; AI Engineer**
**AI Medical Robotics Division**  
*Equity \+ Leadership Opportunity*
**About Us**
We are a young, fast\-moving team building a new **AI\-driven medical robotics division** focused on creating a **robotic surgical arm** capable of learning and executing a **specific, high\-value set of surgical tasks**.
Our approach combines **existing best\-in\-class hardware and software** with **advanced simulation, reinforcement learning, and robotics workflows**. We are looking for a founding\-level engineer who wants to **build, learn, and own** a core part of the system from day one.
**Role Overview**
As a **Founding Robotics \&amp; AI Engineer**, you will design, simulate, train, and deploy robotic manipulation systems for medical applications. You will work end\-to\-end from simulation and CAD integration to real\-world robotic arms, helping define both the **technical architecture** and the **engineering culture**.
This is a **high\-ownership role** with meaningful **equity participation**.
**Key Responsibilities**
* Develop and train robotic manipulation policies using **Cosmos WF models**
* Build and validate robotic workflows in **NVIDIA Isaac Sim**
* Design and manage **simulation environments** for surgical task learning
* Integrate **CAD models** and physical constraints into simulation
* Work with **robotic arms** (existing commercial hardware)
* Bridge **simulation → real\-world transfer** (sim\-to\-real)
* Collaborate closely with medical, AI, and hardware stakeholders
* Rapid prototyping, testing, and iteration of learning pipelines
* Help define long\-term system architecture for medical robotics
**Strongly Preferred Skills**
**Robotics \&amp; Simulation**
* Experience with **robotic arms** and manipulation
* Familiarity with **Isaac Sim** or similar robotics simulators
* Understanding of **kinematics, dynamics, and control**
* Working with **CAD files** (STEP, URDF, meshes)
**AI / ML**
* Experience with **reinforcement learning** or imitation learning
* Hands\-on work with **foundation models or workflow models** (e.g., Cosmos WF)
* Python proficiency (C\+\+ a plus)
* Understanding of sim\-to\-real challenges
**Bonus (Not Required)**
* Medical or surgical robotics exposure
* ROS / ROS2
* NVIDIA Omniverse ecosystem
* Safety\-critical system awareness
**Who You Are**
* A **builder**, not just a researcher
* Comfortable learning fast and operating in ambiguity
* Motivated by **impact, ownership, and long\-term value**
* Excited by medical applications and real\-world deployment
* Willing to take responsibility and shape a new department
**What We Offer**
* **Meaningful equity / ownership**
* Founding\-level influence over technical direction
* Opportunity to build **real medical robotic systems**
* Fast iteration, high trust, low bureaucracy
* A chance to define the future of **AI\-powered surgery**
**Ideal Background** 
* Robotics engineer from autonomous vehicles, industrial robotics, or research labs
* AI engineer transitioning into embodied AI / robotics
* PhD or advanced degree **not required** if you have strong hands\-on experience
Job Type: Full\-time
Pay: From $200,000\.00 per year
Work Location: In person</t>
        </is>
      </c>
    </row>
    <row r="8">
      <c r="A8" t="inlineStr">
        <is>
          <t>in-61ea49624fa71da5</t>
        </is>
      </c>
      <c r="B8" t="inlineStr">
        <is>
          <t>Responsible AI Engineer</t>
        </is>
      </c>
      <c r="C8" t="inlineStr">
        <is>
          <t>Accenture</t>
        </is>
      </c>
      <c r="D8" t="inlineStr">
        <is>
          <t>indeed</t>
        </is>
      </c>
      <c r="E8">
        <f>HYPERLINK("https://www.indeed.com/viewjob?jk=61ea49624fa71da5", "https://www.indeed.com/viewjob?jk=61ea49624fa71da5")</f>
        <v/>
      </c>
      <c r="F8">
        <f>HYPERLINK("https://accenture.com/us-en/careers/jobdetails?id=R00306246_en", "https://accenture.com/us-en/careers/jobdetails?id=R00306246_en")</f>
        <v/>
      </c>
      <c r="G8" t="inlineStr">
        <is>
          <t>Houston, TX, US</t>
        </is>
      </c>
      <c r="H8" s="2" t="n">
        <v>46036</v>
      </c>
      <c r="I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9">
      <c r="A9" t="inlineStr">
        <is>
          <t>in-4d3bb820bdef4f2b</t>
        </is>
      </c>
      <c r="B9" t="inlineStr">
        <is>
          <t>Responsible AI Engineer</t>
        </is>
      </c>
      <c r="C9" t="inlineStr">
        <is>
          <t>Accenture</t>
        </is>
      </c>
      <c r="D9" t="inlineStr">
        <is>
          <t>indeed</t>
        </is>
      </c>
      <c r="E9">
        <f>HYPERLINK("https://www.indeed.com/viewjob?jk=4d3bb820bdef4f2b", "https://www.indeed.com/viewjob?jk=4d3bb820bdef4f2b")</f>
        <v/>
      </c>
      <c r="F9">
        <f>HYPERLINK("https://accenture.com/us-en/careers/jobdetails?id=R00306246_en", "https://accenture.com/us-en/careers/jobdetails?id=R00306246_en")</f>
        <v/>
      </c>
      <c r="G9" t="inlineStr">
        <is>
          <t>Austin, TX, US</t>
        </is>
      </c>
      <c r="H9" s="2" t="n">
        <v>46036</v>
      </c>
      <c r="I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0">
      <c r="A10" t="inlineStr">
        <is>
          <t>in-f2ad3eff18caf28c</t>
        </is>
      </c>
      <c r="B10" t="inlineStr">
        <is>
          <t>Responsible AI Engineer</t>
        </is>
      </c>
      <c r="C10" t="inlineStr">
        <is>
          <t>Accenture</t>
        </is>
      </c>
      <c r="D10" t="inlineStr">
        <is>
          <t>indeed</t>
        </is>
      </c>
      <c r="E10">
        <f>HYPERLINK("https://www.indeed.com/viewjob?jk=f2ad3eff18caf28c", "https://www.indeed.com/viewjob?jk=f2ad3eff18caf28c")</f>
        <v/>
      </c>
      <c r="F10">
        <f>HYPERLINK("https://accenture.com/us-en/careers/jobdetails?id=R00306246_en", "https://accenture.com/us-en/careers/jobdetails?id=R00306246_en")</f>
        <v/>
      </c>
      <c r="G10" t="inlineStr">
        <is>
          <t>Kirkland, WA, US</t>
        </is>
      </c>
      <c r="H10" s="2" t="n">
        <v>46036</v>
      </c>
      <c r="I1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
      <c r="A11" t="inlineStr">
        <is>
          <t>in-c0ce1938ed54e9c2</t>
        </is>
      </c>
      <c r="B11" t="inlineStr">
        <is>
          <t>Responsible AI Engineer</t>
        </is>
      </c>
      <c r="C11" t="inlineStr">
        <is>
          <t>Accenture</t>
        </is>
      </c>
      <c r="D11" t="inlineStr">
        <is>
          <t>indeed</t>
        </is>
      </c>
      <c r="E11">
        <f>HYPERLINK("https://www.indeed.com/viewjob?jk=c0ce1938ed54e9c2", "https://www.indeed.com/viewjob?jk=c0ce1938ed54e9c2")</f>
        <v/>
      </c>
      <c r="F11">
        <f>HYPERLINK("https://accenture.com/us-en/careers/jobdetails?id=R00306246_en", "https://accenture.com/us-en/careers/jobdetails?id=R00306246_en")</f>
        <v/>
      </c>
      <c r="G11" t="inlineStr">
        <is>
          <t>Milwaukee, WI, US</t>
        </is>
      </c>
      <c r="H11" s="2" t="n">
        <v>46036</v>
      </c>
      <c r="I1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2">
      <c r="A12" t="inlineStr">
        <is>
          <t>in-2265a89946cf26e8</t>
        </is>
      </c>
      <c r="B12" t="inlineStr">
        <is>
          <t>Responsible AI Engineer</t>
        </is>
      </c>
      <c r="C12" t="inlineStr">
        <is>
          <t>Accenture</t>
        </is>
      </c>
      <c r="D12" t="inlineStr">
        <is>
          <t>indeed</t>
        </is>
      </c>
      <c r="E12">
        <f>HYPERLINK("https://www.indeed.com/viewjob?jk=2265a89946cf26e8", "https://www.indeed.com/viewjob?jk=2265a89946cf26e8")</f>
        <v/>
      </c>
      <c r="F12">
        <f>HYPERLINK("https://accenture.com/us-en/careers/jobdetails?id=R00306246_en", "https://accenture.com/us-en/careers/jobdetails?id=R00306246_en")</f>
        <v/>
      </c>
      <c r="G12" t="inlineStr">
        <is>
          <t>Seattle, WA, US</t>
        </is>
      </c>
      <c r="H12" s="2" t="n">
        <v>46036</v>
      </c>
      <c r="I1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3">
      <c r="A13" t="inlineStr">
        <is>
          <t>in-d1eb91b0d0543bdf</t>
        </is>
      </c>
      <c r="B13" t="inlineStr">
        <is>
          <t>Responsible AI Engineer</t>
        </is>
      </c>
      <c r="C13" t="inlineStr">
        <is>
          <t>Accenture</t>
        </is>
      </c>
      <c r="D13" t="inlineStr">
        <is>
          <t>indeed</t>
        </is>
      </c>
      <c r="E13">
        <f>HYPERLINK("https://www.indeed.com/viewjob?jk=d1eb91b0d0543bdf", "https://www.indeed.com/viewjob?jk=d1eb91b0d0543bdf")</f>
        <v/>
      </c>
      <c r="F13">
        <f>HYPERLINK("https://accenture.com/us-en/careers/jobdetails?id=R00306246_en", "https://accenture.com/us-en/careers/jobdetails?id=R00306246_en")</f>
        <v/>
      </c>
      <c r="G13" t="inlineStr">
        <is>
          <t>New York, NY, US</t>
        </is>
      </c>
      <c r="H13" s="2" t="n">
        <v>46036</v>
      </c>
      <c r="I1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4">
      <c r="A14" t="inlineStr">
        <is>
          <t>in-8282e8c78ec82e03</t>
        </is>
      </c>
      <c r="B14" t="inlineStr">
        <is>
          <t>Responsible AI Engineer</t>
        </is>
      </c>
      <c r="C14" t="inlineStr">
        <is>
          <t>Accenture</t>
        </is>
      </c>
      <c r="D14" t="inlineStr">
        <is>
          <t>indeed</t>
        </is>
      </c>
      <c r="E14">
        <f>HYPERLINK("https://www.indeed.com/viewjob?jk=8282e8c78ec82e03", "https://www.indeed.com/viewjob?jk=8282e8c78ec82e03")</f>
        <v/>
      </c>
      <c r="F14">
        <f>HYPERLINK("https://accenture.com/us-en/careers/jobdetails?id=R00306246_en", "https://accenture.com/us-en/careers/jobdetails?id=R00306246_en")</f>
        <v/>
      </c>
      <c r="G14" t="inlineStr">
        <is>
          <t>Mountain View, CA, US</t>
        </is>
      </c>
      <c r="H14" s="2" t="n">
        <v>46036</v>
      </c>
      <c r="I1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
      <c r="A15" t="inlineStr">
        <is>
          <t>in-57804f6e9e332d97</t>
        </is>
      </c>
      <c r="B15" t="inlineStr">
        <is>
          <t>Responsible AI Engineer</t>
        </is>
      </c>
      <c r="C15" t="inlineStr">
        <is>
          <t>Accenture</t>
        </is>
      </c>
      <c r="D15" t="inlineStr">
        <is>
          <t>indeed</t>
        </is>
      </c>
      <c r="E15">
        <f>HYPERLINK("https://www.indeed.com/viewjob?jk=57804f6e9e332d97", "https://www.indeed.com/viewjob?jk=57804f6e9e332d97")</f>
        <v/>
      </c>
      <c r="F15">
        <f>HYPERLINK("https://accenture.com/us-en/careers/jobdetails?id=R00306246_en", "https://accenture.com/us-en/careers/jobdetails?id=R00306246_en")</f>
        <v/>
      </c>
      <c r="G15" t="inlineStr">
        <is>
          <t>Minneapolis, MN, US</t>
        </is>
      </c>
      <c r="H15" s="2" t="n">
        <v>46036</v>
      </c>
      <c r="I1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
      <c r="A16" t="inlineStr">
        <is>
          <t>in-de068c141a7e4625</t>
        </is>
      </c>
      <c r="B16" t="inlineStr">
        <is>
          <t>Responsible AI Engineer</t>
        </is>
      </c>
      <c r="C16" t="inlineStr">
        <is>
          <t>Accenture</t>
        </is>
      </c>
      <c r="D16" t="inlineStr">
        <is>
          <t>indeed</t>
        </is>
      </c>
      <c r="E16">
        <f>HYPERLINK("https://www.indeed.com/viewjob?jk=de068c141a7e4625", "https://www.indeed.com/viewjob?jk=de068c141a7e4625")</f>
        <v/>
      </c>
      <c r="F16">
        <f>HYPERLINK("https://accenture.com/us-en/careers/jobdetails?id=R00306246_en", "https://accenture.com/us-en/careers/jobdetails?id=R00306246_en")</f>
        <v/>
      </c>
      <c r="G16" t="inlineStr">
        <is>
          <t>Irving, TX, US</t>
        </is>
      </c>
      <c r="H16" s="2" t="n">
        <v>46036</v>
      </c>
      <c r="I1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
      <c r="A17" t="inlineStr">
        <is>
          <t>in-cbd68006362ecd78</t>
        </is>
      </c>
      <c r="B17" t="inlineStr">
        <is>
          <t>Responsible AI Engineer</t>
        </is>
      </c>
      <c r="C17" t="inlineStr">
        <is>
          <t>Accenture</t>
        </is>
      </c>
      <c r="D17" t="inlineStr">
        <is>
          <t>indeed</t>
        </is>
      </c>
      <c r="E17">
        <f>HYPERLINK("https://www.indeed.com/viewjob?jk=cbd68006362ecd78", "https://www.indeed.com/viewjob?jk=cbd68006362ecd78")</f>
        <v/>
      </c>
      <c r="F17">
        <f>HYPERLINK("https://accenture.com/us-en/careers/jobdetails?id=R00306246_en", "https://accenture.com/us-en/careers/jobdetails?id=R00306246_en")</f>
        <v/>
      </c>
      <c r="G17" t="inlineStr">
        <is>
          <t>Beaverton, OR, US</t>
        </is>
      </c>
      <c r="H17" s="2" t="n">
        <v>46036</v>
      </c>
      <c r="I1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
      <c r="A18" t="inlineStr">
        <is>
          <t>in-27e70c6a5aa7a912</t>
        </is>
      </c>
      <c r="B18" t="inlineStr">
        <is>
          <t>Responsible AI Engineer</t>
        </is>
      </c>
      <c r="C18" t="inlineStr">
        <is>
          <t>Accenture</t>
        </is>
      </c>
      <c r="D18" t="inlineStr">
        <is>
          <t>indeed</t>
        </is>
      </c>
      <c r="E18">
        <f>HYPERLINK("https://www.indeed.com/viewjob?jk=27e70c6a5aa7a912", "https://www.indeed.com/viewjob?jk=27e70c6a5aa7a912")</f>
        <v/>
      </c>
      <c r="F18">
        <f>HYPERLINK("https://accenture.com/us-en/careers/jobdetails?id=R00306246_en", "https://accenture.com/us-en/careers/jobdetails?id=R00306246_en")</f>
        <v/>
      </c>
      <c r="G18" t="inlineStr">
        <is>
          <t>Redmond, WA, US</t>
        </is>
      </c>
      <c r="H18" s="2" t="n">
        <v>46036</v>
      </c>
      <c r="I1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9">
      <c r="A19" t="inlineStr">
        <is>
          <t>in-81cb419e2f530b85</t>
        </is>
      </c>
      <c r="B19" t="inlineStr">
        <is>
          <t>Responsible AI Engineer</t>
        </is>
      </c>
      <c r="C19" t="inlineStr">
        <is>
          <t>Accenture</t>
        </is>
      </c>
      <c r="D19" t="inlineStr">
        <is>
          <t>indeed</t>
        </is>
      </c>
      <c r="E19">
        <f>HYPERLINK("https://www.indeed.com/viewjob?jk=81cb419e2f530b85", "https://www.indeed.com/viewjob?jk=81cb419e2f530b85")</f>
        <v/>
      </c>
      <c r="F19">
        <f>HYPERLINK("https://accenture.com/us-en/careers/jobdetails?id=R00306246_en", "https://accenture.com/us-en/careers/jobdetails?id=R00306246_en")</f>
        <v/>
      </c>
      <c r="G19" t="inlineStr">
        <is>
          <t>Pittsburgh, PA, US</t>
        </is>
      </c>
      <c r="H19" s="2" t="n">
        <v>46036</v>
      </c>
      <c r="I1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
      <c r="A20" t="inlineStr">
        <is>
          <t>in-4f4c3fb15bd52a7f</t>
        </is>
      </c>
      <c r="B20" t="inlineStr">
        <is>
          <t>Responsible AI Engineer</t>
        </is>
      </c>
      <c r="C20" t="inlineStr">
        <is>
          <t>Accenture</t>
        </is>
      </c>
      <c r="D20" t="inlineStr">
        <is>
          <t>indeed</t>
        </is>
      </c>
      <c r="E20">
        <f>HYPERLINK("https://www.indeed.com/viewjob?jk=4f4c3fb15bd52a7f", "https://www.indeed.com/viewjob?jk=4f4c3fb15bd52a7f")</f>
        <v/>
      </c>
      <c r="F20">
        <f>HYPERLINK("https://accenture.com/us-en/careers/jobdetails?id=R00306246_en", "https://accenture.com/us-en/careers/jobdetails?id=R00306246_en")</f>
        <v/>
      </c>
      <c r="G20" t="inlineStr">
        <is>
          <t>Arlington, VA, US</t>
        </is>
      </c>
      <c r="H20" s="2" t="n">
        <v>46036</v>
      </c>
      <c r="I2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1">
      <c r="A21" t="inlineStr">
        <is>
          <t>in-1c8eb21dced6e397</t>
        </is>
      </c>
      <c r="B21" t="inlineStr">
        <is>
          <t>Responsible AI Engineer</t>
        </is>
      </c>
      <c r="C21" t="inlineStr">
        <is>
          <t>Accenture</t>
        </is>
      </c>
      <c r="D21" t="inlineStr">
        <is>
          <t>indeed</t>
        </is>
      </c>
      <c r="E21">
        <f>HYPERLINK("https://www.indeed.com/viewjob?jk=1c8eb21dced6e397", "https://www.indeed.com/viewjob?jk=1c8eb21dced6e397")</f>
        <v/>
      </c>
      <c r="F21">
        <f>HYPERLINK("https://accenture.com/us-en/careers/jobdetails?id=R00306246_en", "https://accenture.com/us-en/careers/jobdetails?id=R00306246_en")</f>
        <v/>
      </c>
      <c r="G21" t="inlineStr">
        <is>
          <t>Nashville, TN, US</t>
        </is>
      </c>
      <c r="H21" s="2" t="n">
        <v>46036</v>
      </c>
      <c r="I2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2">
      <c r="A22" t="inlineStr">
        <is>
          <t>in-558d79cbf9aea612</t>
        </is>
      </c>
      <c r="B22" t="inlineStr">
        <is>
          <t>Responsible AI Engineer</t>
        </is>
      </c>
      <c r="C22" t="inlineStr">
        <is>
          <t>Accenture</t>
        </is>
      </c>
      <c r="D22" t="inlineStr">
        <is>
          <t>indeed</t>
        </is>
      </c>
      <c r="E22">
        <f>HYPERLINK("https://www.indeed.com/viewjob?jk=558d79cbf9aea612", "https://www.indeed.com/viewjob?jk=558d79cbf9aea612")</f>
        <v/>
      </c>
      <c r="F22">
        <f>HYPERLINK("https://accenture.com/us-en/careers/jobdetails?id=R00306246_en", "https://accenture.com/us-en/careers/jobdetails?id=R00306246_en")</f>
        <v/>
      </c>
      <c r="G22" t="inlineStr">
        <is>
          <t>Philadelphia, PA, US</t>
        </is>
      </c>
      <c r="H22" s="2" t="n">
        <v>46036</v>
      </c>
      <c r="I2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3">
      <c r="A23" t="inlineStr">
        <is>
          <t>in-869d78b790df0181</t>
        </is>
      </c>
      <c r="B23" t="inlineStr">
        <is>
          <t>Responsible AI Engineer</t>
        </is>
      </c>
      <c r="C23" t="inlineStr">
        <is>
          <t>Accenture</t>
        </is>
      </c>
      <c r="D23" t="inlineStr">
        <is>
          <t>indeed</t>
        </is>
      </c>
      <c r="E23">
        <f>HYPERLINK("https://www.indeed.com/viewjob?jk=869d78b790df0181", "https://www.indeed.com/viewjob?jk=869d78b790df0181")</f>
        <v/>
      </c>
      <c r="F23">
        <f>HYPERLINK("https://accenture.com/us-en/careers/jobdetails?id=R00306246_en", "https://accenture.com/us-en/careers/jobdetails?id=R00306246_en")</f>
        <v/>
      </c>
      <c r="G23" t="inlineStr">
        <is>
          <t>Cincinnati, OH, US</t>
        </is>
      </c>
      <c r="H23" s="2" t="n">
        <v>46036</v>
      </c>
      <c r="I2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4">
      <c r="A24" t="inlineStr">
        <is>
          <t>in-c13703ae2084d39a</t>
        </is>
      </c>
      <c r="B24" t="inlineStr">
        <is>
          <t>Responsible AI Engineer</t>
        </is>
      </c>
      <c r="C24" t="inlineStr">
        <is>
          <t>Accenture</t>
        </is>
      </c>
      <c r="D24" t="inlineStr">
        <is>
          <t>indeed</t>
        </is>
      </c>
      <c r="E24">
        <f>HYPERLINK("https://www.indeed.com/viewjob?jk=c13703ae2084d39a", "https://www.indeed.com/viewjob?jk=c13703ae2084d39a")</f>
        <v/>
      </c>
      <c r="F24">
        <f>HYPERLINK("https://accenture.com/us-en/careers/jobdetails?id=R00306246_en", "https://accenture.com/us-en/careers/jobdetails?id=R00306246_en")</f>
        <v/>
      </c>
      <c r="G24" t="inlineStr">
        <is>
          <t>Oklahoma City, OK, US</t>
        </is>
      </c>
      <c r="H24" s="2" t="n">
        <v>46036</v>
      </c>
      <c r="I2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5">
      <c r="A25" t="inlineStr">
        <is>
          <t>in-ee1846a1cb503682</t>
        </is>
      </c>
      <c r="B25" t="inlineStr">
        <is>
          <t>Responsible AI Engineer</t>
        </is>
      </c>
      <c r="C25" t="inlineStr">
        <is>
          <t>Accenture</t>
        </is>
      </c>
      <c r="D25" t="inlineStr">
        <is>
          <t>indeed</t>
        </is>
      </c>
      <c r="E25">
        <f>HYPERLINK("https://www.indeed.com/viewjob?jk=ee1846a1cb503682", "https://www.indeed.com/viewjob?jk=ee1846a1cb503682")</f>
        <v/>
      </c>
      <c r="F25">
        <f>HYPERLINK("https://accenture.com/us-en/careers/jobdetails?id=R00306246_en", "https://accenture.com/us-en/careers/jobdetails?id=R00306246_en")</f>
        <v/>
      </c>
      <c r="G25" t="inlineStr">
        <is>
          <t>Sacramento, CA, US</t>
        </is>
      </c>
      <c r="H25" s="2" t="n">
        <v>46036</v>
      </c>
      <c r="I2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6">
      <c r="A26" t="inlineStr">
        <is>
          <t>in-19cda952f04eaf40</t>
        </is>
      </c>
      <c r="B26" t="inlineStr">
        <is>
          <t>Responsible AI Engineer</t>
        </is>
      </c>
      <c r="C26" t="inlineStr">
        <is>
          <t>Accenture</t>
        </is>
      </c>
      <c r="D26" t="inlineStr">
        <is>
          <t>indeed</t>
        </is>
      </c>
      <c r="E26">
        <f>HYPERLINK("https://www.indeed.com/viewjob?jk=19cda952f04eaf40", "https://www.indeed.com/viewjob?jk=19cda952f04eaf40")</f>
        <v/>
      </c>
      <c r="F26">
        <f>HYPERLINK("https://accenture.com/us-en/careers/jobdetails?id=R00306246_en", "https://accenture.com/us-en/careers/jobdetails?id=R00306246_en")</f>
        <v/>
      </c>
      <c r="G26" t="inlineStr">
        <is>
          <t>Morristown, NJ, US</t>
        </is>
      </c>
      <c r="H26" s="2" t="n">
        <v>46036</v>
      </c>
      <c r="I2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7">
      <c r="A27" t="inlineStr">
        <is>
          <t>in-26b3eebbe8803e9c</t>
        </is>
      </c>
      <c r="B27" t="inlineStr">
        <is>
          <t>Responsible AI Engineer</t>
        </is>
      </c>
      <c r="C27" t="inlineStr">
        <is>
          <t>Accenture</t>
        </is>
      </c>
      <c r="D27" t="inlineStr">
        <is>
          <t>indeed</t>
        </is>
      </c>
      <c r="E27">
        <f>HYPERLINK("https://www.indeed.com/viewjob?jk=26b3eebbe8803e9c", "https://www.indeed.com/viewjob?jk=26b3eebbe8803e9c")</f>
        <v/>
      </c>
      <c r="F27">
        <f>HYPERLINK("https://accenture.com/us-en/careers/jobdetails?id=R00306246_en", "https://accenture.com/us-en/careers/jobdetails?id=R00306246_en")</f>
        <v/>
      </c>
      <c r="G27" t="inlineStr">
        <is>
          <t>Carmel, IN, US</t>
        </is>
      </c>
      <c r="H27" s="2" t="n">
        <v>46036</v>
      </c>
      <c r="I2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8">
      <c r="A28" t="inlineStr">
        <is>
          <t>in-cea844a50f2f91a3</t>
        </is>
      </c>
      <c r="B28" t="inlineStr">
        <is>
          <t>Responsible AI Engineer</t>
        </is>
      </c>
      <c r="C28" t="inlineStr">
        <is>
          <t>Accenture</t>
        </is>
      </c>
      <c r="D28" t="inlineStr">
        <is>
          <t>indeed</t>
        </is>
      </c>
      <c r="E28">
        <f>HYPERLINK("https://www.indeed.com/viewjob?jk=cea844a50f2f91a3", "https://www.indeed.com/viewjob?jk=cea844a50f2f91a3")</f>
        <v/>
      </c>
      <c r="F28">
        <f>HYPERLINK("https://accenture.com/us-en/careers/jobdetails?id=R00306246_en", "https://accenture.com/us-en/careers/jobdetails?id=R00306246_en")</f>
        <v/>
      </c>
      <c r="G28" t="inlineStr">
        <is>
          <t>Albany, NY, US</t>
        </is>
      </c>
      <c r="H28" s="2" t="n">
        <v>46036</v>
      </c>
      <c r="I2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9">
      <c r="A29" t="inlineStr">
        <is>
          <t>in-c071b5a8db104898</t>
        </is>
      </c>
      <c r="B29" t="inlineStr">
        <is>
          <t>Responsible AI Engineer</t>
        </is>
      </c>
      <c r="C29" t="inlineStr">
        <is>
          <t>Accenture</t>
        </is>
      </c>
      <c r="D29" t="inlineStr">
        <is>
          <t>indeed</t>
        </is>
      </c>
      <c r="E29">
        <f>HYPERLINK("https://www.indeed.com/viewjob?jk=c071b5a8db104898", "https://www.indeed.com/viewjob?jk=c071b5a8db104898")</f>
        <v/>
      </c>
      <c r="F29">
        <f>HYPERLINK("https://accenture.com/us-en/careers/jobdetails?id=R00306246_en", "https://accenture.com/us-en/careers/jobdetails?id=R00306246_en")</f>
        <v/>
      </c>
      <c r="G29" t="inlineStr">
        <is>
          <t>St. Louis, MO, US</t>
        </is>
      </c>
      <c r="H29" s="2" t="n">
        <v>46036</v>
      </c>
      <c r="I2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0">
      <c r="A30" t="inlineStr">
        <is>
          <t>in-22072f942360674f</t>
        </is>
      </c>
      <c r="B30" t="inlineStr">
        <is>
          <t>Responsible AI Engineer</t>
        </is>
      </c>
      <c r="C30" t="inlineStr">
        <is>
          <t>Accenture</t>
        </is>
      </c>
      <c r="D30" t="inlineStr">
        <is>
          <t>indeed</t>
        </is>
      </c>
      <c r="E30">
        <f>HYPERLINK("https://www.indeed.com/viewjob?jk=22072f942360674f", "https://www.indeed.com/viewjob?jk=22072f942360674f")</f>
        <v/>
      </c>
      <c r="F30">
        <f>HYPERLINK("https://accenture.com/us-en/careers/jobdetails?id=R00306246_en", "https://accenture.com/us-en/careers/jobdetails?id=R00306246_en")</f>
        <v/>
      </c>
      <c r="G30" t="inlineStr">
        <is>
          <t>Los Angeles, CA, US</t>
        </is>
      </c>
      <c r="H30" s="2" t="n">
        <v>46036</v>
      </c>
      <c r="I3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1">
      <c r="A31" t="inlineStr">
        <is>
          <t>in-4348d9cf4c271500</t>
        </is>
      </c>
      <c r="B31" t="inlineStr">
        <is>
          <t>Responsible AI Engineer</t>
        </is>
      </c>
      <c r="C31" t="inlineStr">
        <is>
          <t>Accenture</t>
        </is>
      </c>
      <c r="D31" t="inlineStr">
        <is>
          <t>indeed</t>
        </is>
      </c>
      <c r="E31">
        <f>HYPERLINK("https://www.indeed.com/viewjob?jk=4348d9cf4c271500", "https://www.indeed.com/viewjob?jk=4348d9cf4c271500")</f>
        <v/>
      </c>
      <c r="F31">
        <f>HYPERLINK("https://accenture.com/us-en/careers/jobdetails?id=R00306246_en", "https://accenture.com/us-en/careers/jobdetails?id=R00306246_en")</f>
        <v/>
      </c>
      <c r="G31" t="inlineStr">
        <is>
          <t>Charlotte, NC, US</t>
        </is>
      </c>
      <c r="H31" s="2" t="n">
        <v>46036</v>
      </c>
      <c r="I3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2">
      <c r="A32" t="inlineStr">
        <is>
          <t>in-32be3b7e97375345</t>
        </is>
      </c>
      <c r="B32" t="inlineStr">
        <is>
          <t>Responsible AI Engineer</t>
        </is>
      </c>
      <c r="C32" t="inlineStr">
        <is>
          <t>Accenture</t>
        </is>
      </c>
      <c r="D32" t="inlineStr">
        <is>
          <t>indeed</t>
        </is>
      </c>
      <c r="E32">
        <f>HYPERLINK("https://www.indeed.com/viewjob?jk=32be3b7e97375345", "https://www.indeed.com/viewjob?jk=32be3b7e97375345")</f>
        <v/>
      </c>
      <c r="F32">
        <f>HYPERLINK("https://accenture.com/us-en/careers/jobdetails?id=R00306246_en", "https://accenture.com/us-en/careers/jobdetails?id=R00306246_en")</f>
        <v/>
      </c>
      <c r="G32" t="inlineStr">
        <is>
          <t>Overland Park, KS, US</t>
        </is>
      </c>
      <c r="H32" s="2" t="n">
        <v>46036</v>
      </c>
      <c r="I3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3">
      <c r="A33" t="inlineStr">
        <is>
          <t>in-8c932098c567b20e</t>
        </is>
      </c>
      <c r="B33" t="inlineStr">
        <is>
          <t>Responsible AI Engineer</t>
        </is>
      </c>
      <c r="C33" t="inlineStr">
        <is>
          <t>Accenture</t>
        </is>
      </c>
      <c r="D33" t="inlineStr">
        <is>
          <t>indeed</t>
        </is>
      </c>
      <c r="E33">
        <f>HYPERLINK("https://www.indeed.com/viewjob?jk=8c932098c567b20e", "https://www.indeed.com/viewjob?jk=8c932098c567b20e")</f>
        <v/>
      </c>
      <c r="F33">
        <f>HYPERLINK("https://accenture.com/us-en/careers/jobdetails?id=R00306246_en", "https://accenture.com/us-en/careers/jobdetails?id=R00306246_en")</f>
        <v/>
      </c>
      <c r="G33" t="inlineStr">
        <is>
          <t>San Diego, CA, US</t>
        </is>
      </c>
      <c r="H33" s="2" t="n">
        <v>46036</v>
      </c>
      <c r="I3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4">
      <c r="A34" t="inlineStr">
        <is>
          <t>in-03c24cc8755aa993</t>
        </is>
      </c>
      <c r="B34" t="inlineStr">
        <is>
          <t>Responsible AI Engineer</t>
        </is>
      </c>
      <c r="C34" t="inlineStr">
        <is>
          <t>Accenture</t>
        </is>
      </c>
      <c r="D34" t="inlineStr">
        <is>
          <t>indeed</t>
        </is>
      </c>
      <c r="E34">
        <f>HYPERLINK("https://www.indeed.com/viewjob?jk=03c24cc8755aa993", "https://www.indeed.com/viewjob?jk=03c24cc8755aa993")</f>
        <v/>
      </c>
      <c r="F34">
        <f>HYPERLINK("https://accenture.com/us-en/careers/jobdetails?id=R00306246_en", "https://accenture.com/us-en/careers/jobdetails?id=R00306246_en")</f>
        <v/>
      </c>
      <c r="G34" t="inlineStr">
        <is>
          <t>Walnut Creek, CA, US</t>
        </is>
      </c>
      <c r="H34" s="2" t="n">
        <v>46036</v>
      </c>
      <c r="I3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5">
      <c r="A35" t="inlineStr">
        <is>
          <t>in-58a17f3bd19acb87</t>
        </is>
      </c>
      <c r="B35" t="inlineStr">
        <is>
          <t>Responsible AI Engineer</t>
        </is>
      </c>
      <c r="C35" t="inlineStr">
        <is>
          <t>Accenture</t>
        </is>
      </c>
      <c r="D35" t="inlineStr">
        <is>
          <t>indeed</t>
        </is>
      </c>
      <c r="E35">
        <f>HYPERLINK("https://www.indeed.com/viewjob?jk=58a17f3bd19acb87", "https://www.indeed.com/viewjob?jk=58a17f3bd19acb87")</f>
        <v/>
      </c>
      <c r="F35">
        <f>HYPERLINK("https://accenture.com/us-en/careers/jobdetails?id=R00306246_en", "https://accenture.com/us-en/careers/jobdetails?id=R00306246_en")</f>
        <v/>
      </c>
      <c r="G35" t="inlineStr">
        <is>
          <t>San Francisco, CA, US</t>
        </is>
      </c>
      <c r="H35" s="2" t="n">
        <v>46036</v>
      </c>
      <c r="I3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6">
      <c r="A36" t="inlineStr">
        <is>
          <t>in-2f2c9984a166177b</t>
        </is>
      </c>
      <c r="B36" t="inlineStr">
        <is>
          <t>Responsible AI Engineer</t>
        </is>
      </c>
      <c r="C36" t="inlineStr">
        <is>
          <t>Accenture</t>
        </is>
      </c>
      <c r="D36" t="inlineStr">
        <is>
          <t>indeed</t>
        </is>
      </c>
      <c r="E36">
        <f>HYPERLINK("https://www.indeed.com/viewjob?jk=2f2c9984a166177b", "https://www.indeed.com/viewjob?jk=2f2c9984a166177b")</f>
        <v/>
      </c>
      <c r="F36">
        <f>HYPERLINK("https://accenture.com/us-en/careers/jobdetails?id=R00306246_en", "https://accenture.com/us-en/careers/jobdetails?id=R00306246_en")</f>
        <v/>
      </c>
      <c r="G36" t="inlineStr">
        <is>
          <t>Des Moines, IA, US</t>
        </is>
      </c>
      <c r="H36" s="2" t="n">
        <v>46036</v>
      </c>
      <c r="I3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7">
      <c r="A37" t="inlineStr">
        <is>
          <t>in-f4b870f6b70a25a3</t>
        </is>
      </c>
      <c r="B37" t="inlineStr">
        <is>
          <t>Responsible AI Engineer</t>
        </is>
      </c>
      <c r="C37" t="inlineStr">
        <is>
          <t>Accenture</t>
        </is>
      </c>
      <c r="D37" t="inlineStr">
        <is>
          <t>indeed</t>
        </is>
      </c>
      <c r="E37">
        <f>HYPERLINK("https://www.indeed.com/viewjob?jk=f4b870f6b70a25a3", "https://www.indeed.com/viewjob?jk=f4b870f6b70a25a3")</f>
        <v/>
      </c>
      <c r="F37">
        <f>HYPERLINK("https://accenture.com/us-en/careers/jobdetails?id=R00306246_en", "https://accenture.com/us-en/careers/jobdetails?id=R00306246_en")</f>
        <v/>
      </c>
      <c r="G37" t="inlineStr">
        <is>
          <t>Raleigh, NC, US</t>
        </is>
      </c>
      <c r="H37" s="2" t="n">
        <v>46036</v>
      </c>
      <c r="I3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8">
      <c r="A38" t="inlineStr">
        <is>
          <t>in-70967b29e567851b</t>
        </is>
      </c>
      <c r="B38" t="inlineStr">
        <is>
          <t>Responsible AI Engineer</t>
        </is>
      </c>
      <c r="C38" t="inlineStr">
        <is>
          <t>Accenture</t>
        </is>
      </c>
      <c r="D38" t="inlineStr">
        <is>
          <t>indeed</t>
        </is>
      </c>
      <c r="E38">
        <f>HYPERLINK("https://www.indeed.com/viewjob?jk=70967b29e567851b", "https://www.indeed.com/viewjob?jk=70967b29e567851b")</f>
        <v/>
      </c>
      <c r="F38">
        <f>HYPERLINK("https://accenture.com/us-en/careers/jobdetails?id=R00306246_en", "https://accenture.com/us-en/careers/jobdetails?id=R00306246_en")</f>
        <v/>
      </c>
      <c r="G38" t="inlineStr">
        <is>
          <t>Atlanta, GA, US</t>
        </is>
      </c>
      <c r="H38" s="2" t="n">
        <v>46036</v>
      </c>
      <c r="I3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9">
      <c r="A39" t="inlineStr">
        <is>
          <t>in-75e1ff047fe5e33c</t>
        </is>
      </c>
      <c r="B39" t="inlineStr">
        <is>
          <t>Responsible AI Engineer</t>
        </is>
      </c>
      <c r="C39" t="inlineStr">
        <is>
          <t>Accenture</t>
        </is>
      </c>
      <c r="D39" t="inlineStr">
        <is>
          <t>indeed</t>
        </is>
      </c>
      <c r="E39">
        <f>HYPERLINK("https://www.indeed.com/viewjob?jk=75e1ff047fe5e33c", "https://www.indeed.com/viewjob?jk=75e1ff047fe5e33c")</f>
        <v/>
      </c>
      <c r="F39">
        <f>HYPERLINK("https://accenture.com/us-en/careers/jobdetails?id=R00306246_en", "https://accenture.com/us-en/careers/jobdetails?id=R00306246_en")</f>
        <v/>
      </c>
      <c r="G39" t="inlineStr">
        <is>
          <t>Hartford, CT, US</t>
        </is>
      </c>
      <c r="H39" s="2" t="n">
        <v>46036</v>
      </c>
      <c r="I3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0">
      <c r="A40" t="inlineStr">
        <is>
          <t>in-e41b93d8e86cd051</t>
        </is>
      </c>
      <c r="B40" t="inlineStr">
        <is>
          <t>Responsible AI Engineer</t>
        </is>
      </c>
      <c r="C40" t="inlineStr">
        <is>
          <t>Accenture</t>
        </is>
      </c>
      <c r="D40" t="inlineStr">
        <is>
          <t>indeed</t>
        </is>
      </c>
      <c r="E40">
        <f>HYPERLINK("https://www.indeed.com/viewjob?jk=e41b93d8e86cd051", "https://www.indeed.com/viewjob?jk=e41b93d8e86cd051")</f>
        <v/>
      </c>
      <c r="F40">
        <f>HYPERLINK("https://accenture.com/us-en/careers/jobdetails?id=R00306246_en", "https://accenture.com/us-en/careers/jobdetails?id=R00306246_en")</f>
        <v/>
      </c>
      <c r="G40" t="inlineStr">
        <is>
          <t>Columbus, OH, US</t>
        </is>
      </c>
      <c r="H40" s="2" t="n">
        <v>46036</v>
      </c>
      <c r="I4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1">
      <c r="A41" t="inlineStr">
        <is>
          <t>in-2f04fd7f8779c9aa</t>
        </is>
      </c>
      <c r="B41" t="inlineStr">
        <is>
          <t>Responsible AI Engineer</t>
        </is>
      </c>
      <c r="C41" t="inlineStr">
        <is>
          <t>Accenture</t>
        </is>
      </c>
      <c r="D41" t="inlineStr">
        <is>
          <t>indeed</t>
        </is>
      </c>
      <c r="E41">
        <f>HYPERLINK("https://www.indeed.com/viewjob?jk=2f04fd7f8779c9aa", "https://www.indeed.com/viewjob?jk=2f04fd7f8779c9aa")</f>
        <v/>
      </c>
      <c r="F41">
        <f>HYPERLINK("https://accenture.com/us-en/careers/jobdetails?id=R00306246_en", "https://accenture.com/us-en/careers/jobdetails?id=R00306246_en")</f>
        <v/>
      </c>
      <c r="G41" t="inlineStr">
        <is>
          <t>Denver, CO, US</t>
        </is>
      </c>
      <c r="H41" s="2" t="n">
        <v>46036</v>
      </c>
      <c r="I41"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2">
      <c r="A42" t="inlineStr">
        <is>
          <t>in-96d80f13ce9a0505</t>
        </is>
      </c>
      <c r="B42" t="inlineStr">
        <is>
          <t>Responsible AI Engineer</t>
        </is>
      </c>
      <c r="C42" t="inlineStr">
        <is>
          <t>Accenture</t>
        </is>
      </c>
      <c r="D42" t="inlineStr">
        <is>
          <t>indeed</t>
        </is>
      </c>
      <c r="E42">
        <f>HYPERLINK("https://www.indeed.com/viewjob?jk=96d80f13ce9a0505", "https://www.indeed.com/viewjob?jk=96d80f13ce9a0505")</f>
        <v/>
      </c>
      <c r="F42">
        <f>HYPERLINK("https://accenture.com/us-en/careers/jobdetails?id=R00306246_en", "https://accenture.com/us-en/careers/jobdetails?id=R00306246_en")</f>
        <v/>
      </c>
      <c r="G42" t="inlineStr">
        <is>
          <t>Detroit, MI, US</t>
        </is>
      </c>
      <c r="H42" s="2" t="n">
        <v>46036</v>
      </c>
      <c r="I4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in-20f9877bb7381b4f</t>
        </is>
      </c>
      <c r="B43" t="inlineStr">
        <is>
          <t>Responsible AI Engineer</t>
        </is>
      </c>
      <c r="C43" t="inlineStr">
        <is>
          <t>Accenture</t>
        </is>
      </c>
      <c r="D43" t="inlineStr">
        <is>
          <t>indeed</t>
        </is>
      </c>
      <c r="E43">
        <f>HYPERLINK("https://www.indeed.com/viewjob?jk=20f9877bb7381b4f", "https://www.indeed.com/viewjob?jk=20f9877bb7381b4f")</f>
        <v/>
      </c>
      <c r="F43">
        <f>HYPERLINK("https://accenture.com/us-en/careers/jobdetails?id=R00306246_en", "https://accenture.com/us-en/careers/jobdetails?id=R00306246_en")</f>
        <v/>
      </c>
      <c r="G43" t="inlineStr">
        <is>
          <t>Boston, MA, US</t>
        </is>
      </c>
      <c r="H43" s="2" t="n">
        <v>46036</v>
      </c>
      <c r="I43"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4">
      <c r="A44" t="inlineStr">
        <is>
          <t>in-ccbd1767263eda27</t>
        </is>
      </c>
      <c r="B44" t="inlineStr">
        <is>
          <t>Responsible AI Engineer</t>
        </is>
      </c>
      <c r="C44" t="inlineStr">
        <is>
          <t>Accenture</t>
        </is>
      </c>
      <c r="D44" t="inlineStr">
        <is>
          <t>indeed</t>
        </is>
      </c>
      <c r="E44">
        <f>HYPERLINK("https://www.indeed.com/viewjob?jk=ccbd1767263eda27", "https://www.indeed.com/viewjob?jk=ccbd1767263eda27")</f>
        <v/>
      </c>
      <c r="F44">
        <f>HYPERLINK("https://accenture.com/us-en/careers/jobdetails?id=R00306246_en", "https://accenture.com/us-en/careers/jobdetails?id=R00306246_en")</f>
        <v/>
      </c>
      <c r="G44" t="inlineStr">
        <is>
          <t>Cleveland, OH, US</t>
        </is>
      </c>
      <c r="H44" s="2" t="n">
        <v>46036</v>
      </c>
      <c r="I44"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5">
      <c r="A45" t="inlineStr">
        <is>
          <t>in-9703a50b147bfa73</t>
        </is>
      </c>
      <c r="B45" t="inlineStr">
        <is>
          <t>Responsible AI Engineer</t>
        </is>
      </c>
      <c r="C45" t="inlineStr">
        <is>
          <t>Accenture</t>
        </is>
      </c>
      <c r="D45" t="inlineStr">
        <is>
          <t>indeed</t>
        </is>
      </c>
      <c r="E45">
        <f>HYPERLINK("https://www.indeed.com/viewjob?jk=9703a50b147bfa73", "https://www.indeed.com/viewjob?jk=9703a50b147bfa73")</f>
        <v/>
      </c>
      <c r="F45">
        <f>HYPERLINK("https://accenture.com/us-en/careers/jobdetails?id=R00306246_en", "https://accenture.com/us-en/careers/jobdetails?id=R00306246_en")</f>
        <v/>
      </c>
      <c r="G45" t="inlineStr">
        <is>
          <t>Scottsdale, AZ, US</t>
        </is>
      </c>
      <c r="H45" s="2" t="n">
        <v>46036</v>
      </c>
      <c r="I45"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6">
      <c r="A46" t="inlineStr">
        <is>
          <t>in-2d4e13c934d2f50d</t>
        </is>
      </c>
      <c r="B46" t="inlineStr">
        <is>
          <t>Responsible AI Engineer</t>
        </is>
      </c>
      <c r="C46" t="inlineStr">
        <is>
          <t>Accenture</t>
        </is>
      </c>
      <c r="D46" t="inlineStr">
        <is>
          <t>indeed</t>
        </is>
      </c>
      <c r="E46">
        <f>HYPERLINK("https://www.indeed.com/viewjob?jk=2d4e13c934d2f50d", "https://www.indeed.com/viewjob?jk=2d4e13c934d2f50d")</f>
        <v/>
      </c>
      <c r="F46">
        <f>HYPERLINK("https://accenture.com/us-en/careers/jobdetails?id=R00306246_en", "https://accenture.com/us-en/careers/jobdetails?id=R00306246_en")</f>
        <v/>
      </c>
      <c r="G46" t="inlineStr">
        <is>
          <t>Saint Petersburg, FL, US</t>
        </is>
      </c>
      <c r="H46" s="2" t="n">
        <v>46036</v>
      </c>
      <c r="I4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7">
      <c r="A47" t="inlineStr">
        <is>
          <t>in-5191306ea4ffadb8</t>
        </is>
      </c>
      <c r="B47" t="inlineStr">
        <is>
          <t>Responsible AI Engineer</t>
        </is>
      </c>
      <c r="C47" t="inlineStr">
        <is>
          <t>Accenture</t>
        </is>
      </c>
      <c r="D47" t="inlineStr">
        <is>
          <t>indeed</t>
        </is>
      </c>
      <c r="E47">
        <f>HYPERLINK("https://www.indeed.com/viewjob?jk=5191306ea4ffadb8", "https://www.indeed.com/viewjob?jk=5191306ea4ffadb8")</f>
        <v/>
      </c>
      <c r="F47">
        <f>HYPERLINK("https://accenture.com/us-en/careers/jobdetails?id=R00306246_en", "https://accenture.com/us-en/careers/jobdetails?id=R00306246_en")</f>
        <v/>
      </c>
      <c r="G47" t="inlineStr">
        <is>
          <t>Miami, FL, US</t>
        </is>
      </c>
      <c r="H47" s="2" t="n">
        <v>46036</v>
      </c>
      <c r="I47"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8">
      <c r="A48" t="inlineStr">
        <is>
          <t>in-24ad9f36279f286c</t>
        </is>
      </c>
      <c r="B48" t="inlineStr">
        <is>
          <t>Responsible AI Engineer</t>
        </is>
      </c>
      <c r="C48" t="inlineStr">
        <is>
          <t>Accenture</t>
        </is>
      </c>
      <c r="D48" t="inlineStr">
        <is>
          <t>indeed</t>
        </is>
      </c>
      <c r="E48">
        <f>HYPERLINK("https://www.indeed.com/viewjob?jk=24ad9f36279f286c", "https://www.indeed.com/viewjob?jk=24ad9f36279f286c")</f>
        <v/>
      </c>
      <c r="F48">
        <f>HYPERLINK("https://accenture.com/us-en/careers/jobdetails?id=R00306246_en", "https://accenture.com/us-en/careers/jobdetails?id=R00306246_en")</f>
        <v/>
      </c>
      <c r="G48" t="inlineStr">
        <is>
          <t>Chicago, IL, US</t>
        </is>
      </c>
      <c r="H48" s="2" t="n">
        <v>46036</v>
      </c>
      <c r="I4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9">
      <c r="A49" t="inlineStr">
        <is>
          <t>in-f55ad2357bba187b</t>
        </is>
      </c>
      <c r="B49" t="inlineStr">
        <is>
          <t>Responsible AI Engineer</t>
        </is>
      </c>
      <c r="C49" t="inlineStr">
        <is>
          <t>Accenture</t>
        </is>
      </c>
      <c r="D49" t="inlineStr">
        <is>
          <t>indeed</t>
        </is>
      </c>
      <c r="E49">
        <f>HYPERLINK("https://www.indeed.com/viewjob?jk=f55ad2357bba187b", "https://www.indeed.com/viewjob?jk=f55ad2357bba187b")</f>
        <v/>
      </c>
      <c r="F49">
        <f>HYPERLINK("https://accenture.com/us-en/careers/jobdetails?id=R00306246_en", "https://accenture.com/us-en/careers/jobdetails?id=R00306246_en")</f>
        <v/>
      </c>
      <c r="G49" t="inlineStr">
        <is>
          <t>Bentonville, AR, US</t>
        </is>
      </c>
      <c r="H49" s="2" t="n">
        <v>46036</v>
      </c>
      <c r="I49"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0">
      <c r="A50" t="inlineStr">
        <is>
          <t>in-5344533c581746c9</t>
        </is>
      </c>
      <c r="B50" t="inlineStr">
        <is>
          <t>Responsible AI Engineer</t>
        </is>
      </c>
      <c r="C50" t="inlineStr">
        <is>
          <t>Accenture</t>
        </is>
      </c>
      <c r="D50" t="inlineStr">
        <is>
          <t>indeed</t>
        </is>
      </c>
      <c r="E50">
        <f>HYPERLINK("https://www.indeed.com/viewjob?jk=5344533c581746c9", "https://www.indeed.com/viewjob?jk=5344533c581746c9")</f>
        <v/>
      </c>
      <c r="F50">
        <f>HYPERLINK("https://accenture.com/us-en/careers/jobdetails?id=R00306246_en", "https://accenture.com/us-en/careers/jobdetails?id=R00306246_en")</f>
        <v/>
      </c>
      <c r="G50" t="inlineStr">
        <is>
          <t>Culver City, CA, US</t>
        </is>
      </c>
      <c r="H50" s="2" t="n">
        <v>46036</v>
      </c>
      <c r="I50"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1">
      <c r="A51" t="inlineStr">
        <is>
          <t>in-69b52b15e4d6112b</t>
        </is>
      </c>
      <c r="B51" t="inlineStr">
        <is>
          <t>Machine Learning Engineer - Recommendations &amp; Personalization (Feature Engineering)</t>
        </is>
      </c>
      <c r="C51" t="inlineStr">
        <is>
          <t>Apple</t>
        </is>
      </c>
      <c r="D51" t="inlineStr">
        <is>
          <t>indeed</t>
        </is>
      </c>
      <c r="E51">
        <f>HYPERLINK("https://www.indeed.com/viewjob?jk=69b52b15e4d6112b", "https://www.indeed.com/viewjob?jk=69b52b15e4d6112b")</f>
        <v/>
      </c>
      <c r="F51">
        <f>HYPERLINK("https://jsv3.recruitics.com/redirect?rx_cid=3427&amp;rx_jobId=200641184-3337_rxr-660&amp;rx_url=https%3A%2F%2Fjobs.apple.com%2Fen-us%2Fdetails%2F200641184-3337%2Fmachine-learning-engineer-recommendations-personalization-feature-engineering%3Fboard_id%3DJB001%26rx_campaign%3Dindeed0%26rx_ch%3Djobp4p%26rx_group%3D122365%26rx_id%3Da9fd5e6b-f1ee-11f0-b21a-a36cc07ddff2%26rx_job%3D200641184-3337_rxr-660%26rx_medium%3Dcpc%26rx_r%3Dnone%26rx_source%3Dindeed%26rx_ts%3D20260115T163810Z%26rx_vp%3Dcpc%26team%3DMLAI", "https://jsv3.recruitics.com/redirect?rx_cid=3427&amp;rx_jobId=200641184-3337_rxr-660&amp;rx_url=https%3A%2F%2Fjobs.apple.com%2Fen-us%2Fdetails%2F200641184-3337%2Fmachine-learning-engineer-recommendations-personalization-feature-engineering%3Fboard_id%3DJB001%26rx_campaign%3Dindeed0%26rx_ch%3Djobp4p%26rx_group%3D122365%26rx_id%3Da9fd5e6b-f1ee-11f0-b21a-a36cc07ddff2%26rx_job%3D200641184-3337_rxr-660%26rx_medium%3Dcpc%26rx_r%3Dnone%26rx_source%3Dindeed%26rx_ts%3D20260115T163810Z%26rx_vp%3Dcpc%26team%3DMLAI")</f>
        <v/>
      </c>
      <c r="G51" t="inlineStr">
        <is>
          <t>Seattle, WA, US</t>
        </is>
      </c>
      <c r="H51" s="2" t="n">
        <v>46036</v>
      </c>
      <c r="I51" t="inlineStr">
        <is>
          <t>The Apple Services Engineering team is one of the most exciting examples of Apple’s long\-held passion for combining art and technology. We are the people who power the App Store, Apple TV, Apple Music, Apple Podcasts, and Apple Books. And we do it on a massive scale, meeting Apple’s high expectations with high performance, to deliver a huge variety of entertainment in over 35 languages to more than 150 countries. Our scientists and engineers build secure, end\-to\-end solutions powered by machine learning. Thanks to Apple’s unique integration of hardware, software, and services, designers, scientists and engineers here partner to get behind a single unified vision. That vision always includes a deep commitment to strengthening Apple’s privacy policy, one of Apple’s core values. Although services are a bigger part of Apple’s business than ever before, these teams remain small, flexible, and multi\-functional, offering greater exposure to the array of opportunities here. Come join us to build large\-scale personalized recommender systems for Apps \&amp; Games, Video, Fitness\+, Podcast and Books Recommendations. See your work touch the lives of billions of Apple users worldwide.  
**Description**  
In this role, you will be responsible for operationalizing machine learning models\-from building real\-time and batch inference pipelines to optimizing system performance, reliability, and experimentation velocity. You’ll help bridge the gap between research and production by developing the infrastructure, tooling, and monitoring required to ship ML\-driven features safely and efficiently.  
If you are an engineer who enjoys scaling ML solutions, building production\-grade services, and driving experimentation across billions of users, this is your opportunity to make a meaningful impact.","responsibilities":"Partner with ML researchers and product teams to transition models into production, ensuring reliability, scalability, and low latency.  
Design and implement robust inference services using object\-oriented languages (e.g., Java, Scala, C\+\+) that operate at scale across Apple platforms.  
Build and manage data pipelines and model execution frameworks to support both batch and streaming use cases.  
Develop tooling and infrastructure for model deployment, versioning, rollback, and online evaluation.  
Lead A/B testing efforts, including integration, metric tracking, experiment validation, and performance analysis.  
Collaborate with infrastructure teams to improve observability, alerting, and model health monitoring.  
Drive continuous improvement in latency, throughput, fault tolerance, and overall system reliability.  
**Preferred Qualifications**  
Experience in batch and real\-time inference serving, including autoscaling and traffic management.  
Background in content recommendation systems, search ranking, or user engagement optimization.  
Experience with CI/CD workflows for ML systems, including safe model rollouts and shadow testing.  
Exposure to containerized deployments and orchestration (Kubernetes, Docker).  
Experience building and deploying production\-grade applications using LLMs, including expertise in prompt engineering, RAG pipelines, and framework orchestration.  
Proven track record of developing autonomous agents capable of multi\-step reasoning, external tool integration, and complex task decomposition to solve open\-ended problems.  
Prior experience working on consumer\-scale media products (apps, games, books, music, or video).  
**Minimum Qualifications**  
MS or PhD in Computer Science, Software Engineering, or related field.  
2\+ years of experience in production machine learning systems, especially for personalization or recommendations.  
Experience with big data and stream processing frameworks like Spark, Flink, or Kafka.  
Proficiency in object\-oriented programming languages such as Java, Scala, or C\+\+.  
Experience building and maintaining large\-scale distributed systems for ML workloads.  
Deep understanding of ML model deployment pipelines, runtime optimization, and system integration.  
Familiarity with A/B testing frameworks, experimental design, and online evaluation.  
Strong focus on system reliability, latency, and observability in production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2">
      <c r="A52" t="inlineStr">
        <is>
          <t>in-e1db5cf7116cbad2</t>
        </is>
      </c>
      <c r="B52" t="inlineStr">
        <is>
          <t>ASE - Machine Learning Engineer, MLPT</t>
        </is>
      </c>
      <c r="C52" t="inlineStr">
        <is>
          <t>Apple</t>
        </is>
      </c>
      <c r="D52" t="inlineStr">
        <is>
          <t>indeed</t>
        </is>
      </c>
      <c r="E52">
        <f>HYPERLINK("https://www.indeed.com/viewjob?jk=e1db5cf7116cbad2", "https://www.indeed.com/viewjob?jk=e1db5cf7116cbad2")</f>
        <v/>
      </c>
      <c r="F52">
        <f>HYPERLINK("https://jsv3.recruitics.com/redirect?rx_cid=3427&amp;rx_jobId=200641263-3337_rxr-660&amp;rx_url=https%3A%2F%2Fjobs.apple.com%2Fen-us%2Fdetails%2F200641263-3337%2Fase-machine-learning-engineer-mlpt%3Fboard_id%3DJB001%26rx_campaign%3Dindeed0%26rx_ch%3Djobp4p%26rx_group%3D122365%26rx_id%3Da62a0fbd-f1ee-11f0-b21a-dded6f8c3480%26rx_job%3D200641263-3337_rxr-660%26rx_medium%3Dcpc%26rx_r%3Dnone%26rx_source%3Dindeed%26rx_ts%3D20260115T163810Z%26rx_vp%3Dcpc%26team%3DMLAI", "https://jsv3.recruitics.com/redirect?rx_cid=3427&amp;rx_jobId=200641263-3337_rxr-660&amp;rx_url=https%3A%2F%2Fjobs.apple.com%2Fen-us%2Fdetails%2F200641263-3337%2Fase-machine-learning-engineer-mlpt%3Fboard_id%3DJB001%26rx_campaign%3Dindeed0%26rx_ch%3Djobp4p%26rx_group%3D122365%26rx_id%3Da62a0fbd-f1ee-11f0-b21a-dded6f8c3480%26rx_job%3D200641263-3337_rxr-660%26rx_medium%3Dcpc%26rx_r%3Dnone%26rx_source%3Dindeed%26rx_ts%3D20260115T163810Z%26rx_vp%3Dcpc%26team%3DMLAI")</f>
        <v/>
      </c>
      <c r="G52" t="inlineStr">
        <is>
          <t>Seattle, WA, US</t>
        </is>
      </c>
      <c r="H52" s="2" t="n">
        <v>46036</v>
      </c>
      <c r="I52" t="inlineStr">
        <is>
          <t>The Apple Knowledge Quality Team is building the next\-generation of machine learning solutions for Knowledge Q\&amp;A at Apple and help power features including Siri and Spotlight. The features we build are redefining how hundreds of millions of people use their computers and mobile devices to search and find what they are looking for. As part of this group, you will work with one of the most exciting high performance computing environments, with petabytes of data, millions of queries per second, and have an opportunity to imagine and build products that delight our customers every single day.  
**Description**  
The Knowledge Quality team is looking for extraordinary Machine Learning engineers to join a team of world\-experts on Large\-Scale Data Management and Machine Learning Systems. Together, you will be pushing the boundaries of Knowledge Question Answering in Siri. As part of the Knowledge Quality team, you will design and develop features for a platform that touches upon large\-scale data management, machine\-learning and deep learning systems over graph data and web documents. You will have the outstanding opportunity to inform product evolution through measurement, evaluation, and analysis of the user experience. You will partner with cross\-functional teams to change how hundreds of millions of people use their computers and mobile devices to search and provide users with results that best satisfy their information seeking needs.  
**Preferred Qualifications**  
Experience in designing human\-in\-the\-loop experiments, collecting high quality evaluation data to inform product decision making  
Experience with prompt engineering, fine\-tuning, generative AI technology  
Experience in building evaluation solution powered by LLM is a plus  
Experience in designing and developing large\-scale data processing systems  
Passion for building phenomenal products and curiosity to learn  
**Minimum Qualifications**  
Proficiency in mainstream programming languages such as Python, Scala, and Go  
Experience with continuous integration and continuous development solutions  
Experience working with large data sets, knowledge graph, and end\-to\-end pipelines, ideally using the Apache software stack (e.g. Spark)  
Experience in data science and statistical data analysis  
Experience with natural language processing and machine learning frameworks such as PyTorch and Tensorflow  
Demonstrated ability to connect and collaborate with others  
Bachelor’s degree in Computer Science or a related field or equivalent industry experience in software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3">
      <c r="A53" t="inlineStr">
        <is>
          <t>in-31d34ca491f5d556</t>
        </is>
      </c>
      <c r="B53" t="inlineStr">
        <is>
          <t>Sr. Machine Learning Engineer, Siri Speech</t>
        </is>
      </c>
      <c r="C53" t="inlineStr">
        <is>
          <t>Apple</t>
        </is>
      </c>
      <c r="D53" t="inlineStr">
        <is>
          <t>indeed</t>
        </is>
      </c>
      <c r="E53">
        <f>HYPERLINK("https://www.indeed.com/viewjob?jk=31d34ca491f5d556", "https://www.indeed.com/viewjob?jk=31d34ca491f5d556")</f>
        <v/>
      </c>
      <c r="F53">
        <f>HYPERLINK("https://jsv3.recruitics.com/redirect?rx_cid=3427&amp;rx_jobId=200641206-0836_rxr-660&amp;rx_url=https%3A%2F%2Fjobs.apple.com%2Fen-us%2Fdetails%2F200641206-0836%2Fsr-machine-learning-engineer-siri-speech%3Fboard_id%3DJB001%26rx_campaign%3Dindeed0%26rx_ch%3Djobp4p%26rx_group%3D122365%26rx_id%3Db10a2dcd-f1ee-11f0-b21a-e115ec3607eb%26rx_job%3D200641206-0836_rxr-660%26rx_medium%3Dcpc%26rx_r%3Dnone%26rx_source%3Dindeed%26rx_ts%3D20260115T163810Z%26rx_vp%3Dcpc%26team%3DMLAI", "https://jsv3.recruitics.com/redirect?rx_cid=3427&amp;rx_jobId=200641206-0836_rxr-660&amp;rx_url=https%3A%2F%2Fjobs.apple.com%2Fen-us%2Fdetails%2F200641206-0836%2Fsr-machine-learning-engineer-siri-speech%3Fboard_id%3DJB001%26rx_campaign%3Dindeed0%26rx_ch%3Djobp4p%26rx_group%3D122365%26rx_id%3Db10a2dcd-f1ee-11f0-b21a-e115ec3607eb%26rx_job%3D200641206-0836_rxr-660%26rx_medium%3Dcpc%26rx_r%3Dnone%26rx_source%3Dindeed%26rx_ts%3D20260115T163810Z%26rx_vp%3Dcpc%26team%3DMLAI")</f>
        <v/>
      </c>
      <c r="G53" t="inlineStr">
        <is>
          <t>Cupertino, CA, US</t>
        </is>
      </c>
      <c r="H53" s="2" t="n">
        <v>46036</v>
      </c>
      <c r="I53" t="inlineStr">
        <is>
          <t>Are you excited about Generative AI and Large Language Models? Do you want to work on cutting\-edge generative technologies that power intelligent, natural interactions for billions of users? Join the SWE Speech team at Apple.  
Our team develops state\-of\-the\-art machine learning technologies for speech understanding, speech generation, and speech\-to\-speech interaction. We build scalable infrastructure, high\-quality datasets, and advanced models that power Siri, Dictation, and speech\-enabled Apple Intelligence features across natural language understanding, dialog generation, speech recognition, and multimodal interaction.  
We are looking for an exceptional Senior Machine Learning Engineer with deep experience in designing and developing large\-scale ML systems and multimodal LLMs, with a focus on conversational AI across language and audio. In this role, you will advance the latest ML techniques and translate them into production systems that shape the Siri experience for millions of users worldwide.  
**Description**  
We are seeking a candidate with a strong background in applied ML research and development, particularly in multimodal LLM, natural language processing/generation, speech generation/understanding, to join our cross\-functional team focused on advancing capabilities in systems like Siri. We are looking for applied ML researchers who can develop end\-to\-end solutions from data scaling to necessary model implementation and training while collaborating with other engineering teams to bring research to production. You will develop and deploy novel deep learning technologies that make Siri more intelligent, natural, and useful. To succeed in this role, you should be a strong researcher and engineer, an excellent programmer, and a creative problem solver who enjoys learning new techniques, improving systems, and taking ownership of complex problems. You should also thrive as a team player in a fast\-paced environment.","responsibilities":"Develop and build multilingual, multimodal LLMs to improve speech and conversational experiences for Apple customers worldwide.  
Advance the state of the art in natural language processing, speech and audio modeling.  
Design and build robust speech\-centric LLM systems that enable next\-generation conversational assistant features across Apple platforms.  
Collaborate closely with cross\-functional partners in research, engineering, design, and production to deliver scalable, high\-quality ML products.  
Stay current with emerging research and industry trends, and help define the future direction of AI\-powered Siri experiences  
**Preferred Qualifications**  
Experience in reinforcement learning  
Experience with Speech LLMs or other Multimodal LLMs  
Experience with building \&amp; deploying AI agents and LLMs  
Experience with large scale machine learning training/evaluation  
Data\-centric vision and hands\-on experience in developing and scaling foundation models  
**Minimum Qualifications**  
M.S. or PhD in Electrical Engineering, Computer Science or related fields  
5\-7\+ years experience in Machine Learning  
Experience in developing, training/tuning large generative models or LLMs  
Experience with machine learning frameworks such as JAX and/or PyTorch  
Proficient programming skills in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4">
      <c r="A54" t="inlineStr">
        <is>
          <t>in-09f091db4f9d44fb</t>
        </is>
      </c>
      <c r="B54" t="inlineStr">
        <is>
          <t>Senior AI Engineer</t>
        </is>
      </c>
      <c r="C54" t="inlineStr">
        <is>
          <t>C-4 Analytics</t>
        </is>
      </c>
      <c r="D54" t="inlineStr">
        <is>
          <t>indeed</t>
        </is>
      </c>
      <c r="E54">
        <f>HYPERLINK("https://www.indeed.com/viewjob?jk=09f091db4f9d44fb", "https://www.indeed.com/viewjob?jk=09f091db4f9d44fb")</f>
        <v/>
      </c>
      <c r="F54">
        <f>HYPERLINK("https://c4analytics.applytojob.com/apply/enbJt5JJZT/Senior-AI-Engineer?source=INDE&amp;~", "https://c4analytics.applytojob.com/apply/enbJt5JJZT/Senior-AI-Engineer?source=INDE&amp;~")</f>
        <v/>
      </c>
      <c r="G54" t="inlineStr">
        <is>
          <t>Wakefield, MA, US</t>
        </is>
      </c>
      <c r="H54" s="2" t="n">
        <v>46036</v>
      </c>
      <c r="I54" t="inlineStr">
        <is>
          <t>**Senior AI Engineer \- Wakefield, MA C\-4 Analytics**
**The ideal candidate understands the benefits of in\-person teamwork and is available to work from our office a minimum of three days per week**
C\-4 Analytics is a fast\-growing, private, full\-service digital marketing company that excels at helping automotive dealerships increase sales, increase market share, and lower cost per acquisition. C\-4 Analytics is committed to developing innovative solutions for every dealer in every market, and to providing the highest levels of accountability and customer service. We are currently hiring for a **Senior AI Engineer** as we look to expand our team and support our growing roster of local and national clients.
**If you are unable to complete this application due to a disability, contact C\-4 Analytics to ask for accommodation or an alternative application process.**
**Who We're Looking For: Senior AI Engineer \- Wakefield, MA**
We are seeking an AI Wizard who speaks fluent LLM and dreams in Vector Databases. As a Senior AI Engineer, you will be working with the latest in AI technology, including agent libraries, advanced LLMs and NLP tools. You'll have the opportunity and autonomy to lead the development and implementation of AI\-powered solutions. This role will focus on integrating diverse data sources, refining AI interactions through prompt engineering, and collaborating with cross\-functional teams to drive artificial intelligence adoption and innovation. You will be responsible for providing architectural decisions and opinions, gaining consensus within your team, and maintaining discipline to adhere to those practices. We are looking for a process oriented, team player who can shape and mold our AI development effort. Your work will directly impact how automotive dealerships operate and compete in their markets.
**If you've ever wanted to:**
* Be the person who makes AI actually useful (not just another chatbot that tells jokes)
* Work with cutting\-edge tech without the "we're changing the world with blockchain" nonsense
* Build systems that impact real businesses and real people
* Never have to explain to your family why you're "still playing with computers" (because the results speak for themselves)
**A day in the life of a Senior AI Integration Engineer**
* Heavily focus on individual autonomy based on Agile rituals.
* You’ll bring a high level of process\-related routines, understanding the scope of the work and taking initiative on execution of tasks.
* Working with NLP that utilizes cutting\-edge AI technologies to integrate AI\-driven insights across company systems, enhancing access to data and supporting decision\-making processes.
* Leverage AI technologies (LLMs) to continue development and implement agents for company\-wide insights.
* Implement test\-driven prompt engineering to design, optimize, and refine prompts for accurate and relevant AI\-driven interactions, ensuring AI responses are thoroughly validated for accuracy, relevance, and consistency before deployment
* Integrate AI with internal and external data sources, ensuring seamless access to business\-critical data.
* Collaborate with engineering, data science, product management, and operations teams.
* Assist in data architecture, preparation, and sanitization for effective use by AI models.
* Develop AI strategies aligned with business goals and objectives.
* Monitor and optimize AI performance for continuous improvement.
* Advise on AI adoption and identify areas for efficiency and innovation.
* Ensure ethical use of AI, maintaining data security, privacy, and compliance.
* Stay current with advancements in AI, ML, and LLM technologies.
* Consistently evaluate and improve the software development lifecycle
**The Tech Toybox includes:**:
* ️ Modern AI Frameworks \| Advanced LLMs \&amp; NLP tools
* TensorFlow/PyTorch for those deep learning dreams
* + ️ Cloud platforms to make it all float
* Langchain \&amp; LlamaIndex for connecting the dots
**What you’ll need to succeed:**
* At least 3 years of proficiency in AI and machine learning technologies, particularly LLMs.
* Familiarity with SOLID principles of software development
* Experience with the Agile methodology of software development
* Strong experience with prompt engineering and NLP tasks.
* Proven experience integrating AI systems with data platforms (databases, data lakes, APIs).
* Familiarity with data wrangling and preparation tools.
* Programming skill Python and experience with AI frameworks (TensorFlow and PyTorch).
* Experience with cloud platforms (AWS, Google Cloud, etc).
* 3\+ years of professional experience working in agile teams and SDLC for AI projects.
* Understanding of AI observability frameworks
* LLMs, Vector Databases (i.e. OpenSearch, ElasticSearch), RAG, ETL
**This role requires a blend of technical expertise, strategic thinking, and collaborative skills to effectively integrate AI solutions and drive business value.**
**Flexibility:**
The **Senior AI Engineer** may benefit from the flexibility to work in a way that suits them best. We offer the following working options:
* **Office\-Based:** Our modern and well\-equipped office space provides a collaborative environment where you can work closely with teams, engage in face\-to\-face interactions, and foster a sense of community.
* **Hybrid**: For those who prefer a balance between office and remote work, we offer a hybrid model. This allows you to divide your time between working in the office and remotely, providing the best of both worlds.
**Compensation:**
We offer a competitive compensation commensurate with experience and qualifications. The salary range for this position is $130,000 \- $160,000\. The final salary will be determined based on factors such as skills, knowledge, and demonstrated expertise.
Please note that the stated salary range is flexible and negotiable based on individual qualifications and fit for the role. We encourage candidates to discuss their salary expectations during the interview process.
**Working at C\-4 Analytics**
We provide our employees with a range of benefits, including career development programs, unlimited paid time off, and additional perks. **All are welcome to visit our** **careers** **and** **culture** **page for more details.**
**What our Employees Say:**
Want to know what makes working at C\-4 Analytics so rewarding? Take it from the true experts: our current teammates. Recent surveys about our workplace and culture suggest that our staff loves:
* The **People:** It's not just a cliché; we have the best, hungriest and smartest team in the business.
* The **Culture**: Teamwork. Camaraderie. Perseverance. We hire for these traits, and it shows.
* The **Growth:** We place a real emphasis on training, development and career planning.
* The **Trust:** Our managers empower their people and teams to thrive in their own ways.
* The **Challenge:** We work in a competitive industry and a dynamic field. You'll never be bored!
**In\-Office Perks**
* **Accelerated Growth via Osmosis and Coaching:** Learn sales strategies and industry knowledge naturally by hearing colleagues handle calls and receive **instant feedback and hands\-on guidance** from your manager and colleagues during in\-person weekly one\-on\-ones.
* **Boosted Visibility and Networking:** Build strong connections with your team, leaders, and mentors, increasing your **visibility** within the organization, which can lead to more opportunities for career advancement.
* **Soft Skills Mastery:** Develop crucial soft skills in a group setting, such as **communication, problem\-solving, and teamwork**, which are essential for long\-term professional success.
* **Knowledge Transfer and Expertise:** Benefit from informal knowledge sharing and mentorship, ensuring constant access to the information and guidance needed to become an **expert** in the automotive world.
* **Spark Innovation and Collaboration:** Physical proximity facilitates spontaneous discussions and brainstorming sessions that **spark innovative and creative solutions** to problems.
* **Enjoy Daily Perks and Wellness:** Fuel your day with **cold brew on tap, free beverages, and a stocked snack pantry**. Additionally, enjoy free weekly lunch and monthly wellness events like Yoga and Paint \&amp; Sip.
* **Structured Work\-Life Balance:** Our Monday through Friday, 9:00 am to 5:30 pm schedule helps you **separate work from home**, reducing the risk of burnout.
**More About C\-4 Analytics**
C\-4 Analytics takes the guesswork out of advertising. We don’t over\-promise: we over\-deliver. We provide real value to our clients because we really value them as partners. We love Google and Facebook, but *also* love Instagram and Bing. We innovate, educate and instigate. We are forward\-thinking, but we learn from the past. We are results\-driven and our strategies drive results. We love the practical applications of psychology to marketing, but we aren’t above a good practical joke. We are team players, but we love to crush our competitors. We create an environment of respect and we respect the environment. We are the brains and the good looks. We are very humble. We are nerds, but cool, likable nerds. We are never gonna give you up. Never gonna let you down. We are all work and all play. We calculated that only 15\.8% of visitors who started this paragraph would actually read this far down. We are C\-4 Analytics.
enbJt5JJZT</t>
        </is>
      </c>
    </row>
    <row r="55">
      <c r="A55" t="inlineStr">
        <is>
          <t>in-b404f8fe73d1f46c</t>
        </is>
      </c>
      <c r="B55" t="inlineStr">
        <is>
          <t>Mid-level Machine Learning Engineer</t>
        </is>
      </c>
      <c r="C55" t="inlineStr"/>
      <c r="D55" t="inlineStr">
        <is>
          <t>indeed</t>
        </is>
      </c>
      <c r="E55">
        <f>HYPERLINK("https://www.indeed.com/viewjob?jk=b404f8fe73d1f46c", "https://www.indeed.com/viewjob?jk=b404f8fe73d1f46c")</f>
        <v/>
      </c>
      <c r="F55">
        <f>HYPERLINK("https://jobs.ashbyhq.com/spear-ai/2e750c6f-59b6-4028-865e-c0e57789e8d8?utm_source=6de3MPgXjA", "https://jobs.ashbyhq.com/spear-ai/2e750c6f-59b6-4028-865e-c0e57789e8d8?utm_source=6de3MPgXjA")</f>
        <v/>
      </c>
      <c r="G55" t="inlineStr">
        <is>
          <t>US</t>
        </is>
      </c>
      <c r="H55" s="2" t="n">
        <v>46036</v>
      </c>
      <c r="I55" t="inlineStr">
        <is>
          <t>We’re seeking a skilled Mid\-level Machine Learning Engineer to build the next\-generation data management and artificial intelligence platform for maritime domain awareness.  
Spear AI is a growing defense contracting company dedicated to delivering cutting\-edge solutions that support our nation’s security. As we expand, we’re building a culture where innovation meets mission\-critical work. We operate with a flat organizational structure that empowers every team member to make an impact, collaborate directly with leadership, and contribute to projects that matter. Whether you’re joining our Hardware, Software, or Services division, you’ll work alongside talented professionals who are committed to excellence and advancing the capabilities that keep our nation safe and secure.  
Spear AI builds sonobuoy sensors that are deployed into the water and collect edge data. We also work with the U.S. Navy to collect and process their SONAR data. You’ll have an opportunity to work on real\-world projects that directly impact warfighter capabilities and mission success.
**What You'll Do**
------------------
We're a small team wearing many hats, and you'd have a wide variety of responsibilities that include:
* Develop, test, train, and evaluate machine learning models or other algorithms.
* Set up distributed training clusters in the cloud.
* Track experiments and monitor models in production.
* Construct pipelines that transform and synthesize data.
* Integrate machine learning models or other algorithms into the application.
* Improve local development and CI/CD using modern tooling and GitHub Actions.
**Who You Are**
---------------
We're looking for someone with strong Machine Learning skills who shares our most important values:
* You're fanatical about polish. Every detail matters. You love to make sure your code is linted, formatted, fully typed, and has 100% test coverage.
* You care about correctness. You take pride in the fact that downstream consumers trust your models.
* You obsess over performance. You daydream about Lighthouse scores and query speed.
* You dive deep. It's important for you to really know how things work. You're always building prototypes and setting up experiments to reinforce your understanding.
* You live on the bleeding edge. You've got a long list of upcoming platform features you're excited about and can't wait for the next nightly to drop.
* You’re a great teacher. You know how to break down a concept for a specific audience and make it click with them in a way that gets them excited.
**Why Work With Us**
--------------------
* We ship — We don't work on 18\-month projects that are irrelevant before they're even finished.
* Our work has impact — We build products that are deployed to U.S. submarines and integrate with the sonobuoys we manufacture.
* We're growing responsibly — We have the resources to hire a lot more people, but we don't want to build a massive team of people who don't share our values.
* We're remote — Work from wherever you want. We collaborate in real time on Slack or asynchronously via GitHub.
* We're profitable — We aren't burning through cash trying to make the business work. But we also have investors who believe in us and are committed to our success.
* We care about doing great work — You don't need permission to sweat the details here.
* We don't take ourselves too seriously — We're building products that make the world safer. But we don't let that get too our heads.
**Important Skills**
--------------------
* Expertise in Python and PyTorch.
* Experience creating data pipelines with tools such as Dagster.
* Experience tracking experiments with tools such as Weights \&amp; Biases.
* Experience serving models with tools such as BentoML.
* Proficiency with SQL (PostgreSQL / Iceberg).
* Knowledge of Docker and Kubernetes.
**Nice To Have**
----------------
* Experience with IoT devices and sensors.
* Digital signal processing experience.
* Geospatial analysis and GIS experience.
* Familiar with working in monorepos.
**What We Offer**
-----------------
* Unlimited PTO — Take the time you need to recharge and maintain work\-life balance.
* Dedicated Sick Time — Your health and well\-being come first.
* Comprehensive Health \&amp; Benefits – Medical, dental, and vision coverage to keep you and your family protected.
* 11 Paid Holidays — Enjoy time off throughout the year to celebrate and spend with loved ones.
* Professional Development — Educational opportunities and resources to help you grow your skills and advance your career.
* Collaborative Environment — Work directly with leadership in our flat organizational structure, where your ideas and contributions matter.
* Mission\-Driven Work — Contribute to projects that directly support national security and make a real\-world impact.
* Growth Opportunities — Join us during an exciting expansion phase where you can help shape our future.
**Additional Benefit Opportunities When You Choose Spear AI:**
--------------------------------------------------------------
* 401(k) with company match.
* Onsite / Remote / Flexible work arrangements or hybrid options (position dependent).
* Relocation assistance (position dependent).
* Referral bonuses.
* Performance bonuses.
* Life insurance and disability coverage.
* Technology home office setup stipend.
* Professional certification reimbursement (position dependent)
We offer competitive compensation tailored to your experience, location, and the impact you’ll make. We’re committed to equitable pay and will share a range aligned to your level and geography during the hiring process. In accordance with state law, candidates in jurisdictions such as CA, CO, WA, NY, and others, where applicable, will be provided a good\-faith salary range upon request and through the hiring process. This is a full\-time, exempt position under the Fair Labor Standards Act (FLSA) and is not eligible for overtime pay.  
Compensation for this position is provided on a salaried basis and is not subject to reduction based on hours worked. At Spear AI, you'll find more than just a job; you'll join a mission\-driven team where your work directly contributes to national security. Our flat organizational structure means your voice matters, your ideas reach leadership, and your impact is visible. As we grow, we're committed to building robust processes and infrastructure that support both our mission and our people. We value collaboration, continuous improvement, and the expertise each team member brings to the table. If you're looking for a place to grow professionally while working on projects that truly matter, we'd love to hear from you.</t>
        </is>
      </c>
    </row>
    <row r="56">
      <c r="A56" t="inlineStr">
        <is>
          <t>in-a10cb4fcf347dbdd</t>
        </is>
      </c>
      <c r="B56" t="inlineStr">
        <is>
          <t>Senior Machine Learning Engineer</t>
        </is>
      </c>
      <c r="C56" t="inlineStr"/>
      <c r="D56" t="inlineStr">
        <is>
          <t>indeed</t>
        </is>
      </c>
      <c r="E56">
        <f>HYPERLINK("https://www.indeed.com/viewjob?jk=a10cb4fcf347dbdd", "https://www.indeed.com/viewjob?jk=a10cb4fcf347dbdd")</f>
        <v/>
      </c>
      <c r="F56">
        <f>HYPERLINK("https://jobs.ashbyhq.com/spear-ai/2bf593ad-ab68-478b-ab38-8ee06e79bf9e?utm_source=6de3MPgXjA", "https://jobs.ashbyhq.com/spear-ai/2bf593ad-ab68-478b-ab38-8ee06e79bf9e?utm_source=6de3MPgXjA")</f>
        <v/>
      </c>
      <c r="G56" t="inlineStr">
        <is>
          <t>US</t>
        </is>
      </c>
      <c r="H56" s="2" t="n">
        <v>46036</v>
      </c>
      <c r="I56" t="inlineStr">
        <is>
          <t>We’re seeking a skilled Senior Machine Learning Engineer to build the next\-generation data management and artificial intelligence platform for maritime domain awareness.  
Spear AI is a growing defense contracting company dedicated to delivering cutting\-edge solutions that support our nation’s security. As we expand, we’re building a culture where innovation meets mission\-critical work. We operate with a flat organizational structure that empowers every team member to make an impact, collaborate directly with leadership, and contribute to projects that matter. Whether you’re joining our Hardware, Software, or Services division, you’ll work alongside talented professionals who are committed to excellence and advancing the capabilities that keep our nation safe and secure.  
Spear AI builds sonobuoy sensors that are deployed into the water and collect edge data. We also work with the U.S. Navy to collect and process their SONAR data. You’ll have an opportunity to work on real\-world projects that directly impact warfighter capabilities and mission success.
**What You'll Do**
------------------
We're a small team wearing many hats, and you'd have a wide variety of responsibilities that include:
* Develop, test, train, and evaluate machine learning models or other algorithms.
* Set up distributed training clusters in the cloud.
* Track experiments and monitor models in production.
* Construct pipelines that transform and synthesize data.
* Integrate machine learning models or other algorithms into the application.
* Improve local development and CI/CD using modern tooling and GitHub Actions.
**Who You Are**
---------------
We're looking for someone with strong Machine Learning skills who shares our most important values:
* You're fanatical about polish. Every detail matters. You love to make sure your code is linted, formatted, fully typed, and has 100% test coverage.
* You care about correctness. You take pride in the fact that downstream consumers trust your models.
* You obsess over performance. You daydream about Lighthouse scores and query speed.
* You dive deep. It's important for you to really know how things work. You're always building prototypes and setting up experiments to reinforce your understanding.
* You live on the bleeding edge. You've got a long list of upcoming platform features you're excited about and can't wait for the next nightly to drop.
* You’re a great teacher. You know how to break down a concept for a specific audience and make it click with them in a way that gets them excited.
**Why Work With Us**
--------------------
* We ship — We don't work on 18\-month projects that are irrelevant before they're even finished.
* Our work has impact — We build products that are deployed to U.S. submarines and integrate with the sonobuoys we manufacture.
* We're growing responsibly — We have the resources to hire a lot more people, but we don't want to build a massive team of people who don't share our values.
* We're remote — Work from wherever you want. We collaborate in real time on Slack or asynchronously via GitHub.
* We're profitable — We aren't burning through cash trying to make the business work. But we also have investors who believe in us and are committed to our success.
* We care about doing great work — You don't need permission to sweat the details here.
* We don't take ourselves too seriously — We're building products that make the world safer. But we don't let that get too our heads.
**Important Skills**
--------------------
* Expertise in Python and PyTorch.
* Experience creating data pipelines with tools such as Dagster.
* Experience tracking experiments with tools such as Weights \&amp; Biases.
* Experience serving models with tools such as BentoML.
* Proficiency with SQL (PostgreSQL / Iceberg).
* Knowledge of Docker and Kubernetes.
**Nice To Have**
----------------
* Experience with IoT devices and sensors.
* Digital signal processing experience.
* Geospatial analysis and GIS experience.
* Familiar with working in monorepos.
**What We Offer**
-----------------
* Unlimited PTO — Take the time you need to recharge and maintain work\-life balance.
* Dedicated Sick Time — Your health and well\-being come first.
* Comprehensive Health \&amp; Benefits – Medical, dental, and vision coverage to keep you and your family protected.
* 11 Paid Holidays — Enjoy time off throughout the year to celebrate and spend with loved ones.
* Professional Development — Educational opportunities and resources to help you grow your skills and advance your career.
* Collaborative Environment — Work directly with leadership in our flat organizational structure, where your ideas and contributions matter.
* Mission\-Driven Work — Contribute to projects that directly support national security and make a real\-world impact.
* Growth Opportunities — Join us during an exciting expansion phase where you can help shape our future.
**Additional Benefit Opportunities When You Choose Spear AI:**
--------------------------------------------------------------
* 401(k) with company match.
* Onsite / Remote / Flexible work arrangements or hybrid options (position dependent).
* Relocation assistance (position dependent).
* Referral bonuses.
* Performance bonuses.
* Life insurance and disability coverage.
* Technology home office setup stipend.
* Professional certification reimbursement (position dependent)
We offer competitive compensation tailored to your experience, location, and the impact you’ll make. We’re committed to equitable pay and will share a range aligned to your level and geography during the hiring process. In accordance with state law, candidates in jurisdictions such as CA, CO, WA, NY, and others, where applicable, will be provided a good\-faith salary range upon request and through the hiring process. This is a full\-time, exempt position under the Fair Labor Standards Act (FLSA) and is not eligible for overtime pay.  
Compensation for this position is provided on a salaried basis and is not subject to reduction based on hours worked. At Spear AI, you'll find more than just a job; you'll join a mission\-driven team where your work directly contributes to national security. Our flat organizational structure means your voice matters, your ideas reach leadership, and your impact is visible. As we grow, we're committed to building robust processes and infrastructure that support both our mission and our people. We value collaboration, continuous improvement, and the expertise each team member brings to the table. If you're looking for a place to grow professionally while working on projects that truly matter, we'd love to hear from you.</t>
        </is>
      </c>
    </row>
    <row r="57">
      <c r="A57" t="inlineStr">
        <is>
          <t>in-ce0ca66c65adc927</t>
        </is>
      </c>
      <c r="B57" t="inlineStr">
        <is>
          <t>GCP Gen. AI Engineer</t>
        </is>
      </c>
      <c r="C57" t="inlineStr">
        <is>
          <t>Kaleidoscope</t>
        </is>
      </c>
      <c r="D57" t="inlineStr">
        <is>
          <t>indeed</t>
        </is>
      </c>
      <c r="E57">
        <f>HYPERLINK("https://www.indeed.com/viewjob?jk=ce0ca66c65adc927", "https://www.indeed.com/viewjob?jk=ce0ca66c65adc927")</f>
        <v/>
      </c>
      <c r="F57">
        <f>HYPERLINK("https://workforcenow.adp.com/mascsr/default/mdf/recruitment/recruitment.html?cid=55192329-c32d-45ac-b4cb-49d65ab192d0&amp;ccId=19000101_000001&amp;jobId=950651&amp;source=IN&amp;lang=en_US", "https://workforcenow.adp.com/mascsr/default/mdf/recruitment/recruitment.html?cid=55192329-c32d-45ac-b4cb-49d65ab192d0&amp;ccId=19000101_000001&amp;jobId=950651&amp;source=IN&amp;lang=en_US")</f>
        <v/>
      </c>
      <c r="G57" t="inlineStr">
        <is>
          <t>Charlotte, NC, US</t>
        </is>
      </c>
      <c r="H57" s="2" t="n">
        <v>45972</v>
      </c>
      <c r="I57" t="inlineStr">
        <is>
          <t>GCP GenAI Engineer
We are seeking an experienced engineer with strong expertise in Google Cloud Platform (GCP) and hands\-on experience building and managing infrastructure for Generative AI workloads. The ideal candidate will be proficient in GCP GenAI, Terraform, Python, and Kubernetes (GKE). We are seeking individuals with 6\+ years of professional experience.
**Key Responsibilities**
------------------------
* Design, deploy, and manage cloud infrastructure on GCP using Terraform and GKE.
* Work with GCP GenAI and Guardrails (Model Armor, Secure Data Processing) for building safe and compliant AI solutions.
* Develop automation scripts and workflows in Python to streamline deployments and monitoring.
* Collaborate with data science and AI teams to integrate GenAI capabilities into production environments.
* Optimize cloud resources and ensure scalability, security, and cost efficiency.
**Qualifications**
------------------
* Bachelor’s degree in Computer Science, Engineering, or related field.
* Proven experience with GCP infrastructure, including IAM, networking, and security best practices.
* Strong understanding of Generative AI concepts, tools, and workflows within GCP.
* Working knowledge of Terraform, GKE, and Python.
* Experience implementing GCP Guardrails (Model Armor, SDP) is preferred.
* Excellent problem\-solving skills and ability to work collaboratively across teams.</t>
        </is>
      </c>
    </row>
    <row r="58">
      <c r="A58" t="inlineStr">
        <is>
          <t>in-c8c16d524ffd2aa4</t>
        </is>
      </c>
      <c r="B58" t="inlineStr">
        <is>
          <t>Azure Gen. AI Engineer</t>
        </is>
      </c>
      <c r="C58" t="inlineStr">
        <is>
          <t>Kaleidoscope</t>
        </is>
      </c>
      <c r="D58" t="inlineStr">
        <is>
          <t>indeed</t>
        </is>
      </c>
      <c r="E58">
        <f>HYPERLINK("https://www.indeed.com/viewjob?jk=c8c16d524ffd2aa4", "https://www.indeed.com/viewjob?jk=c8c16d524ffd2aa4")</f>
        <v/>
      </c>
      <c r="F58">
        <f>HYPERLINK("https://workforcenow.adp.com/mascsr/default/mdf/recruitment/recruitment.html?cid=55192329-c32d-45ac-b4cb-49d65ab192d0&amp;ccId=19000101_000001&amp;jobId=950650&amp;source=IN&amp;lang=en_US", "https://workforcenow.adp.com/mascsr/default/mdf/recruitment/recruitment.html?cid=55192329-c32d-45ac-b4cb-49d65ab192d0&amp;ccId=19000101_000001&amp;jobId=950650&amp;source=IN&amp;lang=en_US")</f>
        <v/>
      </c>
      <c r="G58" t="inlineStr">
        <is>
          <t>Charlotte, NC, US</t>
        </is>
      </c>
      <c r="H58" s="2" t="n">
        <v>45972</v>
      </c>
      <c r="I58" t="inlineStr">
        <is>
          <t>**Azure GenAI Engineer**
========================
We are looking for an experienced Azure GenAI Engineer skilled in designing and deploying AI\-driven cloud infrastructures. The candidate will have expertise in Azure GenAI services, Terraform, GKE, and Python, with practical experience in Azure Guardrails. We are looking for individuals with 6\+ years of professional experience.
**Key Responsibilities**
------------------------
* Design and deploy scalable cloud\-based AI infrastructures using Azure services and Terraform.
* Work with Azure GenAI and Guardrails such as Content Filtering, Microsoft Purview, and responsible AI tools.
* Develop automation scripts using Python for infrastructure management and monitoring.
* Integrate AI models and services securely into production using Kubernetes and related tools.
* Collaborate with AI research and product teams to deliver optimized and compliant GenAI environments.
**Qualifications**
------------------
* Bachelor’s degree in Computer Science, Software Engineering, or equivalent experience.
* Strong knowledge of Azure cloud infrastructure and AI/ML services.
* Experience with Azure Guardrails (Content Filtering, Purview, Responsible AI frameworks).
* Proficiency in Terraform, GKE, and Python.
* Understanding of GenAI concepts, LLM pipelines, and ethical AI principles.
* Strong analytical and problem\-solving abilities with excellent communication skills.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li-4359008423</t>
        </is>
      </c>
      <c r="B2" t="inlineStr">
        <is>
          <t>AI Engineer/ Data Scientist</t>
        </is>
      </c>
      <c r="C2" t="inlineStr">
        <is>
          <t>Apple</t>
        </is>
      </c>
      <c r="D2" t="inlineStr">
        <is>
          <t>linkedin</t>
        </is>
      </c>
      <c r="E2">
        <f>HYPERLINK("https://www.linkedin.com/jobs/view/4359008423", "https://www.linkedin.com/jobs/view/4359008423")</f>
        <v/>
      </c>
      <c r="F2" t="inlineStr"/>
      <c r="G2" t="inlineStr">
        <is>
          <t>California, United States</t>
        </is>
      </c>
      <c r="H2" t="inlineStr"/>
      <c r="I2" t="inlineStr">
        <is>
          <t>**Summary**
 Are you a builder and problem\-solver who thrives in cross\-functional environments? Do you possess a deep knowledge of the legal industry and a passion for innovation? As a part of our legal operations AIML team, you’ll help drive AI solutions across the legal domain. Working for a company that invents entire categories and industries means you’ll be challenged to creatively apply your expertise to rare and often unexplored aspects of the legal industry.nnWe are seeking an AI Engineer to join our Legal Operations team and lead the design, development and deployment of AI\-powered tools and automation solutions that transform how our Legal Department operates.nThis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life.nnThe ideal candidate combines strong software engineering and AI expertise with excellent communication skills, product sensibility and a curiosity about legal workflows and technology.n
**Description**
 As a Senior Data Scientist/ AI Engineer, you will be responsible for overseeing the design and execution of key tool development programs.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life.nnThe ideal candidate combines strong software engineering and AI expertise with excellent communication skills, product sensibility and a curiosity about legal workflows and technology. Key responsibilities may include:nn\* Develop and deploy AI solutions that enhance legal workflows, including contract review, document classification, knowledge management and workflow automation.n\* Collaborate cross\-functionally with attorneys, legal operations, compliance and engineering teams to identify and prioritize AI use cases.n\* Act as a product developer and owner from concept to rollout—defining requirements, developing proofs of concept, collecting feedback and iterating solutions.n\* Integrate large language models (LLMs) and other AI technologies into existing systems (e.g., document management, eDiscovery, CLM, or knowledge bases).n\* Evaluate and integrate third\-party legal AI tools and platforms as needed, ensuring compatibility and compliance with internal systems.n\* Maintain strong documentation and governance around data usage, model performance and ethical AI standards.n\* Stay current on emerging trends in AI, machine learning and legal tech to help shape the department’s AI strategy.n
**Minimum Qualifications**
 Bachelor’s degree in Computer Science, Data Science, Engineering, or related field (or equivalent experience).n5\+ years of experience building and deploying AI/ML or automation solutions in production environments.nStrong programming skills in Python (proven ability to quickly master new frameworks and tools).nDemonstrated experience with modern AI architectures including context engineering, tool use and retrieval augmented generation.nProven ability to communicate complex technical concepts to non\-technical stakeholders.nStrong product development mindset—able to translate business needs into practical, scalable AI tools.nPrior experience in or exposure to legal tech or legal operations.
**Preferred Qualifications**
 Familiarity with DMS, document intelligence and CLM systems (e.g., Ironclad, Icertis, DocuSign CLM), document management platforms (e.g., iManage, NetDocuments) or legal AI tools (e.g., Harvey, Luminance, Casetext, Spellbook, etc.).nExperience building internal AI assistants or chatbots for enterprise knowledge retrieval.nUnderstanding of data privacy, compliance and governance frameworks relevant to legal data.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
      <c r="A3" t="inlineStr">
        <is>
          <t>li-4353440185</t>
        </is>
      </c>
      <c r="B3" t="inlineStr">
        <is>
          <t>Machine Learning Engineer</t>
        </is>
      </c>
      <c r="C3" t="inlineStr">
        <is>
          <t>Quantiphi</t>
        </is>
      </c>
      <c r="D3" t="inlineStr">
        <is>
          <t>linkedin</t>
        </is>
      </c>
      <c r="E3">
        <f>HYPERLINK("https://www.linkedin.com/jobs/view/4353440185", "https://www.linkedin.com/jobs/view/4353440185")</f>
        <v/>
      </c>
      <c r="F3" t="inlineStr"/>
      <c r="G3" t="inlineStr">
        <is>
          <t>Dallas, TX</t>
        </is>
      </c>
      <c r="H3" t="inlineStr"/>
      <c r="I3" t="inlineStr">
        <is>
          <t>**About Quantiphi:**
*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 Quantiphi has seen 2\.5x growth YoY since its inception in 2013, we don’t just innovate \- we lead.
* Headquartered in Boston, with 4,000\+ professionals across the globe. Quantiphi leverages Applied AI technologies across multiple a. Industry Verticals (Telco, BFSI, HCLS etc.) and is an established Elite/Premier Partner of NVIDIA, Google Cloud, AWS, Snowflake, and others.
**We have been recognized with:**
*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
 Website
 or
 LinkedIn Page.
**Role:** 
 Machine Learning Engineer
**Experience \-** 
 3\+ years
**Location:** 
 Dallas, TX
**Job Summary**
 We are seeking a highly skilled Machine Learning Engineer with a strong focus on Churn Modeling to join our growing data science team. In this critical role, you will be instrumental in understanding, predicting, and mitigating customer churn within the telecommunications domain. You will leverage advanced machine learning techniques, statistical analysis, and cloud\-based platforms to develop robust churn prediction models, identify key drivers of customer attrition, and inform strategic business decisions.
 If you are passionate about solving complex business problems with data, have a proven track record in building and deploying ML models, and thrive in a fast\-paced, innovative environment, we encourage you to apply!
**What You'll Do:**
* **Develop and Deploy Churn Models** 
 : Design, build, train, and evaluate predictive churn models using a variety of machine learning algorithms, including XGBoost, Random Forest, and Logistic Regression.
* **Data Exploration \&amp; Feature Engineering** 
 : Conduct in\-depth correlation analysis and exploratory data analysis to identify key features and patterns influencing customer churn within large, complex telecom datasets.
* **Statistical Machine Learning:** 
 Apply strong statistical machine learning principles to ensure model robustness, interpretability, and generalizability.
* **Model Deployment \&amp; MLOps:** 
 Operationalize and deploy machine learning models into production environments using GCP services such as Vertex AI and Cloud Run. Monitor model performance, retrain as needed, and ensure scalability.
* **Insights \&amp; Recommendations:** 
 Translate complex analytical findings into clear, actionable insights and strategic recommendations for business stakeholders (e.g., marketing, product, customer service) to reduce churn and improve customer retention.
* **Domain Expertise:** 
 Leverage experience in the Telecom domain to understand specific customer behaviors, product offerings, and market dynamics that impact churn.
* **Collaboration:** 
 Work closely with data engineers, product managers, and business analysts to define problem statements, gather requirements, and integrate solutions.
* **Experimentation \&amp; A/B Testing:** 
 Design and analyze experiments to test the effectiveness of churn mitigation strategies.
**Must Have:**
* 3\+ years of experience in a Data Analyst, Machine Learning Engineer, or Data Scientist role with a strong focus on predictive modeling.
* Proven experience in Churn Modeling within the telecommunications.
* Machine learning algorithms: Demonstrated proficiency in implementing and optimizing models using XGBoost, Random Forest, and Logistic Regression.
* Statistical analysis skills: Ability to perform correlation analysis, hypothesis testing, and other statistical methods to derive meaningful insights.
* Proficiency in Python (e.g., scikit\-learn, pandas, numpy) for data manipulation, analysis, and model development.
* Understanding of statistical machine learning principles, model evaluation metrics, and bias\-variance trade\-offs.
* Experience with SQL for data extraction and manipulation.
* Excellent communication and presentation skills, with the ability to explain complex technical concepts to non\-technical stakeholders.
* Bachelor's or Master's degree in Computer Science, Statistics, Mathematics, Engineering, or a related quantitative field.
**Good to Have:**
* Experience with other GCP services (e.g., BigQuery, Dataflow, Composer).
* Familiarity with MLOps best practices and tools.
* Experience with A/B testing frameworks and experimental design.
* Knowledge of customer lifetime value (CLTV) modeling.
**What is in it for you:**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t>
        </is>
      </c>
    </row>
    <row r="4">
      <c r="A4" t="inlineStr">
        <is>
          <t>li-4359138040</t>
        </is>
      </c>
      <c r="B4" t="inlineStr">
        <is>
          <t>AI Engineer</t>
        </is>
      </c>
      <c r="C4" t="inlineStr">
        <is>
          <t>Jobs via Dice</t>
        </is>
      </c>
      <c r="D4" t="inlineStr">
        <is>
          <t>linkedin</t>
        </is>
      </c>
      <c r="E4">
        <f>HYPERLINK("https://www.linkedin.com/jobs/view/4359138040", "https://www.linkedin.com/jobs/view/4359138040")</f>
        <v/>
      </c>
      <c r="F4" t="inlineStr"/>
      <c r="G4" t="inlineStr">
        <is>
          <t>Nashville, TN</t>
        </is>
      </c>
      <c r="H4" t="inlineStr"/>
      <c r="I4" t="inlineStr">
        <is>
          <t>**RAG \- Vector Databases \- Cloud \- AI/ML**
 This Jobot Job is hosted by: Chuck Wirtz
 Are you a fit? Easy Apply now by clicking the "Apply Now"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Google Cloud Platform \- Azure
 Domain\-driven design and microservices architecture
 TensorFlow \- PyTorch
 Inheritance \- Polymorphism \- Design Patterns
 No C2C or Sponsorship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5">
      <c r="A5" t="inlineStr">
        <is>
          <t>li-4359138039</t>
        </is>
      </c>
      <c r="B5" t="inlineStr">
        <is>
          <t>AI Engineer</t>
        </is>
      </c>
      <c r="C5" t="inlineStr">
        <is>
          <t>Jobs via Dice</t>
        </is>
      </c>
      <c r="D5" t="inlineStr">
        <is>
          <t>linkedin</t>
        </is>
      </c>
      <c r="E5">
        <f>HYPERLINK("https://www.linkedin.com/jobs/view/4359138039", "https://www.linkedin.com/jobs/view/4359138039")</f>
        <v/>
      </c>
      <c r="F5" t="inlineStr"/>
      <c r="G5" t="inlineStr">
        <is>
          <t>Chicago, IL</t>
        </is>
      </c>
      <c r="H5" t="inlineStr"/>
      <c r="I5" t="inlineStr">
        <is>
          <t>**RAG \- Vector Databases \- Cloud \- AI/ML**
 This Jobot Job is hosted by: Chuck Wirtz
 Are you a fit? Easy Apply now by clicking the "Apply Now"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Google Cloud Platform \- Azure
 Domain\-driven design and microservices architecture
 TensorFlow \- PyTorch
 Inheritance \- Polymorphism \- Design Patterns
 No C2C or Sponsorship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6">
      <c r="A6" t="inlineStr">
        <is>
          <t>li-4359181634</t>
        </is>
      </c>
      <c r="B6" t="inlineStr">
        <is>
          <t>AI Engineer</t>
        </is>
      </c>
      <c r="C6" t="inlineStr">
        <is>
          <t>Jobs via Dice</t>
        </is>
      </c>
      <c r="D6" t="inlineStr">
        <is>
          <t>linkedin</t>
        </is>
      </c>
      <c r="E6">
        <f>HYPERLINK("https://www.linkedin.com/jobs/view/4359181634", "https://www.linkedin.com/jobs/view/4359181634")</f>
        <v/>
      </c>
      <c r="F6" t="inlineStr"/>
      <c r="G6" t="inlineStr">
        <is>
          <t>Cincinnati, OH</t>
        </is>
      </c>
      <c r="H6" t="inlineStr"/>
      <c r="I6" t="inlineStr">
        <is>
          <t>**RAG \- Vector Databases \- Cloud \- AI/ML**
 This Jobot Job is hosted by: Chuck Wirtz
 Are you a fit? Easy Apply now by clicking the "Apply Now"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Google Cloud Platform \- Azure
 Domain\-driven design and microservices architecture
 TensorFlow \- PyTorch
 Inheritance \- Polymorphism \- Design Patterns
 No C2C or Sponsorship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7">
      <c r="A7" t="inlineStr">
        <is>
          <t>li-4359163492</t>
        </is>
      </c>
      <c r="B7" t="inlineStr">
        <is>
          <t>Machine Learning Engineer - ML Data</t>
        </is>
      </c>
      <c r="C7" t="inlineStr">
        <is>
          <t>Apple</t>
        </is>
      </c>
      <c r="D7" t="inlineStr">
        <is>
          <t>linkedin</t>
        </is>
      </c>
      <c r="E7">
        <f>HYPERLINK("https://www.linkedin.com/jobs/view/4359163492", "https://www.linkedin.com/jobs/view/4359163492")</f>
        <v/>
      </c>
      <c r="F7">
        <f>HYPERLINK("https://jobs.apple.com/en-us/details/200619875&amp;urlHash=71eP", "https://jobs.apple.com/en-us/details/200619875&amp;urlHash=71eP")</f>
        <v/>
      </c>
      <c r="G7" t="inlineStr">
        <is>
          <t>Cupertino, CA</t>
        </is>
      </c>
      <c r="H7" t="inlineStr"/>
      <c r="I7" t="inlineStr">
        <is>
          <t>**Summary**
 nAt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everyone.n
**Description**
 The ML Platform team is responsible for bringing numerous features to advertisers and consumers while simultaneously supporting scalable modeling and continuous experimentation by all Ads teams. As a key contributor to this team, you will design and develop secure and scalable back\-end systems. You will enjoy building high\-performing, elegant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**Minimum Qualifications**
 Experience writing mission\-critical code for production machine learning systems.nExperience building production data services/pipelines using distributed processing systems like Spark.nExperience with distributed systems (e.g Ray, Spark, Kubernetes).nExperience working on distributed systems where scalability and performance are critical.nExperience building AI/ML tooling and/or data infrastructure for AI/ML.nExperience building and scaling cloud\-based architectures.nExperience performance tuning u0026 trouble\-shooting.nStrong problem solving and debugging skills.nStrong data modeling and data architecture skills.nPride in building automation and development tools.nFamiliarity with CI/CD tooling.
**Preferred Qualifications**
 PhD in Computer Science with 2\+ years contributing to production machine learning systems, or MS in CS with 4\+ years of engineering experience and 2\+ years contributing to production machine learning systems, or (c) BS in CS with 5\+ years of engineering experience and 2\+ years contributing to production machine learning systems.nAbility to communicate effectively, both written and verbal, with technical and non\-technical multi\-functional teamsnResults oriented with a desire to work in a fast\-paced and collaborative work environmentnExperience building production machine learning models using frameworks like PyTorch, TensorFlow is highly desirednPrior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
      <c r="A8" t="inlineStr">
        <is>
          <t>li-4357688456</t>
        </is>
      </c>
      <c r="B8" t="inlineStr">
        <is>
          <t>Machine Learning Engineer</t>
        </is>
      </c>
      <c r="C8" t="inlineStr">
        <is>
          <t>Apple</t>
        </is>
      </c>
      <c r="D8" t="inlineStr">
        <is>
          <t>linkedin</t>
        </is>
      </c>
      <c r="E8">
        <f>HYPERLINK("https://www.linkedin.com/jobs/view/4357688456", "https://www.linkedin.com/jobs/view/4357688456")</f>
        <v/>
      </c>
      <c r="F8">
        <f>HYPERLINK("https://jobs.apple.com/en-us/details/200641514&amp;urlHash=iWbd", "https://jobs.apple.com/en-us/details/200641514&amp;urlHash=iWbd")</f>
        <v/>
      </c>
      <c r="G8" t="inlineStr">
        <is>
          <t>Cupertino, CA</t>
        </is>
      </c>
      <c r="H8" t="inlineStr"/>
      <c r="I8" t="inlineStr">
        <is>
          <t>**Summary**
 Imagine what you could do here. At Apple, great ideas have a way of becoming great products, services, and customer experiences very quickly. Bring passion and dedication to your job and there's no telling what you could accomplish.nnAre you an enthusiastic Machine Learning Engineer eager to apply your expertise in a fast\-paced, innovative tech environment? Join our Global Sourcing u0026 Supply Management (GSSM) Solutions team as a key player in revolutionizing our supply chain.nnAs a Machine Learning Engineer on our core AI/ML team, you will design and build GenAI\-powered features and workflows leveraging LLMs and modern AI techniques. You will collaborate closely with business stakeholders, product teams, and data engineers to translate complex challenges into practical AI/ML solutions and effectively communicate insights to senior management. Your work will empower data\-driven decision\-making, optimize workflows, and drive measurable impact across the supply chain.nnIf you thrive in a collaborative environment, are passionate about applying AI/ML to solve real\-world business problems, and are excited to work with cutting\-edge GenAI technologies, we want to hear from you!
**Description**
* Partner with business and product teams to identify high\-impact opportunities and translate ambiguous requirements into GenAI\-powered features and workflows delivered through a shared AI platform and embedded across productsn\- Design, build, and own end\-to\-end GenAI capabilities that support both a centralized AI platform and product teams, covering all aspects from prompt and tool design to agent orchestration, retrieval strategies, model selection, and system evaluationn\- Develop reliable, scalable, and cost\-aware GenAI features in collaboration with platform, data, and application engineering teams, ensuring strong performance, observability, and maintainability in production environmentsn\- Establish evaluation and monitoring strategies for GenAI\-driven features, focusing on output quality, correctness, safety, and business relevance through offline benchmarks, automated checks, and human\-in\-the\-loop reviewn\- Develop Text\-to\-SQL and structured reasoning capabilities that enable natural\-language interaction with structured data, ensuring accuracy, security, and alignment with business semanticsn\- Leverage agentic AI patterns (multi\-step reasoning, tool use, planning, memory, feedback loops) to support complex workflows, while establishing guardrails for reliable and predictable behaviorn\- Communicate trade\-offs, system behavior, and limitations clearly to technical and non\-technical stakeholders, enabling informed product and business decisionsn\- Continuously research, prototype, and operationalize emerging GenAI techniques to improve platform capabilities and accelerate adoption across teams
**Minimum Qualifications**
 Bachelors degreenPhD/MS in Computer Science, Statistics, Applied Math or a related fieldn5\+ years of industry experience
**Preferred Qualifications**
 Strong problem\-solving skills and the ability to tackle ambiguous, real\-world challenges, along with clear communication and collaboration skillsnExperience with modern deep learning frameworks, such as PyTorch or TensorFlownHands\-on experience working with transformer\-based models, including large language models (e.g., GPT style models or BERT\-like architectures)nPractical experience leveraging LLMs or GenAI models via APIs to create reliable and user\-facing features or workflowsnFamiliarity with common GenAI tools and frameworks, such as LangChain or similar, with the ability to learn and adapt as the ecosystem evolvesnSolid understanding of foundational ML concepts including supervised, unsupervised and reinforcement learningnSolid understanding of core machine learning concepts, including supervised and unsupervised learning; exposure to reinforcement learning is a plusnExperience with model deployment pipelines and serving GenAI models in productionnExperience applying modern ML or GenAI techniques in production workflows, including tasks such as Retrieval\-Augmented Generation (RAG), structured reasoning, or prompt\-based system designnExperience working in Supply Chain, Operations, or a related fieldnAbility to operate independently and lead without authority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
      <c r="A9" t="inlineStr">
        <is>
          <t>li-4359108525</t>
        </is>
      </c>
      <c r="B9" t="inlineStr">
        <is>
          <t>AIML - ML Engineer</t>
        </is>
      </c>
      <c r="C9" t="inlineStr">
        <is>
          <t>Apple</t>
        </is>
      </c>
      <c r="D9" t="inlineStr">
        <is>
          <t>linkedin</t>
        </is>
      </c>
      <c r="E9">
        <f>HYPERLINK("https://www.linkedin.com/jobs/view/4359108525", "https://www.linkedin.com/jobs/view/4359108525")</f>
        <v/>
      </c>
      <c r="F9" t="inlineStr"/>
      <c r="G9" t="inlineStr">
        <is>
          <t>Cupertino, CA</t>
        </is>
      </c>
      <c r="H9" t="inlineStr"/>
      <c r="I9" t="inlineStr">
        <is>
          <t>**Summary**
 As part of Apple's Machine Learning Research organization, we do world\-class scientific research and build the technologies that will power future products at Apple. The ML Research Team does world\-class research and development across a wide range of domains including understanding and improving ML, addressing bias and fairness in algorithms, privacy and federated learning, embodied and interactive ML systems, computer vision, and more. The techniques and tools we create will impact ML solutions across Apple, which in turn power most of the features we deliver to billions of consumers worldwide. We are looking for highly motivated, result\-oriented engineers with a strong background in speech processing and ML engineering to join our team. In this position, you will work with researchers across the Machine Learning Research group to build and explore speechLLMs and spoken dialog systems.
**Description**
 Work with researchers on the team to build high\-performance and scalable software addressing novel ML research algorithms. Apply solid software engineering skills, leverage experience to deal with the unexpected, explore research software solutions and pave the way to future Machine Learning toolboxes. Be part of a small team dedicated to advancing ML algorithms and techniques \- Is this you? If so we'd love to hear from you.
**Minimum Qualifications**
 M.S. in Computer Science (or related fields) or equivalent experiencenExpert in Python programming and tensor operations, including https://github.com/rougier/numpy\-100nExpert in at least one ML framework (PyTorch preferred but tensorflow or jax are ok as well), including flash\-attention, efficient kv\-caching, DDP and FSDP.nHands\-on experience in establishing ML benchmarks (data, models, metrics)nInvolvement with open\-source projects and experience with collaborative software developmentnExcellent communication skillsnReadiness to encounter unforeseen challenges and to solve them
**Preferred Qualifications**
 Speech processing (including generative modeling of speech) experience is a plusnPhD in Computer Science (or related fields) or equivalent experiencenExpert in Python programming and tensor operations, including https://github.com/rougier/numpy\-100nExpert in at least one ML framework (PyTorch preferred but tensorflow or jax are ok as well), including flash\-attention, efficient kv\-caching, DDP and FSDP.nHands\-on experience in establishing ML benchmarks (data, models, metrics)nActive development in open\-source projects and experience with collaborative software developmentnExperience with CUDA programming, and/or High\-Performance Computing and/or distributed computingnExcellent communication skillsnReadiness to encounter unforeseen challenges and to solve themnPast research experiencenC\+\+ programming is a plusnMLX experience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
      <c r="A10" t="inlineStr">
        <is>
          <t>li-4357638832</t>
        </is>
      </c>
      <c r="B10" t="inlineStr">
        <is>
          <t>Machine Learning Engineer</t>
        </is>
      </c>
      <c r="C10" t="inlineStr">
        <is>
          <t>Apple</t>
        </is>
      </c>
      <c r="D10" t="inlineStr">
        <is>
          <t>linkedin</t>
        </is>
      </c>
      <c r="E10">
        <f>HYPERLINK("https://www.linkedin.com/jobs/view/4357638832", "https://www.linkedin.com/jobs/view/4357638832")</f>
        <v/>
      </c>
      <c r="F10">
        <f>HYPERLINK("https://jobs.apple.com/en-us/details/200622819&amp;urlHash=6sF7", "https://jobs.apple.com/en-us/details/200622819&amp;urlHash=6sF7")</f>
        <v/>
      </c>
      <c r="G10" t="inlineStr">
        <is>
          <t>Cupertino, CA</t>
        </is>
      </c>
      <c r="H10" t="inlineStr"/>
      <c r="I10" t="inlineStr">
        <is>
          <t>**Summary**
 Imagine the impact of your work \- technologies you help create will be experienced by over a billion people every day. At Apple, you’ll have the opportunity to contribute to products that consistently set industry standards and, at times, redefine the world. Our team is responsible for developing the core image and video technologies used in nearly all Apple products and services. We are seeking a motivated and adaptable Machine Learning Video Processing Engineer who thrives in technically challenging environments and is eager to push the boundaries of innovation.
**Description**
 We are seeking a Machine Learning Engineer to help develop Apple’s next\-generation video processing algorithms. In this role, you will collaborate closely with a dynamic team of Apple engineers to design and implement machine learning–based image and video processing technologies that power both current and future Apple products. nnResponsibilities include, but not limited to:nn\- Develop, implement, and optimize machine learning based video processing algorithmsn\- Contribute to data collection, curation, analysis and processing for algorithm training and evaluationn\- Research and evaluate state\-of\-the\-art learning\-based methods for low\-level vision tasks
**Minimum Qualifications**
 BS and a minimum of 3 years relevant industry experiencenHands on experience on image/video processing, machine learning and computer visionnProgramming skills in Python, Java, or C/C\+\+
**Preferred Qualifications**
 PhD degree in Machine Learning, Computer Science, Electrical/Computer Engineering, or related fieldsnProject experience on low level computer vision algorithms such as spatial/temporal filtering, image enhancement, or video analysisnPublication record in top tier conferences (e.g., CVPR, ICCV, ICIP, SIGGRAPH, etc) nExcellent written and oral communication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
      <c r="A11" t="inlineStr">
        <is>
          <t>li-4357688505</t>
        </is>
      </c>
      <c r="B11" t="inlineStr">
        <is>
          <t>Machine Learning Engineer - Apple Music</t>
        </is>
      </c>
      <c r="C11" t="inlineStr">
        <is>
          <t>Apple</t>
        </is>
      </c>
      <c r="D11" t="inlineStr">
        <is>
          <t>linkedin</t>
        </is>
      </c>
      <c r="E11">
        <f>HYPERLINK("https://www.linkedin.com/jobs/view/4357688505", "https://www.linkedin.com/jobs/view/4357688505")</f>
        <v/>
      </c>
      <c r="F11">
        <f>HYPERLINK("https://jobs.apple.com/en-us/details/200627683&amp;urlHash=M8W7", "https://jobs.apple.com/en-us/details/200627683&amp;urlHash=M8W7")</f>
        <v/>
      </c>
      <c r="G11" t="inlineStr">
        <is>
          <t>Seattle, WA</t>
        </is>
      </c>
      <c r="H11" t="inlineStr"/>
      <c r="I11" t="inlineStr">
        <is>
          <t>**Summary**
 The AIML team in Apple Services Engineering is building the future of how millions of users discover, explore, and enjoy music across Apple Music, Siri, Spotlight.nOur mission is to help every user find and experience the content they love—effortlessly and personally—by harnessing the potential of Machine Learning, Natural Language Understanding, and Generative AI.nAs part of the Music Search team, you’ll work at the intersection of machine learning, language understanding, and generative AI, crafting next\-generation search and recommendation experiences. Your work will shape how users connect with the songs, artists, and playlists they love
**Description**
 As Machine Engineer on the Music Search team within Apple Services Engineering (AIML), you will help shape the future of how millions of users discover and experience music across Apple platforms. You’ll design and deploy models that combine machine learning, natural language understanding, and generative AI to deliver more intuitive and personalized search experiences.nYou will build systems that understand user intent, rank results intelligently, and bring the magic of LLMs and transformer\-based models into real\-world applications. This is a hands\-on role where your work will directly impact how users interact with Apple Music app, Siri, Spotlight, and other experiences across the Apple ecosystem.
**Minimum Qualifications**
 2\+ years of experience in machine learning, natural language processing, information retrieval, or LLM\-based systems.nStrong programming skills in Python or C\+\+, with experience building scalable ML systems.nDeep understanding of transformer architectures, embeddings, and retrieval or ranking models.nExperience applying or fine\-tuning Large Language Models (LLMs) for understanding and generation tasks.nFamiliarity with prompt design, contextual retrieval, or RAG\-style architectures.nProven ability to translate product goals into technical solutions and deliver measurable improvements in user experience.nExcellent communication, collaboration, and analytical problem\-solving skills.
**Preferred Qualifications**
 Experience with music, media, or recommendation systems.nBackground in semantic retrieval, vector databases, or hybrid search architectures.nHands\-on experience with PyT orch, JAX, or TensorFlow for model training and deployment.nExposure to evaluation and safety frameworks for LLM\-based systems.nUnderstanding of reinforcement learning from human feedback (RLHF) or preference modeling.nPassion for crafting intelligent, human\-centered experiences that enhance music discovery.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2">
      <c r="A12" t="inlineStr">
        <is>
          <t>li-4359078517</t>
        </is>
      </c>
      <c r="B12" t="inlineStr">
        <is>
          <t>Machine Learning Engineer</t>
        </is>
      </c>
      <c r="C12" t="inlineStr">
        <is>
          <t>Apple</t>
        </is>
      </c>
      <c r="D12" t="inlineStr">
        <is>
          <t>linkedin</t>
        </is>
      </c>
      <c r="E12">
        <f>HYPERLINK("https://www.linkedin.com/jobs/view/4359078517", "https://www.linkedin.com/jobs/view/4359078517")</f>
        <v/>
      </c>
      <c r="F12">
        <f>HYPERLINK("https://jobs.apple.com/en-us/details/200576607&amp;urlHash=dRMB", "https://jobs.apple.com/en-us/details/200576607&amp;urlHash=dRMB")</f>
        <v/>
      </c>
      <c r="G12" t="inlineStr">
        <is>
          <t>Cupertino, CA</t>
        </is>
      </c>
      <c r="H12" t="inlineStr"/>
      <c r="I12" t="inlineStr">
        <is>
          <t>**Summary**
 Imagine the impact you can make. A billion users will use the technologies you helped craft almost daily. At Apple, you will have the opportunity to work on products that are always leaders in the industry and potentially change the world! The Video Engineering team at Apple is responsible for creating the image and video core technologies used in almost all Apple products and services. With the recent surge of Generative AI models, there is an exciting opportunity to benefit from the power of generative models in video processing applications.nnWe are looking for a highly self\-motivated and enthusiastic individual with an advanced degree, who is able to excel in a technically challenging environment, to fill in the position of Machine Learning Engineer.
**Description**
 We are looking for a Machine Learning Engineer who will join us to build Apple’s next\-generation video processing algorithms. In this role, you will identify and develop machine leaning models for solving specific video processing applications and work closely within a dynamic team to optimize and productize those features. nnYour responsibilities include, but not limited to:n \- Work on data collection and curation for training/testing/validation of machine learning models.n \- Investigate the latest deep learning based low\-level vision methods.n \- Harness the power of generative and multi\-modal foundation models in improving the quality of video features across Apple products.
**Minimum Qualifications**
 Masters degree in Machine Learning, Computer Science, Electrical/Computer Engineering, or related fields.nKnowledge of the principles, algorithms, and techniques used in machine learning and computer vision with first\-hand experiences.nProgramming skills and hands\-on experience with Python and deep learning frameworks such as PyTorch.nHands on experience training large generative neural networks (GAN, Diffusion Models).
**Preferred Qualifications**
 PhD degree in Machine Learning, Computer Science, Electrical/Computer Engineering, or related fields.nKnowledge of low\-level vision algorithms such as spatial and temporal image/video tscaling, noise reduction, etc. nBackground in digital signal and image processingnHands on experience with multi\-modal foundation modelsnPublication record in top\-tier conferences (e.g., CVPR, ICCV, SIGGRAPH, ECCV, NeurIPS, ICML, ICLR).nExcellent independent problem\-solving skillsnExcellent written and oral communication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3">
      <c r="A13" t="inlineStr">
        <is>
          <t>li-4357698570</t>
        </is>
      </c>
      <c r="B13" t="inlineStr">
        <is>
          <t>AIML - ML Engineer, Responsible AI</t>
        </is>
      </c>
      <c r="C13" t="inlineStr">
        <is>
          <t>Apple</t>
        </is>
      </c>
      <c r="D13" t="inlineStr">
        <is>
          <t>linkedin</t>
        </is>
      </c>
      <c r="E13">
        <f>HYPERLINK("https://www.linkedin.com/jobs/view/4357698570", "https://www.linkedin.com/jobs/view/4357698570")</f>
        <v/>
      </c>
      <c r="F13">
        <f>HYPERLINK("https://jobs.apple.com/en-us/details/200635772&amp;urlHash=EL4g", "https://jobs.apple.com/en-us/details/200635772&amp;urlHash=EL4g")</f>
        <v/>
      </c>
      <c r="G13" t="inlineStr">
        <is>
          <t>Cupertino, CA</t>
        </is>
      </c>
      <c r="H13" t="inlineStr"/>
      <c r="I13" t="inlineStr">
        <is>
          <t>**Summary**
 Would you like to play a part in building the next generation of generative AI applications at Apple? We're looking for scientists and engineers to work on ambitious projects that will impact the future of Apple, our products, and the broader world.nnIn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lifecyclenn\- Develop methods, models, and tools to interpret and explain failures in language and diffusion modelsnn\- Build and maintain human annotation and red teaming pipelines to assess quality and risk of various Apple productsnn\- Prototype, implement, and evaluate new ML models and algorithms for red teaming LLMsnn\- Work with highly\-sensitive content with exposure to offensive and controversial content
**Minimum Qualifications**
 Strong engineering skills and experience in writing production\-quality code in Python, Swift or other programming languagesnnBackground in generative models, natural language processing, LLMs, or diffusion modelsnnExperience with failure analysis, quality engineering, or robustness analysis for AI/ML based featuresnnExperience working with crowd\-based annotations and human evaluationsnnExperience working on explainability and interpretation of AI/ML modelsnnn
**Preferred Qualifications**
 BS, MS or PhD in Computer Science, Machine Learning, or related fields or an equivalent qualification acquired through other avenuesnnProven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4">
      <c r="A14" t="inlineStr">
        <is>
          <t>li-4359137604</t>
        </is>
      </c>
      <c r="B14" t="inlineStr">
        <is>
          <t>Machine Learning Engineer</t>
        </is>
      </c>
      <c r="C14" t="inlineStr">
        <is>
          <t>Apple</t>
        </is>
      </c>
      <c r="D14" t="inlineStr">
        <is>
          <t>linkedin</t>
        </is>
      </c>
      <c r="E14">
        <f>HYPERLINK("https://www.linkedin.com/jobs/view/4359137604", "https://www.linkedin.com/jobs/view/4359137604")</f>
        <v/>
      </c>
      <c r="F14">
        <f>HYPERLINK("https://jobs.apple.com/en-us/details/200579127&amp;urlHash=b5ga", "https://jobs.apple.com/en-us/details/200579127&amp;urlHash=b5ga")</f>
        <v/>
      </c>
      <c r="G14" t="inlineStr">
        <is>
          <t>Sunnyvale, CA</t>
        </is>
      </c>
      <c r="H14" t="inlineStr"/>
      <c r="I14" t="inlineStr">
        <is>
          <t>**Summary**
 Our team delivers algorithms that power many Apple technologies, including Apple Vision Pro's Eyesight and Persona. In this position, you will have the opportunity to be part of our extraordinary team of Computer Graphics, Computer Vision and Deep Learning researchers and engineers to discover and build solutions to previously\-unsolved challenges in human representation and motion impacting millions of users.
**Description**
 Apple's Video Computer Vision (VCV) Face and Body technologies team is looking for a skilled Machine Learning Engineer with experience developing ML models for computer vision and graphics applications. You will be actively involved in the whole ML cycle from data collection design and data processing to model design and experiments to validation and QA in the wild. You will perform applied research development to adapt state\-of\-the\-art methods or implement new methods to ship features on iOS and VisionOS platforms. In this role, you will work closely with other ML engineers as well as data and software engineers both internally and cross\-functionally.
**Minimum Qualifications**
 3\+ years of experience working on ML projects for computer vision / graphics applications.nSoftware engineering skills and proficiency in Python.nExperience with PyTorch.nBA/BS degree in computer vision, computer graphics, machine learning or related field.
**Preferred Qualifications**
 MS or PhD in computer vision, computer graphics, machine learning, computer science, computer engineering or related fields.nSelf\-motivated with proven ability to effectively prioritize and deliver tasks on schedule.nExcellent communication and experience working with cross\-functional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5">
      <c r="A15" t="inlineStr">
        <is>
          <t>li-4359088730</t>
        </is>
      </c>
      <c r="B15" t="inlineStr">
        <is>
          <t>Applied ML Engineer – AI/ML Evaluation u0026 Simulation</t>
        </is>
      </c>
      <c r="C15" t="inlineStr">
        <is>
          <t>Apple</t>
        </is>
      </c>
      <c r="D15" t="inlineStr">
        <is>
          <t>linkedin</t>
        </is>
      </c>
      <c r="E15">
        <f>HYPERLINK("https://www.linkedin.com/jobs/view/4359088730", "https://www.linkedin.com/jobs/view/4359088730")</f>
        <v/>
      </c>
      <c r="F15">
        <f>HYPERLINK("https://jobs.apple.com/en-us/details/200616700&amp;urlHash=SxO8", "https://jobs.apple.com/en-us/details/200616700&amp;urlHash=SxO8")</f>
        <v/>
      </c>
      <c r="G15" t="inlineStr">
        <is>
          <t>Seattle, WA</t>
        </is>
      </c>
      <c r="H15" t="inlineStr"/>
      <c r="I15" t="inlineStr">
        <is>
          <t>**Summary**
 We’re building the next generation of AI evaluation systems — and we’re looking for anmotivated early\-career engineer who’s excited to work at the intersection of ML,nsoftware, and product. You’ll join a team focused on making AI systems — includingnLLMs and agentic AI \- more measurable, testable, and trustworthy in real\-worldnscenarios.nnThis is a hands\-on, collaborative role ideal for someone with a strong foundation innsoftware engineering and machine learning, and an eagerness to grow by building toolsnand systems that help evaluate advanced AI behavior at scale.
**Description**
 As an Applied ML Engineer on our team, you’ll help develop simulation systems,nsupport data tooling, and contribute to evaluation workflows that improve the reliabilitynof modern AI. You’ll collaborate closely with experienced engineers and researchers,nlearning how to instrument, monitor, and analyze model behavior — especially fornlanguage models and agent\-style systems.nnThis is a great opportunity for someone early in their career to work with cutting\-edge AIntechnologies in a high\-impact, supportive environment. You’ll gain experience workingnwith large\-scale ML systems, learn best practices in applied AI, and grow your skillsnacross engineering, product, and research.
**Minimum Qualifications**
 Bachelor’s or Master’s degree in Computer Science, Machine Learning, or related fieldnStrong programming skills in Python or another modern language (e.g., Java, Swift,nGo)nBasic understanding of machine learning principlesnInterest in LLMs, generative AI, or agent\-based systemsnCuriosity about how to evaluate and improve real\-world AI performancenStrong collaboration and communication skills
**Preferred Qualifications**
 Coursework or internship experience in ML, AI systems, or applied data sciencenFamiliarity with training or evaluating models (even via coursework or personalnprojects)nExposure to tools like PyTorch, TensorFlow, or Hugging FacenInterest in AI observability, behavior simulation, or synthetic datanPassion for working cross\-functionally in fast\-moving, exploratory teams
**Pay \&amp; Benefits**
 At Apple, base pay is one part of our total compensation package and is determined within a range. This provides the opportunity to progress as you grow and develop within a role. The base pay range for this role is between $120,300 and $210,100,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6">
      <c r="A16" t="inlineStr">
        <is>
          <t>li-4357608479</t>
        </is>
      </c>
      <c r="B16" t="inlineStr">
        <is>
          <t>Machine Learning Engineer</t>
        </is>
      </c>
      <c r="C16" t="inlineStr">
        <is>
          <t>Apple</t>
        </is>
      </c>
      <c r="D16" t="inlineStr">
        <is>
          <t>linkedin</t>
        </is>
      </c>
      <c r="E16">
        <f>HYPERLINK("https://www.linkedin.com/jobs/view/4357608479", "https://www.linkedin.com/jobs/view/4357608479")</f>
        <v/>
      </c>
      <c r="F16">
        <f>HYPERLINK("https://jobs.apple.com/en-us/details/200576583&amp;urlHash=wy8E", "https://jobs.apple.com/en-us/details/200576583&amp;urlHash=wy8E")</f>
        <v/>
      </c>
      <c r="G16" t="inlineStr">
        <is>
          <t>Cupertino, CA</t>
        </is>
      </c>
      <c r="H16" t="inlineStr"/>
      <c r="I16" t="inlineStr">
        <is>
          <t>**Summary**
 Imagine the impact you can make. A billion users will use the technologies you helped craft almost daily. At Apple, you will have the opportunity to work on products that are always leaders in the industry and potentially change the world! The Video Engineering team at Apple is responsible for creating the image and video core technologies used in almost all Apple products and services. With the recent surge of Generative AI models, there is an exciting opportunity to benefit from the power of generative models in video processing applications.nnWe are looking for a highly self\-motivated and enthusiastic individual with an advanced degree, who is able to excel in a technically challenging environment, to fill in the position of Machine Learning Engineer.
**Description**
 We are looking for a Machine Learning Engineer who will join us to build Apple’s next\-generation video processing algorithms. In this role, you will identify and develop machine leaning models for solving specific video processing applications and work closely within a dynamic team to optimize and productize those features. nnYour responsibilities include, but not limited to:n \- Work on data collection and curation for training/testing/validation of machine learning models.n \- Investigate the latest deep learning based low\-level vision methods.n \- Harness the power of generative and multi\-modal foundation models in improving the quality of video features across Apple products.
**Minimum Qualifications**
 Masters degree in Machine Learning, Computer Science, Electrical/Computer Engineering, or related fields.nKnowledge of the principles, algorithms, and techniques used in machine learning and computer vision with first\-hand experiences.nProgramming skills and hands\-on experience with Python and deep learning frameworks such as PyTorch.nHands on experience training large generative neural networks (GAN, Diffusion Models).
**Preferred Qualifications**
 PhD degree in Machine Learning, Computer Science, Electrical/Computer Engineering, or related fields.nKnowledge of low\-level vision algorithms such as spatial and temporal image/video tscaling, noise reduction, etc. nBackground in digital signal and image processingnHands on experience with multi\-modal foundation modelsnPublication record in top\-tier conferences (e.g., CVPR, ICCV, SIGGRAPH, ECCV, NeurIPS, ICML, ICLR).nExcellent independent problem\-solving skillsnExcellent written and oral communication skills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7">
      <c r="A17" t="inlineStr">
        <is>
          <t>li-4359181120</t>
        </is>
      </c>
      <c r="B17" t="inlineStr">
        <is>
          <t>AIML - ML Engineer, Responsible AI</t>
        </is>
      </c>
      <c r="C17" t="inlineStr">
        <is>
          <t>Apple</t>
        </is>
      </c>
      <c r="D17" t="inlineStr">
        <is>
          <t>linkedin</t>
        </is>
      </c>
      <c r="E17">
        <f>HYPERLINK("https://www.linkedin.com/jobs/view/4359181120", "https://www.linkedin.com/jobs/view/4359181120")</f>
        <v/>
      </c>
      <c r="F17" t="inlineStr"/>
      <c r="G17" t="inlineStr">
        <is>
          <t>Cupertino, CA</t>
        </is>
      </c>
      <c r="H17" t="inlineStr"/>
      <c r="I17" t="inlineStr">
        <is>
          <t>**Summary**
 Would you like to play a part in building the next generation of generative AI applications at Apple? We're looking for scientists and engineers to work on ambitious projects that will impact the future of Apple, our products, and the broader world.nnIn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lifecyclenn\- Develop methods, models, and tools to interpret and explain failures in language and diffusion modelsnn\- Build and maintain human annotation and red teaming pipelines to assess quality and risk of various Apple productsnn\- Prototype, implement, and evaluate new ML models and algorithms for red teaming LLMsnn\- Work with highly\-sensitive content with exposure to offensive and controversial contentn
**Minimum Qualifications**
 Strong engineering skills and experience in writing production\-quality code in Python, Swift or other programming languagesnnBackground in generative models, natural language processing, LLMs, or diffusion modelsnnExperience with failure analysis, quality engineering, or robustness analysis for AI/ML based featuresnnExperience working with crowd\-based annotations and human evaluationsnnExperience working on explainability and interpretation of AI/ML modelsnn
**Preferred Qualifications**
 BS, MS or PhD in Computer Science, Machine Learning, or related fields or an equivalent qualification acquired through other avenuesnnProven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8">
      <c r="A18" t="inlineStr">
        <is>
          <t>li-4357698429</t>
        </is>
      </c>
      <c r="B18" t="inlineStr">
        <is>
          <t>Machine Learning Engineer</t>
        </is>
      </c>
      <c r="C18" t="inlineStr">
        <is>
          <t>Apple</t>
        </is>
      </c>
      <c r="D18" t="inlineStr">
        <is>
          <t>linkedin</t>
        </is>
      </c>
      <c r="E18">
        <f>HYPERLINK("https://www.linkedin.com/jobs/view/4357698429", "https://www.linkedin.com/jobs/view/4357698429")</f>
        <v/>
      </c>
      <c r="F18" t="inlineStr"/>
      <c r="G18" t="inlineStr">
        <is>
          <t>Cupertino, CA</t>
        </is>
      </c>
      <c r="H18" t="inlineStr"/>
      <c r="I18" t="inlineStr">
        <is>
          <t>**Summary**
 Apple Maps and the thousands of applications it empowers are being used by millions nevery single day! As a fundamental tool for human activity, Maps technology is evolving nand new techniques are emerging. nWe are looking for a Machine Learning Engineer to join and help play a big part in the nnext revolution of Maps; to enable users to find more things in innovative ways. On our nteam, you will have plenty of opportunities to build groundbreaking technologies using nML and GenAI at scale to improve the search quality for Apple Maps.
**Description**
 The goal of Maps Search team is to take Apple’s Maps to the next level of intelligence nand accuracy using machine learning and artificial intelligence techniques. Engineers nand scientists on our team work on a wide spectrum of approaches to improve search nexperiences on Apple Maps. nIn this role, some of the projects you will contribute to include but are not limited to: n
* Develop and optimize ML algorithms to handle key issues in local search: query nunderstanding, intent modeling, ranking and semantic search n
* Design and develop tools, processes and analytics for backend data\-extraction npipelines \- along with performing hands\-on analyses to answer hard hypotheses/nquestions.nn
* Collaborate with various teams (e.g., infrastructure, quality, data) to develop exciting nfeatures and contribute towards our mission of best search experience to our end\-nusers.nnThis position involves a wide variety of skills and innovation, it is a unique opportunity nthat sits at the intersection of science and engineering. Ultimately, your work would nhave a huge impact on millions of users across the globe.
**Minimum Qualifications**
 MS in computer science or equivalent field with 3\+ years of industry experience nExperience in delivering end\-user facing ML driven productsnStrong programming experience in one or more of the following: Java, C\+\+, PythonnKnowledge and experience with one of Tensorflow/Pytorch/Jax frameworks.nExcellent interpersonal and communication skills \- working independently and/or in nsmall teamsnAttention to detail, data accuracy and quality of output.n
**Preferred Qualifications**
 Ph.D in computer science or equivalent field with 1\+ years of industry experience. nGood knowledge in various facets of machine learning and natural language nprocessing, such as classification, feature engineering, information extraction, nclustering, semi\-supervised learning, topic modeling and rankingnPractical understanding of the mathematics behind modern machine learning, linear nalgebra and statistics.nGood knowledge of big data processing, prior experience with Hadoop, Spark, Hive nis highly desired. nKnowledge and prior experience with some deep learning and GenAI frameworks are ndesired.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9">
      <c r="A19" t="inlineStr">
        <is>
          <t>li-4359146844</t>
        </is>
      </c>
      <c r="B19" t="inlineStr">
        <is>
          <t>ML Engineer</t>
        </is>
      </c>
      <c r="C19" t="inlineStr">
        <is>
          <t>Zillow</t>
        </is>
      </c>
      <c r="D19" t="inlineStr">
        <is>
          <t>linkedin</t>
        </is>
      </c>
      <c r="E19">
        <f>HYPERLINK("https://www.linkedin.com/jobs/view/4359146844", "https://www.linkedin.com/jobs/view/4359146844")</f>
        <v/>
      </c>
      <c r="F19" t="inlineStr"/>
      <c r="G19" t="inlineStr"/>
      <c r="H19" t="inlineStr"/>
      <c r="I19" t="inlineStr">
        <is>
          <t>**About The Company** 
 Zillow is a leading real estate platform dedicated to transforming the way people buy, sell, finance, and rent homes. As the most\-visited real estate website in the United States, Zillow leverages innovative technology to provide a seamless and engaging experience for millions of users. The company is committed to fostering an inclusive, dynamic, and forward\-thinking environment that empowers employees to drive industry\-changing solutions. Recognized among the best workplaces nationwide, Zillow emphasizes a culture of accountability, collaboration, and transparency, ensuring that its team members are supported and inspired to deliver exceptional results. With a focus on innovation, Zillow continuously invests in cutting\-edge AI and machine learning technologies to enhance its services and maintain its competitive edge in the real estate market.
**About The Role** 
 We are seeking a highly skilled Principal Machine Learning Engineer to join our Agentic AI team remotely. In this pivotal role, you will spearhead the development of advanced multimodal foundational AI technologies aimed at revolutionizing the real estate customer experience. Your expertise will be instrumental in prototyping, evaluating, and deploying sophisticated models onto Zillow’s scalable infrastructure platforms. The ideal candidate will have a strong background in perception, language understanding, deep reasoning, and reinforcement learning to enable autonomous decision\-making in AI agents. You will work closely with cross\-functional teams to design multi\-agent systems capable of highly autonomous, context\-aware interactions, leveraging frameworks such as AgentSDK, LangChain, and LangGraph. Your role will involve integrating state\-of\-the\-art generative AI models, including reasoning engines and real\-time voice APIs, transforming prototypes into production\-ready solutions that serve millions of users. As a leader in the organization, you will mentor engineers, foster a culture of responsible AI innovation, and ensure the seamless execution of applied science projects, balancing rapid experimentation with reliable deployment.
**Qualifications** 
* A master's degree or higher in Computer Science, Electrical Engineering, or a related field, with emphasis on foundational large language models, agentic AI, reinforcement learning, AI planning, or natural language processing.
* At least 7 years of hands\-on experience in building large\-scale, impactful AI solutions, with recent experience in agent\-based systems, multi\-agent collaboration, or similar paradigms.
* Proven expertise in developing dialogue systems capable of long conversations, multi\-step reasoning, and context\-rich decision\-making.
* Experience deploying and scaling AI services that handle hundreds of millions of daily interactions with high availability, low latency, and fault tolerance.
* Strong understanding of frameworks such as AgentSDK, LangChain, and LangGraph for designing multi\-agent systems.
* Experience working with advanced Generative AI models, including reasoning models and real\-time voice APIs.
* Excellent communication skills with the ability to translate complex research into actionable insights for diverse audiences, including executives.
* Experience publishing research in top AI/ML venues is a plus.
**Responsibilities** 
* Design, prototype, and develop multi\-agent systems capable of autonomous, context\-aware interactions using frameworks like AgentSDK, LangChain, and LangGraph.
* Leverage advanced generative AI models to build agent prototypes, iteratively refining them into scalable, product\-level solutions.
* Implement perception, language understanding, deep reasoning, and reinforcement learning techniques for AI agent decision\-making.
* Deploy AI services at scale, ensuring high availability, low latency, and fault tolerance to support millions of daily interactions.
* Mentor and guide engineering teams on best practices for developing and deploying agentic AI solutions.
* Foster a culture of responsible AI usage, innovation, and continuous learning within the team.
* Translate complex research findings into practical insights for stakeholders across the organization.
* Stay abreast of emerging trends and paradigms in agentic AI to drive product innovation and maintain Zillow’s technological leadership.
* Drive the planning, prioritization, and execution of applied science projects, ensuring alignment with business objectives and technical feasibility.
* Refine experimentation processes, including A/B testing and production rollouts, balancing innovation with reliability and responsible deployment.
**Benefits** 
* Competitive salary aligned with experience and location, with specific ranges based on geographic regions.
* Eligibility for equity awards based on performance, experience, and location.
* Comprehensive health, dental, and vision insurance plans.
* Flexible work arrangements supporting remote work across the United States.
* Generous paid time off and holidays to promote work\-life balance.
* Opportunities for professional development and continuous learning.
* Inclusive and innovative company culture that values diversity and collaboration.
 Equal Opportunity
 Zillow is an equal opportunity employer committed to fostering an inclusive environment for all employees. We do not discriminate based on race, color, religion, sex, sexual orientation, gender identity, national origin, age, disability, or veteran status. We welcome applicants from diverse backgrounds and are dedicated to providing accommodations for individuals with disabilities or special needs throughout the recruitment process.</t>
        </is>
      </c>
    </row>
    <row r="20">
      <c r="A20" t="inlineStr">
        <is>
          <t>li-4353491058</t>
        </is>
      </c>
      <c r="B20" t="inlineStr">
        <is>
          <t>Machine Learning Engineer</t>
        </is>
      </c>
      <c r="C20" t="inlineStr">
        <is>
          <t>Upstart</t>
        </is>
      </c>
      <c r="D20" t="inlineStr">
        <is>
          <t>linkedin</t>
        </is>
      </c>
      <c r="E20">
        <f>HYPERLINK("https://www.linkedin.com/jobs/view/4353491058", "https://www.linkedin.com/jobs/view/4353491058")</f>
        <v/>
      </c>
      <c r="F20" t="inlineStr"/>
      <c r="G20" t="inlineStr"/>
      <c r="H20" t="inlineStr"/>
      <c r="I20"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Teams:**
***Personal Loan, Underwriting:***
 This team is focused on leveraging machine learning to power Upstart’s underwriting models. This team is responsible for building the underwriting model which determines credit decisioning at Upstart. This model plays a central role in Upstart’s overall performance as a company and includes numerous challenging problems to solve.
 As a
 **Machine Learning Engineer, PL UW** 
 at Upstart, you will collaborate with our Research Scientists, Data Scientists, and other engineering departments. Your work will impact the team in a number of ways:
* You will increase ML productivity through better software and infrastructure; and improve how we research, train, deploy, serve and monitor our models.
* You will reduce the time it takes to go from idea to production, and enable us to test out new ideas. This will all manifest in us delivering on our critical mission of enabling access to credit more effectively.
* You will design and implement code and algorithms to help improve our model’s predictive power
***Growth Team:***
 Upstart’s Growth Team engages in marketing and borrower acquisition through direct mail (DM) campaigns and targeted loan offers on partner sites, leveraging machine learning to drive growth. The Growth ML team develops models to optimize borrower targeting, predict conversion probabilities, and refine pricing strategies across these channels. Our team has an outsized impact on Upstart’s success; the majority of the loans we originate can be directly attributed to the growth team’s efforts. The Growth ML organization is currently growing rapidly and expanding our scope into new problem spaces.
**How You’ll Make An Impact**
* Build repeatable workflows and automation that enables scientists to spend more time on high leverage tasks (methodology, writing, analysis) and less on keeping the lights on or getting things to run
* Discover and develop a short and long\-term roadmap of engineering improvements on the PL UW team
* Explore new algorithms and methodologies for our machine learning models
* Interface cross\-functionally with other engineering teams (data engineering, machine learning platform, pricing, and growth software engineering), to provide feedback and requirements, so that we can build high\-quality systems end\-to\-end
**Qualifications:**
* Education and Experience
+ PhD in a quantitative field with 0\+ years of relevant experience
+ Masters in a quantitative field with 2\+years of relevant experience
+ Bachelors in a quantitative field with 4\+years of relevant experience
* Experience in Python
* Experience with Machine Learning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$123,200—$170,500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1">
      <c r="A21" t="inlineStr">
        <is>
          <t>li-4357658653</t>
        </is>
      </c>
      <c r="B21" t="inlineStr">
        <is>
          <t>Machine Learning Engineer</t>
        </is>
      </c>
      <c r="C21" t="inlineStr">
        <is>
          <t>Apple</t>
        </is>
      </c>
      <c r="D21" t="inlineStr">
        <is>
          <t>linkedin</t>
        </is>
      </c>
      <c r="E21">
        <f>HYPERLINK("https://www.linkedin.com/jobs/view/4357658653", "https://www.linkedin.com/jobs/view/4357658653")</f>
        <v/>
      </c>
      <c r="F21" t="inlineStr"/>
      <c r="G21" t="inlineStr">
        <is>
          <t>Cupertino, CA</t>
        </is>
      </c>
      <c r="H21" t="inlineStr"/>
      <c r="I21" t="inlineStr">
        <is>
          <t>**Summary**
 The Motion u0026 Interaction team has created intuitive experiences for our customers through motion sensing. When you simply raise your wrist, shake your head, or move your device to interact, it’s the work of engineers and scientists on this team. Our fingerprints can be found across core capabilities and experiences on iPhone, Watch, AirPods, Vision Pro, and other Apple products.nnWe are a multidisciplinary team that operates at the intersection of algorithms, software, hardware, and design. We come from diverse backgrounds in signal processing, machine learning, software engineering, statistics, controls, firmware development, and more. As a member of our dynamic group, you will have a unique opportunity to work cross\-functionally to develop products and features that impact the lives of millions of users worldwide a daily basis.
**Description**
 We are seeking a talented, self\-motivated machine learning engineer to build Apple’s next\-generation features and experiences using multi\-modal sensing. In this role, you will ideate, design, and implement models u0026 algorithms, while optimizing for power, memory, and performance. You will be working on motion sensing\-related features, including sensor fusion and interactive technologies. nn
**Minimum Qualifications**
 MS, PhD, or 5\+ years experience in machine learning, computer science, or related fieldsnProfessional experience creating and experimenting with machine learning models, preferably with time series datanStrong proficiency in Python, machine learning tools and frameworks e.g. PyTorch, TensorFlownn
**Preferred Qualifications**
 Results oriented, with a proven ability to effectively prioritize and deliver tasks on schedulenExcellent communication and collaboration skillsnStrong product sense, including the ability to balance technical feasibility with user experiencenExperience developing for embedded or real\-time systemsnExperience leveraging distributed compute/storage models when the scale of data calls for itnExperience designing and implementing interfaces between algorithms, software, and firmwarenExperience with multi\-modal inputs and models, including IMU, images, video, and/or audio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2">
      <c r="A22" t="inlineStr">
        <is>
          <t>li-4359146198</t>
        </is>
      </c>
      <c r="B22" t="inlineStr">
        <is>
          <t>AIML - Machine Learning Engineer, Batch processing team</t>
        </is>
      </c>
      <c r="C22" t="inlineStr">
        <is>
          <t>Apple</t>
        </is>
      </c>
      <c r="D22" t="inlineStr">
        <is>
          <t>linkedin</t>
        </is>
      </c>
      <c r="E22">
        <f>HYPERLINK("https://www.linkedin.com/jobs/view/4359146198", "https://www.linkedin.com/jobs/view/4359146198")</f>
        <v/>
      </c>
      <c r="F22" t="inlineStr"/>
      <c r="G22" t="inlineStr">
        <is>
          <t>California, United States</t>
        </is>
      </c>
      <c r="H22" t="inlineStr"/>
      <c r="I22" t="inlineStr">
        <is>
          <t>**Summary**
 Imagine what you could do here. At Apple, great ideas have a way of becoming great products, services, and customer experiences very quickly. Bring passion and dedication to your job and there’s no telling what you could accomplish.nnDo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Lookup.nnAs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BS in a relevant field or equivalent experiencenStrong coding skillsnStrong background in computer science, algorithms, data structures and analytics.nFast learner, have a voracious and intrinsic desire to learn and fill in missing skills.nExcellent interpersonal skills able to work independently as well as in a team.
**Preferred Qualifications**
 Experience with AWS Services such as Amazon S3 EC2 EKS / Kubernetes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3">
      <c r="A23" t="inlineStr">
        <is>
          <t>li-4357668830</t>
        </is>
      </c>
      <c r="B23" t="inlineStr">
        <is>
          <t>Machine Learning Engineer - Strategic Data Solutions</t>
        </is>
      </c>
      <c r="C23" t="inlineStr">
        <is>
          <t>Apple</t>
        </is>
      </c>
      <c r="D23" t="inlineStr">
        <is>
          <t>linkedin</t>
        </is>
      </c>
      <c r="E23">
        <f>HYPERLINK("https://www.linkedin.com/jobs/view/4357668830", "https://www.linkedin.com/jobs/view/4357668830")</f>
        <v/>
      </c>
      <c r="F23">
        <f>HYPERLINK("https://jobs.apple.com/en-us/details/200640138&amp;urlHash=gJ8R", "https://jobs.apple.com/en-us/details/200640138&amp;urlHash=gJ8R")</f>
        <v/>
      </c>
      <c r="G23" t="inlineStr">
        <is>
          <t>Austin, TX</t>
        </is>
      </c>
      <c r="H23" t="inlineStr"/>
      <c r="I23" t="inlineStr">
        <is>
          <t>**Summary**
 Do you love the challenge of solving complex problems that can have a direct and meaningful impact on the company? Do you want to be part of a supportive team that’s constantly learning and having fun while solving tough business problems? We’d love to talk to you if you do! nnAt Apple, new ideas have a way of quickly becoming outstanding products, services, and customer experiences. Bring passion and dedication to your career, and there's no telling what you could accomplish! Strategic Data Solutions empowers internal partners and optimizes the customer experience by delivering data\-driven solutions that mitigate fraud, improve security, and optimize efficiency. Our work touches all parts of Apple, from manufacturing to fulfillment to apps and services. The enormous scale and complexity of the problems and our data present exciting opportunities for pushing the limits of existing data science methods. nnAs a SDS Machine Learning Engineer, you will work with teams across Apple, using data analysis and predictive modeling techniques to define, build, deploy, and maintain end\-to\-end operational solutions that have a direct and measurable impact to the company and our customers. nnOur commitment to you: We will provide challenging problems that will engage your curiosity. We will provide an organizational culture that values collaboration, problem\-solving, and work\-life balance. We will provide mentorship to further develop your technical and leadership skills.
**Description**
* Engage with stakeholders to translate ambiguous business problems into technical solutions, including finding opportunities, breaking them into solvable segments, defining requirements, assessing level of effort, etc n
* Work cooperatively to design data science\-driven solutions, balancing the utility of tried\-and\-true techniques and the benefits of custom solutions n
* Collaborate with technical partners to implement robust real\-time and batch decisioning in production n
* Create reporting and monitor decisioning quality to maintain operational and business metric health n
* Investigate trends, assess threat impact, and respond with agile logic changes n
* Communicate with stakeholders with varying technical backgrounds and business priorities about your work n
* Share what you're learning about novel technologies and methods (in data science, machine learning, data engineering, and software engineering, etc) to improve your team's overall technical capabilities
**Minimum Qualifications**
 Graduate degree with research/work experience utilizing data science techniques (including but not limited to Computer Science, Statistics, Political Science, Biology, etc) or Bachelor’s degree with equivalent experiencenAt least 3 years of practical experience (acquired through work, independent projects, or academic research) in deploying machine learning solutions to answer real\-world questionsnPractical experience with implementing data science\-related applications in a programming language such as Python, Scala, or Java
**Preferred Qualifications**
 Theoretical understanding of machine learning algorithms and their relative strengths and weaknessesnAbility to use a querying language such as SQL to extract insights from datanDemonstrate ability to think holistically about system structures and interactions in order to anticipate technical, business, and customer impactnEffective communication skills to translate complex concepts and analysis into concise, business\-focused solutionsnTeam\-oriented skills and values to facilitate effective collaboration with business and technical partners
**Pay \&amp; Benefits**
 u003cpu003eApple accepts applications to this posting on an ongoing basis.u003c/pu003e</t>
        </is>
      </c>
    </row>
    <row r="24">
      <c r="A24" t="inlineStr">
        <is>
          <t>li-4359018608</t>
        </is>
      </c>
      <c r="B24" t="inlineStr">
        <is>
          <t>Machine Learning Engineer</t>
        </is>
      </c>
      <c r="C24" t="inlineStr">
        <is>
          <t>Apple</t>
        </is>
      </c>
      <c r="D24" t="inlineStr">
        <is>
          <t>linkedin</t>
        </is>
      </c>
      <c r="E24">
        <f>HYPERLINK("https://www.linkedin.com/jobs/view/4359018608", "https://www.linkedin.com/jobs/view/4359018608")</f>
        <v/>
      </c>
      <c r="F24">
        <f>HYPERLINK("https://jobs.apple.com/en-us/details/200616307&amp;urlHash=6p2t", "https://jobs.apple.com/en-us/details/200616307&amp;urlHash=6p2t")</f>
        <v/>
      </c>
      <c r="G24" t="inlineStr">
        <is>
          <t>Cupertino, CA</t>
        </is>
      </c>
      <c r="H24" t="inlineStr"/>
      <c r="I24" t="inlineStr">
        <is>
          <t>**Summary**
 Apple is where individual imaginations gather together, committing to the values that lead to great work. Every new product we build, service we create, or experience we deliver is the result of us making each other’s ideas stronger. The diversity of our people and their thinking inspires the innovation that runs through everything we do. When we bring everybody in, we can do the best work of our lives. Here, you’ll do more than join something — you’ll add something.
**Description**
 The Special Projects team at Apple is developing novel user\-facing conversational features that leverage the multimodal capabilities of state\-of\-the\-art foundation models. We are looking for a highly skilled Machine Learning Engineer to build the processes to evaluate these experiences. A successful candidate is experienced in evaluating complex foundation model driven systems end\-to\-end, translating subjective product requirements into objective criteria, and has strong statistical analysis skills.
**Minimum Qualifications**
 Master’s degree in Computer Science or other STEM majorsn2\+ years of hands\-on industry experience with product focused statistical analysis for generative modelsnProficiency in Python and ML frameworks (Pytorch or Tensorflow)
**Preferred Qualifications**
 PhD in Computer Science, Machine Learning, Statistics or a related technical fieldn5\+ years of hands\-on industry experience with product focused statistical analysis for generative modelsnExperience with experimental design, A/B testing and Failure AnalysisnProficiency in training and evaluation of foundation models and frameworksnA track record of publications or technical presentations in Machine Learning journals or conferencesnExcellent at communication and cross functional collaboration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5">
      <c r="A25" t="inlineStr">
        <is>
          <t>li-4353530136</t>
        </is>
      </c>
      <c r="B25" t="inlineStr">
        <is>
          <t>Machine Learning Engineer - $140K - Manhattan</t>
        </is>
      </c>
      <c r="C25" t="inlineStr">
        <is>
          <t>WUNDERTALENT</t>
        </is>
      </c>
      <c r="D25" t="inlineStr">
        <is>
          <t>linkedin</t>
        </is>
      </c>
      <c r="E25">
        <f>HYPERLINK("https://www.linkedin.com/jobs/view/4353530136", "https://www.linkedin.com/jobs/view/4353530136")</f>
        <v/>
      </c>
      <c r="F25" t="inlineStr"/>
      <c r="G25" t="inlineStr">
        <is>
          <t>Manhattan, NY</t>
        </is>
      </c>
      <c r="H25" t="inlineStr"/>
      <c r="I25" t="inlineStr">
        <is>
          <t>An Early\-Stage Applied AI StartUp is looking for an ML Engineer to join the team.
 The Machine Learning Engineer will be responsible for designing and developing machine learning systems, implementing appropriate ML algorithms, conducting experiments, and improving the product. They work with data to create models, perform statistical analysis, and train and retrain systems to optimize performance. Their goal is to build efficient self\-learning applications that will delight customers. This is an early\-stage company with ambitious goals.
**You might be a good fit if you have:** 
* Proficiency in PyTorch and modern\-transformer based systems
* Experience with AWS for scalable ML service deployment
* Experience and working knowledge with Agentic AI frameworks (e.g., Langchain, MCP, A2A) and RAG systems
* Have 1\-3\+ years of full\-time experience at a hypergrowth startup
**What We’re Looking For:** 
* **Strong ML Foundations** 
 \- Experience with recommender systems, embeddings, foundation models. You understand when to use the fancy stuff—and when to keep it simple.
* **Production Mindset** 
 \- You’ve shipped ML systems that run in the real world. You write reliable Python, know your way around infra basics, and care about performance.
* **Data Agility** 
 \- You’ve worked with messy data—scraping, parsing, cleaning, and transforming it into something your models can learn from.
* **Frontend Awareness** 
 \- You’re not expected to be a frontend engineer, but you know how to make ML feel native in a modern React\-based product.
* **High Ownership DNA** 
 \- You see the problem, spec the solution, and ship. You don’t need permission—you need a challenge</t>
        </is>
      </c>
    </row>
    <row r="26">
      <c r="A26" t="inlineStr">
        <is>
          <t>li-4357638648</t>
        </is>
      </c>
      <c r="B26" t="inlineStr">
        <is>
          <t>Machine Learning Engineer - Data, Productivity Apps</t>
        </is>
      </c>
      <c r="C26" t="inlineStr">
        <is>
          <t>Apple</t>
        </is>
      </c>
      <c r="D26" t="inlineStr">
        <is>
          <t>linkedin</t>
        </is>
      </c>
      <c r="E26">
        <f>HYPERLINK("https://www.linkedin.com/jobs/view/4357638648", "https://www.linkedin.com/jobs/view/4357638648")</f>
        <v/>
      </c>
      <c r="F26" t="inlineStr"/>
      <c r="G26" t="inlineStr">
        <is>
          <t>Cupertino, CA</t>
        </is>
      </c>
      <c r="H26" t="inlineStr"/>
      <c r="I26" t="inlineStr">
        <is>
          <t>**Summary**
 At Apple, new ideas have a way of becoming phenomenal products, services, and customer experiences very quickly!nnThe Productivity Apps team—the team behind apps like Notes, Freeform, and iWork— needs your help shaping the next generation of productivity tools by working on pioneering technologies to surprise and delight our users. You will be working alongside our world\-class creatives, designers, scientists, and engineers to help innovate in the productivity space in ways that only Apple can. This is a highly visible, highly impactful opportunity!
**Description**
 As a Machine Learning Engineer focused on data, you'll be the expert on what's in our datasets and how data characteristics impact model performance. Your primary responsibility will be profiling and analyzing data to surface quality issues, identify gaps, and guide improvements to both evaluation and training datasets. Your deep understanding of our data will drive informed decisions across our ML pipeline and will be critical to our success in delivering high\-quality features to our customers.n
**Minimum Qualifications**
 MS or PhD in Computer Science, Machine Learning, Statistics, or related field.n3\+ years of experience contributing to machine learning models in production environments.nStrong background in statistical analysis and modeling, including correlation analysis, clustering methods, probability theory, principal component analysis, outlier detection, and data visualization.nHands\-on experience improving large training datasets consisting of both structured and unstructured data.nExperience reading research papers and the ability to comprehend and build on key ideas.nStrong programming skills and proficiency with numeric/statistical libraries like pandas, numpy, scipy, etc.nStrong problem\-solving and communication skills and the ability to communicate your ideas through effective data visualizations.n
**Preferred Qualifications**
 Experience with distributed computing frameworks (e.g., Spark, Hadoop) for large\-scale data processing.nExperience with deep learning toolkits like PyTorch, JAX, TensorFlow, etc.nFamiliarity with cloud platforms (e.g., AWS, GCP, Azure) and ML deployment tools.n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7">
      <c r="A27" t="inlineStr">
        <is>
          <t>li-4359018560</t>
        </is>
      </c>
      <c r="B27" t="inlineStr">
        <is>
          <t>AIML- Machine Learning Engineer, Machine Learning Platform Technologies</t>
        </is>
      </c>
      <c r="C27" t="inlineStr">
        <is>
          <t>Apple</t>
        </is>
      </c>
      <c r="D27" t="inlineStr">
        <is>
          <t>linkedin</t>
        </is>
      </c>
      <c r="E27">
        <f>HYPERLINK("https://www.linkedin.com/jobs/view/4359018560", "https://www.linkedin.com/jobs/view/4359018560")</f>
        <v/>
      </c>
      <c r="F27">
        <f>HYPERLINK("https://jobs.apple.com/en-us/details/200607382&amp;urlHash=fvQa", "https://jobs.apple.com/en-us/details/200607382&amp;urlHash=fvQa")</f>
        <v/>
      </c>
      <c r="G27" t="inlineStr">
        <is>
          <t>California, United States</t>
        </is>
      </c>
      <c r="H27" t="inlineStr"/>
      <c r="I27" t="inlineStr">
        <is>
          <t>**Summary**
 Imagine what you could do here. At Apple, great ideas have a way of becoming great products, services, and customer experiences very quickly. Bring passion and dedication to your job and there’s no telling what you could accomplish.nnDo you want to make Siri and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u0026 Camera, Spotlight, Safari, Siri and upcoming ever exciting Apple products serving millions of queries every day with incredible low latencies, drawing every ounce of compute from our hardware.nnAs part of this group, you will work with one of the most exciting high performance computing environments, with petabytes of data, millions of queries per second, and have an opportunity to imagine and build products that delight our customers every single day. You will have a chance to work on optimizing billions of parameter language and vision and speech models using state of the art technologies and make it run at the scale of Apple.
**Description**
 Join our dynamic team at Apple, where we design, build, and maintain large\-scale infrastructure supporting search and AI features for billions of users globally.nnIn this team, you will have the opportunity to work on large\-scale, complex systems that process trillions of records and petabytes of data. You will design and implement scalable data mining information extraction algorithms and machine learning/deep learning models, work alongside Foundation Model Research teams to curate high\-quality datasets for cutting\-edge model architectures, and partner closely with product teams to build production\-grade solutions for millions of customers in real time.nnWe value end\-to\-end ownership and meticulous attention to detail, providing an environment where you can tackle complex challenges at an unparalleled scale. Your responsibilities will span the full service lifecycle, from conception and design to deployment and maintenance, offering a unique opportunity to influence Apple's AI\-driven future.
**Minimum Qualifications**
 Master's degree or Ph.D. in Computer Science, Machine Learning, or related field, or equivalent experience nStrong experience in developing and evaluating scalable ML/DL features, demonstrating a passion for understanding and improving model/data qualitynStrong programming skills and hands\-on experience using one of the deep learning frameworks: PyTorch, Tensorflow or Jax.n2\+ years of experience or equivalent in large\-scale data processing using programming language Java, Scala or Python.nExcellent interpersonal skills able to work independently and in close partnership with ML researchers
**Preferred Qualifications**
 The ability to formulate machine learning problems, design, experiment, implement, and communicate solutions effectively with multi\-functional teams.nExperience managing rapid prototyping and proof\-of\-concept development in ML/AInFamiliar with challenges associated with training large models and working with large datanUnderstanding of ML operations, including model development, evaluation, and deploymentnFamiliar with fundamental Deep Learning architectures such as Transformers, Encoder/Decoder models.nFamiliar with Nvidia TensorRT\-LLM, vLLLM, Nvidia Triton Server etc.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8">
      <c r="A28" t="inlineStr">
        <is>
          <t>li-4359171485</t>
        </is>
      </c>
      <c r="B28" t="inlineStr">
        <is>
          <t>AIML - Machine Learning Engineer, Responsible AI</t>
        </is>
      </c>
      <c r="C28" t="inlineStr">
        <is>
          <t>Apple</t>
        </is>
      </c>
      <c r="D28" t="inlineStr">
        <is>
          <t>linkedin</t>
        </is>
      </c>
      <c r="E28">
        <f>HYPERLINK("https://www.linkedin.com/jobs/view/4359171485", "https://www.linkedin.com/jobs/view/4359171485")</f>
        <v/>
      </c>
      <c r="F28">
        <f>HYPERLINK("https://jobs.apple.com/en-us/details/200636392&amp;urlHash=NJfW", "https://jobs.apple.com/en-us/details/200636392&amp;urlHash=NJfW")</f>
        <v/>
      </c>
      <c r="G28" t="inlineStr">
        <is>
          <t>Cupertino, CA</t>
        </is>
      </c>
      <c r="H28" t="inlineStr"/>
      <c r="I28" t="inlineStr">
        <is>
          <t>**Summary**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nnIn this role you’ll have the opportunity to tackle innovative problems in machine learning, particularly focused on large language models for text generation, diffusion models for image generation, and mixed model systems for multimodal applications. nAs a member of Apple’s Responsible AI group you will be working on a wide array of new features and research in the generative AI space. nnOur team is currently interested in large generative models for vision and language, with particular interest on Responsible AI, safety, fairness, robustness, explainability, and uncertainty in models.nnn
**Description**
 This role focuses on developing, carrying\-out, interpreting, and communicating pre\- and post\-ship evaluations of the safety of Apple Intelligence features. Both human grading and model\-based auto\-grading are thoughtfully leveraged to power these evaluations. nAdditionally, this role researches and develops auto\-grading methodology u0026 infrastructure to benefit ongoing and future Apple Intelligence safety evaluations.nProducing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nThis role heavily draws on applied data science, scientific investigation and interpretation, cross\-functional communication and collaboration, and metrics reporting and presentation.nnn
**Minimum Qualifications**
 MS, or PhD in Computer Science, Machine Learning, Statistics, or related fields; or an equivalent qualification acquired through other avenues.nExperience working with generative models for evaluation and/or product development, and up\-to\-date knowledge of common challenges and failures.nStrong engineering skills and experience in writing production\-quality code in Python.nDeep experience in foundation model\-based AI programming (i.e.: using DSPy for optimizing foundation model prompts, for example) and a drive to innovate in this space.nExperience working with noisy, crowd\-based data labels and human evaluations.nnn
**Preferred Qualifications**
 Experience working in the Responsible AI space.nPrior scientific research and publication experience.nStrong organizational and operational skills working with large, multi\-functional, and diverse teams.nCuriosity about fairness and bias in generative AI systems, and a strong desire to help make the technology more equitable.nn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9">
      <c r="A29" t="inlineStr">
        <is>
          <t>li-4357607771</t>
        </is>
      </c>
      <c r="B29" t="inlineStr">
        <is>
          <t>AI Engineer</t>
        </is>
      </c>
      <c r="C29" t="inlineStr">
        <is>
          <t>iFIT</t>
        </is>
      </c>
      <c r="D29" t="inlineStr">
        <is>
          <t>linkedin</t>
        </is>
      </c>
      <c r="E29">
        <f>HYPERLINK("https://www.linkedin.com/jobs/view/4357607771", "https://www.linkedin.com/jobs/view/4357607771")</f>
        <v/>
      </c>
      <c r="F29" t="inlineStr"/>
      <c r="G29" t="inlineStr">
        <is>
          <t>Park City, UT</t>
        </is>
      </c>
      <c r="H29" t="inlineStr"/>
      <c r="I29"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We are currently seeking an ambitious pace\-setter to join our team as an
 **AI Engineer working remotely** 
 who has experience architecting and shipping robust multi\-agent systems in production, and knows what it takes to do so at scale.
**ROLE COMMITMENTS**
* Be a core builder of the AI Coach for iFITs users as we look to create a holistic fitness platform
* Deliver high\-quality consumer experiences: Create compelling, personalized, and high\-quality AI experiences that enhances user engagement.
* Build the most compelling connected health \&amp; fitness platform: Leverage cutting\-edge generative AI to pioneer innovative features that redefine connected fitness experiences.
* Make people, culture, and how we operate a competitive advantage: Collaborate cross\-functionally to foster innovation, agility, and continuous learning within the team.
**ESSENTIAL DUTIES AND RESPONSIBILITIES**
 We’re looking for talented AI engineers who have experience architecting and shipping robust multi\-agent systems in production, and know what it takes to do so at scale. You’ll be a core part of a cross\-functional team working on the AI Coach.
* Design, develop, and deploy AI Coach capabilities
* Collaborate closely with a high\-impact inter\-disciplinary team to build and ship production\-quality code
* Contribute to a data culture by building systems that enable evals and application observability
* Contribute to architectural decisions and best practices for AI\-driven systems
* Improve foundational LLMs
* Ensure our solutions remain at the forefront of the industry by actively monitoring and adopting new developments in AI and machine learning.
* Cultivate a culture of growth by providing mentorship and expert guidance to our engineering team on AI and software development best practices.
**EDUCATION \&amp; EXPERIENCE**
**Education and Basic Qualifications**
* 5\+ years of relevant engineering and AI experience
* Experience with Agentic AI frameworks (LangGraph and Llama\-Index) and building, deploying and maintaining LLM\-based agentic applications in production are essential
* Demonstrated expertise in writing production\-level Python/Typescript code
* Proven ability to design and prototype AI solutions quickly
* Experience with production\-level multi\-agent AI systems is a must
* Authorized to work in the United States without sponsorship.
***DISCLAIMER***
**Compensation may vary based on the job level, your geographic work location, position incentive plan, and exemption status.**
***Although we currently may consider hiring in the states listed below, not all positions are available in all locations, and work in a particular state is not guaranteed. Current list of states where iFIT may consider hiring: AK, AL, AR, AZ, CA, CO, CT, FL, GA, ID, IL, IN, KS, KY, LA, MA, MD, MI, MN, MO, MS, NC, NH, NJ, NV, NY, OH, OK, OR, PA, RI, SC, SD, TN, TX, UT, VA, WA, WI, WY.***
*Subject to applicable state laws, your employment at iFIT is "at\-will". At\-will employment means that you and the company each have the right to terminate the employment relationship at any time for any cause or for no cause at all.*
 Pay Range: : $170,000 USD \- $250,000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30">
      <c r="A30" t="inlineStr">
        <is>
          <t>li-4359018589</t>
        </is>
      </c>
      <c r="B30" t="inlineStr">
        <is>
          <t>Computer Vision and Machine Learning Engineer</t>
        </is>
      </c>
      <c r="C30" t="inlineStr">
        <is>
          <t>Apple</t>
        </is>
      </c>
      <c r="D30" t="inlineStr">
        <is>
          <t>linkedin</t>
        </is>
      </c>
      <c r="E30">
        <f>HYPERLINK("https://www.linkedin.com/jobs/view/4359018589", "https://www.linkedin.com/jobs/view/4359018589")</f>
        <v/>
      </c>
      <c r="F30">
        <f>HYPERLINK("https://jobs.apple.com/en-us/details/200585934&amp;urlHash=-_ue", "https://jobs.apple.com/en-us/details/200585934&amp;urlHash=-_ue")</f>
        <v/>
      </c>
      <c r="G30" t="inlineStr">
        <is>
          <t>Sunnyvale, CA</t>
        </is>
      </c>
      <c r="H30" t="inlineStr"/>
      <c r="I30" t="inlineStr">
        <is>
          <t>**Summary**
 The Video Computer Vision org is a centralized applied research and engineering team responsible for developing real\-time on\-device Computer Vision and Machine Perception technologies across Apple products. We have contributed to the algorithms driving FaceID and FaceKit in the past and more recently to the new Apple Vision Pro and Spatial Computing. As a member of the Video Computer Vision group you will perform cutting\-edge artificial intelligence research that will craft the future of spatial computing.nnWe are looking for the right 3D Computer Vision and Machine Learning Engineer to help us take our efforts to the next level. You will be part of a community of researchers and engineers who are passionate about pushing the boundaries of what is possible with spatial media and AI. We value a culture of learning, intellectual curiosity, and exploration, and we believe that your passion and expertise will help us create revolutionary products that delight and inspire millions of people every day.
**Description**
 We are looking for a proactive Computer Vision and Machine Learning Engineer to join our team and help design and implement algorithms for spatial media and AI. The ideal candidate should have experience with 3DCV, rendering techniques and machine learning and be passionate about bringing algorithms from research all the way to product.nIn this position, you will work along side computer vision and machine learning researchers to implement world class algorithms that pushes the state of the art and resonate with our users at a personal level.
**Minimum Qualifications**
 Proficient in C/C\+\+, CUDA or other GPGPUnExpertise in at least one deep learning framework, eg: PyTorch, TensorFlow, or JaxnSolid foundation in 3D graphics and computer visionnUnderstanding of machine learning technologynBachelor degree and a minimum of 3 years relevant industry experience
**Preferred Qualifications**
 Swift is a plusnBe able to work independently and with othersnExcellent problem\-solving, critical thinking, and communication skillsnPassion for cutting edge AI and spatial computing technologies and product delivery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1">
      <c r="A31" t="inlineStr">
        <is>
          <t>li-4359181130</t>
        </is>
      </c>
      <c r="B31" t="inlineStr">
        <is>
          <t>AIML - Machine Learning Engineer, Foundation Models</t>
        </is>
      </c>
      <c r="C31" t="inlineStr">
        <is>
          <t>Apple</t>
        </is>
      </c>
      <c r="D31" t="inlineStr">
        <is>
          <t>linkedin</t>
        </is>
      </c>
      <c r="E31">
        <f>HYPERLINK("https://www.linkedin.com/jobs/view/4359181130", "https://www.linkedin.com/jobs/view/4359181130")</f>
        <v/>
      </c>
      <c r="F31" t="inlineStr"/>
      <c r="G31" t="inlineStr">
        <is>
          <t>Cupertino, CA</t>
        </is>
      </c>
      <c r="H31" t="inlineStr"/>
      <c r="I31" t="inlineStr">
        <is>
          <t>**Summary**
 We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products.nnWe are looking for engineers who are passionate about building systems that push the frontier of deep learning in terms of scaling, efficiency, and flexibility and delight millions of users in Apple products.
**Description**
 We believe that the most interesting problems in deep learning research arise when we try to apply learning to real\-world use cases, and this is also where the most important breakthroughs come from. You will work with a close\-knit and fast growing team of world\-class engineers and scientists to tackle some of the most challenging problems in foundation models and deep learning, including natural language processing, multi\-modal understanding, and combining learning with knowledge.
**Minimum Qualifications**
 Proven track record in training or deployment of large models or building large\-scale distributed systems.nProficient programming skills in Python and one of the deep learning toolkits such as JAX, PyTorch, or Tensorflow.nAbility to work in a collaborative environment.nPhD, or equivalent practical experience, in Computer Science, or related technical field.
**Preferred Qualifications**
 Web\-scale information retrievalnHuman\-like conversation agentnMulti\-modal perception for existing products and future hardware platformsnOn\-device intelligence and learning with strong privacy protections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2">
      <c r="A32" t="inlineStr">
        <is>
          <t>li-4359108121</t>
        </is>
      </c>
      <c r="B32" t="inlineStr">
        <is>
          <t>Sr AI/ML Engineer - Remote</t>
        </is>
      </c>
      <c r="C32" t="inlineStr">
        <is>
          <t>Optum</t>
        </is>
      </c>
      <c r="D32" t="inlineStr">
        <is>
          <t>linkedin</t>
        </is>
      </c>
      <c r="E32">
        <f>HYPERLINK("https://www.linkedin.com/jobs/view/4359108121", "https://www.linkedin.com/jobs/view/4359108121")</f>
        <v/>
      </c>
      <c r="F32" t="inlineStr"/>
      <c r="G32" t="inlineStr">
        <is>
          <t>Boston, MA</t>
        </is>
      </c>
      <c r="H32" t="inlineStr"/>
      <c r="I32" t="inlineStr">
        <is>
          <t>**Primary Responsibilities:** 
* Design, develop, and deploy AI/ML models using GenAI technologies (LLMs, RAG, Agentic AI)
* Utilize frameworks such as LangGraph, LangChain, TensorFlow, PyTorch, or Keras for model development
* Build models that generate new data samples, patterns, or content based on existing inputs
* Deploy AI/ML solutions in production environments, preferably on cloud platforms like Azure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Ensure code quality and security by identifying and resolving vulnerabilities
* Maintain solid programming practices with a focus on Python
* Work Eastern Time Zone hours to support collaboration across a global team
* Participate in on\-call rotations as scheduled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in Computer Science, Data Science, or related field
* 7\+ years of industry or academic experience in AI/ML or Data Science
* 4\+ years of hands\-on experience with Python and version control tools like GitHub
* 4\+ years of experience with deep learning frameworks (e.g., PyTorch, TensorFlow)
* 3\+ years of experience deploying AI/ML solutions in production environments
**Preferred Qualifications:** 
* Certifications in AI/ML or related technologies
* Experience with Git management and CI/CD best practices
* Experience in designing high\-level cloud architecture for AI/ML solutions
* Familiarity with cloud platforms (Azure, AWS, Google Cloud)
* Knowledge of UAIS and MLRB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33">
      <c r="A33" t="inlineStr">
        <is>
          <t>li-4357688574</t>
        </is>
      </c>
      <c r="B33" t="inlineStr">
        <is>
          <t>AI Engineer</t>
        </is>
      </c>
      <c r="C33" t="inlineStr">
        <is>
          <t>Apple</t>
        </is>
      </c>
      <c r="D33" t="inlineStr">
        <is>
          <t>linkedin</t>
        </is>
      </c>
      <c r="E33">
        <f>HYPERLINK("https://www.linkedin.com/jobs/view/4357688574", "https://www.linkedin.com/jobs/view/4357688574")</f>
        <v/>
      </c>
      <c r="F33">
        <f>HYPERLINK("https://jobs.apple.com/en-us/details/200612095&amp;urlHash=mbZm", "https://jobs.apple.com/en-us/details/200612095&amp;urlHash=mbZm")</f>
        <v/>
      </c>
      <c r="G33" t="inlineStr">
        <is>
          <t>Austin, TX</t>
        </is>
      </c>
      <c r="H33" t="inlineStr"/>
      <c r="I33" t="inlineStr">
        <is>
          <t>**Summary**
 Imagine what you could do here. At Apple, new ideas have a way of becoming outstanding products, services, and customer experiences very quickly. Bring passion and dedication to your job, and there's no telling what you could accomplish!nnApple’s Sales organization generates the revenue needed to fuel our ongoing development of products and services. This, in turn, enriches the lives of hundreds of millions of people around the world. We are, in many ways, the face of Apple to our largest customers.
**Description**
 Apple's US Decision Intelligence (DI) team is looking for a dedicated individual who is passionate about crafting, implementing, and operating AI solutions that have a direct and measurable impact on Apple Sales and its customers. We’re looking for a hands\-on AI Engineer with strong software development skills and a passion for applying LLMs and ML models to real\-world business problems. You’ll be responsible for building, testing, and optimizing intelligent agents, retrieval pipelines, and embedded AI features across our sales data platforms.nnThis role will operate in both capacities, to augment existing AI roadmap, as well as innovate and trailblazing new frontier tech projects, crafting AI experiences that reduce time to insights and catalyze decision making. AI is a team sport, and in your role, you will be key in leading and influencing teams on the translation of business problems and questions into GenAI solutions.
**Minimum Qualifications**
 7\+ years of experience in ML, data engineering, or backend development, with recent focus on GenAI and LLMs.nEagerness and ability to learn new skills and solve dynamic problems in an encouraging and expansive environment.nAbility to lead development of AI projects from start to finish.nComfort with ambiguity. Ability to architect a full orchestrator and business context layer for sales.nProficiency in Python (FastAPI, LangChain, or similar frameworks), prompt engineering, and RESTful API design.nHands\-on experience with LLM APIs, embeddings, vector databases, and RAG workflows.nSolid grounding in data structures, async programming, and pipeline orchestration.nExperience working with monitoring and observability tools (e.g., Prometheus, OpenTelemetry, Weights u0026 Biases).nBias for action, curiosity, and a collaborative mindset.nFamiliarity with telemetry and evaluation frameworks for AI agents.nExperience working with data science teams on insights generation leveraging LLMs.nKnowledge of project management, productivity, and design tools such as Wrike and Sketch.nStrong time management skills with the ability to collaborate across multiple teams.nProven experience designing scalable, cloud\-native platforms (e.g., AWS, GCP, or on\-prem hybrid).nAbility to balance competing priorities, long\-term projects, and ad hoc requirements.nAbility to work in a fast\-paced, dynamic, constantly evolving business environment.nB.S Degree in Computer Science/Engineering, or equivalent work experience.
**Preferred Qualifications**
 Strong experience articulating and translating business questions into AI solutions.nCommunicate results and insights effectively to partners and senior leaders, as well as both technical and non\-technical audiences.nExperience with anomaly detection and causal inference models.nSound communication skills \- adept at messaging domain and technical content, at a level appropriate for the audience. Strong ability to gain trust with stakeholders and senior leadership.nProven experience working with LLMs and GenAI frameworks (LangChain, LlamaIndex, etc.).nFamiliarity with embedding, retrieval algorithms, agents, and data modeling for vector development graphs.nProficiency with other complementary technologies for distributed systems architecture and asynchronous messaging, agent communication, and catching like RabbitMQ, Redis, and Valkey are preferred.nAdvanced Degree (MS or Ph.D.) in Economics, Electrical Engineering, Statistics, Data Science, or a similar quantitative field is preferred.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4">
      <c r="A34" t="inlineStr">
        <is>
          <t>li-4357698548</t>
        </is>
      </c>
      <c r="B34" t="inlineStr">
        <is>
          <t>AIML- Machine Learning Engineer, Machine Learning Platform Technologies</t>
        </is>
      </c>
      <c r="C34" t="inlineStr">
        <is>
          <t>Apple</t>
        </is>
      </c>
      <c r="D34" t="inlineStr">
        <is>
          <t>linkedin</t>
        </is>
      </c>
      <c r="E34">
        <f>HYPERLINK("https://www.linkedin.com/jobs/view/4357698548", "https://www.linkedin.com/jobs/view/4357698548")</f>
        <v/>
      </c>
      <c r="F34">
        <f>HYPERLINK("https://jobs.apple.com/en-us/details/200616600&amp;urlHash=kIJZ", "https://jobs.apple.com/en-us/details/200616600&amp;urlHash=kIJZ")</f>
        <v/>
      </c>
      <c r="G34" t="inlineStr">
        <is>
          <t>Santa Clara, CA</t>
        </is>
      </c>
      <c r="H34" t="inlineStr"/>
      <c r="I34" t="inlineStr">
        <is>
          <t>**Summary**
 Imagine what you could do here. At Apple, great ideas have a way of becoming great products, services, and customer experiences very quickly. Bring passion and dedication to your job and there’s no telling what you could accomplish.nnDo you want to make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u0026 Camera, Spotlight, Safari, Siri and upcoming ever exciting Apple products serving millions of queries every day with incredible low latencies, drawing every ounce of compute from our hardware.
**Description**
 Build the dataset intelligence layer behind Apple\-scale foundation models: data mining, information extraction, dataset curation, and evaluation signal that helps models improve faster with less compute. You’ll operate at petabyte/trillion\-record scale and partner directly with foundation model researchers to turn model failures into targeted data interventions. form the backbone of Apple’s search and foundation model platforms.nnAs part of this team, you will own services, pipeline end\-to\-end—from initial design and architecture, through implementation, deployment, and long\-term operation. You’ll collaborate closely with Foundation Model research teams to optimize for cutting\-edge model quality improvements.
**Minimum Qualifications**
 PhD or MS in ML/CS or related with 10\+ years of experience.nStrong ML/DL development \+ evaluation experience; strong coding in Python/Scala/Java; large\-scale data processing.nProficiency in at least one modern programming language Python, Go, or Scala, with a focus on writing robust, maintainable code.nProficiency in at least one popular ML framework such as PyTorch, TensorFlow, JAX and an understanding of how ML/AI systems are deployed in production.nFamiliarity with cloud \- Kubernetes, GCP, AWS, Object stores.nExcellent collaboration and communication skills; able to work independently and cross\-functionally with research, product, and operations teams.
**Preferred Qualifications**
 Experience with training\-data curation, synthetic data strategies, or evaluation dataset filtering / subset selection.nMLOps from research prototype → production.nFamiliarity with large\-model serving/optimization stacks (TensorRT\-LLM, vLLM, Triton)nExperience with data\-intensive systems (e.g., large\-scale data pipelines, feature generation, Dataflow, Spark, Airflow, Dataflow).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5">
      <c r="A35" t="inlineStr">
        <is>
          <t>li-4359181110</t>
        </is>
      </c>
      <c r="B35" t="inlineStr">
        <is>
          <t>Machine Learning Engineer - Tools u0026 Frameworks AI</t>
        </is>
      </c>
      <c r="C35" t="inlineStr">
        <is>
          <t>Apple</t>
        </is>
      </c>
      <c r="D35" t="inlineStr">
        <is>
          <t>linkedin</t>
        </is>
      </c>
      <c r="E35">
        <f>HYPERLINK("https://www.linkedin.com/jobs/view/4359181110", "https://www.linkedin.com/jobs/view/4359181110")</f>
        <v/>
      </c>
      <c r="F35" t="inlineStr"/>
      <c r="G35" t="inlineStr">
        <is>
          <t>Cupertino, CA</t>
        </is>
      </c>
      <c r="H35" t="inlineStr"/>
      <c r="I35" t="inlineStr">
        <is>
          <t>**Summary**
 Our team of applied ML scientists and engineers works to enhance the experience and productivity of software development at Apple. Our team applies state\-of\-the\-art ML models to solve real\-world problems in software quality and development workflows. We're looking for talented and enthusiastic team members to join us in our efforts. If this sounds like you, we have many challenging and interesting problems to work on together and would love to talk to you!
**Description**
 Our team designs and builds ML solutions to transform how Apple and developers in the ecosystem approach developing quality software at scale. We are a team of applied scientists, infrastructure engineers, and machine learning engineers who work with NLP, computer vision, and multimodal domains to create AI\-powered testing solutions.nnIn this role, you will be responsible for bringing ML ideas to life within Apple's ecosystem. You'll prototype and refine ML techniques, adapting them to work effectively on Apple platforms and within Apple's technical constraints. You'll develop creative approaches to collecting evaluation and training data. And you will serve as a crucial bridge between research ideas and production reality. Your ability to spot potential pitfalls in data collection, on\-device model deployment, and integration will be an invaluable addition to the team.nnYou will be successful and feel fulfilled in our team if you enjoy turning ideas into working code, have a practical mindset about what it takes to ship ML systems, and thrive in a collaborative environment where you learn from senior teammates while contributing your own insights.
**Minimum Qualifications**
 1\-3 years of experience with machine learning in academic or professional settings, with demonstrated work on substantial ML projects beyond courseworknStrong programming and software engineering skills with ability to write clean, maintainable code, particularly within Apple’s ecosystemnPractical understanding of ML fundamentals and ability to implement ML algorithms from specifications or papersnBS or MS in Computer Science, Machine Learning, or related field
**Preferred Qualifications**
 Experience with Apple platforms, development tools, or frameworks (Core ML, Swift, Xcode)nBackground in software testing, quality assurance, or developer toolsnHands\-on experience with NLP, computer vision, or multimodal ML applicationsnFamiliarity with app development (iOS/macOS) or testing frameworks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6">
      <c r="A36" t="inlineStr">
        <is>
          <t>li-4357608507</t>
        </is>
      </c>
      <c r="B36" t="inlineStr">
        <is>
          <t>AIML - ML Engineer, Safety Human Evaluation</t>
        </is>
      </c>
      <c r="C36" t="inlineStr">
        <is>
          <t>Apple</t>
        </is>
      </c>
      <c r="D36" t="inlineStr">
        <is>
          <t>linkedin</t>
        </is>
      </c>
      <c r="E36">
        <f>HYPERLINK("https://www.linkedin.com/jobs/view/4357608507", "https://www.linkedin.com/jobs/view/4357608507")</f>
        <v/>
      </c>
      <c r="F36" t="inlineStr"/>
      <c r="G36" t="inlineStr">
        <is>
          <t>Cambridge, MA</t>
        </is>
      </c>
      <c r="H36" t="inlineStr"/>
      <c r="I36" t="inlineStr">
        <is>
          <t>**Summary**
 Join Us in Shaping the Future of Generative AI at Apple!nnWould you like to play a part in building the next generation of generative AI applications at Apple? We are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products.nnIn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Responsible AI, safety, fairness, robustness, explainability, and uncertainty in models.nn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u0026 decision\-makers. Responsibilities include:nn\- Develop metrics for evaluation of safety and fairness risks inherent to generative models and Gen\-AI featuresnn\- Design datasets, identify data needs, and work on creative solutions, scaling and expanding data coverage through human and synthetic generation methodsnn\- Develop sampling strategies and combine human annotation with auto\-grading to deliver high\-quality, high\-confidence insights at a fast pace and large scalenn\- Use and implement data pipelines, and collaborate cross\-functionally to execute end\-to\-end safety evaluationsnn\- Distill project findings into recommendations for product engineering teams and safety policy developmentnn\- Develop ML\-based enhancements to red teaming, model evaluation, and other processes to improve the quality of Apple Intelligence’s user\-facing productsnn\- Work with highly\-sensitive content with exposure to offensive and controversial content
**Minimum Qualifications**
 MS or PhD in Computer Science, Linguistics, Cognitive Science, HCI, Psychology, Mathematics, Physics, or a similar science or technology field with a strong basis in scientific data collection and analysis \+ at least 4 years of relevant work experience, or BA/BS with 8\+ years of relevant work experiencennExperience gathering and analyzing language data, image data, and/or multi\-modal data, including LLM\-generated datannStrong experience designing human annotation projects, writing guidelines, and dealing with highly multi\-labeled, nuanced, and often conflicting datannProficiency in data science, machine learning, analytics, and programming with Python u0026 Pandas; strong experience with one or more plotting u0026 visualization librariesnnAbility to collaborate with team members to prioritize competing projects, set and maintain a schedule for milestones and project completions, and communicate with all levels of team members as well as external stakeholders nnStrong skills for rigorous model quality metrics development; interpretation of experiments and evaluations; and presentation to executives
**Preferred Qualifications**
 Experience working in the Responsible AI spacennCuriosity about fairness and bias in generative AI systems, and a strong desire to help make the technology more equitablennPrior scientific research and publication experiencennExperience working with generative models for evaluation and/or product development, and up\-to\-date knowledge of common challenges and failuresnnProven track record of contributing to diverse teams in a collaborative environmentnnA passion for building outstanding and innovative products. This position involves a wide variety of interdisciplinary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7">
      <c r="A37" t="inlineStr">
        <is>
          <t>li-4359058787</t>
        </is>
      </c>
      <c r="B37" t="inlineStr">
        <is>
          <t>Machine Learning Engineer, AiDP</t>
        </is>
      </c>
      <c r="C37" t="inlineStr">
        <is>
          <t>Apple</t>
        </is>
      </c>
      <c r="D37" t="inlineStr">
        <is>
          <t>linkedin</t>
        </is>
      </c>
      <c r="E37">
        <f>HYPERLINK("https://www.linkedin.com/jobs/view/4359058787", "https://www.linkedin.com/jobs/view/4359058787")</f>
        <v/>
      </c>
      <c r="F37" t="inlineStr"/>
      <c r="G37" t="inlineStr">
        <is>
          <t>Seattle, WA</t>
        </is>
      </c>
      <c r="H37" t="inlineStr"/>
      <c r="I37" t="inlineStr">
        <is>
          <t>**Summary**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Join the AI u0026 Data Platform (AiDP) team and empower Apple's business groups with cutting\-edge ML, data, and analytics solutions. This position is an extraordinary opportunity for a competent, experienced, and results\-oriented machine learning engineer to define and build some of the best\-in\-class machine learning platforms and products that drive business outcomes across Retail, iTunes, Marketing, and more.
**Description**
 Our Machine Learning Engineers work on building intelligent systems to democratize AI across a wide range of solutions within Apple. You will drive the development and deployment of state\-of\-the\-art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**Minimum Qualifications**
 Strong proficiency in programming languages like Java or PythonnSolid understanding of Data Structures and Algorithms.n4\+ years of machine learning engineering experience in feature engineering, model training, model serving, model monitoring, and model refresh management.n2\+ years experience working with NLP and GenAI frameworks (LangChain, LlamaIndex, etc.)nExperience with cloud platforms (AWS, GCP) and containerization technologies (Docker, Kubernetes).nBachelors Computer Science or equivalent focus area
**Preferred Qualifications**
 Experience handling large\-scale datasets and data\-driven applications.nFamiliarity with embedding, retrieval algorithms, agents, data modeling for vector development graphs.nExcellent communication and experience working with multi\-functional teams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8">
      <c r="A38" t="inlineStr">
        <is>
          <t>li-4357638563</t>
        </is>
      </c>
      <c r="B38" t="inlineStr">
        <is>
          <t>AIML - Machine Learning Engineer - Special Projects</t>
        </is>
      </c>
      <c r="C38" t="inlineStr">
        <is>
          <t>Apple</t>
        </is>
      </c>
      <c r="D38" t="inlineStr">
        <is>
          <t>linkedin</t>
        </is>
      </c>
      <c r="E38">
        <f>HYPERLINK("https://www.linkedin.com/jobs/view/4357638563", "https://www.linkedin.com/jobs/view/4357638563")</f>
        <v/>
      </c>
      <c r="F38">
        <f>HYPERLINK("https://jobs.apple.com/en-us/details/200577082&amp;urlHash=LvDC", "https://jobs.apple.com/en-us/details/200577082&amp;urlHash=LvDC")</f>
        <v/>
      </c>
      <c r="G38" t="inlineStr">
        <is>
          <t>Cupertino, CA</t>
        </is>
      </c>
      <c r="H38" t="inlineStr"/>
      <c r="I38" t="inlineStr">
        <is>
          <t>**Summary**
 Apple is where individual imaginations gather together, committing to the values that lead to great work. Every new product we build, service we create, or experience we deliver is the result of us making each other’s ideas stronger. The diversity of our people and their thinking inspires the innovation that runs through everything we do. When we bring everybody in, we can do the best work of our lives. Here, you’ll do more than join something — you’ll add something.nnThe Special Projects team at Apple is developing novel user\-facing conversational features that leverage the multimodal capabilities of state\-of\-the\-art foundation models. We are looking for a highly skilled Machine Learning Engineer to lead the development and evaluation of such features in collaboration with cross\-functional stakeholders.n
**Description**
 In this role, you will:n\- Design and implement machine learning algorithms to aid in building user\-facing interactive conversational featuresn\- Leverage multi\-modal foundation models for rapid prototyping and iterationn\- Develop evaluation strategies to translate product requirements to objective metricsn\- Shepherd data collection and evaluation efforts to ensure rapid and measurable progressn\- Collaborate with key stakeholders in hardware engineering, software engineering and design to develop prototypes and evolve them into production systems (for example, Siri and Apple Intelligence features in Apple’s operating systems).n
**Minimum Qualifications**
 Master’s degree in Computer Science or other STEM majorsnExperience with the use and evaluation of foundation modelsnProficiency in Python and ML frameworks (Pytorch or Tensorflow)n2\+ year of Hands\-on industry experience building and evaluating Machine Learning or Natural Language Processing systemsn
**Preferred Qualifications**
 PhD in Computer Science, Machine Learning or a related technical fieldn4\+ years of hands\-on industry experience with Machine Learning systemsnProficiency in training and evaluation of foundation models and frameworksnA track record of publications or technical presentations in Machine Learning journals or conferencesnExcellent at communication and cross functional collaboration 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9">
      <c r="A39" t="inlineStr">
        <is>
          <t>li-4359146122</t>
        </is>
      </c>
      <c r="B39" t="inlineStr">
        <is>
          <t>Machine Learning Engineer, Natural Language Generation</t>
        </is>
      </c>
      <c r="C39" t="inlineStr">
        <is>
          <t>Apple</t>
        </is>
      </c>
      <c r="D39" t="inlineStr">
        <is>
          <t>linkedin</t>
        </is>
      </c>
      <c r="E39">
        <f>HYPERLINK("https://www.linkedin.com/jobs/view/4359146122", "https://www.linkedin.com/jobs/view/4359146122")</f>
        <v/>
      </c>
      <c r="F39" t="inlineStr"/>
      <c r="G39" t="inlineStr">
        <is>
          <t>Seattle, WA</t>
        </is>
      </c>
      <c r="H39" t="inlineStr"/>
      <c r="I39" t="inlineStr">
        <is>
          <t>**Summary**
 From our origins in iPhone keyboard input, the Input Experience NLP team has expanded to a broad charter: improve the user experience with robust language understanding and personalized text composition, across languages and Apple platforms. We build the ML models that underlie Summarization, Smart Reply, Writing Tools, and other features deeply integrated into Apple products. Generative AI is a transformative technology that we have only just begun to incorporate into our digital lives, to help everyday people digest the deluge of information they receive and express themselves more clearly. On our team, you will help build the future and have a voice in the shape it takes. nnWe are looking for a Machine Learning Engineer to develop the next generation of our ML models, so that they better serve the full range of our customers, across languages, writing styles, and other personal context, in a privacy\-preserving way. You will build, run, and refine the training and evaluation pipelines that define our slice of Apple Intelligence, driving the focused experimentation and iteration that makes the user experience magical. You will join an ambitious, organized, and collaborative team. We’re in a unique position to integrate the latest innovations from the ML community and work on features that reach everyday users, including your family and friends. You’ll work closely with teams across Apple, collaborating on human interfaces, user studies, internationalization, ML technologies, system integration, and more.nnApple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something—you’ll add something.
**Description**
 As a Machine Learning Engineer on our team, you will enable next\-generation AI applications by building toolkits and workflows that scale to increasingly sophisticated modeling tasks. You will design the abstractions and implement the algorithms that facilitate efficient data synthesis, data curation, prompt engineering, and model evaluation. You will contribute to a company\-wide effort to build robust modeling pipelines that optimize our ability to iterate rapidly and continuously deliver improvements to our customers. Finally, you will help define and refine new features that expand both the depth of Apple Intelligence’s capabilities and the breadth of its support for the full spectrum of Apple customers
**Minimum Qualifications**
 MS or PhD in Computer Science or related field with at least 2 years of industry experiencenStrong Python programming skills, with experience developing production\-quality Python modulesnExperience building and maintaining model pipelines end\-to\-end, from data curation to evaluationnSolid background in machine learning, data science, natural language processing, or statistics
**Preferred Qualifications**
 Familiarity with LLMs, such as SFT, RHLF, prompt engineering, data synthesis, automatic evaluation, and RAGnExpertise in MLOps and a passion for software quality, based on CI/CD principlesnExcellent written and verbal communication skillsnBackground in linguistics, fluency in multiple languages, or a passion for scaling NLP features for global audiencesnHistory of developing Python packages and supporting users and other teams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0">
      <c r="A40" t="inlineStr">
        <is>
          <t>li-4327951793</t>
        </is>
      </c>
      <c r="B40" t="inlineStr">
        <is>
          <t>Machine Learning Engineer</t>
        </is>
      </c>
      <c r="C40" t="inlineStr">
        <is>
          <t>Mentor Talent Acquisition</t>
        </is>
      </c>
      <c r="D40" t="inlineStr">
        <is>
          <t>linkedin</t>
        </is>
      </c>
      <c r="E40">
        <f>HYPERLINK("https://www.linkedin.com/jobs/view/4327951793", "https://www.linkedin.com/jobs/view/4327951793")</f>
        <v/>
      </c>
      <c r="F40" t="inlineStr"/>
      <c r="G40" t="inlineStr">
        <is>
          <t>New York, United States</t>
        </is>
      </c>
      <c r="H40" t="inlineStr"/>
      <c r="I40" t="inlineStr">
        <is>
          <t>We're building LLM\-powered tools to shape the future of AI\-native research platforms.
**💡 The Role** 
 As a founding ML engineer, you’ll:
* Work on
 **groundbreaking projects** 
 that combine LLMs and classic ML/NLP;
* Take ownership of novel
 **research synthesis tools** 
 , end\-to\-end — from prototyping to production;
* Collaborate with external clients and internal teams to prioritize and ship ML\-powered features;
* Translate ambiguous research needs into testable ML solutions and measurable outcomes;
* Help
 **shape our AI/ML roadmap and internal best practices** 
 .
**🔥 About You** 
 You’re a
 **product\-minded ML engineer** 
 who thrives in early\-stage environments and cares deeply about solving real problems with ML. You:
* Have experience building
 **LLM\-powered systems** 
 (from prompt tuning to infrastructure);
* Communicate clearly with
 **non\-technical stakeholders and clients** 
 and love making ML accessible;
* Are hands\-on: you enjoy owning projects from
 **data collection to deployment** 
 ;
* Are
 **bias\-to\-action** 
 , organized and can deliver big initiatives with minimal guidance;
* Have shipped ML/NLP features in
 **production** 
 that impacted real users.</t>
        </is>
      </c>
    </row>
    <row r="41">
      <c r="A41" t="inlineStr">
        <is>
          <t>li-4357638831</t>
        </is>
      </c>
      <c r="B41" t="inlineStr">
        <is>
          <t>ML Engineer - Generative AI, Siri Core Modeling</t>
        </is>
      </c>
      <c r="C41" t="inlineStr">
        <is>
          <t>Apple</t>
        </is>
      </c>
      <c r="D41" t="inlineStr">
        <is>
          <t>linkedin</t>
        </is>
      </c>
      <c r="E41">
        <f>HYPERLINK("https://www.linkedin.com/jobs/view/4357638831", "https://www.linkedin.com/jobs/view/4357638831")</f>
        <v/>
      </c>
      <c r="F41" t="inlineStr"/>
      <c r="G41" t="inlineStr">
        <is>
          <t>California, United States</t>
        </is>
      </c>
      <c r="H41" t="inlineStr"/>
      <c r="I41" t="inlineStr">
        <is>
          <t>**Summary**
 The Siri team is looking for passionate Machine Learning Engineers to join us in developing and shipping state\-of\-the\-art generative AI technology to advance Siri and Apple Intelligence for Apple’s customers. Siri is being elevated by the huge opportunities that AI brings. nnThe team is responsible for training on\-device u0026 cloud models, evaluating various approaches, pushing the envelope with the latest generative AI research developments, and ultimately delivering product critical models that power Siri and Apple Intelligence experiences. These models ship across a wide range of products at Apple, including iPhone, Mac, Apple Watch and more, enabling millions of people around the world to get things done every day. Our team provides an opportunity to be part of an incredible research and engineering organization at Apple. By joining the team, you will work with highly talented machine learning researchers and engineers, and work on meaningful, challenging and novel problems.
**Description**
 As a machine learning engineer on the team, you will play a key role in our development. You will have responsibilities ranging from model design, implementation, training, model iteration, researching and experimenting with new ideas and evaluation. You will apply state\-of\-the\-art generative AI and machine learning methods to continually advance Siri’s capabilities. At Apple you will have the opportunity to collaborate with many dynamic, cross\-functional teams across research, product and software. The ideal candidate will have a passion for applied research, strong modeling skills, good software engineer skills and a desire to get things done. The team innovates on cutting edge generative AI and machine learning technology to deliver outstanding products to customers. If that appeals to you, we can’t wait to hear from you.
**Minimum Qualifications**
 1 year of hands\-on industry experience developing deep learning systems: training (and finetuning) models, designing model architectures, researching/experimenting with new ideas, defining and creating metrics, building datasets and performing error triages.nDeep understanding of Generative AI techniques/literature and proven track record of training (or deploying) LLMs/MLLMs to solve complex problemsnProficiency in Python and one of the deep learning frameworks (such as PyTorch, JAX, or Tensorflow)nExcellent communication: strong interpersonal, verbal and written skillsnBachelors or Masters in Computer Science, Machine Learning, Engineering or equivalent professional experience
**Preferred Qualifications**
 PhD in Computer Science, Machine Learning, Engineering or equivalent professional experiencenDemonstrated experience with building AI agents, LLMs for tool use, and Multimodal\-LLMs.nExperience using one or more of the following: Reinforcement learning, Distillation, RLHF fine\-tuning, RAG/VectorDB, LLM uncertainty quantification.nExperience developing, shipping and improving machine learning models in a production environment or a solid publication record in top\-tier conferences like NeurIPS, ICML, ICLR, ICRA etc.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2">
      <c r="A42" t="inlineStr">
        <is>
          <t>li-4357648706</t>
        </is>
      </c>
      <c r="B42" t="inlineStr">
        <is>
          <t>Machine Learning Engineer, Sales Engineering</t>
        </is>
      </c>
      <c r="C42" t="inlineStr">
        <is>
          <t>Apple</t>
        </is>
      </c>
      <c r="D42" t="inlineStr">
        <is>
          <t>linkedin</t>
        </is>
      </c>
      <c r="E42">
        <f>HYPERLINK("https://www.linkedin.com/jobs/view/4357648706", "https://www.linkedin.com/jobs/view/4357648706")</f>
        <v/>
      </c>
      <c r="F42" t="inlineStr"/>
      <c r="G42" t="inlineStr">
        <is>
          <t>California, United States</t>
        </is>
      </c>
      <c r="H42" t="inlineStr"/>
      <c r="I42" t="inlineStr">
        <is>
          <t>**Summary**
 Imagine what you could do here. At Apple, great ideas have a way of becoming great products, services and customer experiences very quickly. Bring passion and dedication to your job and there's no telling what you could accomplish. Apple is where individual imaginations gather together, committing to the values that lead to great work. Every new product we build, service we create, or Apple Store experience we deliver is the result of us making each other’s ideas stronger.nApple’s Sales Engineering team is shaping the future of Channel Sales with innovative, high\-impact applications. We’re looking for a Machine Learning Engineer to help us design and build the next generation of intelligent systems that power Apple’s global partner ecosystem. In this role, you’ll develop and deploy machine learning solutions while leveraging generative AI and advanced ML capabilities to deliver scalable, production\-ready systems that accelerate strategic, high\-impact initiatives across Apple Channel Sales. If you’re passionate about applying AI to solve complex business problems, experimenting with emerging GenAI technologies, and building products that make a real difference, join our collaborative team and help us move fast on game\-changing ideas.
**Description**
 Apple’s Sales Engineering Rapid Application Development (RAD) team is looking for a Machine Learning Engineer to build intelligent, scalable solutions that power Apple’s global Channel Sales. You’ll leverage generative AI and advanced machine learning technologies to deliver high\-performance, production\-ready systems that drive measurable business impact. The ideal candidate blends deep ML expertise with strong engineering skills, is passionate about applying AI to solve real\-world problems, and thrives in fast\-paced environments delivering value quickly. You’ll work side by side with product, design, and engineering teams to design, train, deploy, and optimize ML\-powered applications that push the boundaries of innovation—whether enabling GenAI\-driven workflows, implementing RAG\-based systems, or pioneering new intelligent capabilities. If you’re excited about shaping impactful AI solutions in a collaborative, experiment\-driven environment, Sales Engineering RAD team is where you’ll thrive.
**Minimum Qualifications**
 M.S. in Computer Science, Machine Learning, Artificial Intelligence, or a closely related technical field, or equivalent practical experience.n5\+ years experience developing and deploying machine learning solutions, with a strong focus on Large Language Models (LLMs) or Large Multimodal Models (LMMs).n5\+ years experience with LLMs and transformer\-based architectures (e.g., BERT, GPT, LLaMA).
**Preferred Qualifications**
 Proven ability to fine\-tune, adapt, and deploy LLMs/LMMs into real\-world, production\-grade applications.nProficiency in Python and leading ML frameworks such as PyTorch and TensorFlow.nHands\-on experience leveraging Hugging Face Transformers and associated libraries.nSolid understanding of Retrieval\-Augmented Generation (RAG) and practical experience with orchestration frameworks like LangChain or LlamaIndex.nFamiliarity with distributed computing, cloud platforms (AWS, GCP, Azure), and containerization/orchestration tools (Docker, Kubernetes).nExceptional problem\-solving skills and the ability to articulate complex ML/AI concepts clearly and effectively to diverse audiences.nExperience extending beyond traditional LLMs/LMMs to include agent\-based systems and agentic workflows.nProficiency with advanced LLM serving and inference frameworks, ensuring scalable and efficient model deployment.nPractical experience building sophisticated RAG applications and orchestrating complex LLM pipelines from inception to deployment.nWorking knowledge of distributed systems and cloud\-native infrastructure.nExpertise in optimizing transformer\-based architectures (e.g., BERT, GPT, LLaMA) for low\-latency, high\-performance inference.nDemonstrated ability to communicate complex technical results and ML/LLM concepts with clarity and impact to both technical and non\-technical stakeholders.nExperience applying ML methodologies in specific domains, such as sales.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3">
      <c r="A43" t="inlineStr">
        <is>
          <t>li-4357668473</t>
        </is>
      </c>
      <c r="B43" t="inlineStr">
        <is>
          <t>Health Sensing ML Engineer</t>
        </is>
      </c>
      <c r="C43" t="inlineStr">
        <is>
          <t>Apple</t>
        </is>
      </c>
      <c r="D43" t="inlineStr">
        <is>
          <t>linkedin</t>
        </is>
      </c>
      <c r="E43">
        <f>HYPERLINK("https://www.linkedin.com/jobs/view/4357668473", "https://www.linkedin.com/jobs/view/4357668473")</f>
        <v/>
      </c>
      <c r="F43" t="inlineStr"/>
      <c r="G43" t="inlineStr">
        <is>
          <t>Cupertino, CA</t>
        </is>
      </c>
      <c r="H43" t="inlineStr"/>
      <c r="I43" t="inlineStr">
        <is>
          <t>**Summary**
 The Health Sensing team builds outstanding technologies to support our users in living their healthiest, the happiest lives by providing them with objective, accurate, and timely information about their health and well\-being. As part of the larger Sensor SW u0026 Prototyping team, we develop algorithms for a variety of health sensors, including PPG, accelerometer, ECG.
**Description**
 In this role, you will be at the forefront of developing ML algorithms for health sensing applications and ensuring the efficient evaluation of these models to be in production at scale. You will interact closely with ML engineers, clinicians, software and hardware engineers. You will deliver solutions on time and with high quality standing up to the standards of a customer facing product.
**Minimum Qualifications**
 BS in Computer Science, Engineering, Information Systems, or related technical field and a minimum of 3 years of equivalent experience nProven experience in developing machine learning and deep learning models, preferably in the health domainnProficiency in Python and ML frameworks e.g. PyTorch, TensorflownExperience with health data analysis, including time\-series data, sensor data, and biomedical signal processingnProven understanding of data preprocessing, feature extraction, and model evaluation techniquesnFamiliar with software development standard methods/teamworksnSufficient SW skills to run large ML training jobs efficiently on a distributed backend with large volume of data
**Preferred Qualifications**
 Interpersonal skills; comfortable in a collaborative and ground breaking research environmentsnMS or PhD or equivalent 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4">
      <c r="A44" t="inlineStr">
        <is>
          <t>li-4355198629</t>
        </is>
      </c>
      <c r="B44" t="inlineStr">
        <is>
          <t>Machine Learning Engineer — Large Language Models, Generative AI u0026 Agentic Systems</t>
        </is>
      </c>
      <c r="C44" t="inlineStr">
        <is>
          <t>Apple</t>
        </is>
      </c>
      <c r="D44" t="inlineStr">
        <is>
          <t>linkedin</t>
        </is>
      </c>
      <c r="E44">
        <f>HYPERLINK("https://www.linkedin.com/jobs/view/4355198629", "https://www.linkedin.com/jobs/view/4355198629")</f>
        <v/>
      </c>
      <c r="F44" t="inlineStr"/>
      <c r="G44" t="inlineStr">
        <is>
          <t>California, United States</t>
        </is>
      </c>
      <c r="H44" t="inlineStr"/>
      <c r="I44" t="inlineStr">
        <is>
          <t>**Summary**
 The Intelligence Platform team empowers clients across Apple’s operating systems with high\-quality, user\-centric knowledge and inferences that enable next\-generation user experiences. We’re an applied Machine Learning team that leverages state\-of\-the\-art technologies—Generative AI, Large Language Models, RAG based systems, and emerging agentic AI patterns—to deliver high\-quality inferences at scale!
**Description**
 We are in search of a driven Machine Learning Engineer who has a strong understanding of LLMs and Generative AI and is excited to explore the rapidly evolving landscape of LLM\-powered agents, tool\-use models, and advanced reasoning techniques. You will help translate groundbreaking research into production systems, influence our technical direction, and shape the future of AI at Apple.nnAgentic AI is an emerging area for our team—prior experience is a plus but not required. What matters most is curiosity, strong ML fundamentals, and the ability to navigate and apply cutting\-edge research!
**Minimum Qualifications**
 Advanced degree (Master’s or Ph.D.) in Computer Science, Machine Learning, Artificial Intelligence, or a related field.nStrong experience in Machine Learning, with emphasis on LLMs, Generative AI, or large\-scale deep learning systems.nDemonstrated ability to read, interpret, and apply cutting\-edge research to real\-world engineering problems.nExperience with model training, fine\-tuning, or building scalable ML systems.nStrong programming and problem\-solving skills.
**Preferred Qualifications**
 Familiarity with agentic AI, structured tool\-use models, or multi\-turn reasoning systems. (Not required—experience is a plus, and interest in the domain is highly valued.)nHands\-on experience with end\-to\-end LLM development: dataset curation, fine\-tuning, evaluation, prompt optimization, or model hosting.nPublished research demonstrating contributions to LLMs, Generative AI, or related subfields.nAbility to guide technical direction, mentor others, and collaborate effectively in a fast\-paced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5">
      <c r="A45" t="inlineStr">
        <is>
          <t>li-4359171262</t>
        </is>
      </c>
      <c r="B45" t="inlineStr">
        <is>
          <t>AIML - Senior Applied Machine Learning Engineer, ML Lifecycle (MLPT)</t>
        </is>
      </c>
      <c r="C45" t="inlineStr">
        <is>
          <t>Apple</t>
        </is>
      </c>
      <c r="D45" t="inlineStr">
        <is>
          <t>linkedin</t>
        </is>
      </c>
      <c r="E45">
        <f>HYPERLINK("https://www.linkedin.com/jobs/view/4359171262", "https://www.linkedin.com/jobs/view/4359171262")</f>
        <v/>
      </c>
      <c r="F45" t="inlineStr"/>
      <c r="G45" t="inlineStr">
        <is>
          <t>Cupertino, CA</t>
        </is>
      </c>
      <c r="H45" t="inlineStr"/>
      <c r="I45" t="inlineStr">
        <is>
          <t>**Summary**
 We’re building the foundation for intelligent, adaptive AI systems from multi\-agent platforms and RAG pipelines to advanced evaluation and reasoning frameworks. We’re looking for a Senior Applied ML Engineer to design, build, and scale machine learning systems that power next\-generation AI applications. In this role, you’ll work at the intersection of machine learning, software engineering, helping develop foundational components that enable AI systems to perceive, reason, and act in dynamic, real\-world contexts. You’ll be part of a high\-impact team shaping how we build, evaluate, and deploy intelligent systems at scale. This is a hands\-on individual contributor role ideal for an engineer who thrives in ambiguity, moves seamlessly between prototyping and production, and is excited to push the frontier of applied AI through practical, elegant engineering.
**Description**
 As a Senior Applied Machine Learning Engineer, you will:nn \* Design and implement core systems that enable scalable development and deployment of AI applications including agent platforms, RAG frameworks, and adaptive ML services.n \* Build reusable infrastructure for model training, evaluation, and inference emphasizing observability, reproducibility, and modularity.n \* Collaborate cross\-functionally with product, infra, and research teams to translate AI concepts into production\-ready systems.n \* Develop intelligent tooling for data processing, simulation, and experimentation to accelerate applied AI innovation.n \* Contribute to architectural direction for our broader AI ecosystem designing for flexibility across future projects.n \* Prototype new capabilities using large language models, retrieval systems, and agentic workflows.n \* Partner with infrastructure and product teams to operationalize new AI capabilitiesnnYou’ll help bridge research and engineering bringing rigor, scalability, and real\-world validation to the way we build intelligent systems.n
**Minimum Qualifications**
 7\+ years of experience in ML engineering, software engineering or applied AI rolesnSolid understanding of machine learning fundamentals, especially around large models, embeddings, and retrieval systemsnProven experience building production\-grade ML systems or intelligent data\-driven productsnStrong background in distributed systems, APIs, and scalable data/compute infrastructurenHands\-on experience with ML frameworks such as PyTorch, TensorFlow, or JAXnStrong communication, documentation, and collaboration skillsn
**Preferred Qualifications**
 Experience with LLM\-based systems, RAG pipelines, or AI agent frameworksnFamiliarity with MLOps tools (e.g., MLflow, Weights u0026 Biases, Ray, Airflow)nKnowledge of evaluation methodologies for generative or agentic AI nBackground in simulation systems, reinforcement learning, or continuous learningnExperience with data\-centric AI data curation, labeling, and feedback loopsnProven ability to move between research\-driven prototyping and production\-scale engineeringnEnthusiasm for emerging areas like multimodal AI, reasoning agents, and AI safety evaluationn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6">
      <c r="A46" t="inlineStr">
        <is>
          <t>li-4359018912</t>
        </is>
      </c>
      <c r="B46" t="inlineStr">
        <is>
          <t>Sr Machine Learning Engineer</t>
        </is>
      </c>
      <c r="C46" t="inlineStr">
        <is>
          <t>Apple</t>
        </is>
      </c>
      <c r="D46" t="inlineStr">
        <is>
          <t>linkedin</t>
        </is>
      </c>
      <c r="E46">
        <f>HYPERLINK("https://www.linkedin.com/jobs/view/4359018912", "https://www.linkedin.com/jobs/view/4359018912")</f>
        <v/>
      </c>
      <c r="F46">
        <f>HYPERLINK("https://jobs.apple.com/en-us/details/200641250&amp;urlHash=9BGZ", "https://jobs.apple.com/en-us/details/200641250&amp;urlHash=9BGZ")</f>
        <v/>
      </c>
      <c r="G46" t="inlineStr">
        <is>
          <t>Cupertino, CA</t>
        </is>
      </c>
      <c r="H46" t="inlineStr"/>
      <c r="I46" t="inlineStr">
        <is>
          <t>**Summary**
 Senior Machine Learning Engineer \- Tools u0026 Frameworks AInnOur team of applied ML scientists and engineers works to enhance the experience and productivity of software development at Apple. Our team applies state\-of\-the\-art ML models to solve real\-world problems in software quality and development workflows. We're looking for talented and enthusiastic team members to join us in our efforts. If this sounds like you, we have many challenging and interesting problems to work on together and would love to talk to you!
**Description**
 Our team designs and builds ML solutions to transform how Apple and developers in the ecosystem approach developing quality software at scale. We are a team of applied scientists, infrastructure engineers, and machine learning engineers who work with NLP, computer vision, and multimodal domains to create AI\-powered testing solutions.nnIn this role, you will be responsible for developing novel ML approaches to challenging quality problems at scale. You'll work hands\-on with a diverse set of ML techniques to find what actually works in production. You'll guide technical direction for the team, mentoring junior engineers while maintaining deep involvement in the code and experimentation yourself. Your technical judgment and understanding of both generative models and traditional ML methods will directly shape our product direction.nnYou will be successful and feel fulfilled in our team if you enjoy tackling challenging problems with creative solutions, have strong intuition for what will and won't work in practice, and thrive in a collaborative team setting where you can both learn and teach.
**Minimum Qualifications**
 5\+ years of hands\-on experience developing machine learning systems in production environmentsnStrong programming skills with demonstrated ability to write production\-quality ML codenProven track record working with multiple ML paradigms including modern and traditional methodsnMS or PhD in Computer Science, Machine Learning, or equivalent professional experience
**Preferred Qualifications**
 Experience with classical ML techniques, reinforcement learning, or probabilistic modeling in addition to deep learningnExperience in NLP, computer vision, or multimodal ML applicationsnTrack record of technical mentorship or leading complex ML projectsnFamiliarity with Apple development ecosystem and frameworksnExperience with testing, software quality, or developer tools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7">
      <c r="A47" t="inlineStr">
        <is>
          <t>li-4357658525</t>
        </is>
      </c>
      <c r="B47" t="inlineStr">
        <is>
          <t>AIML - Sr. Machine Learning Engineer - ML Platform Technologies (MLPT)</t>
        </is>
      </c>
      <c r="C47" t="inlineStr">
        <is>
          <t>Apple</t>
        </is>
      </c>
      <c r="D47" t="inlineStr">
        <is>
          <t>linkedin</t>
        </is>
      </c>
      <c r="E47">
        <f>HYPERLINK("https://www.linkedin.com/jobs/view/4357658525", "https://www.linkedin.com/jobs/view/4357658525")</f>
        <v/>
      </c>
      <c r="F47" t="inlineStr"/>
      <c r="G47" t="inlineStr">
        <is>
          <t>California, United States</t>
        </is>
      </c>
      <c r="H47" t="inlineStr"/>
      <c r="I47" t="inlineStr">
        <is>
          <t>**Summary**
 Join us in enabling the next generation of intelligent experiences in Apple’s products and services with the latest advancements in Generative AI and Large Language Models!nnWe are looking for a very experienced, machine learning engineer, who has also worked in ML infrastructure. Ideally, you should have experience with shipping intelligent features, end\-to\-end, and from idea to production. You should also have experience in building ML infrastructure to enable others to iterate faster and expertise in certain ML domains (preferably in Gen AI and LLM). You will help find novel solutions for our ML problems and collaborate with all ML teams at Apple to optimize our platform. nnAre you ready to impact billions of our users?
**Description**
 You'll be part of Apple’s internal Machine Learning Platform group that enables ML teams to iterate their projects faster, from: data engineering, labeling, training, online and offline evaluation, experimentation and more. nnBring your expertise to help us define and build the next set of features (given the new challenges in the latest advancement of generative AI and large language models). You will also partner closely with our customer and other internal partner ML teams cross the company to help further adopt and apply our platform, gain feedback and iterate our products (services, SDK and web UI) to be more user friendly and scalable.
**Minimum Qualifications**
 A minimum of 3 years as tech leadn8 years of proven experience in machine learning related software engineering, such as: product, infrastructure, frameworks or toolsnStrong expertise in machine learning domains, such as: CV, NLP, recommender systems, Gen AI or LLMs (preferred)nProficient in ML training and deployment frameworks, like: Tensorflow, PyTorch, Faster Transformer, TensorRT, vLLMnProficient in cloud computing and data processing infrastructure and tools: Kubernetes, Ray, PySpark, SQLnAbility to clearly and concisely communicate technical and architectural problems, while working with partners to iteratively find solutionsnBachelors in Computer Science, related field or equivalent experience
**Preferred Qualifications**
 Advance degree nStrong expertise in machine learning domains, such as: CV, NLP, recommender systems, Gen AI or LLMs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8">
      <c r="A48" t="inlineStr">
        <is>
          <t>li-4359128328</t>
        </is>
      </c>
      <c r="B48" t="inlineStr">
        <is>
          <t>Senior Machine Learning Engineer</t>
        </is>
      </c>
      <c r="C48" t="inlineStr">
        <is>
          <t>Apple</t>
        </is>
      </c>
      <c r="D48" t="inlineStr">
        <is>
          <t>linkedin</t>
        </is>
      </c>
      <c r="E48">
        <f>HYPERLINK("https://www.linkedin.com/jobs/view/4359128328", "https://www.linkedin.com/jobs/view/4359128328")</f>
        <v/>
      </c>
      <c r="F48">
        <f>HYPERLINK("https://jobs.apple.com/en-us/details/200601438&amp;urlHash=7Ka4", "https://jobs.apple.com/en-us/details/200601438&amp;urlHash=7Ka4")</f>
        <v/>
      </c>
      <c r="G48" t="inlineStr">
        <is>
          <t>Cupertino, CA</t>
        </is>
      </c>
      <c r="H48" t="inlineStr"/>
      <c r="I48" t="inlineStr">
        <is>
          <t>**Summary**
 Apple Maps and the thousands of applications it empowers are being used by millions every single day! As a fundamental tool for human activity, Maps technology is evolving and new techniques are emerging.nnWe are looking for a Machine Learning Engineer to join and help play a big part in the next revolution of Maps; to enable users to find more things in innovative ways. On our team, you will have plenty of opportunities to build groundbreaking technologies using ML and GenAI at scale to improve the search quality for Apple Maps.
**Description**
 The goal of Maps Search team is to take Apple’s Maps to the next level of intelligence and accuracy using machine learning and artificial intelligence techniques. Engineers and scientists on our team work on a wide spectrum of approaches to improve search experiences on Apple Maps.nnIn this role, some of the projects you will contribute to include but are not limited to: nn\- Develop and optimize novel ML algorithms to handle key issues in local search: ranking, intent modeling and semantic searchnn\- Design and develop tools, processes and analytics for backend data\-extraction pipelines \- along with performing hands\-on analyses to answer hard hypotheses/questions.nn\- Collaborate with various teams (e.g., infrastructure, quality, data) to develop exciting features and contribute towards our mission of best search experience to our end\-users.nn\- Develop and mentor aspiring applied scientists / engineers to expand their scope and have a big impact. Be part of building a world class search team!nnThis position involves a wide variety of skills and innovation, it is a unique opportunity that sits at the intersection of science and engineering. Ultimately, your work would have a huge impact on millions of users across the globe.
**Minimum Qualifications**
 MS in Computer Science or equivalent field with 7\+ years of industry experiencenProven record in delivering end\-user facing ML driven productsnStrong programming experience in one or more of the following: Java, Python, and/or C\+\+nKnowledge and experience with at least one of the following: Tensorflow/Pytorch/Jax frameworks.nExcellent interpersonal and communication skills \- working independently and/or in small teamsnAttention to detail, data accuracy and quality of output.
**Preferred Qualifications**
 Ph.D in Computer Science or equivalent field with 7\+ years of industry experience.nExpertise and experience in various facets of machine learning and natural language processing, such as classification, feature engineering, information extraction, clustering, semi\-supervised learning, topic modeling and rankingnPractical understanding of the mathematics behind modern machine learning, linear algebra and statistics.nGood knowledge of applying big data processing such as with Hadoop, Spark, Hive to create insights from production data.nKnowledge and prior experience with some deep learning and GenAI frameworks are desired.nPrior experience in consumer facing product is desired.nPrior team lead experience is desired.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9">
      <c r="A49" t="inlineStr">
        <is>
          <t>li-4359145546</t>
        </is>
      </c>
      <c r="B49" t="inlineStr">
        <is>
          <t>Sr Principal Machine Learning Engineer (Prisma AIRS)</t>
        </is>
      </c>
      <c r="C49" t="inlineStr">
        <is>
          <t>Palo Alto Networks</t>
        </is>
      </c>
      <c r="D49" t="inlineStr">
        <is>
          <t>linkedin</t>
        </is>
      </c>
      <c r="E49">
        <f>HYPERLINK("https://www.linkedin.com/jobs/view/4359145546", "https://www.linkedin.com/jobs/view/4359145546")</f>
        <v/>
      </c>
      <c r="F49" t="inlineStr"/>
      <c r="G49" t="inlineStr">
        <is>
          <t>Santa Clara, CA</t>
        </is>
      </c>
      <c r="H49" t="inlineStr"/>
      <c r="I49"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With Prisma AIRS, Palo Alto Networks is building the world's most comprehensive AI security platform. Organizations are increasingly building complex ecosystems of AI models, applications, and agents, creating dynamic new attack surfaces with risks that traditional security approaches cannot address. In response,Prisma AIRS delivers model security, posture management, AI red teaming, and runtime protection. Our customers can confidently deploy AI\-driven innovation while ensuring a formidable security posture from development through runtime.
 As a Senior Principal Machine Learning Engineer, you will drive research on cutting\-edge areas, including AI\-Native Security (LLM, AI Agent, Model Supply\-Chain, Runtime AI) and the broader LLM ecosystem security. You will leverage this research to identify and bring up new product opportunities. You will collaborate closely with engineering teams to deploy models, ensuring maximum product impact. Furthermore, you will foster cross\-functional collaboration and serve as an AI thought leader both within the company and in the security/LLM community. Beyond individual contribution, you will lead complex technical projects, mentor senior engineers, and set the standard for performance, scalability, and engineering excellence across the organization. Your decisions will have a profound and lasting impact on our ability to deliver cutting\-edge AI security solutions at a massive scale.
**Your Impact**
* Lead the architectural design of a highly scalable, low\-latency, and resilient ML inference platform capable of serving a diverse range of models for real\-time security applications.
* Define technical approaches to less\-defined product requirements, ensuring the best fit between product features and technical implementation. Explore new product opportunities by maintaining a deep understanding of LLM and Generative AI research trends.
* Technical Leadership: Provide technical leadership and mentorship to the team, driving best practices in MLOps, software engineering, and system design.
* Strategic Optimization: Drive the strategy for model and system performance, guiding research and implementation of advanced optimization techniques like custom kernels, hardware acceleration, and novel serving frameworks.
* Set The Standard: Establish and enforce engineering standards for automated model deployment, robust monitoring, and operational excellence for all production ML systems.
* Cross\-Functional Vision: Act as a key technical liaison to other principal engineers, architects, and product leaders to shape the future of the Prisma AIRS platform and ensure end\-to\-end system cohesion.
* Solve the Hardest Problems: Tackle the most ambiguous and challenging technical problems in large\-scale inference, from mitigating novel security threats to achieving unprecedented performance goals.
**Qualifications**
**Your Experience**
* BS/MS or Ph.D. in Computer Science, a related technical field, or equivalent practical experience.
* Extensive professional experience in software engineering with a deep focus on MLOps, ML systems, or productionizing machine learning models at scale.
* Expert\-level programming skills in Python are required; experience in a systems language like Go, Java, or C\+\+ is nice to have.
* Deep, hands\-on experience designing and building large\-scale distributed systems on a major cloud platform (GCP, AWS, Azure, or OCI).
* Proven track record of leading the architecture of complex ML systems and MLOps pipelines using technologies like Kubernetes and Docker.
* Mastery of ML frameworks (TensorFlow, PyTorch) and extensive experience with advanced inference optimization tools (ONNX, TensorRT).
* A strong understanding of popular model architectures (e.g., Transformers, CNNs, GNNs) is a must. A deeper understanding of attention mechanisms and related knowledge is a plus.
* Demonstrated expertise with modern LLM inference engines (e.g., vLLM, SGLang, TensorRT\-LLM) is required. Open\-source contributions in these areas are a significant plus.
* Experience with low\-level performance optimization, such as custom CUDA kernel development or using Triton Language, is a plus.
* Experience with data infrastructure technologies (e.g., Kafka, Spark, Flink) is great to have.
* Familiarity with CI/CD pipelines and automation tools (e.g., Jenkins, GitLab CI, Tekton) is a plus.
**Additional Information**
**The Team**
 Our Prisma AIRS team is a group of highly motivated and innovative engineers and researchers dedicated to solving the most challenging problems in AI security. We thrive in a collaborative environment where we value creativity, ownership, and a commitment to excellence. You will have the opportunity to work with cutting\-edge technology and make a significant impact on the future of cybersecurity.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$185,200 \- $299,450/YR.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50">
      <c r="A50" t="inlineStr">
        <is>
          <t>li-4357638822</t>
        </is>
      </c>
      <c r="B50" t="inlineStr">
        <is>
          <t>Senior ML Engineer</t>
        </is>
      </c>
      <c r="C50" t="inlineStr">
        <is>
          <t>Apple</t>
        </is>
      </c>
      <c r="D50" t="inlineStr">
        <is>
          <t>linkedin</t>
        </is>
      </c>
      <c r="E50">
        <f>HYPERLINK("https://www.linkedin.com/jobs/view/4357638822", "https://www.linkedin.com/jobs/view/4357638822")</f>
        <v/>
      </c>
      <c r="F50" t="inlineStr"/>
      <c r="G50" t="inlineStr">
        <is>
          <t>Seattle, WA</t>
        </is>
      </c>
      <c r="H50" t="inlineStr"/>
      <c r="I50" t="inlineStr">
        <is>
          <t>**Summary**
 Do you love solving complex challenges? Are you an inventive self\-starter who takes pride in making ideas come to life on a global scale? Are you passionate about developing data platforms using creative algorithms to process petabytes of data with very low latency? If so, join the ASE Data Platform team to design and build scalable data platform services that are used across Apple. As part of Apple Services Engineering, you will have a meaningful role in designing, developing, and deploying high\-performance systems that handle billions of transactions daily. This enormous scale brings challenges that require extraordinarily creative problem\-solving. We are seeking engineers who are passionate about creating data\-driven products. This role requires a deep understanding of developing products that are highly scalable, highly available, and fault\-tolerant.
**Description**
 We are building and supporting critical infrastructure systems and frameworks that provide and support services such as structured and unstructured storage, caching, queuing, searching, querying, and more. We are looking for a strong, enthusiastic developer to join as a member of this group. This person will have a tremendous amount of individual responsibility and influence over the direction of many critical Apple internet services for years to come. You are someone with ideas and a real passion for software delivered as a service to improve reuse, efficiency, and simplicity. This engineer's work will impact the success of some of Apple's most visible current and future features. n
**Minimum Qualifications**
 5\+ years experience in data processing ecosystemsnCoding experience in Java/Scala/Go, preferably with critical, large\-scale distributed systemsnExperience in designing and developing stateless APIs using HTTP and similar protocols to support service\-oriented software distribution across multiple cloud environmentsnAbility to design large\-scale, complex applications with excellent run\-time characteristics such as low latency, fault\-tolerance, and availabilitynUnderstands MPP Query Engines like Trino and StarRocks, etc.nBachelor's degree or Masters in Computer Science, Computer Engineering, or equivalent
**Preferred Qualifications**
 Experience with contribution to Open Source projects is a plusnExperience with multiple public cloud infrastructures is a plusnExperience in cluster management/orchestration software like Kubernetes, Spinnaker, Helm charts, Docker is a plusnA learning attitude to continuously improve the self, team, and the organizationnDeeply concerned about excellence and qualitynLoves fast\-paced environment and learning new technologies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1">
      <c r="A51" t="inlineStr">
        <is>
          <t>li-4357688579</t>
        </is>
      </c>
      <c r="B51" t="inlineStr">
        <is>
          <t>Senior Machine Learning Engineer, Apple Services Engineering AI/ML</t>
        </is>
      </c>
      <c r="C51" t="inlineStr">
        <is>
          <t>Apple</t>
        </is>
      </c>
      <c r="D51" t="inlineStr">
        <is>
          <t>linkedin</t>
        </is>
      </c>
      <c r="E51">
        <f>HYPERLINK("https://www.linkedin.com/jobs/view/4357688579", "https://www.linkedin.com/jobs/view/4357688579")</f>
        <v/>
      </c>
      <c r="F51" t="inlineStr"/>
      <c r="G51" t="inlineStr">
        <is>
          <t>Cupertino, CA</t>
        </is>
      </c>
      <c r="H51" t="inlineStr"/>
      <c r="I51" t="inlineStr">
        <is>
          <t>**Summary**
 The Apple Services Engineering AI/ML organization is looking for a Machine Learning Engineer to help build next\-generation media discovery experiences for Apple's ground breaking devices and platforms, leveraging Artificial Intelligence u0026 Machine Learning at scale.nnWonder how Apple's Media Products show relevant and rich Discovery experiences covering search, browse and recommendations for Apple's media offerings \- including App Store, Apple TV, Apple Music, Apple Podcasts, and Apple Books? Come join us! Design and develop AI/ML driven Discovery features for billions of Apple users worldwide! Propose, prototype and evaluate algorithm improvements that power these rich experiences. Evangelize and build reusable AI capabilities to enhance the foundation of how these user facing features are built in the larger organization. nnThe Apple Services Engineering (ASE) organization is one of the most exciting examples of Apple’s long\-held passion for combining art with technology. We are the people who power the App Store, Apple TV, Apple Music, Apple Podcasts, and Apple Books. And we do it on a massive scale, meeting Apple’s high expectations with high performance, to deliver a huge variety of entertainment in over 40 languages to more than 170 countries. Our scientists and engineers build secure, end\-to\-end solutions powered by Artifical Intelligence u0026 Machine Learning. Thanks to Apple’s unique integration of hardware, software, and services, designers, scientists and engineers in ASE partner to get behind a single unified vision. That vision always includes a deep commitment to strengthening Apple’s privacy policy, one of Apple’s core values. Although services are a bigger part of Apple’s business than ever before, these teams remain small, flexible, and multi\-functional, offering greater exposure to the array of opportunities here.n
**Description**
 This is a team with strong expertise in Information Retrieval, Machine Learning, Language Modeling, Generative AI, Data Mining, and Distributed Computing (Hadoop, Scala, Spark).nnYou will drive technical advancement, influence product direction, and be part of the team responsible for bringing the latest advancements in Machine Learning, Natural Language Processing and Generative AI to drive major impact on how users discover Apple Media content on devices worldwide!nnYou will use data driven analysis to ideate, evaluate and prioritize features, and conduct A/B Tests to ensure we objectively measure improvements. You will ensure successful delivery of features, code, data, and models to production. You will collaborate with researchers, engineers, and operations teams to ensure that features and models are functioning at or above expected performance levels, globally in languages from Arabic to Vietnamese and everything in between! nnnnn
**Minimum Qualifications**
 BS in Computer Science, Computer Engineering, Information Systems, Electronic Engineering or related fields with 4\+ years of experience working in the AI/ML field.nStrong programming skills in Java, Scala, Python and experience with ML libraries such as PyTorch, TensorFlow, Hugging Face, LangChain, or similar.nSolid experience and understanding of modern ML architectures, big data pipelines, and evaluation techniques.
**Preferred Qualifications**
 MS/PhD in Computer Science, Computer Engineering, Information Systems, Electronic Engineering or related fields with 2\+ years of experience working in the AI/ML field.nExpertise in large\-volume big data processing (batch or streaming) and experience with Apache Spark and Apache Flink .nFamiliarity with agentic workflows, Retrieval\-Augmented Generation (RAG), vector databases (e.g., FAISS, Pinecone), and knowledge graphs.nStrong communication skills and adept at working with cross functional partners to design cohesive engineering solutions that scale ML products for billions of users.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2">
      <c r="A52" t="inlineStr">
        <is>
          <t>li-4359170739</t>
        </is>
      </c>
      <c r="B52" t="inlineStr">
        <is>
          <t>Responsible AI Engineer</t>
        </is>
      </c>
      <c r="C52" t="inlineStr">
        <is>
          <t>Accenture</t>
        </is>
      </c>
      <c r="D52" t="inlineStr">
        <is>
          <t>linkedin</t>
        </is>
      </c>
      <c r="E52">
        <f>HYPERLINK("https://www.linkedin.com/jobs/view/4359170739", "https://www.linkedin.com/jobs/view/4359170739")</f>
        <v/>
      </c>
      <c r="F52">
        <f>HYPERLINK("https://www.accenture.com/us-en/careers/jobdetails?id=R00306246_en&amp;title=Responsible+AI+Engineer&amp;urlHash=wOfo", "https://www.accenture.com/us-en/careers/jobdetails?id=R00306246_en&amp;title=Responsible+AI+Engineer&amp;urlHash=wOfo")</f>
        <v/>
      </c>
      <c r="G52" t="inlineStr">
        <is>
          <t>Albany, New York Metropolitan Area</t>
        </is>
      </c>
      <c r="H52" t="inlineStr"/>
      <c r="I52"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\&lt;a href\="https://www.accenture.com/us\-en/careers/local/total\-rewards" target\="\_blank" data\-cmp\-clickable\="" data\-cmp\-data\-layer\="{"jobdetail\-1e0b7e5710\-Qualification\-item0":{"analytics\-link\-name":"information on benefits is here.","analytics\-link\-type":"engagement","xdm:linkURL":"https://www.accenture.com/us\-en/careers/local/total\-rewards","analytics\-engagement":"true"}}" rel\="noopener noreferrer"\&gt;Information on benefits is here.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New York City, NY
 Albany, NY
 Arlington, VA
 Atlanta, GA
 Austin, TX
 Beaverton, OR
 Bentonville, AR
 Boston, MA
 Carmel, IN
 Charlotte, NC
 Chicago, IL
 Cincinnati, OH
 Cleveland, OH
 Columbus, OH
 Culver City, CA
 Denver, CO
 Des Moines, IA
 Detroit, MI
 Hartford, CT
 Houston, TX
 Irving, TX
 Kirkland, WA
 Los Angeles, CA
 Miami, FL
 Milwaukee, WI
 Minneapolis, MN
 Morristown, NJ
 Mountain View, CA
 Nashville, TN
 Oklahoma City, OK
 Overland Park, KS
 Philadelphia, PA
 Pittsburgh, PA
 Raleigh, NC
 Redmond, WA
 Sacramento, CA
 San Diego, CA
 San Francisco, CA
 Scottsdale, AZ
 Seattle, WA
 St. Louis, MO
 St. Petersburg, FL
 Walnut Creek, CA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\&lt;a href\="/us\-en/about/contact\-us" target\="\_self" class\="cmp\-text\_\_link cmp\-text\_\_link\-\-default" data\-barba\-transition\="true" data\-cmp\-clickable\="" data\-cmp\-data\-layer\="{"jobdetail\-1e0b7e5710\-Additional Information\-item0":{"analytics\-link\-name":"email","analytics\-link\-type":"engagement","xdm:linkURL":"/us\-en/about/contact\-us","analytics\-engagement":"true"}}" rel\="noopener noreferrer"\&gt;email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\&lt;a href\="/content/dam/accenture/final/accenture\-com/document\-3/Accenture\-Equal\-Employment\-Opportunity\-Statement.pdf\#zoom\=50" title\="Opens the PDF full report, Annual policy statement regarding equal employment opportunity and affirmative action statement , in a new tab." target\="\_blank" class\="cmp\-text\_\_link cmp\-text\_\_link\-\-default" data\-tooltip\="Opens the PDF full report, Annual policy statement regarding equal employment opportunity and affirmative action statement , in a new tab." data\-cmp\-clickable\="" data\-cmp\-data\-layer\="{"jobdetail\-1e0b7e5710\-Additional Information\-item1":{"analytics\-link\-name":"accenture equal opportunity statement","analytics\-link\-type":"engagement","xdm:linkURL":"/content/dam/accenture/final/accenture\-com/document\-3/Accenture\-Equal\-Employment\-Opportunity\-Statement.pdf\#zoom\=50","analytics\-engagement":"true"}}" rel\="noopener noreferrer"\&gt;Accenture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\&lt;a href\="/us\-en/careers/support/e\-verify\-legal\-notices" target\="\_self" class\="cmp\-text\_\_link cmp\-text\_\_link\-\-default" data\-barba\-transition\="true" aria\-label\="please click here for additional important information." data\-cmp\-clickable\="" data\-cmp\-data\-layer\="{"jobdetail\-1e0b7e5710\-Additional Information\-item2":{"analytics\-link\-name":"click here","analytics\-link\-type":"engagement","xdm:linkURL":"/us\-en/careers/support/e\-verify\-legal\-notices","analytics\-engagement":"true"}}" rel\="noopener noreferrer"\&gt;click here for additional important information.
 Please read Accenture’s \&lt;a href\="/us\-en/careers/support/privacy\-statement" target\="\_self" class\="cmp\-text\_\_link cmp\-text\_\_link\-\-default" data\-barba\-transition\="true" data\-cmp\-clickable\="" data\-cmp\-data\-layer\="{"jobdetail\-1e0b7e5710\-Additional Information\-item3":{"analytics\-link\-name":"recruiting and hiring statement","analytics\-link\-type":"engagement","xdm:linkURL":"/us\-en/careers/support/privacy\-statement","analytics\-engagement":"true"}}" rel\="noopener noreferrer"\&gt;Recruiting and Hiring Statement for more information on how we process your data during the Recruiting and Hiring process.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\&lt;a href\="https://www.accenture.com" target\="\_blank" data\-cmp\-clickable\="" data\-cmp\-data\-layer\="{"jobdetail\-1e0b7e5710\-About Accenture\-item0":{"analytics\-link\-name":"www.accenture.com","analytics\-link\-type":"engagement","xdm:linkURL":"https://www.accenture.com","analytics\-engagement":"true"}}" rel\="noopener noreferrer"\&gt;www.accenture.com.</t>
        </is>
      </c>
    </row>
    <row r="53">
      <c r="A53" t="inlineStr">
        <is>
          <t>li-4363530064</t>
        </is>
      </c>
      <c r="B53" t="inlineStr">
        <is>
          <t>AI Engineer I/II/III</t>
        </is>
      </c>
      <c r="C53" t="inlineStr">
        <is>
          <t>Excellus BCBS</t>
        </is>
      </c>
      <c r="D53" t="inlineStr">
        <is>
          <t>linkedin</t>
        </is>
      </c>
      <c r="E53">
        <f>HYPERLINK("https://www.linkedin.com/jobs/view/4363530064", "https://www.linkedin.com/jobs/view/4363530064")</f>
        <v/>
      </c>
      <c r="F53">
        <f>HYPERLINK("https://careers.excellusbcbs.com/us/en/job/JR102913/AI-Engineer-I-II-III?source=LinkedIn&amp;urlHash=Jfh5", "https://careers.excellusbcbs.com/us/en/job/JR102913/AI-Engineer-I-II-III?source=LinkedIn&amp;urlHash=Jfh5")</f>
        <v/>
      </c>
      <c r="G53" t="inlineStr">
        <is>
          <t>Rochester, NY</t>
        </is>
      </c>
      <c r="H53" t="inlineStr"/>
      <c r="I53" t="inlineStr">
        <is>
          <t>**Summary**
**Job Description:**
 The AI Engineer is part of a highly collaborative team that develops cutting\-edge machine learning (ML) and artificial intelligence (AI) models to solve complex business challenges and improve member health outcomes. In this role, you will work on high\-impact projects involving advanced ML techniques, including large language models (LLMs) and generative AI. You’ll have the opportunity to experiment with state\-of\-the\-art algorithms, push the boundaries of AI capabilities, and contribute to innovative solutions that drive real\-world value.
**Essential Accountabilities**
 Level I
* Develops Artificial Intelligence and Machine Learning solutions to solve business problems and improve member health outcomes, incorporating (but not limited to): Large language models (LLMs) and generative AI applications, machine learning models, natural language processing (NLP), optimization and mathematical programming and recommendation systems.
* Builds and refines data pipelines for feature engineering and ML model input, ensuring efficient and scalable data handling.
* Collaborates with data engineering teams to acquire, clean, and prepare data for model training.
* Supports model evaluation, testing, and performance monitoring in pre\-production environments.
* Works within cloud\-based ML platforms (e.g., Databricks) to develop and optimize AI models.
* Understands ML Operations principles and collaborates with CI/CD and ML Operations engineers for model deployment and monitoring.
* Participates in peer code reviews and follows best practices for software development in AI.
* Stays up to date with industry trends and new developments in AI/ML.
* Develops and refines prompt engineering techniques for optimizing interactions with LLMs and generative AI applications.
* Consistently demonstrates high standards of integrity by supporting the Lifetime Healthcare Companies’ mission and values, adhering to the Corporate Code of Conduct, and leading to the Lifetime Way values and beliefs.
* Maintains high regard for member privacy in accordance with the corporate privacy policies and procedures.
* Regular and reliable attendance is expected and required.
* Performs other functions as assigned by management.
**Level II (in Addition To Level I Accountabilities)**
* Contributes to the AI/ML model lifecycle, ensuring reproducibility, scalability, and maintainability of solutions.
* Works with stakeholders to translate business objectives into AI/ML formulations and measurable success criteria.
* Optimizes and fine\-tunes ML models for performance, explainability, and efficiency.
* Develops solutions using large language models (LLMs) and generative AI frameworks.
* Supports the integration of AI models with enterprise applications, APIs, or data pipelines.
* Engages in continuous learning and shares knowledge on new ML techniques and best practices.
* Enhances team efficiency through the adoption of automation tools for model training, evaluation, and monitoring.
**Level III (in Addition To Level II Accountabilities)**
* Leads the discovery and solutioning process, working with company stakeholders to identify high\-impact AI opportunities.
* Designs and implements scalable AI architectures that integrate with enterprise systems and support business operations.
* Leads initiatives related to large language models (LLMs) and generative AI, ensuring alignment with business needs.
* Mentors junior team members and fosters a culture of engineering excellence.
* Collaborates with Operations and CI/CD teams to improve AI model deployment pipelines and monitoring strategies.
* Recommends and influences best practices for AI model governance, versioning, and compliance.
* Engages with leadership and cross\-functional teams to align AI strategies with business goals.
**Minimum Qualifications**
 NOTE: We include multiple levels of classification differentiated by demonstrated knowledge, skills, and the ability to manage increasingly independent and/or complex assignments, broader responsibility, additional decision making, and in some cases, becoming a resource to others. In addition to using this differentiated approach to place new hires, it also provides guideposts for employee development and promotional opportunities.
**Level I**
* Bachelor's degree required; in lieu of a degree, six (6\) years of relevant experience required.
* Prior professional, co\-op, or internship experience developing AI/ML solutions, or relevant coursework.
* Basic understanding of fundamental ML concepts, algorithms, and statistical techniques.
* Basic experience working with databases, SQL, and data manipulation.
* Strong problem\-solving skills and a willingness to learn.
**Level II (in Addition To Level I Qualifications)**
* Hands\-on professional experience developing ML models for real\-world applications.
* Intermediate proficiency with cloud\-based ML platforms (e.g., Databricks, AWS SageMaker, or Azure ML).
* Intermediate knowledge of model performance monitoring and optimization techniques.
* Experience working with large\-scale data pipelines and distributed computing frameworks (e.g., Spark).
* Familiarity with CI/CD and ML Ops/ LLM Ops principles to collaborate effectively with deployment teams.
* Experience working with large language models (LLMs) and generative AI technologies.
* Ability to present clear and concise technical concepts to both technical and non\-technical stakeholders.
**Level III (in Addition To Level II Qualifications)**
* Significant professional experience and knowledge in AI/ML engineering with a track record of developing models at scale.
* Advanced proficiency in AI/ML model architecture, optimization, and explainability techniques.
* Advanced experience integrating AI solutions with business applications and APIs.
* Extensive experience working with large language models (LLMs) and generative AI in production environments.
* Advanced understanding of AI model lifecycle management, governance, and operationalization.
* Leadership experience in mentoring and guiding AI engineering best practices.
* Strong ability to engage with executives and business leaders to drive AI strategy.
**Physical Requirements**
* Ability to orally communicate.
* Must be able to travel across the enterprise.
* Ability to work in a home office for continuous periods of time for business continuity.
 In support of the Americans with Disabilities Act, this job description lists only those responsibilities and qualifications deemed essential to the position.
 Equal Opportunity Employer
**Compensation Range(s)**
 Level I \- E4 Min 65,346 Mid 91,484 Max 117,622
 Level II \- E6 Min 79,068 Mid 110,695 Max 142,322
 Level III \- E8 Min 98,297 Mid 137,616 Max 176,935
 The salary range indicated in this posting represents the minimum and maximum of the salary range for this position. Actual salary will vary depending on factors including, but not limited to, budget available, prior experience, knowledge, skill and education as they relate to the position’s minimum qualifications, in addition to internal equity. The posted salary range reflects just one component of our total rewards package. Other components of the total rewards package may include participation in group health and/or dental insurance, retirement plan, wellness program, paid time away from work, and paid holidays.
 Please note: There may be opportunity for remote work within all jobs posted by the Excellus Talent Acquisition team. This decision is made on a case\-by\-case basis.
 All qualified applicants will receive consideration for employment without regard to race, color, religion, sex, sexual orientation, gender identity, national origin, disability, or status as a protected veteran.</t>
        </is>
      </c>
    </row>
    <row r="54">
      <c r="A54" t="inlineStr">
        <is>
          <t>li-4357628525</t>
        </is>
      </c>
      <c r="B54" t="inlineStr">
        <is>
          <t>Senior Machine Learning Engineer</t>
        </is>
      </c>
      <c r="C54" t="inlineStr">
        <is>
          <t>Apple</t>
        </is>
      </c>
      <c r="D54" t="inlineStr">
        <is>
          <t>linkedin</t>
        </is>
      </c>
      <c r="E54">
        <f>HYPERLINK("https://www.linkedin.com/jobs/view/4357628525", "https://www.linkedin.com/jobs/view/4357628525")</f>
        <v/>
      </c>
      <c r="F54" t="inlineStr"/>
      <c r="G54" t="inlineStr">
        <is>
          <t>Cambridge, MA</t>
        </is>
      </c>
      <c r="H54" t="inlineStr"/>
      <c r="I54"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work.nnHere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things.nnWe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u0026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
**Minimum Qualifications**
 Bachelorʼs degree in Computer Science, Statistics, Mathematics with equivalent experience.n5\+ years of related experience building high throughput scalable applications or building machine learning models.nProficiency in one or more object\-oriented programming languages such as Python, Java, C\+\+ and experience building distributed systems.nExperience building data processing pipelines and large scale machine learning systems with experience in big data technologies like Spark, SQL, Snowflake/Hadoop, etc.nSkilled in communication, problem solving, critical thinking Attention to detail, data accuracy and quality of output.
**Preferred Qualifications**
 PhD or Graduate degree with research/work experience using data science techniques (including but not limited to Computer Science, Statistics, Mathematics, etc).nExperience in Recommender Systems, Personalization, Search, Computational Advertising or Natural Language Processing including RAG based Generative AI and transformer architecture.nSkilled in communication, problem solving, critical thinking.nExperience using Deep Learning, Bandits, Probabilistic Graphical Models, or Reinforcement Learning in real applications a plus.nExperience with Spark, TensorFlow, Keras, and PyTorch a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5">
      <c r="A55" t="inlineStr">
        <is>
          <t>li-4357648500</t>
        </is>
      </c>
      <c r="B55" t="inlineStr">
        <is>
          <t>Wireless Systems AI/ML Engineer</t>
        </is>
      </c>
      <c r="C55" t="inlineStr">
        <is>
          <t>Apple</t>
        </is>
      </c>
      <c r="D55" t="inlineStr">
        <is>
          <t>linkedin</t>
        </is>
      </c>
      <c r="E55">
        <f>HYPERLINK("https://www.linkedin.com/jobs/view/4357648500", "https://www.linkedin.com/jobs/view/4357648500")</f>
        <v/>
      </c>
      <c r="F55" t="inlineStr"/>
      <c r="G55" t="inlineStr">
        <is>
          <t>San Diego, CA</t>
        </is>
      </c>
      <c r="H55" t="inlineStr"/>
      <c r="I55" t="inlineStr">
        <is>
          <t>**Summary**
 Join the Wireless Technologies and Ecosystems (WTE) organization and be part of a best\-in\-class team of engineers, working with multi\-functional teams to drive innovation and develop products used by millions worldwide. We are looking for an individual who can excel in a high\-paced environment. Be ready to make something extraordinary when you come here. Dynamic, encouraging people and innovative, industry\-defining technologies are the norm at Apple. The people who work here have reinvented and defined entire industries with our products and services. The same real passion for innovation also applies to our business practices \- strengthening our dedication to leave the world better than we found it. You should join Apple if you want to help deliver the next amazing Apple product.
**Description**
 Apple’s Wireless Systems Analysis team is seeking talented, highly motivated and disciplined Engineer to work across layers on groundbreaking wireless technologies. You will be responsible for building next generation AI Agents, Tools u0026 services for analyzing Connectivity/Cellular functional u0026 performance issues for future Apple product lines with emphasis on improving the overall user experience in terms of performance. You will have the opportunity to make a significant, organization\-wide impact by tackling and resolving complex technical challenges that shape the future of automated analysis of SW bugs from various wireless technologies at Apple using advanced AIML tools. Development of advanced system evaluation and debugging capabilities is required on an as needed basis. As part of this team, you will impact iPhone, iPad u0026 Mac user experience worldwide.n
**Minimum Qualifications**
 Masters in Computer Science (or related fields) or equivalent experiencenExpert in ML frameworks (PyTorch or TensorFlow), with hands\-on experience in building out complete ML pipelines (data, model, implementation, optimization, benchmarking u0026 evaluation)nHand\-on experience using Gen AI, LLMs and ML models to solve real problems at scalenExpertise with advanced Gen AI techniques, such as RAG, Agent Orchestration, Context Management, Prompt EngineeringnProficiency in python scripting for data analysis and visualization u0026 Tools developmentnStrong understanding in one of WiFi, Bluetooth, Thread or related protocolsnExcellent analytical and debugging skillsnEffective communication skills, particularly with technical content.nHighly organized, creative, self\-motivated, and passionate about achieving results.
**Preferred Qualifications**
 PhD in Computer Science (or related fields) or equivalent experiencennExcellent communication and interpersonal skills for collaborating with a technical team.nnStrong Analytical and problem\-solving skills, with the ability to debug complex issues and communicate findings effectivelynnExcellent attention to details with the passion to deliver high\-quality work on tight schedulen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6">
      <c r="A56" t="inlineStr">
        <is>
          <t>li-4357648836</t>
        </is>
      </c>
      <c r="B56" t="inlineStr">
        <is>
          <t>Computer Vision and Machine Learning Engineer, Creativity Apps</t>
        </is>
      </c>
      <c r="C56" t="inlineStr">
        <is>
          <t>Apple</t>
        </is>
      </c>
      <c r="D56" t="inlineStr">
        <is>
          <t>linkedin</t>
        </is>
      </c>
      <c r="E56">
        <f>HYPERLINK("https://www.linkedin.com/jobs/view/4357648836", "https://www.linkedin.com/jobs/view/4357648836")</f>
        <v/>
      </c>
      <c r="F56">
        <f>HYPERLINK("https://jobs.apple.com/en-us/details/200639888&amp;urlHash=-xir", "https://jobs.apple.com/en-us/details/200639888&amp;urlHash=-xir")</f>
        <v/>
      </c>
      <c r="G56" t="inlineStr">
        <is>
          <t>Cupertino, CA</t>
        </is>
      </c>
      <c r="H56" t="inlineStr"/>
      <c r="I56" t="inlineStr">
        <is>
          <t>**Summary**
 At Apple, new ideas have a way of becoming phenomenal products, services, and customer experiences very quickly! The Creativity Apps team needs your help shaping the next generation of creative editing tools by working on pioneering technologies to surprise and delight creative pros and enthusiasts alike. nnAs a Computer Vision u0026 Machine Learning Engineer, you will be working alongside our world\-class creatives, designers, and engineers to help innovate in the creative space in ways that only Apple can. This is a highly visible, highly impactful opportunity!
**Description**
 The ideal candidate should have deep experience in computer vision and machine learning and care about long term sustainable software development. This position requires a self\-motivated individual with excellent interpersonal skills to effectively collaborate with all levels of the organization.nn
**Minimum Qualifications**
 MS Computer Science, Machine Learning or related field, and 2\+ years of significant industry experience delivering products using state\-of\-the\-art computer vision and machine learning technologies.nnKnowledge in theory and practice of computer vision, machine learning and deep learning techniques. nnExperience delivering products in Computer Vision, Computational Photography, Generative AI, Machine Learning, or related areas.nnHands\-on experience with building, training, evaluating, and deploying transformer based vision models, Generative Adversarial Network based models, or related methods.nnStrong programming skills in Python and/or C\+\+ and one of the deep learning toolkits such as PyTorch, JAX, or Tensorflow.nnAbility to solve everyday problems in innovative ways.nnAbility to communicate effectively and collaborate with partner teams.nnCommitted to encouraging an open and inclusive work environment.n
**Preferred Qualifications**
 PhD in Computer Science, Machine Learning or related field.nnExperience delivering high quality software at scale is a plus.nnFamiliarity with modern camera ISP and digital image processing algorithms and models is a plus.nnExperience optimizing models and algorithms that run efficiently on resource constrained platforms is a plus.nnStrong patent and publication record at top conferences is a plus.nnExperience with Core ML, Swift, and iOS/macOS machine learning development is a plus.nnKnowledge and keen interest in learning the art and science of photography.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7">
      <c r="A57" t="inlineStr">
        <is>
          <t>li-4359137538</t>
        </is>
      </c>
      <c r="B57" t="inlineStr">
        <is>
          <t>Machine Learning Engineer, Siri Runtime Systems and Interaction</t>
        </is>
      </c>
      <c r="C57" t="inlineStr">
        <is>
          <t>Apple</t>
        </is>
      </c>
      <c r="D57" t="inlineStr">
        <is>
          <t>linkedin</t>
        </is>
      </c>
      <c r="E57">
        <f>HYPERLINK("https://www.linkedin.com/jobs/view/4359137538", "https://www.linkedin.com/jobs/view/4359137538")</f>
        <v/>
      </c>
      <c r="F57">
        <f>HYPERLINK("https://jobs.apple.com/en-us/details/200628839&amp;urlHash=XZ8L", "https://jobs.apple.com/en-us/details/200628839&amp;urlHash=XZ8L")</f>
        <v/>
      </c>
      <c r="G57" t="inlineStr">
        <is>
          <t>Cupertino, CA</t>
        </is>
      </c>
      <c r="H57" t="inlineStr"/>
      <c r="I57" t="inlineStr">
        <is>
          <t>**Summary**
 We are a group of engineers working on making Siri more intelligent and intuitive to interact with. We focus on innovating multimodal machine learning solutions that improve the experience for our users. We adapt our technologies based on various sensors available on different hardware products and make them run efficiently. We collaborate with various teams at Apple to deploy these innovative solutions to our products.
**Description**
 As a member of the team you will be responsible for researching and developing innovative ML solutions for challenging problems that will meaningfully affect how users interact with Siri on Apple products. You will be looking at the user experience we want to deliver, define the optimization metrics and propose solutions to achieve the goal. You will bring these innovations to life by working collaboratively with partner teams to take them all the way to production. You are self\-motivated, excellent problem solver with strong execution. You are good at building relationships and work well with change and ambiguity. You have strong programming skills with tried experience prototyping and converting ideas into reality.
**Minimum Qualifications**
 Passionate about building extraordinary productsnExcellent problem solving, critical thinking, and interpersonal skillsnExcellent programming and debugging skillsnIn\-depth expertise in developing machine learning modelsnExpertise in common ML frameworks (TensorFlow, PyTorch, JAX)
**Preferred Qualifications**
 PhD or MSc in Computer Science, Computer Engineering or a closely related field.nProven industry experience in building ML\-based production featuresnExperience in optimizing machine learning models for efficient inference on devicenIndustry experience in implementing and training multimodal LLM or VLMnExpertise in one or more of computer vision, audio signal processing and motion signal processing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8">
      <c r="A58" t="inlineStr">
        <is>
          <t>li-4355199402</t>
        </is>
      </c>
      <c r="B58" t="inlineStr">
        <is>
          <t>Senior Machine Learning Engineer</t>
        </is>
      </c>
      <c r="C58" t="inlineStr">
        <is>
          <t>Teleskope</t>
        </is>
      </c>
      <c r="D58" t="inlineStr">
        <is>
          <t>linkedin</t>
        </is>
      </c>
      <c r="E58">
        <f>HYPERLINK("https://www.linkedin.com/jobs/view/4355199402", "https://www.linkedin.com/jobs/view/4355199402")</f>
        <v/>
      </c>
      <c r="F58" t="inlineStr"/>
      <c r="G58" t="inlineStr">
        <is>
          <t>New York, NY</t>
        </is>
      </c>
      <c r="H58" t="inlineStr"/>
      <c r="I58" t="inlineStr">
        <is>
          <t>**About Teleskope** 
 Teleskope is redefining data security for the AI era with the only dedicated platform that combines precise visibility with automated remediation. Teleskope continuously scans, catalogs and classifies data in\-motion and at\-rest while automating policy\-based actions, helping organizations proactively manage data sprawl while securely enabling AI adoption.
 Fresh off our $25 million Series A round, Teleskope is entering a high\-growth phase backed by top\-tier investors and exceptional product\-market fit.
**About the role** 
 Teleskope is seeking a
 **Senior Machine Learning Engineer** 
 to help build and scale the core ML systems that power data classification, data workflows across the Teleskope platform.
 In this role, you will operate at the intersection of
 **applied NLP, agentic systems, and production ML engineering** 
 . You will design and own end\-to\-end ML pipelines that surface sensitive data risks, propose and execute remediation actions via agentic workflows, and enable GenAI features used directly by all Teleskope customers.
 This is a
 **high\-visibility, high\-ownership role** 
 . The systems you build will be central to the platform and touched by every Teleskope user. You will work closely with product, engineering, and customer\-facing teams to ensure ML systems are reliable, scalable, and production\-grade.
 This is a hybrid role based in New York City.
**What You'll Do** 
 :
* **Design, build, and own production ML systems** 
 that surface data risk and power automated remediation across the Teleskope platform.
* Develop
 **agentic ML pipelines** 
 that combine detection, classification, and decision\-making with automated, policy\-driven remediation actions.
* Build and deploy NLP and GenAI models for:
* Named Entity Recognition (NER) and sensitive data detection
* Text, document, and table classification
* Clustering, summarization, and risk prioritization
* LLM\-driven reasoning and remediation proposal workflows
* Define and implement
 **quality, evaluation, and monitoring frameworks** 
 to ensure model correctness, stability, and safety in production.
* Collaborate with product and platform engineering to integrate ML systems into customer\-facing features and workflows.
* Contribute to the
 **architecture and evolution of Teleskope’s ML infrastructure** 
 , balancing velocity, reliability, and long\-term maintainability.
* Serve as a senior technical contributor, influencing best practices and raising the bar for ML engineering across the team.
**What You Bring:** 
* **7\+ years of experience** 
 building and deploying machine learning systems in production, with a strong emphasis on NLP.
* Proven experience owning
 **end\-to\-end ML pipelines** 
 , from data ingestion and preprocessing to deployment and monitoring.
* Hands\-on experience with
 **LLM\-based systems, GenAI features, or agentic workflows** 
 in real\-world applications.
* Strong software engineering skills, including:
* Proficiency in
 **Python**
* Experience building scalable services and pipelines
* Experience with modern ML frameworks (e.g.,LangChain, HuggingFace) and production deployment patterns.
* Ability to reason about tradeoffs across accuracy, latency, cost, and system complexity.
* Strong communication skills and comfort collaborating across engineering, product, and customer teams.
* Bachelor’s, Master’s, or PhD in Computer Science, Machine Learning, or a related field—or equivalent professional experience.
* **Must be based in New York City** 
 — this is hybrid role.
**Nice to Haves:** 
* Experience with
 **GPU\-accelerated inference** 
 , Triton, ONNX, or model serving optimization.
* Experience deploying ML systems in
 **cloud\-native and on\-prem** 
 environments.
* Exposure to compiled languages such as
 **Go** 
 .
* Experience supporting multilingual NLP systems.
* Background in building ML systems that operate in
 **security, privacy, or compliance\-sensitive domains** 
 .
**What you'll get:** 
* A senior, high\-impact role at an early\-stage startup in a fast\-growing market.
* Ownership over ML systems that directly power every customer workflow on the platform.
* The opportunity to shape how agentic AI and GenAI are used responsibly in data security.
* A beautiful, well\-stocked office in NYC’s Financial District.
* Flexible vacation and work from home days.
* Competitive salary and meaningful equity.
* Health, vision, dental, 401k and more benefits, heavily subsidized by Teleskope.
**What We Value:** 
 At Teleskope, we value
 **strong engineers who build real systems** 
 . We look for team members who combine ML depth with pragmatic execution, take ownership of critical infrastructure, and ship reliable solutions that deliver real\-world security and privacy outcomes.</t>
        </is>
      </c>
    </row>
    <row r="59">
      <c r="A59" t="inlineStr">
        <is>
          <t>li-4362951103</t>
        </is>
      </c>
      <c r="B59" t="inlineStr">
        <is>
          <t>GCP Gen. AI Engineer</t>
        </is>
      </c>
      <c r="C59" t="inlineStr">
        <is>
          <t>Kaleidoscope Innovation</t>
        </is>
      </c>
      <c r="D59" t="inlineStr">
        <is>
          <t>linkedin</t>
        </is>
      </c>
      <c r="E59">
        <f>HYPERLINK("https://www.linkedin.com/jobs/view/4362951103", "https://www.linkedin.com/jobs/view/4362951103")</f>
        <v/>
      </c>
      <c r="F59" t="inlineStr"/>
      <c r="G59" t="inlineStr">
        <is>
          <t>Charlotte, NC</t>
        </is>
      </c>
      <c r="H59" t="inlineStr"/>
      <c r="I59" t="inlineStr">
        <is>
          <t>GCP GenAI Engineer
 We are seeking an experienced engineer with strong expertise in Google Cloud Platform (GCP) and hands\-on experience building and managing infrastructure for Generative AI workloads. The ideal candidate will be proficient in GCP GenAI, Terraform, Python, and Kubernetes (GKE). We are seeking individuals with 6\+ years of professional experience.
**Key Responsibilities**
* Design, deploy, and manage cloud infrastructure on GCP using Terraform and GKE.
* Work with GCP GenAI and Guardrails (Model Armor, Secure Data Processing) for building safe and compliant AI solutions.
* Develop automation scripts and workflows in Python to streamline deployments and monitoring.
* Collaborate with data science and AI teams to integrate GenAI capabilities into production environments.
* Optimize cloud resources and ensure scalability, security, and cost efficiency.
**Qualifications**
* Bachelor’s degree in Computer Science, Engineering, or related field.
* Proven experience with GCP infrastructure, including IAM, networking, and security best practices.
* Strong understanding of Generative AI concepts, tools, and workflows within GCP.
* Working knowledge of Terraform, GKE, and Python.
* Experience implementing GCP Guardrails (Model Armor, SDP) is preferred.
* Excellent problem\-solving skills and ability to work collaboratively across teams.</t>
        </is>
      </c>
    </row>
    <row r="60">
      <c r="A60" t="inlineStr">
        <is>
          <t>li-4362812795</t>
        </is>
      </c>
      <c r="B60" t="inlineStr">
        <is>
          <t>Google ADK AI Engineer</t>
        </is>
      </c>
      <c r="C60" t="inlineStr">
        <is>
          <t>NeerInfo Solutions</t>
        </is>
      </c>
      <c r="D60" t="inlineStr">
        <is>
          <t>linkedin</t>
        </is>
      </c>
      <c r="E60">
        <f>HYPERLINK("https://www.linkedin.com/jobs/view/4362812795", "https://www.linkedin.com/jobs/view/4362812795")</f>
        <v/>
      </c>
      <c r="F60" t="inlineStr"/>
      <c r="G60" t="inlineStr">
        <is>
          <t>Austin, TX</t>
        </is>
      </c>
      <c r="H60" t="inlineStr"/>
      <c r="I60" t="inlineStr">
        <is>
          <t>**Google ADK AI Engineer** 
**Sunnyvale, CA or Austin, TX** 
**Requirement** 
 Bachelor’s degree or foreign equivalent required from an accredited institution. Will also consider three years of progressive experience in the specialty in lieu of every year of education.
 At least 7 years of Information Technology experience.
 Strong programming skills in Python and applied experience with a range of LLMs.
 Expert in applying and extending AI agent frameworks (Google ADK, LangChain, etc.).
 Hands\-on experience developing, deploying, and operating AI agents in production.
 Experience deploying AI systems in large\-scale, hybrid environments with a focus on performance and reliability.
 Experience in writing SQL
 A portfolio of deployed agentic systems that have delivered significant, measurable impact.
 Experience in evaluation frameworks for AI agents.
 Proven years of software development or machine learning experience.
 Proven expertise in optimizing AI agents for latency, scalability, and cost.
 Experience in Big data would be an added advantage
 A track record of thought leadership or contributions to the field of agentic AI.
 Advanced degree with Master’s or above in in area of quantitative discipline such as Statistics, Applied Math, machine learning, Operations Research, Computer Science, Engineering or Physics or a related field
 Good understanding of Agile software development frameworks
 Strong communication and Analytical skills
 Ability to work in teams in a diverse, multi\-stakeholder environment comprising of Business and Technology teams
 Experience and desire to work in a global delivery environment</t>
        </is>
      </c>
    </row>
    <row r="61">
      <c r="A61" t="inlineStr">
        <is>
          <t>li-4359146142</t>
        </is>
      </c>
      <c r="B61" t="inlineStr">
        <is>
          <t>Computational Photography/Computer Vision Machine Learning Engineer</t>
        </is>
      </c>
      <c r="C61" t="inlineStr">
        <is>
          <t>Apple</t>
        </is>
      </c>
      <c r="D61" t="inlineStr">
        <is>
          <t>linkedin</t>
        </is>
      </c>
      <c r="E61">
        <f>HYPERLINK("https://www.linkedin.com/jobs/view/4359146142", "https://www.linkedin.com/jobs/view/4359146142")</f>
        <v/>
      </c>
      <c r="F61">
        <f>HYPERLINK("https://jobs.apple.com/en-us/details/200634411&amp;urlHash=W8dX", "https://jobs.apple.com/en-us/details/200634411&amp;urlHash=W8dX")</f>
        <v/>
      </c>
      <c r="G61" t="inlineStr">
        <is>
          <t>Cupertino, CA</t>
        </is>
      </c>
      <c r="H61" t="inlineStr"/>
      <c r="I61" t="inlineStr">
        <is>
          <t>**Summary**
 In the Camera Imaging Algorithms team in the Camera u0026 Photos organization, we are looking for passionate, self\-driven computational photography/computer vision machine learning engineers who enjoy both innovating down to the details and collaborating with broader cross\-functional teams to bring exciting new imaging technology to our Apple products. We have worked on many core algorithms in the Apple camera imaging pipeline like Deep Fusion, Photonic Engine, SmartHDR, and Panorama. In this role, you will research and develop novel machine learning techniques for various image restoration and image fusion applications and contribute to shipping the most popular camera in the world.n
**Description**
 As a machine learning engineer on our team, you will contribute to algorithm design and implementation. You will develop and train deep learning models and collaborate with cross\-functional teams like camera hardware, firmware, GPU, and image quality teams to bring your innovative ideas to product. We are seeking a creative and inquisitive engineer who can leverage their knowledge of classical computer vision and computational photography techniques to build deep learning models that help us design the next generation Apple camera imaging pipeline.
**Minimum Qualifications**
 Strong coding skills in Python; experience in C/C\+\+ a big plusnDemonstrated ability in developing machine learning algorithms for computational photography/computer vision and image processing problemsnExtensive knowledge in camera processing pipeline, classical computer vision, and classical computational photography techniquesnExperience with deep learning techniques for image restoration and image fusion applications (denoising/demosaicing/super\-resolution), and experience with deep learning frameworks like PyTorch or TensorFlownMS/PhD in Computer Vision, Machine Learning, Computer Science, Electrical Engineering or related fieldsn
**Preferred Qualifications**
 Excellent verbal and written communication skillsnCreativity and curiosity for solving complex problems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2">
      <c r="A62" t="inlineStr">
        <is>
          <t>li-4357648843</t>
        </is>
      </c>
      <c r="B62" t="inlineStr">
        <is>
          <t>AIML - Sr Machine Learning Engineer Answers, Knowledge u0026 Information (AKI)</t>
        </is>
      </c>
      <c r="C62" t="inlineStr">
        <is>
          <t>Apple</t>
        </is>
      </c>
      <c r="D62" t="inlineStr">
        <is>
          <t>linkedin</t>
        </is>
      </c>
      <c r="E62">
        <f>HYPERLINK("https://www.linkedin.com/jobs/view/4357648843", "https://www.linkedin.com/jobs/view/4357648843")</f>
        <v/>
      </c>
      <c r="F62" t="inlineStr"/>
      <c r="G62" t="inlineStr">
        <is>
          <t>Santa Clara, CA</t>
        </is>
      </c>
      <c r="H62" t="inlineStr"/>
      <c r="I62" t="inlineStr">
        <is>
          <t>**Summary**
 Siri helps hundreds of millions of people find the information they are looking for. A critical part of that mission is helping them quickly find and discover local businesses, places of interest, and addresses. Users rely on us for relevant and easy access to local information like finding a favorite or romantic restaurant, business hours, nearby coffee shop addresses, and directions to prominent locations.nnThe Geo domain team is redefining how hundreds of millions of people use their devices to navigate and explore the physical world around them. We are part of a wider effort to power search across a variety of Apple products – including Siri, Spotlight, Safari, Messages, and more. As part of our team, you will be using innovative machine learning techniques and LLMs in order to understand queries, rank documents, and find useful answers to users’ questions. nnWe are looking for an experienced ML engineer with hands\-on experience in search and recommendation and deploying powerful machine learning models at scale. You will join a team that combines strong technical skills, product vision, and a love of all things local to bring together the pieces needed to deliver an extraordinary Maps experience in Siri and Spotlight.
**Description**
 As a member of our fast\-paced group, you’ll have the unique and rewarding opportunity to shape upcoming products from Apple. Our team includes a diversity of backgrounds from applied scientists with a focus in NLP to experienced distributed systems. We are looking for candidates with both applied machine learning experience and strong engineering skills.nThe role will have the following responsibilities:nn\- Own the entire ML development cycle from opportunity analysis, exploration, and prototyping to data collection, feature engineering, training, evaluation, and deployment in production.n\- Lead the development of machine learning models to improve search quality across retrieval, ranking, reranking, and query understanding.n\- Improve search quality and experience by leveraging techniques such as learning\-to\-rank, embedding models, contrastive learning, multi\-task learning, and reinforcement learning where appropriate.n\- Mentor junior engineers and provide technical leadership in architecting ML systems and designing ML models.n\- Understand product requirements, then translate them into modeling tasks and engineering tasks.
**Minimum Qualifications**
 You have 8\+ years of experience in information retrieval, natural language processing, machine learning, or deep learning.nYou have a deep understanding of machine learning theory, including supervised learning, ranking models, embeddings, representation learning, and evaluation metrics. nYou have proven ability to apply advanced ML techniques to improve search relevance and retrieval quality at scale.nYou are comfortable leading experimentation, offline evaluation, and online A/B testing for iterative improvements in search quality.nYou have excellent interpersonal skills, the ability to work independently as well as as part of a team.nYou have a Master’s Degree in Computer Science or equivalent experience in machine learning or a related field.
**Preferred Qualifications**
 Advanced diploma in AI, Machine Learning, Computer Science, or Mathematics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3">
      <c r="A63" t="inlineStr">
        <is>
          <t>li-4357638513</t>
        </is>
      </c>
      <c r="B63" t="inlineStr">
        <is>
          <t>Lead ML Engineer, Siri AI Quality Engineering</t>
        </is>
      </c>
      <c r="C63" t="inlineStr">
        <is>
          <t>Apple</t>
        </is>
      </c>
      <c r="D63" t="inlineStr">
        <is>
          <t>linkedin</t>
        </is>
      </c>
      <c r="E63">
        <f>HYPERLINK("https://www.linkedin.com/jobs/view/4357638513", "https://www.linkedin.com/jobs/view/4357638513")</f>
        <v/>
      </c>
      <c r="F63" t="inlineStr"/>
      <c r="G63" t="inlineStr">
        <is>
          <t>Cupertino, CA</t>
        </is>
      </c>
      <c r="H63" t="inlineStr"/>
      <c r="I63" t="inlineStr">
        <is>
          <t>**Summary**
 Play a part in the next revolution in human\-computer interaction and redefine mobile computing through voice interaction!nnApple's Siri AI Quality Engineering team is looking for a hard\-working and skilled Machine Learning Engineer to join our mission of delivering premier AI experiences to millions of users worldwide. In this role, you will be instrumental in ensuring the highest quality of Siri by developing and deploying innovative ML solutions for automated testing, anomaly detection, and performance analysis. You will work on a diverse set of problems, from predicting potential regressions to crafting intelligent systems that can identify subtle quality issues before they impact users.
**Description**
 In this role, you will apply your expertise in ML, data analysis, and software engineering to drive the strategy and execution of large\-scale evaluation efforts for Siri’s most sophisticated features. You will collaborate with top engineering, design, and product teams to define quality standards, build automated evaluation pipelines, and deliver insights that guide Siri’s development across iPhone, Mac, iPad, Watch, HomePod, Vision Pro, and more.nnIf you are a self\-motivated individual with a strong analytical mind, a keen eye for detail, and a desire to make a significant impact on a product used by millions, we encourage you to apply!
**Minimum Qualifications**
 10\+ years of proven experience in the relevant spacenn3\+ years demonstrated ability in machine learning, including hands\-on work with LLMsnnStrong programming skills in Python and experience with ML/NLP librariesnnExperience building or fine\-tuning LLMs for software engineering tasksnnUnderstanding of prompt engineering, and retrieval\-augmented generation (RAG)nnExperience developing LLM based automated evaluation frameworksnnStrong communication and collaboration skills, with the ability to work effectively with cross\-functional teamsn
**Preferred Qualifications**
 Experience in Swift/XCTest/XCUITest is preferrednnExcellent problem\-solving, analytical, and debugging skillsnnExperience working with large\-scale datasets, infrastructure, and/or data formats (e.g., JSONL, protobuf)nnExperience with large\-scale data processing (e.g., Spark, Hadoop) is a plusnnComfortable working in a fast\-paced, collaborative environment with shifting prioritiesn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4">
      <c r="A64" t="inlineStr">
        <is>
          <t>li-4359138044</t>
        </is>
      </c>
      <c r="B64" t="inlineStr">
        <is>
          <t>Data Science and Machine Learning Engineer</t>
        </is>
      </c>
      <c r="C64" t="inlineStr">
        <is>
          <t>Jobs via Dice</t>
        </is>
      </c>
      <c r="D64" t="inlineStr">
        <is>
          <t>linkedin</t>
        </is>
      </c>
      <c r="E64">
        <f>HYPERLINK("https://www.linkedin.com/jobs/view/4359138044", "https://www.linkedin.com/jobs/view/4359138044")</f>
        <v/>
      </c>
      <c r="F64" t="inlineStr"/>
      <c r="G64" t="inlineStr"/>
      <c r="H64" t="inlineStr"/>
      <c r="I64" t="inlineStr">
        <is>
          <t>**Job Summary**
* We are seeking a Senior Data Science Engineer to design, build, and scale data\-driven systems that power advanced analytics and machine learning across our organization. This role sits at the intersection of software engineering and data science; you'll be responsible for building robust data pipelines, enabling experimentation, and deploying production\-ready machine learning models.
* As a senior team member, you will mentor junior engineers and data scientists, influence architectural decisions, and help shape the long\-term AI and data strategy.?
**Key Responsibilities**
 Develop, deploy, and maintain machine learning models in production environments.
 Collaborate with data scientists, analysts, and product managers to define and deliver data\-driven features.
 Ensure high\-quality data through monitoring, validation, and robust testing frameworks.
 Architect and maintain data platforms and tools for experimentation, model serving, and feature engineering.
 Explore and integrate Large Language Models (LLMs) and other generative AI approaches into business applications and data workflows.
 Contribute to code reviews, technical design discussions, and best practices for the team.
 Mentor and guide junior engineers/data scientists, fostering technical excellence and career growth.
 Stay current with emerging technologies in Data Science, Machine Learning, LLM Ops, ML Ops.?
**Experience**
* 5\+ years of experience in data engineering, machine learning engineering, or related roles.
* Strong proficiency in Python (Pandas, NumPy, PySpark, or similar).
* Solid understanding of ML model development, training, and deployment pipelines.
* Experience with ML model monitoring and observability frameworks.
* Experience with deep learning frameworks(TensorFlow, PyTorch).
* Familiarity with CI/CD, version control (Git),and modern ML Ops practices.
* Contributions to open\-source Data Science / Machine Learning libraries or frameworks.
* Hands\-on experience with cloud platforms (AWS, Google Cloud Platform, or Azure) and containerization (Docker, Kubernetes).
* Proficiency with SQL and database systems (PostgreSQL, MySQL, or NoSQL alternatives).
* Exposure to data governance, security, and compliance requirements.
* Knowledge of experiment design (A/B testing, causal inference).</t>
        </is>
      </c>
    </row>
    <row r="65">
      <c r="A65" t="inlineStr">
        <is>
          <t>li-4359171613</t>
        </is>
      </c>
      <c r="B65" t="inlineStr">
        <is>
          <t>Senior Computer Vision and Machine Learning Engineer, Creativity Apps</t>
        </is>
      </c>
      <c r="C65" t="inlineStr">
        <is>
          <t>Apple</t>
        </is>
      </c>
      <c r="D65" t="inlineStr">
        <is>
          <t>linkedin</t>
        </is>
      </c>
      <c r="E65">
        <f>HYPERLINK("https://www.linkedin.com/jobs/view/4359171613", "https://www.linkedin.com/jobs/view/4359171613")</f>
        <v/>
      </c>
      <c r="F65" t="inlineStr"/>
      <c r="G65" t="inlineStr">
        <is>
          <t>Cupertino, CA</t>
        </is>
      </c>
      <c r="H65" t="inlineStr"/>
      <c r="I65" t="inlineStr">
        <is>
          <t>**Summary**
 At Apple, new ideas have a way of becoming phenomenal products, services, and customer experiences very quickly! The Creativity Apps team needs your help shaping the next generation of creative editing tools by working on pioneering technologies to surprise and delight pros and enthusiasts alike.nnAs a Senior Computer Vision u0026 Machine Learning Engineer, you will work alongside our world\-class creatives, designers, and engineers to help innovate in the creative space in ways that only Apple can. This is a highly visible, highly impactful opportunity!n
**Description**
 We are hiring a software engineer to work on a new initiative that will push the boundary of what's possible in the field of Generative AI. The ideal candidate will have deep knowledge in computational photography and multi\-modal image editing. This position requires a self\-motivated individual with excellent interpersonal skills to effectively collaborate with all levels of the organization.n
**Minimum Qualifications**
 MS or PhD in Computer Science, Machine Learning or related field, and 5\+ years of significant industry experience delivering products using state\-of\-the\-art computational photography and machine learning technologies.nnExtensive knowledge in theory and practice of machine learning and deep learning techniques, particularly diffusion models, variational auto\-encoders and transformers.nnExperience delivering customer\-facing products with computer vision, computational photography or generative AI features.nnHands\-on experience building, training, evaluating, and deploying diffusion, transformer and Generative Adversarial Network based models, or related methods.nnExperience contributing to large codebases while delivering high\-quality software at scale.nnStrong programming skills in high\-level languages like Python and one of the deep learning toolkits such as PyTorch, JAX, or TensorFlow.nnAbility to collaborate effectively across organizations and drive alignment in large cross\-functional projects.nnAbility to concisely communicate with audiences of different backgrounds, from non\-technical individuals to experts in the field.nnCommitted to encouraging an open and inclusive work environment.
**Preferred Qualifications**
 Experience optimizing models and algorithms that run efficiently on resource\-constrained platforms is a plus.nnExperience with flow matching and multi\-modal conditioning for generative modeling is a plus.nnFamiliarity with 3D reconstruction techniques from single or multiple images, particularly ML\-based methods, is a plus.nnKnowledge of and keen interest in the art and science of photography and aesthetics.nnPublications at major conferences (CVPR, ICCV, ECCV, NeurIPS, ICML, ICLR) is a plus.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6">
      <c r="A66" t="inlineStr">
        <is>
          <t>li-4357628326</t>
        </is>
      </c>
      <c r="B66" t="inlineStr">
        <is>
          <t>Sr. Machine Learning Engineer, Siri Global</t>
        </is>
      </c>
      <c r="C66" t="inlineStr">
        <is>
          <t>Apple</t>
        </is>
      </c>
      <c r="D66" t="inlineStr">
        <is>
          <t>linkedin</t>
        </is>
      </c>
      <c r="E66">
        <f>HYPERLINK("https://www.linkedin.com/jobs/view/4357628326", "https://www.linkedin.com/jobs/view/4357628326")</f>
        <v/>
      </c>
      <c r="F66" t="inlineStr"/>
      <c r="G66" t="inlineStr">
        <is>
          <t>Cupertino, CA</t>
        </is>
      </c>
      <c r="H66" t="inlineStr"/>
      <c r="I66" t="inlineStr">
        <is>
          <t>**Summary**
 Join the Siri team at Apple! Build and contribute to a product and company that that is building products, personal devices, and software designed to enrich people’s lives. Work on building and advancing the world’s most popular intelligent assistant that helps millions of people get things done — just by asking. nnGlobal Siri works to take Siri to the next level of intelligence and capabilities in all languages and markets. We build machine learning models, systems, and software that understands the intents hundreds of millions of users and their billions of requests to Siri, on Apple devices such as iPhone, iPad, Apple Watch, Mac, AirPods, HomePod, Vision Pro and Apple TV. On the Global Scaling, Data, and Tools team, we work on ML modeling and algorithms, data platforms and technologies, and end\-to\-end ML product engineering to surprise and delight customers around the world in the languages that they speak.
**Description**
 We seek a Senior Machine Learning Engineer / Tech Lead who is passionate about collaborating across teams in Siri and Apple to design, build, and deploy world\-class machine learning systems that help Siri best serve the needs of our users. In this role, you will work on creating and improving the accuracy, speed, reliability, and capability of Global Siri’s models and systems. We are particularly interested in “full\-stack” machine learning engineers with strong experience in research, software engineering, and have strong leadership potential.nnYou should be passionate about building outstanding products, and using the full spectrum of your skills to drive technical and organizational advancements. The ideal candidate is equally comfortable with the latest academic/research advancements in ML, LLMs, NLP, and related areas, diving into all parts of the full engineering/machine learning stack to diagnose user\-facing issues and develop principled solutions, and deeply engaging in product metrics and goals with product managers, designers, and executives. Software engineering experience with both server\-based and client\-side (e.g. on\-device) models is a definite asset. In this role, the ability to communicate complex technical ideas to diverse audiences, including research scientists, data scientists, engineers, designers, managers, and other stakeholders across Siri and Apple is also essential.nnThis position involves a wide variety of skills and innovation. In addition to your individual technical contributions, there are immense opportunities to multiply the impact those around you by mentoring, motivating and challenging engineers to deliver features at high quality. If you are looking for a role that is challenging, impactful, has immense growth opportunities, this role is for you.
**Minimum Qualifications**
 Master's or PhD degree in computer science, software engineering, machine learning, language technologies, or related fields; outstanding candidates with Bachelor's degrees and multiple years years of significant engineering/product experience will also be consideredn10\+ years of experience developing, shipping, and measuring industry\-scale machine learning\-based software systems; experience working on large\-scale NLU systems a strong asset.nExperience as a senior engineer, tech lead, or engineering manager for a machine learning\-based product, including mentoring other engineers, working with program and product managers, and communicating accomplishments, metrics, and challenges to cross\-functional stakeholders and leaders nExpertise and experience in Large Language Models (LLMs) or other foundation models, ideally demonstrated through publications or shipping foundation model\-based features and products.nStrong background in machine learning, deep learning, and foundation models, as demonstrated through top\-tier publications and/or successful development of training data, models, or software in commercial machine learning systems.nExcellent software engineering skills: Proficiency in at least one object\-oriented language (e.g. Java, C\+\+, Objective\-C, or Swift), scripting languages (e.g. Python, Ruby, bash), and deep learning/machine learning frameworks (e.g. TensorFlow, PyTorch, or CoreML)nOutstanding problem solving, critical thinking, creativity, organizational, design, and interpersonal skills; ability to work with all levels of engineers, scientists, designers, and communicate effectively with management, leadership, and cross\-functional partners
**Preferred Qualifications**
 Experience in data science and analytics, including data annotation, statistical analyses, A/B testing, and/or conducting experiments and investigations in large\-scale usage data environmentsnSelf\-starter with a proven ability to handle multiple projects with strict deadlines nExperience in the iOS development ecosystem (e.g. Swift, Objective\-C, CoreML, or SiriKit) is a plusnExperience in localization, internationalization, machine translation, or language technologies is an asset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7">
      <c r="A67" t="inlineStr">
        <is>
          <t>li-4357658631</t>
        </is>
      </c>
      <c r="B67" t="inlineStr">
        <is>
          <t>Machine Learning Engineer - Privacy-Preserving Personalization</t>
        </is>
      </c>
      <c r="C67" t="inlineStr">
        <is>
          <t>Apple</t>
        </is>
      </c>
      <c r="D67" t="inlineStr">
        <is>
          <t>linkedin</t>
        </is>
      </c>
      <c r="E67">
        <f>HYPERLINK("https://www.linkedin.com/jobs/view/4357658631", "https://www.linkedin.com/jobs/view/4357658631")</f>
        <v/>
      </c>
      <c r="F67">
        <f>HYPERLINK("https://jobs.apple.com/en-us/details/200632828&amp;urlHash=CTsP", "https://jobs.apple.com/en-us/details/200632828&amp;urlHash=CTsP")</f>
        <v/>
      </c>
      <c r="G67" t="inlineStr">
        <is>
          <t>Cupertino, CA</t>
        </is>
      </c>
      <c r="H67" t="inlineStr"/>
      <c r="I67" t="inlineStr">
        <is>
          <t>**Summary**
 The future of personalization is private, and it lives on the device. Our team builds the intelligent features for the App Store, Apple Music, and Apple TV\+ that reach millions of users, and we do it with an unwavering commitment to user privacy.nn
**Description**
 We are seeking a skilled engineer to solve one of the most challenging and important problems in tech today: how to build deeply personal and helpful AI systems that are private and compliant by design. You will be a key contributor to this mission, architecting and implementing on\-device ML solutions that not only delight users but also set the industry standard for trust and security.nnThis is a hands\-on role where you will write code in Swift, optimize models for the edge, and serve as a crucial link between our machine learning ambitions and our core privacy values.n
**Minimum Qualifications**
 BS or MS in Computer Science, Statistics, or a related field, preferably with a focus on machine learning or data privacy.nExperience Level: A minimum of 3 years of professional software engineering experience, with a track record of shipping production code. nStrong Systems Programming: Strong proficiency in Swift and/or C\+\+, with hands\-on experience building for Apple platforms.nProduction ML Experience: Practical experience developing and deploying machine learning models in a production environment (on\-device or server\-side).nPassion for Privacy: A demonstrated passion for and understanding of user privacy, data security, and the engineering challenges related to building trustworthy systems.
**Preferred Qualifications**
 Generative AI / Agentic Systems Experience: Proven experience architecting or building with Generative AI (LLMs, Diffusion Models) or agentic systems.nCompliance Engineering Experience: Deep experience translating legal and policy requirements from regulations like GDPR and CCPA into concrete engineering designs and auditable systems.nOn\-Device ML Expertise: Direct experience with Core ML and on\-device model optimization techniques (e.g., quantization, pruning).nPrivacy\-Enhancing Technologies: Familiarity with technologies like Differential Privacy or Federated Learning.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8">
      <c r="A68" t="inlineStr">
        <is>
          <t>li-4355198546</t>
        </is>
      </c>
      <c r="B68" t="inlineStr">
        <is>
          <t>Sr. Machine Learning Engineer - LLMs, Agent Systems, and Simulation Tooling, Siri Core Modeling</t>
        </is>
      </c>
      <c r="C68" t="inlineStr">
        <is>
          <t>Apple</t>
        </is>
      </c>
      <c r="D68" t="inlineStr">
        <is>
          <t>linkedin</t>
        </is>
      </c>
      <c r="E68">
        <f>HYPERLINK("https://www.linkedin.com/jobs/view/4355198546", "https://www.linkedin.com/jobs/view/4355198546")</f>
        <v/>
      </c>
      <c r="F68">
        <f>HYPERLINK("https://jobs.apple.com/en-us/details/200607565&amp;urlHash=pea7", "https://jobs.apple.com/en-us/details/200607565&amp;urlHash=pea7")</f>
        <v/>
      </c>
      <c r="G68" t="inlineStr">
        <is>
          <t>Seattle, WA</t>
        </is>
      </c>
      <c r="H68" t="inlineStr"/>
      <c r="I68" t="inlineStr">
        <is>
          <t>**Summary**
 Join the Siri Planner team as a senior experienced Software Engineer and play a pivotal role in crafting the future of virtual assistants. You’ll contribute to revolutionizing how millions of Siri users worldwide interact with their Apple devices by working on groundbreaking technologies for LLM model reasoning.n
**Description**
 We’re looking for a senior software engineer with a strong proficiency in ML systems and large language models to help build advanced reasoning capabilities for the Siri virtual assistant. We are a collaborative team of ML engineers, scientists, and software developers passionate about LLM planner modeling to build the next generation of the Siri virtual assistant. Your work will center on developing reliable, scalable tooling for training, simulation, and evaluation of LLMs and agentic systems. You’ll also play a hands\-on role in designing and running experiments in simulation, and integrating client\-side components with backend systems into a production\-ready testable environment.nnThis is an opportunity to work with pioneering technologies that push the boundaries of LLM agent reasoning, system architecture, and rapid iteration. You’ll collaborate closely with ML developers, client\-side engineers, and deep learning leaders to bring enhanced LLM reasoning capabilities into production.n
**Minimum Qualifications**
 Bachelor's degree in Computer Science or related quantitative field, with at least 4\+ years of relevant industry experience with the following:nnStrong skills in Python (desired) and at least one other object\-oriented programming languagennProven experience in software engineering, including system design, development, testing, debugging, release and maintenancennIn\-depth understanding of agent\-based simulation frameworks, Agentic RAG systems, prompt engineering, and evaluation best practices for LLMsnnAbility to develop long\-term strategic visions and implement scalable solutions in fast\-paced, agile work environmentsn
**Preferred Qualifications**
 Experience supporting ML teams or deploying LLM models in production or researchnnKnowledge of feedback mechanisms and adaptive agent behaviorsnnExperience integrating client\-side applications or code with backend systems (APIs or custom protocols)nnMS or advanced degree in Computer Science, Machine Learning or related quantitative filed is preferredn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9">
      <c r="A69" t="inlineStr">
        <is>
          <t>li-4275258482</t>
        </is>
      </c>
      <c r="B69" t="inlineStr">
        <is>
          <t>Senior AI/ML Engineer (TS/SCI with Full Scope Poly) {S}</t>
        </is>
      </c>
      <c r="C69" t="inlineStr">
        <is>
          <t>ARKA Group, LP</t>
        </is>
      </c>
      <c r="D69" t="inlineStr">
        <is>
          <t>linkedin</t>
        </is>
      </c>
      <c r="E69">
        <f>HYPERLINK("https://www.linkedin.com/jobs/view/4275258482", "https://www.linkedin.com/jobs/view/4275258482")</f>
        <v/>
      </c>
      <c r="F69">
        <f>HYPERLINK("https://recruiting.ultipro.com/DAN1006DMT/JobBoard/aab9b8ae-463c-48fc-8362-a25df8be0c77/OpportunityDetail?opportunityId=5183175b-575c-4636-b602-26f28d86258d&amp;source=LinkedIn&amp;utm_source=LINKEDIN&amp;urlHash=frsw", "https://recruiting.ultipro.com/DAN1006DMT/JobBoard/aab9b8ae-463c-48fc-8362-a25df8be0c77/OpportunityDetail?opportunityId=5183175b-575c-4636-b602-26f28d86258d&amp;source=LinkedIn&amp;utm_source=LINKEDIN&amp;urlHash=frsw")</f>
        <v/>
      </c>
      <c r="G69" t="inlineStr">
        <is>
          <t>Herndon, VA</t>
        </is>
      </c>
      <c r="H69" t="inlineStr"/>
      <c r="I69"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This position is for a
 **Senior** 
**AI/ML Engineer** 
 looking for new challenging problems. You should have experience working in research teams prototyping and developing AI/ML algorithms. You will support the development of AI/ML algorithms in a multitude of disciplines including object detection/classification, natural language processing, reinforcement learning, and large language models. You will be joining our team of AI/ML engineers and researchers to apply cutting\-edge AI/ML algorithms in a variety of domains to the mission needs of our customers.
 We offer generous relocation benefits for eligible candidates.
 In support of work/life balance, many positions are available for a flexible schedule within the pay period. Ask us about the opportunity for flex scheduling if that’s of interest to you.
**Responsibilities**
 As a Senior AI/ML Engineer, your responsibilities include:
* Working as part of a small team consisting of developers and researchers to implement machine learning algorithms to solve a broad set of challenges for our various customers
* Analyzing large multi\-domain datasets such as images, text, and/or graph data to identify statistically relevant features to build models that provide analysts with actionable data
* Reviewing relevant publications to understand and apply cutting edge concepts to defense and commercial applications
* Creating technical documentation to support code development, describe program capabilities, and provide user guides
* Understanding training and deployment pipelines for Machine Learning models including cloud services like AWS
* Providing training and mentoring to team members to enhance their skills and knowledge
**Required Qualifications** 
* Bachelor’s degree in Machine Learning, Computer Science, Mathematics or relevant field
* 5\+ years of experience developing AI/ML applications, data science, or algorithm development
* Experience with Python and data science / machine learning libraries (e.g. PyTorch, TensorFlow, Keras, OpenCV, NumPy, Pandas, Polars, scikit\-learn, etc.)
* Experience with one or more of the following:
+ Applying unsupervised and/or supervised machine learning techniques
+ Applying and/or developing algorithms based in statistical analysis
+ Analyzing large datasets and building models to perform inference
* Experience with deep learning architectures (e.g. FCNs, CNNs, RNNs, Transformers, GANs)
* Active TS/SCI U.S. Government Security Clearance with Fully Adjudicated Full Scope Polygraph
**Preferred Qualifications** 
* MS or PhD in Machine Learning, Computer Science, Mathematics, or related fields
* Experience leading an interdisciplinary team of researchers and software developers
* Experience with any of the following AI/ML domains:
+ Large Language Models and experience identifying ways to incorporate them into new areas and applications
+ Applying Transformer\-based architectures to domains in other areas outside of Natural Language Processing (NLP) such as computer vision
+ Object detection algorithms such as YOLO and Faster\-RCNN
+ Natural Language Processing algorithms such as BERT
+ Generative Adversarial Networks and Variational Autoencoders
+ Reinforcement learning and familiarity with Gymnasium Gym, RLlib, and Stable Baselines
+ Applying clustering algorithms and/or deep neural networks to real life problems
+ Implementing tracking and pattern\-of\-life algorithms
* Experience with Machine Learning libraries and frameworks such as HuggingFace and LangChain
* Experience with Computer Vision libraries such as OpenCV, Nerfstudio, etc.
* Experience with Linux
* Familiarity with using AWS cloud computing resources such as EC2, S3, Lambda, etc.
* Experience with any of the following additional languages: Java, C\+\+, Rust, Go, and/or C\#
* Experience implementing algorithms on the GPU in Python or C\+\+ using CUDA and other CUDA libraries
* Experience with implementing tracking and pattern\-of\-life algorithms
* Experience in application deployment, virtualization, and containerization (e.g. Podman, Docker, Kubernetes, Rancher)
* Experience working with various Remote Sensing datasets (e.g. EO/OPIR/SAR images, passive RF, etc.)
* Experience shaping and writing proposals
**Location:** 
**Herndon, VA**
 Herndon offers a charming blend of small\-town ambiance and modern conveniences. In historic Herndon you'll find small town charm while maintaining all the amenities of big city life. The area has beloved farms to explore, historic sites, festivals, local parks, breweries, and some of the best restaurants in the area. Its proximity to Dulles International Airport and the Herndon Metrorail Station provides easy travel to over 400 shops and restaurants in the malls of Tysons or stay on the train and see the monuments and memorials of Washington, DC. Overall, Herndon provides a perfect mix of small\-town charm, and big\-city amenities complimented with many family local attractions, events, music, restaurants and a great lifestyle!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Fully Adjudicated Full Scope Polygraph.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2026-01-15T21:11:19Z</dcterms:created>
  <dcterms:modified xsi:type="dcterms:W3CDTF">2026-01-15T21:11:19Z</dcterms:modified>
</cp:coreProperties>
</file>