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in-ed2899b3bce25fd1</t>
        </is>
      </c>
      <c r="B2" t="inlineStr">
        <is>
          <t>City Utilities-Assistant Program Manager–Project Services Coordinator (PT)</t>
        </is>
      </c>
      <c r="C2" t="inlineStr">
        <is>
          <t>City of Fort Wayne</t>
        </is>
      </c>
      <c r="D2" t="inlineStr">
        <is>
          <t>indeed</t>
        </is>
      </c>
      <c r="E2">
        <f>HYPERLINK("https://www.indeed.com/viewjob?jk=ed2899b3bce25fd1", "https://www.indeed.com/viewjob?jk=ed2899b3bce25fd1")</f>
        <v/>
      </c>
      <c r="F2">
        <f>HYPERLINK("https://www.applicantpro.com/openings/cityoffortwayne/jobs/3963396-1070322", "https://www.applicantpro.com/openings/cityoffortwayne/jobs/3963396-1070322")</f>
        <v/>
      </c>
      <c r="G2" t="inlineStr">
        <is>
          <t>Fort Wayne, IN, US</t>
        </is>
      </c>
      <c r="H2" s="2" t="n">
        <v>46037</v>
      </c>
      <c r="I2" t="inlineStr">
        <is>
          <t>Assistant Program Manager–Project Services Coordinator (PT) Capital Project Services – City Utilities Engineering
Up to 29 hours per week \| Flexible Hours
***Do you enjoy coordinating projects, securing funding, and helping city infrastructure projects succeed? Whether you're a Project Coordinator, Capital Projects Coordinator, Grant Specialist, or Program Support professional looking for a flexible part\-time schedule, this role might be for you!***
**What You'll Do**
Support City Utilities' capital projects by coordinating grant and alternative funding efforts, assisting with land acquisition, managing documentation, and helping the Utility meet project goals efficiently.
**Key Responsibilities**
* Assist in real estate acquisition and easement negotiations, including contracts and stakeholder communication
* Research, identify, and help secure grants, bonds, and other funding sources for capital projects
* Track compliance with funding requirements and support timely reporting to internal and external stakeholders
* Maintain records, documentation, and provide administrative support for capital project services
* Support Utility staff with process improvements, standard operating procedures, and training
**What You Bring – Education \&amp; Experience**
* Bachelor's degree in public/business administration, organizational leadership, economics, urban planning, or related field
* 2\+ years of experience in a public agency, utility, or customer\-facing environment; local government experience preferred
* Strong organizational, analytical, and communication skills
**Technical Skills \&amp; Knowledge**
* Proficiency in Microsoft Office (Word, Excel, Outlook)
* Ability to prepare reports, proposals, and correspondence clearly and accurately
* Knowledge of local government administration, utility management, and project funding processes
**Required Certifications**
* Valid Indiana Driver's License if City vehicle is used
* Notary Public certification (or ability to obtain)
**Why Work for the City of Fort Wayne**
Make a tangible impact on Fort Wayne's infrastructure projects while enjoying **flexible, part\-time hours** that fit your schedule. Gain experience in project management, funding, and municipal operations while contributing meaningfully to the community.
***Equal Opportunity Employer***</t>
        </is>
      </c>
    </row>
    <row r="3">
      <c r="A3" t="inlineStr">
        <is>
          <t>in-9541e9ce20ef5f5d</t>
        </is>
      </c>
      <c r="B3" t="inlineStr">
        <is>
          <t>Program Manager - Worldwide Third Party Contract</t>
        </is>
      </c>
      <c r="C3" t="inlineStr">
        <is>
          <t>SGI Global</t>
        </is>
      </c>
      <c r="D3" t="inlineStr">
        <is>
          <t>indeed</t>
        </is>
      </c>
      <c r="E3">
        <f>HYPERLINK("https://www.indeed.com/viewjob?jk=9541e9ce20ef5f5d", "https://www.indeed.com/viewjob?jk=9541e9ce20ef5f5d")</f>
        <v/>
      </c>
      <c r="F3">
        <f>HYPERLINK("https://www.applicantpro.com/openings/sgiglobal/jobs/3963346-26753", "https://www.applicantpro.com/openings/sgiglobal/jobs/3963346-26753")</f>
        <v/>
      </c>
      <c r="G3" t="inlineStr">
        <is>
          <t>Washington, DC, US</t>
        </is>
      </c>
      <c r="H3" s="2" t="n">
        <v>46037</v>
      </c>
      <c r="I3" t="inlineStr">
        <is>
          <t>SGI is seeking a **Program Manager** to support the Department of State, Bureau of International Narcotics and Law Enforcement Affairs (INL) under the Worldwide Third Party Contract (WTPC) Blanket Purchase Agreement. The WTPC BPA provides professional and administrative support services to INL programs worldwide, supporting U.S. foreign assistance efforts related to international narcotics control, law enforcement, rule of law, and criminal justice sector development. The Program Manager serves as the primary point of contact with INL and is responsible for overall contract execution, personnel management, and compliance across all BPA Calls.
*\*Contingent on contract award\**
### **Responsibilities**
* Serve as the contractor's primary point of contact with INL for all technical and administrative matters related to the BPA and BPA Calls
* Supervise all third\-party contractor personnel supporting the contract and ensure personnel understand and comply with all duties, policies, terms, and conditions of the BPA
* Manage and resolve contract and BPA Call issues and attend all required meetings with Government stakeholders
* Maintain staffing levels of 95 percent or higher at all times
* Ensure required security clearances are achieved at a rate of at least 95 percent
* Respond to Contracting Officer communications within eight business hours and maintain continuous coordination with the CO and COR
* Accurately track and report staffing levels in weekly, monthly, and annual reports
* Oversee all onboarding activities, including submission of Visit Authorization Requests, coordination of the badging process, security briefings, and first\-day logistics with the CO, COR, and on\-site supervisors
* Manage all offboarding activities, including VAR cancellations and the collection and return of all government\-furnished equipment and badges
* Ensure all contract deliverables are submitted on time and meet Government requirements
* Handle contractor and subcontractor personnel issues promptly and effectively
* Hold and maintain all appropriate business licenses and ensure compliance with applicable country labor laws
* Initiate travel requests to Washington, DC within one business day when required
* Ensure appropriate work visas for contractor and subcontractor personnel
* Be available on a 24/7 basis to support contractor travel and resolve travel\-related issues
### **Qualifications**
* U.S. Citizen.
* Active Secret security clearance.
* Bachelor's degree from an accredited college or university.
* Minimum of ten years of project or program management experience.
* Minimum of ten years of experience managing U.S. Government contracts providing professional and administrative support services.
* Ability to act with full authority on behalf of the contractor as designated Key Personnel.
* Strong organizational and interpersonal skills, with excellent written and oral communication abilities.
### **Location**
The Program Manager must be located within 51 miles of SA\-01 Columbia Plaza, 2401 E Street NW, Washington, DC.
*SGI Global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t>
        </is>
      </c>
    </row>
    <row r="4">
      <c r="A4" t="inlineStr">
        <is>
          <t>in-a23193c22280b6c6</t>
        </is>
      </c>
      <c r="B4" t="inlineStr">
        <is>
          <t>Program Manager (Center Director)</t>
        </is>
      </c>
      <c r="C4" t="inlineStr">
        <is>
          <t>Small Business Administration</t>
        </is>
      </c>
      <c r="D4" t="inlineStr">
        <is>
          <t>indeed</t>
        </is>
      </c>
      <c r="E4">
        <f>HYPERLINK("https://www.indeed.com/viewjob?jk=a23193c22280b6c6", "https://www.indeed.com/viewjob?jk=a23193c22280b6c6")</f>
        <v/>
      </c>
      <c r="F4">
        <f>HYPERLINK("https://www.usajobs.gov/job/854672500?_gl=1*zju2un*_ga*MjA2NTQ5MTg2MC4xNzY2MTY5NDI5*_ga_5222X8D281*czE3Njg1MDQ4MDYkbzI3JGcxJHQxNzY4NTA0OTQyJGozNSRsMCRoMA", "https://www.usajobs.gov/job/854672500?_gl=1*zju2un*_ga*MjA2NTQ5MTg2MC4xNzY2MTY5NDI5*_ga_5222X8D281*czE3Njg1MDQ4MDYkbzI3JGcxJHQxNzY4NTA0OTQyJGozNSRsMCRoMA")</f>
        <v/>
      </c>
      <c r="G4" t="inlineStr">
        <is>
          <t>Citrus Heights, CA, US</t>
        </is>
      </c>
      <c r="H4" s="2" t="n">
        <v>46037</v>
      </c>
      <c r="I4" t="inlineStr">
        <is>
          <t>As a Program Manager (Center Director) at theGS\-0340\-15, some of your typical work assignments may include:
* Operation and staffing of Disaster Field Offices and Disaster Recovery Centers in cooperation with state, local and Federal officials.
* Coordination and maintenance of a close working relationship with the Processing and Disbursing Center (PDC) and Disaster Lending Platform for the processing of loan applications from disaster survivors and the overall workflow.
* Spokesperson to other government agencies, to top business and industry officials, and to Congressional staff and committees.
* Coordination and acquisition of space, supplies, furnishing and equipment to meet the needs and goals of the FOCs response to major disasters.
* Responsible for organizing damage surveys for disasters where administrative declarations by SBA has been requested.
* Coordinates with Federal Emergency Management Agency (FEMA) where Presidential declarations have been requested. Coordination with the Field Operation Center Director in developing procedures and processes to respond consistently to all types of disasters; reviews and evaluates the substantive work of the Centers to assure compliance with center quality standards; and develops and implements corrective actions as necessary.
* Directly, or through subordinate staff, supervises Field Operations, Public Affairs, Information Technology (IT), and Administrative Support staff.
**This position is also being announced under Merit Promotion Procedures, announcement \# MP\-26\-FOCW\-12863803, you will need to apply in order to receive consideration as a status candidate.**
**Requirements**Help**Conditions of employment**
* U.S. citizenship is required
* You must be able to obtain and maintain a Government travel credit card.
* Favorable background investigation required.
* A one\-year supervisory/Managerial probationary period may be required.
* You may be required to complete a one\-year probationary period for non\-supervisors if you fail to complete the one\-year supervisory probationary period.
* This is not a bargaining unit position.
* Mandatory Overtime: In order to respond quickly and efficiently to disaster survivors, substantial compensated overtime hours may be required while on assignment (up to seven days a week and ten to fourteen hours a day).
* If required to travel to a disaster site, you may encounter hazardous working and/or living conditions, for example, no water or electricity and/or minimal lodging facilities.
Job Types: Full\-time, Permanent
Pay: $163,996\.00 \- $197,200\.00 per year
Benefits:
* Dental insurance
* Health insurance
* Life insurance
* Paid time off
* Vision insurance
Work Location: In person</t>
        </is>
      </c>
    </row>
    <row r="5">
      <c r="A5" t="inlineStr">
        <is>
          <t>in-67606d3d5e92e4ea</t>
        </is>
      </c>
      <c r="B5" t="inlineStr">
        <is>
          <t>Deputy Program Manager - Worldwide Third Party Contract</t>
        </is>
      </c>
      <c r="C5" t="inlineStr">
        <is>
          <t>SGI Global</t>
        </is>
      </c>
      <c r="D5" t="inlineStr">
        <is>
          <t>indeed</t>
        </is>
      </c>
      <c r="E5">
        <f>HYPERLINK("https://www.indeed.com/viewjob?jk=67606d3d5e92e4ea", "https://www.indeed.com/viewjob?jk=67606d3d5e92e4ea")</f>
        <v/>
      </c>
      <c r="F5">
        <f>HYPERLINK("https://www.applicantpro.com/openings/sgiglobal/jobs/3963341-26753", "https://www.applicantpro.com/openings/sgiglobal/jobs/3963341-26753")</f>
        <v/>
      </c>
      <c r="G5" t="inlineStr">
        <is>
          <t>Washington, DC, US</t>
        </is>
      </c>
      <c r="H5" s="2" t="n">
        <v>46037</v>
      </c>
      <c r="I5" t="inlineStr">
        <is>
          <t>SGI is seeking a **Deputy Program Manager** to support the Department of State, Bureau of International Narcotics and Law Enforcement Affairs (INL) under the Worldwide Third Party Contract (WTPC) Blanket Purchase Agreement. The WTPC BPA provides professional and administrative support services to INL programs worldwide, supporting U.S. foreign assistance efforts related to international narcotics control, law enforcement, rule of law, and criminal justice sector development. The Deputy Program Manager supports the effective execution of BPA Calls by assisting with personnel management, contract oversight, reporting, and coordination with Government stakeholders.
*\*Contingent on contract award\**
### **Responsibilities**
* Serve as the secondary point of contact with INL for all technical and administrative matters related to the BPA and BPA Calls
* Assist the Program Manager in supervising all third\-party contractor personnel supporting the contract
* Assume full Program Manager responsibilities in the absence of the Program Manager
* Assist in maintaining staffing levels of 95% or higher at all times
* Support achievement of required security clearances at a rate of at least 95%
* Respond to Contracting Officer communications within eight business hours
* Maintain continuous coordination with the Contracting Officer and Contracting Officer's Representative
* Accurately track and report staffing levels in weekly, monthly, and annual reports
* Support onboarding activities, including submission of Visit Authorization Requests, coordination of the badging process, and security briefings
* Ensure all contract deliverables are submitted on time and meet Government requirements
* Handle contractor and subcontractor personnel issues promptly and effectively
* Hold and maintain all appropriate business licenses and ensure compliance with applicable country labor laws
* Facilitate travel requests within one business day when required
* Ensure appropriate work visas for contractor and subcontractor personnel
### **Qualifications**
* U.S. Citizen.
* Active Secret security clearance.
* Bachelor's degree from an accredited college or university.
* Minimum of five years of project or program management experience.
* Minimum of five years of experience managing U.S. Government contracts providing professional and administrative support services.
* Ability to act with authority on behalf of the contractor as designated Key Personnel when required.
* Strong organizational and interpersonal skills, with excellent written and oral communication abilities.
### **Location**
The Deputy Program Manager may be located anywhere within the Continental United States (CONUS) but must be able to travel to Washington, DC within one business day if required by the Contracting Officer for in\-person meetings or contractor personnel issues.
*SGI Global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t>
        </is>
      </c>
    </row>
    <row r="6">
      <c r="A6" t="inlineStr">
        <is>
          <t>in-9b795e9fde6861b2</t>
        </is>
      </c>
      <c r="B6" t="inlineStr">
        <is>
          <t>Assistant Program Manager</t>
        </is>
      </c>
      <c r="C6" t="inlineStr">
        <is>
          <t>Oregon Mennonite Residential Services</t>
        </is>
      </c>
      <c r="D6" t="inlineStr">
        <is>
          <t>indeed</t>
        </is>
      </c>
      <c r="E6">
        <f>HYPERLINK("https://www.indeed.com/viewjob?jk=9b795e9fde6861b2", "https://www.indeed.com/viewjob?jk=9b795e9fde6861b2")</f>
        <v/>
      </c>
      <c r="F6">
        <f>HYPERLINK("http://www.indeed.com/job/assistant-program-manager-9b795e9fde6861b2", "http://www.indeed.com/job/assistant-program-manager-9b795e9fde6861b2")</f>
        <v/>
      </c>
      <c r="G6" t="inlineStr">
        <is>
          <t>Albany, OR, US</t>
        </is>
      </c>
      <c r="H6" s="2" t="n">
        <v>46037</v>
      </c>
      <c r="I6" t="inlineStr">
        <is>
          <t>**Currently offering a $125 sign on bonus if you work until your first pay day and an additional $125 if you stay for 60 days.**
**Starting wage is $23\.00 an hour, pay increases to $23\.25 an hour after 120 days of employment.**
We are currently hiring for an Assistant Program manager to work in our licensed adult group home in Albany providing care to intellectually and developmentally disabled adults. The person applying for this position needs to be able to pass a criminal history background check. Must be able to read, write and communicate clearly in English.A valid Oregon driver's license is required.
**Experience working with the intellectually and developmentally disabled preferred. All of our new hires must be willing to work weekends and at least swing shift.**
The Assistant Program Manager works 20 hours on the floor and 20 hours in the office. Office hours could be reduced to keep down overtime during times of low staffing or staff on vacations, out for illness, etc.  
QUALIFICATIONS:
* Must be at least 18 years of age.
* Must be accessible by phone.
* Must be able to access reliable transportation for scheduled shifts.
* Must be able to communicate verbally and in writing with other staff members.
* Must be able to develop and maintain positive, cooperative, team oriented relationships with coworkers, supervisors, and other providers of services to our residents.
* Must be able to lift 10 to 50 lbs.
* Must be physically able to perform the assigned tasks, including but not limited to the ability to safely move frequently during the work day, carry, lift, stand, sit, bend, reach, and kneel.
* Must be able to achieve and maintain the required level of Oregon Intervention System certification for the home in which you are to work (training will be provided).
* For certain positions, the individual must be able to qualify as a driver for company owned vehicles.
* Must abide by the companies drug and alcohol policy including use of prescription drugs.
* Must be able to work with medically fragile individuals as well as behaviorally challenged.
This position does require an ability to provide personal care to the residents which could include bathing males and females and the cleaning up of bodily fluids.
Application or resume must be returned for an interview.
Applications can be picked up at 1420 Shortridge Street SE, Albany, OR 97322\.
**Once you have worked 30 hours a week for 60 days in a row we will offer you medical insurance ($50\.00 per month split between two paychecks), dental insurance ($8\.85 per month split between two paychecks), vision and life insurance (at no cost to the employee).**
Job Type: Full\-time
Pay: From $23\.00 per hour
Expected hours: 40 per week
Benefits:
* Dental insurance
* Employee assistance program
* Health insurance
* Life insurance
* Mileage reimbursement
* Paid time off
* Referral program
* Retirement plan
* Vision insurance
Application Question(s):
* Have you ever been found to have committed abuse?
* Typical Assistant Program manager shifts are Monday\-Friday day shifts, but you could be required to cover swings and graveyards to keep overtime down and to help when staffing is low, is this a problem for you?
* Will you qualify to be a company driver? Must be over 21, have a fairly clean driving record for, no DUII, speeding over 20 over the limit, a suspension or a mobile device ticket in the last 3 years.
Experience:
* Working with people with developmental disabilities: 1 year (Required)
Work Location: In person</t>
        </is>
      </c>
    </row>
    <row r="7">
      <c r="A7" t="inlineStr">
        <is>
          <t>in-35953534f2a84b93</t>
        </is>
      </c>
      <c r="B7" t="inlineStr">
        <is>
          <t>Containerization Operations Program Manager</t>
        </is>
      </c>
      <c r="C7" t="inlineStr">
        <is>
          <t>City of New York</t>
        </is>
      </c>
      <c r="D7" t="inlineStr">
        <is>
          <t>indeed</t>
        </is>
      </c>
      <c r="E7">
        <f>HYPERLINK("https://www.indeed.com/viewjob?jk=35953534f2a84b93", "https://www.indeed.com/viewjob?jk=35953534f2a84b93")</f>
        <v/>
      </c>
      <c r="F7">
        <f>HYPERLINK("https://jobs.smartrecruiters.com/CityOfNewYork/3743990011197805-containerization-operations-program-manager", "https://jobs.smartrecruiters.com/CityOfNewYork/3743990011197805-containerization-operations-program-manager")</f>
        <v/>
      </c>
      <c r="G7" t="inlineStr">
        <is>
          <t>New York, NY, US</t>
        </is>
      </c>
      <c r="H7" s="2" t="n">
        <v>46037</v>
      </c>
      <c r="I7" t="inlineStr">
        <is>
          <t>**Job Description**  
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The Department seeks an experienced **Containerization Operations Program Manager (COPM)** for its Containerization Unit to project manage the field deployment of containers being distributed across the City. The COPM will manage the site planning (including desktop data analysis) oversee container installation and manage ongoing operational status (maintenance, repair, and cleaning). Under general supervision, with latitude for independent initiative and decision\-making, the COPM will ensure that all containerization contractual obligations are being fulfilled and that all work performed is to the highest level while coordinating within the agency, across agencies and with vendors.
Responsibilities include but are not limited to:
* Managing large Excel spreadsheets, creating and updating pivot tables including data exported from other applications.
* Creating and maintaining project documentation, schedules, presentations, and status reports.
* Creating and providing regular updates on project status to the Assistant Commissioner of Containerization Operations.
* Supervising field deployment and operations across the five boroughs, requiring knowledge of NYC’s communities and districts.
* Interacting with the public, other city agencies, elected officials and community boards to inform and implement project goals.
* Assisting in maintaining communications internally and with project vendors by preparing reports, meeting notes, and ensuring that all parties are informed of project developments.
* Coordinating with the Fiscal Team to manage the program budget and expenditures, including reviewing price quotes, tracking and managing regular invoices, preparing receiving reports, and tracking spending against budget.
* Working with DSNY civilian and uniform staff across the Agency and with other external agencies (NYPD, DOT, etc.) and entities to implement and execute the containerization program.
* Must be willing to work in the field during installations.
* May be required to operate a Department vehicle.
 **Qualifications**  
1\. A master's degree from an accredited college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closely related field, and two years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employee benefits, staff development, employment program planning/administration, labor market research, economic planning, social services program planning/evaluation, or fiscal management; or in a related area. 18 months of this experience must have been in an executive, managerial, administrative or supervisory capacity. Supervision must have included supervising staff performing professional work in the areas described above; or  
2\. A baccalaureate degree from an accredited college and four years of professional experience in the areas described in "1" above, including the 18 months of executive, managerial, administrative or supervisory experience, as described in "1" above.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is>
      </c>
    </row>
    <row r="8">
      <c r="A8" t="inlineStr">
        <is>
          <t>in-1dd3db89de3f0895</t>
        </is>
      </c>
      <c r="B8" t="inlineStr">
        <is>
          <t>Product Manager: Hardware</t>
        </is>
      </c>
      <c r="C8" t="inlineStr">
        <is>
          <t>Janitza</t>
        </is>
      </c>
      <c r="D8" t="inlineStr">
        <is>
          <t>indeed</t>
        </is>
      </c>
      <c r="E8">
        <f>HYPERLINK("https://www.indeed.com/viewjob?jk=1dd3db89de3f0895", "https://www.indeed.com/viewjob?jk=1dd3db89de3f0895")</f>
        <v/>
      </c>
      <c r="F8">
        <f>HYPERLINK("https://janitza.isolvedhire.com/jobs/1686320-460201.html", "https://janitza.isolvedhire.com/jobs/1686320-460201.html")</f>
        <v/>
      </c>
      <c r="G8" t="inlineStr">
        <is>
          <t>Ashburn, VA, US</t>
        </is>
      </c>
      <c r="H8" s="2" t="n">
        <v>46037</v>
      </c>
      <c r="I8" t="inlineStr">
        <is>
          <t>**Product Manager: Hardware**
**LOCATION:** **Ashburn, VA (Remote)**
 **Who We Are**
Janitza LP is the North American arm of Janitza electronics GmbH, a leading German manufacturer of electrical power monitoring hardware and software. A family\-owned business, we make hardware and software to measure and analyze power quality measures for our data center and industrial manufacturing customers. With our tools, companies can take action to reduce energy costs, improve uptime, and decrease their carbon footprint.
 **Who You Are**
Reporting to Engineering leadership, the Product Manager Hardware serves as the voice of the U.S. market within the global Janitza product organization. You are technically grounded, commercially aware, and comfortable working across cultures and time zones. You work closely with the German Product and R\&amp;D teams to translate U.S. customer requirements, regulatory needs, and market expectations into clear hardware product requirements and roadmaps. You understand electrical power systems, hardware lifecycles, and the realities of deploying products in the field. You are equally comfortable discussing specifications with engineers, use cases with customers, and priorities with leadership. You excel at balancing technical depth with business impact.
 **What You'll Do**
* Act as the primary U.S. product owner for Janitza hardware products.
* Represent U.S. market needs to the German Product Management and R\&amp;D teams.
* Gather and prioritize requirements from U.S. customers, sales, solutions, support, and engineering teams.
* Translate market and customer needs into clear product requirements, feature definitions, and use cases.
* Collaborate with German product teams on product roadmaps, feature prioritization, and release planning.
* Ensure U.S.\-specific requirements are addressed, including:
	+ Electrical standards and codes
	+ Certifications (UL, CSA, FCC, etc.)
	+ Installation practices and field expectations
	+ Data center and industrial application requirements
* Support new product introductions (NPI) in the U.S. market, including internal enablement and technical positioning.
* Partner with Solutions, Technical Support, and Sales teams to support complex customer applications.
* Analyze competitive products and market trends to inform product strategy.
* Participate in customer meetings to validate requirements and gather direct feedback.
* Support lifecycle management activities including product updates, variants, and end\-of\-life planning.
* Travel (25%) domestically and internationally (including Germany) to align with global product teams and key customers
 **What You'll Bring**
Required Qualifications:
* Bachelor's degree in Electrical Engineering, Electronics Engineering, or a related technical field.
* Strong understanding of electrical power distribution and monitoring systems.
* Experience working with hardware products across their lifecycle (concept development deployment support).
* Ability to translate technical requirements into structured product documentation.
* Experience collaborating with cross\-functional teams (engineering, sales, support, manufacturing.
* Strong communication skills, including the ability to work effectively with international teams.
* Customer\-facing experience with the ability to gather, interpret, and prioritize real\-world requirements.
* Analytical mindset with strong problem\-solving skills.
Preferred Qualifications:
* Experience in power monitoring, power quality, protection, or automation systems.
* Familiarity with data center or industrial facility applications.
* Experience working with global or multinational engineering teams.
* Understanding of U.S. electrical standards and certification processes.
* Prior experience in a hardware\-focused Product Manager or Technical Product Owner role.
* Ability to balance short\-term customer needs with long\-term product strategy.</t>
        </is>
      </c>
    </row>
    <row r="9">
      <c r="A9" t="inlineStr">
        <is>
          <t>in-1d9cd7b7a3179362</t>
        </is>
      </c>
      <c r="B9" t="inlineStr">
        <is>
          <t>Program Manager &amp; Quality Assurance</t>
        </is>
      </c>
      <c r="C9" t="inlineStr">
        <is>
          <t>Reese Family Services</t>
        </is>
      </c>
      <c r="D9" t="inlineStr">
        <is>
          <t>indeed</t>
        </is>
      </c>
      <c r="E9">
        <f>HYPERLINK("https://www.indeed.com/viewjob?jk=1d9cd7b7a3179362", "https://www.indeed.com/viewjob?jk=1d9cd7b7a3179362")</f>
        <v/>
      </c>
      <c r="F9">
        <f>HYPERLINK("http://www.indeed.com/job/program-manager-quality-assurance-1d9cd7b7a3179362", "http://www.indeed.com/job/program-manager-quality-assurance-1d9cd7b7a3179362")</f>
        <v/>
      </c>
      <c r="G9" t="inlineStr">
        <is>
          <t>Hampton, VA, US</t>
        </is>
      </c>
      <c r="H9" s="2" t="n">
        <v>46037</v>
      </c>
      <c r="I9" t="inlineStr">
        <is>
          <t>**Job Summary:**  
This position is responsible for the operational support of all Reese Family Service Programs (Residential Services, In\-Home, SLP, and Day Support), working closely with the program directors to ensure compliance with all regulatory requirements and accreditation standards to carry out the agency’s strategic goals and objectives. The Program Manager oversees the quality assurance of all Residential Services.
**Duties:**
* Monitors residential programs' risk management, development, and operations
* Prepares and implements facility program best practices
* Ensure Program Directors complete Quarterly and Annual data for Risk Management
* Ensure effective and quality services across all residential programs
* Attends workshops, seminars, webinars, and conferences to stay abreast of program management and quality assurance updates and applies the knowledge obtained to daily tasks.
* Ensures confidentiality and security of individual service records
* Prepares and implements facility Program best practices
* Monitors the development and revision of policies, procedures, and forms for program and agency services.
* Ensures compliance with state licensure and human rights standards in regard to the agency operating a service and maintaining its licensure for all departments.
* Ensures maintenance, repairs, and modifications to the facility are completed in a timely timeframe
* Ensures facility staff and contractors adhere to facility policies
* Researches and develops evidence\-based practices that promote the well\-being and health of all individuals served.
* Ensures that all staff are trained on the most up\-to\-date procedures in accordance with established standards.
* Communicates regularly with program directors and residential coordinators to ensure they routinely meet with their staff, both individually and as a group, to ensure consistent operation across units.
* Supports program directors to ensure service plans and all other required documentation are of good quality and completed on time.
* Responsible for training program directors, residential coordinators, and administrative assistants
* Directly responsible for auditing 3 books per residential program, per month
* Works with Program directors, Residential Coordinators, and Human Resources to ensure that employees are adequately trained, equipped, and motivated so that program objectives can be accomplished in a safe, timely, and cost\-effective manner.
* Support Program Directors in making program modifications as needed
* Complete quarterly Reviews
* Complete corrective action plans and quarterly improvement plans, as needed
* Complete quality assurance for all residential programs
* Maintain a clean, safe, and orderly work environment
* Develop and coordinate meetings and training for staff, individuals, and families regarding support and services within the residential program
* Ensure individual information on WAMs \&amp; Lauris are entered correctly and timely
* Ensure ongoing implementation of the Individual Support Plan
* Conduct and review performance evaluations of program directors following policy
* Evaluate individuals referred and receiving services
* Coordinates and monitors the documentation process
* Orientates, trains, and supervises program directors, residential coordinators, and all staff within the program
* Participate in staff meetings and in\-service training as assigned
* Ensure Personnel files are updated and in compliance with state regulations \&amp; licensure.
* Have contact with families, guardians, CSB, and social workers in all residential programs, as needed.
* Provide input and recommendations (verbal and written) regarding issues of admissions, transfers, and discharges.
* Review support data and progress notes to modify/revise individual support plans, behavioral supports, treatment plans, etc. as needed.
* Ensures implementation of individual service plans
* Seek out opportunities for new referrals \&amp; complete initial referrals for intake of potential clients
* Investigate individual and staff incidents and complete required documentation
* Ensures compliance with individuals' rights and ensures their ratio is maintained as established by the residence
* Participates in discharge planning
* Report all instances of suspected abuse, neglect, or exploitation to the Risk Management \&amp; Corporate Compliance Officer and Upper Management
* Monitors behavioral management
* Maintain 24\-hour on\-call availability for crisis and emergencies
**Required Education/Certification and Licenses**
* The position requires at least a bachelor's degree in the human services field, including sociology, social work, special education, rehabilitation counseling, or psychology.
* Candidates without a bachelor's degree may be considered if they have an associate’s degree with five years of cognate experience
* The program Manager must serve as a Qualified developmental disability professional \-QDDP
* Valid CPR/First Aid – Otherwise, must be obtained within one month of employment
* Medication management certificate – Otherwise, it must be obtained within one month of employment
**Experience**
* This role requires 3 years of experience in the human services field/or personal experience working with individuals with intellectual disabilities
* Must have great knowledge of DBHDS and Human Rights Licensure Regulations, Program Development and operation, as well as Professional Ethics
* Must have great knowledge of CARF Standards and requirements
* At least three years of experience interpreting and implementing federal, state, or local regulations will be preferred.
* At least three years of case management work will be preferred.
**Knowledge and Skills**
* Proficiency in Word, Excel, and PowerPoint
* Working knowledge of Google Workspace (Docs, sheets, Calendar)
* Experience working with adults with disabilities;
* Knowledge of intellectual \&amp; developmental disabilities and related physical, health, and behavioral concerns.
* Possess strong supervision skills; ability to establish and maintain effective working relationships with individuals, community, and staff.
* Possess excellent communication and interpersonal skills
* Possess Investigative and interviewing skills; ability to analyze findings, identify problems, and formulate solutions;
* Knowledge of licensure, human rights, and other regulations and their application.
* Ability to analyze and summarize data into written reports.
* Ability to maintain effective inter\- and intra\-agency working relationships
* Must enjoy working with all people, and possess a caring and positive attitude.
**Benefits**
* Medical Insurance
* Dental Insurance
* Vision Insurance
* 401k \+ matching
* Life Insurance
* PTO \+ Vacation
**Perks**
* Birthday Off
* Employee Assistance Program
* Career\-advancement Opportunities
* Company \- sponsored events
**Position Type/Hours of Work** 
This is a full\-time position, 40 hours per week in the office; the schedule may vary depending on work demands. Overtime may be required from time to time. The employee may be required to accept 24/7 on\-call responsibilities due to the dynamics of the position.
**Physical Demands**
The position involves constant talking, hearing, repetitive motions, sitting, and eye/hand/foot coordination throughout the work shift. Occasional activities include standing, walking, and carrying. Rarely required activities, which are not a regular part of the job, include kneeling, reaching, lifting, and climbing.
The employee may witness traumatic situations including physical assaults by individuals receiving services on other individuals receiving services or staff, psychiatric decompensation, and death of individuals receiving services. In terms of environmental conditions, the position does not typically involve exposure to extreme cold, extreme heat, vibration, wet conditions, or noise. Regarding physical strength, the job generally requires light to medium work, with little to no heavy work involved. May be required to lift or move up to 50 pounds occasionally
**Other Requirements**
* Candidate must be authorized to work in the United States. Acceptable documents include a U.S. Birth Certificate, Certificate of Naturalization, Passport, Passport Card, Employment Authorization Card, or Permanent Resident Card.
* The successful completion of state criminal and central registry background investigations
* Valid Drivers Licence
If you are passionate about making a difference in the lives of individuals with developmental disabilities and possess the required skills and experience, we encourage you to apply now.
Job Type: Full\-time
Pay: $50,000\.00 \- $55,000\.00 per year
Benefits:
* 401(k)
* 401(k) matching
* Dental insurance
* Employee assistance program
* Health insurance
* Life insurance
* Paid time off
* Vision insurance
Education:
* Associate (Required)
Experience:
* working with individuals with IDD: 3 years (Required)
License/Certification:
* QIDP Certification (Required)
* Driver's License (Preferred)
Ability to Commute:
* Hampton, VA 23666 (Required)
Work Location: In person</t>
        </is>
      </c>
    </row>
    <row r="10">
      <c r="A10" t="inlineStr">
        <is>
          <t>in-bd8dc5c3497261a4</t>
        </is>
      </c>
      <c r="B10" t="inlineStr">
        <is>
          <t>ABA Clinical Program Manager</t>
        </is>
      </c>
      <c r="C10" t="inlineStr">
        <is>
          <t>UnityABA Inc</t>
        </is>
      </c>
      <c r="D10" t="inlineStr">
        <is>
          <t>indeed</t>
        </is>
      </c>
      <c r="E10">
        <f>HYPERLINK("https://www.indeed.com/viewjob?jk=bd8dc5c3497261a4", "https://www.indeed.com/viewjob?jk=bd8dc5c3497261a4")</f>
        <v/>
      </c>
      <c r="F10">
        <f>HYPERLINK("http://www.indeed.com/job/aba-clinical-program-manager-bd8dc5c3497261a4", "http://www.indeed.com/job/aba-clinical-program-manager-bd8dc5c3497261a4")</f>
        <v/>
      </c>
      <c r="G10" t="inlineStr">
        <is>
          <t>Vacaville, CA, US</t>
        </is>
      </c>
      <c r="H10" s="2" t="n">
        <v>46037</v>
      </c>
      <c r="I10" t="inlineStr">
        <is>
          <t>**Overview**  
UnityABA is seeking a dynamic and compassionate **Program Manager** to lead the delivery of high\-quality behavioral services. In this key role, you will work under the guidance and supervision of a Board\-Certified Behavior Analyst (BCBA) to implement individualized treatment plans, guide and support Behavior Technicians, and serve as the main point of contact for client families. The ideal candidate is a strong leader and communicator with excellent organizational skills, dedicated to achieving meaningful outcomes and ensuring exceptional client care.
**Program Oversight \&amp; Supervision**
* Ensure behavior intervention plans designed by the BCBA are carried out effectively.
* Provide ongoing coaching and supervision to Behavior Technicians, maintaining adherence to clinical protocols.
* Conduct weekly check\-ins and in\-session observations to monitor client progress and implement updates as needed.
* Create Learning Trees for newly onboarded clients.
* Offer in\-person support to Behavior Technicians during their first two client sessions.
* Perform data review and administrative responsibilities, including:
* Reviewing raw data and technician session notes
* Analyzing progress trends and updating treatment goals
* Modifying instructional notes and prompt hierarchies
* Auditing session times, signatures, and documentation
* Developing visual supports and intervention materials
* Secure approvals for telehealth overlaps, community outings, and goal changes.
**Treatment Planning \&amp; Data Analysis**
* Collect and evaluate clinical data from Behavior Technicians to monitor client progress.
* Apply a data\-driven approach to inform treatment recommendations and deliver structured performance feedback.
* Collaborate closely with the BCBA to update intervention plans as necessary.
* Maintain thorough documentation and session notes to accurately track outcomes.
**Family \&amp; Client Communication**
* Act as the primary point of contact for families, offering regular updates and responding to questions or concerns.
* Provide parent and caregiver training under the supervision of the BCBA.
* Foster a positive, supportive environment for clients and their families.
**Professional Development \&amp; Training**
* Engage in ongoing trainings, team meetings, and professional development opportunities.
* Ensure Behavior Technicians remain current with best practices and intervention methodologies.
* Offer mentorship and constructive feedback to support team growth and performance.
**Compliance \&amp; Ethical Standards**
* Follow UnityABA policies, BACB ethics, HIPAA requirements, and all confidentiality regulations.
* Demonstrate professionalism and integrity in all interactions with clients, staff, and families.
* Ensure continued adherence to all regulatory and industry standards.
**Schedule**
* Monday–Friday
* Weekends as needed
**Qualifications**
* Master’s degree (Required)
* Willingness to Travel: 75% (Preferred)
**Work Setting**
* In\-person
**Job Types**
* Full\-time, Part\-time
**Pay**
* $30\.00 – $35\.00 per hour
**Benefits**
* Health insurance
* Dental insurance
* Vision insurance
* Paid time off
* Flexible schedule
* Professional development assistance
* Referral program
**Education**
* Master’s (Required)
**Language**
* Spanish (Preferred)
**Ability to Commute**
* Sacramento, CA 95821
**Counties we Serve:**
* Sacramento, Placer, El Dorado, Vacaville, Tracy, Auburn, Stockton.
Job Types: Full\-time, Part\-time
Pay: $30\.00 \- $35\.00 per hour
Benefits:
* 401(k)
* Dental insurance
* Flexible schedule
* Health insurance
* Paid time off
* Retirement plan
* Vision insurance
Work Location: Hybrid remote in Vacaville, CA 95687</t>
        </is>
      </c>
    </row>
    <row r="11">
      <c r="A11" t="inlineStr">
        <is>
          <t>in-8ab965bccdfbbd66</t>
        </is>
      </c>
      <c r="B11" t="inlineStr">
        <is>
          <t>Supervised Visitation Program Manager</t>
        </is>
      </c>
      <c r="C11" t="inlineStr">
        <is>
          <t>Whatcom Dispute Resolution Center</t>
        </is>
      </c>
      <c r="D11" t="inlineStr">
        <is>
          <t>indeed</t>
        </is>
      </c>
      <c r="E11">
        <f>HYPERLINK("https://www.indeed.com/viewjob?jk=8ab965bccdfbbd66", "https://www.indeed.com/viewjob?jk=8ab965bccdfbbd66")</f>
        <v/>
      </c>
      <c r="F11">
        <f>HYPERLINK("http://www.indeed.com/job/supervised-visitation-program-manager-8ab965bccdfbbd66", "http://www.indeed.com/job/supervised-visitation-program-manager-8ab965bccdfbbd66")</f>
        <v/>
      </c>
      <c r="G11" t="inlineStr">
        <is>
          <t>Bellingham, WA, US</t>
        </is>
      </c>
      <c r="H11" s="2" t="n">
        <v>46037</v>
      </c>
      <c r="I11" t="inlineStr">
        <is>
          <t>**Position Title**: Supervised Visitation Program Manager  
**Employment Status:** .875 \-1 FTE (35\-40 hrs/week), Non\-exempt  
**Wage range:** starts at $25\-27 per hour  
**Benefits**: Health insurance (medical, dental \&amp; vision), EAP, 401(k), paid vacation, 13 paid holidays, professional development opportunities, flexible work location  
**Reports to:** Director of Programs  
**Supervises:** Supervised Visitation Program staff \&amp; volunteers  
**Work Schedule:** Weekly hours include some weekday evenings and some Saturdays
**About the WDRC:** The WDRC is a 501(c) 3 nonprofit, operating in the ancestral lands of the Coast Salish Peoples. With a vision for Whatcom County to be a community in which people approach conflict in creative and healthy ways, and a mission of providing and promoting constructive and collaborative approaches to conflict, we integrate the values of kindness, impartiality, empowerment, collaboration, communication, equity, diversity, sustainability, and integrity across our organization.
**Working Conditions:** The WDRC is an inclusive, collaborative organization, in which empathy, communication, and integrity are highly valued as we provide impartial, accessible dispute resolution services for our entire community. We believe in and continually strive to provide a supportive, healthy and productive work environment. Staff serve the public through a variety of programming held in\-person or virtually, in public and private venues. Given the nature of the WDRC’s mission and services, the possibility of exposure to escalated emotion and offensive language from the public exists. The WDRC expects staff to respond to these instances with diplomacy, tact and compassion.
**Position Description:** The Supervised Visitation (SV) Program Manager is responsible for the ongoing oversight and development of a program that provides a safe structure and welcoming environment for non\-residential parents to visit their children, when the court has otherwise prohibited contact. Working in partnership with Whatcom County Superior Court and community partners, the SV program provides a temporary means for parents and children to maintain a connection and relationship. The SV Program Manager is primarily responsible for fielding inquiries, conducting program client intakes, assessing safety concerns and managing risk, tracking and reporting program data, collaborating with program partners, recruiting and training volunteers, and supervising program staff. The SV Program Manager will understand and have compassion for the dynamics and complexities present within the program and families served, will understand and promote alignment with WDRC goals, will believe in and work towards the mission of the WDRC, and will enthusiastically embrace the opportunity to work with our team. This position involves travel back and forth from the WDRC office and the visit location.
**Responsibilities:**  
Program Management
* Oversee, maintain and develop the program
* Develop and refine program policies and procedures, upholding stringent safety protocols at all times
* Ensure appropriate program evaluation, data collection, and grant reporting
* Coordinate and collaborate with program partners \&amp; participate in stakeholder and partner meetings
* Ensure adherence to program standards and safety protocols, staying up\-to\-date on emerging best practices
* Supervise the program staff
* Perform administrative duties (including but not limited to phone, e\-mail, filing, word processing)
Case Intake
* Act as first point of contact for all program inquiries
* Conduct initial in\-person intake for families
* Review and uphold court orders
* Communicate with parents, guardians, attorneys, and guardians ad litem
* Screen for safety issues, program eligibility, and ability to successfully participate
* Share relevant information with program staff
Visit Supervision
* Ensure successful implementation of weekly schedule of visits, monitoring activities and client needs
* Supervise some visits on a weekly and fill\-in basis as necessary
* Oversee recruitment, training, and successful management of volunteer visit supervisors
Other duties
* Participate in staff meetings, WDRC and community events, and other meetings as requested
* Assist with fundraising opportunities to support program growth
* Collaborate with staff to promote the program
* Additional duties as requested
**Required Qualifications**
* ***Case Management or Program Coordination*****:** At least 3–5 years of experience managing social services, community programs, or family\-centered support.
* ***Risk Assessment Skills*****:** Demonstrated ability to evaluate safety concerns, manage high\-conflict situations, and maintain firm and compassionate boundaries in a professional manner.
* ***Leadership \&amp; Mentorship:*** Proven experience supervising staff or leading teams of volunteers and highly organized in tracking and tending to a large volume of detailed information and responsibilities.
* ***Trauma\-Informed Approach***: A deep understanding of the impact of trauma on children and families, and the ability to apply this lens to program management.
* ***Effective Communication*****:** Strong written and verbal communication skills, adaptable to a variety of settings such as drafting case summaries or grant reports, presenting publicly, and engaging with families from a variety of socioeconomic and cultural backgrounds.
* ***Collaboration \&amp; Independence*****:** Ability to collaborate effectively with colleagues, diverse stakeholders and community partners and to work independently with a high level of self\-motivation and accountability.
* ***Flexibility \&amp; Composure****:* Ability to adapt to dynamic circumstances, process detailed information, often from people demonstrating emotionally escalated behaviors, and act neutrally and non\-judgmentally.
* ***Digital Proficiency*****:** Comfortable using digital tools—such as email, shared calendars, data entry systems, and video conferencing platforms.
* ***Reliable transportation*****:** Must have a reliable vehicle for travelling to and from visit location as it may be necessary to provide unplanned, time\-sensitive support at the visit location
**Valued Experience**
* ***Lived Expertise*****:** We highly value candidates with personal or community\-based experience navigating the legal or social service systems, as this provides a vital perspective to our work.
* ***Community Engagement:*** Experience working with restorative justice, mediation, or conflict resolution frameworks.
* ***Diverse Perspectives*****:** Fluency in a second language or experience working with historically underserved populations is a significant asset.
* ***Equivalency:*** A degree in Social Work, Psychology, or a related field is welcomed, but not required if the applicant demonstrates equivalent mastery through relevant professional or life experience.
**To apply**: Directly email cover letter, resume or experience summary, and 3 references to Jaina Gemin, Search Coordinator at jaina@whatcomdrc.org, with the subject header “SVPM Application \- Applicant Name”. Only complete application packets will be considered. Open until filled.
Job Type: Full\-time
Pay: $25\.00 \- $27\.00 per hour
Expected hours: 35 – 40 per week
Benefits:
* 401(k)
* Dental insurance
* Employee assistance program
* Health insurance
* Paid time off
* Professional development assistance
* Vision insurance
Work Location: In person</t>
        </is>
      </c>
    </row>
    <row r="12">
      <c r="A12" t="inlineStr">
        <is>
          <t>in-8d282221931e7155</t>
        </is>
      </c>
      <c r="B12" t="inlineStr">
        <is>
          <t>Program Manager</t>
        </is>
      </c>
      <c r="C12" t="inlineStr">
        <is>
          <t>Oregon Mennonite Residential Services</t>
        </is>
      </c>
      <c r="D12" t="inlineStr">
        <is>
          <t>indeed</t>
        </is>
      </c>
      <c r="E12">
        <f>HYPERLINK("https://www.indeed.com/viewjob?jk=8d282221931e7155", "https://www.indeed.com/viewjob?jk=8d282221931e7155")</f>
        <v/>
      </c>
      <c r="F12">
        <f>HYPERLINK("http://www.indeed.com/job/program-manager-8d282221931e7155", "http://www.indeed.com/job/program-manager-8d282221931e7155")</f>
        <v/>
      </c>
      <c r="G12" t="inlineStr">
        <is>
          <t>McMinnville, OR, US</t>
        </is>
      </c>
      <c r="H12" s="2" t="n">
        <v>46037</v>
      </c>
      <c r="I12" t="inlineStr">
        <is>
          <t>**Currently offering a $125 sign on bonus if you work until your first pay day and an additional $125 if you stay for 60 days.**
**$100 stipend paid to you for each week you are on call (Sunday\-Saturday).**
**Must have a minimum of one year experience with intellectually and developmentally disabled adults in a group home setting to apply for this position.**
Job Requirements / Essential Functions
1\. Must have sufficient experience with individuals with developmental disabilities/health care experience. Must be at least 18 years of age.
2\. Must be able to develop and maintain positive, cooperative, team oriented. relationships with coworkers, supervisors, supervisees, and other providers of services to OMRS residents.
3\. Must have good written and verbal communication skills.
4\. Must be accessible by phone or message device.
5\. Must be able to access reliable transportation to fulfill job responsibilities.
6\. Must be physically able to perform the assigned tasks, including but not limited to the ability to achieve and maintain the required level of OIS certification for the home in which the individual is to work.
7\. Must be able to qualify as a driver for company owned vehicles.
8\. Must be able to qualify as a signer for company/resident banking accounts.
9\. Maintain current cpr and first aid certification.
The Program Manager is in charge of the group home they work at whether it be the financials, the staffing, discipline, training and growth of the staff, on call duties as well as annual ISP's for residents. They will follow all licensing OAR's and policies of TrueNorth Oregon to ensure that the residents needs are met and residents are living fulfilling lives. In the homes there is an Assistant Manager and/or Lead Staff (2\) that is also supervised by the Program Manager and they all share on call duties with the Program Manager.
Work Location:
* One location
Work Remotely
* No
Job Type: Full\-time
Pay: From $58,448\.00 per year
Benefits:
* Dental insurance
* Employee assistance program
* Health insurance
* Life insurance
* Paid time off
* Referral program
* Retirement plan
* Vision insurance
Application Question(s):
* Have you ever been found to have committed abuse?
* Would you qualify to be a company driver? Qualifications are: must be 21 years old, must have had a license for over 3 years, must have an Oregon license and must have a fairly clean driving record for the past 3 years (no DUII, SR22, ticket for 20\+ over the speed limit, school zone ticket or mobile device ticket in last 3 years). This will not eliminate you from qualifying for the position.
* Is there any reason you may not qualify to be a signer on company and resident bank accounts?
* The Program Manager typically works Monday\-Friday, day shifts. In the event of a call in or to keep overtime down, it could require you to cover floor shifts on days, swings, graveyards and they could include weekends. Is this a problem for you?
Experience:
* IDD in a group home setting: 1 year (Required)
* supervisory in IDD: 1 year (Preferred)
Work Location: In person</t>
        </is>
      </c>
    </row>
    <row r="13">
      <c r="A13" t="inlineStr">
        <is>
          <t>in-67d9425b79c86131</t>
        </is>
      </c>
      <c r="B13" t="inlineStr">
        <is>
          <t>Program Manager - Guest Services</t>
        </is>
      </c>
      <c r="C13" t="inlineStr">
        <is>
          <t>Poverello House of Tucson</t>
        </is>
      </c>
      <c r="D13" t="inlineStr">
        <is>
          <t>indeed</t>
        </is>
      </c>
      <c r="E13">
        <f>HYPERLINK("https://www.indeed.com/viewjob?jk=67d9425b79c86131", "https://www.indeed.com/viewjob?jk=67d9425b79c86131")</f>
        <v/>
      </c>
      <c r="F13">
        <f>HYPERLINK("http://www.indeed.com/job/program-manager-guest-services-67d9425b79c86131", "http://www.indeed.com/job/program-manager-guest-services-67d9425b79c86131")</f>
        <v/>
      </c>
      <c r="G13" t="inlineStr">
        <is>
          <t>Tucson, AZ, US</t>
        </is>
      </c>
      <c r="H13" s="2" t="n">
        <v>46037</v>
      </c>
      <c r="I13" t="inlineStr">
        <is>
          <t>**About Us:** Poverello House is a non\-profit organization dedicated to providing support to individuals experiencing homelessness. Our mission is to create a safe, caring environment that allows people to feel at ease and empowers people to rebuild their independence.
**Position Summary:** The House Program Manager \- Guest Services will oversee the day\-to\-day operations of the program; ensuring a safe, welcoming, and effective environment for individuals seeking refuge. The House Program Manager \- Guest Services will lead a team of volunteers, coordinate services, ensure compliance with regulations set by the Poverello house board, and work closely with staff and community partners to address the needs of guests. The ideal candidate will possess strong leadership, problem\-solving, and organizational skills; have an understanding of homelessness needs and associated social services; as well as possess a deep commitment to serving vulnerable populations.
**Key Responsibilities:**
**Operations Management:**
* Oversee daily house operations, including intake procedures, introductory tours and ensuring compliance with set policies and regulations.
* Maintain a safe, clean, and secure environment for guests, staff, and volunteers.
* Ensure the provision of basic needs such as food, clothing, personal hygiene, and arrangements for medical care.
* Keep up\-to\-date on community programs and other social services that could benefit program participants
**Supervision and Development:**
* Supervise, train, and mentor staff and volunteers as needed.
* Foster a collaborative and positive environment focused on respect and compassion.
* Provide crisis intervention, deescalation and conflict resolution when needed.
**Case Management:**
* Collaborate with additional service providers re case management services for guests, ensuring they receive personalized support using trauma informed approach to address their short term needs and long\-term goals.
* Collaborate with community organizations, local agencies and resources to network and build relationships and provide support plans for our guests
* Assist guests with goals related to shelter, substance use, treatment, employment, housing, financial assistance, communication, food and any additional needs.
**Compliance and Reporting:**
* Ensure compliance with all regulations related to Poverello services and operations.
* Maintain accurate records of activities, guest progress, and incidents.
* Prepare and submit required reports to the board or direct supervisor.
* Assist in production of quarterly/periodic newsletters for donors and network.
**Crisis Management:**
* Respond to emergencies or crises involving guests, neighbors or staff, including health, safety, or behavioral issues.
* Implement de\-escalation techniques and ensure all safety protocols are followed
* Familiar with emergency response procedures as discussed in training.
**Qualifications:**
* Bachelor’s degree in Social Work, Public Administration, or related field
* Minimum of 3 years of experience in social services, with at least 2 years in a leadership role (experience in homelessness services is highly preferred).
* Knowledge of local, state, and federal services related to homelessness and social services.
* Motivate and support a diverse staff and volunteer cohort
* Excellent communication skills, both verbal and written, with the ability to engage with guests, staff, volunteers and external parties.
* Demonstrated ability to manage crisis situations, resolve conflicts, and provide trauma\-informed care.
* Strong organizational and problem\-solving skills, with a high attention to detail.
* Ability to work in a dynamic environment while maintaining professionalism and composure.
* Passion for social justice, with a commitment to serving individuals experiencing homelessness.
* Ability to work flexible hours, including evenings and weekends, as needed.
**Physical Requirements:**
* Ability to lift up to 25 pounds.
* Ability to sit or stand for extended periods of time.
* Ability to respond quickly in emergencies and perform safety procedures
Pay: $45,500\.00 \- $46,000\.00 per year
Benefits:
* Health insurance
Work Location: In person</t>
        </is>
      </c>
    </row>
    <row r="14">
      <c r="A14" t="inlineStr">
        <is>
          <t>in-b3c0bf8bb1ad9d64</t>
        </is>
      </c>
      <c r="B14" t="inlineStr">
        <is>
          <t>Epic Program Manager V</t>
        </is>
      </c>
      <c r="C14" t="inlineStr">
        <is>
          <t>Medica Services Company LLC</t>
        </is>
      </c>
      <c r="D14" t="inlineStr">
        <is>
          <t>indeed</t>
        </is>
      </c>
      <c r="E14">
        <f>HYPERLINK("https://www.indeed.com/viewjob?jk=b3c0bf8bb1ad9d64", "https://www.indeed.com/viewjob?jk=b3c0bf8bb1ad9d64")</f>
        <v/>
      </c>
      <c r="F14">
        <f>HYPERLINK("https://recruiting2.ultipro.com/MED1007MHP/JobBoard/ffa5492f-9175-4dab-891d-a6a5d6dced2f/OpportunityDetail?opportunityId=41e45267-6cbb-4b8c-8c33-1db5f16b3c66&amp;postingId=562b802d-aed2-4c8a-a311-5a1014181907", "https://recruiting2.ultipro.com/MED1007MHP/JobBoard/ffa5492f-9175-4dab-891d-a6a5d6dced2f/OpportunityDetail?opportunityId=41e45267-6cbb-4b8c-8c33-1db5f16b3c66&amp;postingId=562b802d-aed2-4c8a-a311-5a1014181907")</f>
        <v/>
      </c>
      <c r="G14" t="inlineStr">
        <is>
          <t>Minnetonka, MN, US</t>
        </is>
      </c>
      <c r="H14" s="2" t="n">
        <v>46037</v>
      </c>
      <c r="I14" t="inlineStr">
        <is>
          <t>Medica is a nonprofit health plan with more than a million members that serves communities in Minnesota, Nebraska, Wisconsin, Missouri, and beyond. We deliver personalized health care experiences and partner closely with providers to ensure members are genuinely cared for.
We're a team that owns our work with accountability, makes data\-driven decisions, embraces continuous learning, and celebrates collaboration — because success is a team sport. It's our mission to be there in the moments that matter most for our members and employees. Join us in creating a community of connected care, where coordinated, quality service is the norm and every member feels valued.
Responsible for the implementation and maintenance of Medica’s Epic Payer Platform Health Services program. Owns the end\-to\-end implementation of Epic Payer Platform capabilities to Health System partners. Supports internal business owners and coordinates with IT partners for downstream capabilities. Supports platform configuration for new and existing capabilities. Responsible for internal program success reporting and external value reporting for providers. Responsible for managing highly visible Epic projects that cross multiple business and IT areas. This role must partner with Epic, IT and other stakeholders to ensure the right blend of skills are available to support successful delivery of the Epic Program. Performs other duties as assigned.
**Key Accountabilities**
* Recruits and implements new customers
* Responsible for expanding current capabilities and implementing new capabilities on Medica’s Epic Payer Platform
* Provides direction to other staff and performs more advanced responsibilities with minimal supervision
* Providers leadership and consultation to internal Medica teams to support current use cases and to help develop additional use cases
* Providers leadership and support with our vendor Epic
* Ensure strong Epic program governance which includes proactive risk and issue management and reporting
* Responsible for tracking and measurement of internal program success and individual health system value propositions
**Required Qualifications**
* Bachelor's degree or equivalent experience in related field
* 8\+ years of work experience beyond degree
**Preferred Qualifications**
* Knowledge of health care functions between payers and providers, quality, risk adjustment, or care management
* Advanced working knowledge of Epic, preferably from the payer perspective
* EPP work experience desired
This position is an Office role, which requires an employee to work onsite, on average, 3 days per week. We are open to candidates located near one of the following office locations: Minnetonka, MN, Madison, WI, Omaha, NE, St. Louis, MO.
The full salary grade for this position is $100,300 \- $172,000\. While the full salary grade is provided, the typical hiring salary range for this role is expected to be between $100,300 \- $150,465\. Annual salary range placement will depend on a variety of factors including, but not limited to, education, work experience, applicable certifications and/or licensure, the position's scope and responsibility, internal pay equity and external market salary data. In addition to compensation, Medica offers a generous total rewards package that includes competitive medical, dental, vision, PTO, Holidays, paid volunteer time off, 401K contributions, caregiver services and many other benefits to support our employees.
The compensation and benefits information is provided as of the date of this posting. Medica’s compensation and benefits are subject to change at any time, with or without notice, subject to applicable law.
**Eligibility to work in the US:** Medica does not offer work visa sponsorship for this role. All candidates must be legally authorized to work in the United States at the time of application. Employment is contingent on verification of identity and eligibility to work in the United States.
We are an Equal Opportunity employer, where all qualified candidates receive consideration for employment indiscriminate of race, religion, ethnicity, national origin, citizenship, gender, gender identity, sexual orientation, age, veteran status, disability, genetic information, or any other protected characteristic.</t>
        </is>
      </c>
    </row>
    <row r="15">
      <c r="A15" t="inlineStr">
        <is>
          <t>in-576f9c1cad7567b0</t>
        </is>
      </c>
      <c r="B15" t="inlineStr">
        <is>
          <t>Program Manager, Agentic Automation</t>
        </is>
      </c>
      <c r="C15" t="inlineStr">
        <is>
          <t>Create Music Group</t>
        </is>
      </c>
      <c r="D15" t="inlineStr">
        <is>
          <t>indeed</t>
        </is>
      </c>
      <c r="E15">
        <f>HYPERLINK("https://www.indeed.com/viewjob?jk=576f9c1cad7567b0", "https://www.indeed.com/viewjob?jk=576f9c1cad7567b0")</f>
        <v/>
      </c>
      <c r="F15">
        <f>HYPERLINK("https://ats.rippling.com/createmusicgroup/jobs/6014d875-743e-4bb3-850e-a24289a21175?jobSite=Indeed", "https://ats.rippling.com/createmusicgroup/jobs/6014d875-743e-4bb3-850e-a24289a21175?jobSite=Indeed")</f>
        <v/>
      </c>
      <c r="G15" t="inlineStr">
        <is>
          <t>Los Angeles, CA, US</t>
        </is>
      </c>
      <c r="H15" s="2" t="n">
        <v>46037</v>
      </c>
      <c r="I15" t="inlineStr">
        <is>
          <t>Established in 2015, Create Music Group is a leading music and entertainment company. The company operates as a record label, distribution company, and entertainment network which generates over 15 billion music streams each month on DSP’s. Named \#2 on the Inc 5000 Fastest Growth Companies in America in 2020, the company has grown exponentially by leveraging its owned IP with its media and technology platform. The company works with superstar artists, major and independent record labels, and global media brands. It operates a number of companies including Label Engine, one of the largest independent music distribution platforms in the world, with over 75,000 artists and 5,000 label clients; and Flighthouse, a digital entertainment brand focused on Gen Z, which has more than 300 million followers across social media. Create Music Group is based in Hollywood, CA and has 350 employees worldwide.
 **Job Summary**
The Program Manager, Agentic Automation is the primary operational driver for Create Music Group’s Digital Workforce Transformation initiatives. This role partners directly with the Sr. Director of Agentic Automation to operationalize AI\-driven workflows at scale by owning documentation, stakeholder coordination, SOP creation, and delivery execution. The role provides the operational structure and governance required to move agentic workflows from proof of concept into trusted, production\-ready systems.
 **Responsibilities**
* Act as the primary stakeholder liaison for cross\-functional teams (Music Ops, Finance, Legal), translating operational pain points into clearly defined technical requirements and “Jobs to Be Done.”
* Capture, structure, and maintain AI\-augmented documentation including technical requirements, SOPs, workflow definitions, and user stories
* Own the blueprinting, tracking, and delivery of agentic automation workflows from proof of concept through full production deployment
* Develop and maintain transparency artifacts (“Evidence Packs,” execution logs) to build internal trust and auditability for automated AI actions
* Coordinate with Engineering teams to ensure workflows are technically feasible, production\-hardened, and aligned with platform standards
* Maintain a prioritized, evolving backlog of automation initiatives aligned to strategic objectives and delivery timelines
* Ensure workflows and documentation support analytics\-ready Gold\-layer reporting requirements
* Support launch and adoption of internal self\-service automation tooling (Create AI Studio)
* Reduce manual discovery, handoffs, and operational friction through standardized AI\-assisted processes
* Other duties as assigned
**Qualifications**
* 5\+ years of experience in Project Management, Technical Program Management, or Data/Automation\-focused roles
* Proven experience in technical or data\-focused project management roles bridging strategy and execution
* Strong experience using AI tools and LLMs for documentation, summarization, and workflow design
* Data literacy, including familiarity with Medallion (Bronze/Silver/Gold) data architecture concepts
* Proficiency with Atlassian tools (Jira, Atlas) and Miro for roadmap visualization and project tracking
* Demonstrated ability to manage multiple concurrent initiatives with evolving scope
* Prior experience working closely with engineering, data, or AI teams required
* Preferred: Familiarity with the music industry value chain (metadata, DSP pitching, royalty workflows)
**Pay Scale**
* $115,000 \- $130,000 per year
* The final compensation within this range will be determined based on the candidate’s experience, skills, and overall fit for the role.
**Fair Chance Policy**
In accordance with the Los Angeles County Fair Chance Ordinance, we will consider employment for qualified applicants with criminal histories. We evaluate candidates based on their qualifications and the nature of the offense in relation to the job for which they are applying.</t>
        </is>
      </c>
    </row>
    <row r="16">
      <c r="A16" t="inlineStr">
        <is>
          <t>in-c72a28f2141820ff</t>
        </is>
      </c>
      <c r="B16" t="inlineStr">
        <is>
          <t>Product Manager</t>
        </is>
      </c>
      <c r="C16" t="inlineStr">
        <is>
          <t>Steve Regan Company</t>
        </is>
      </c>
      <c r="D16" t="inlineStr">
        <is>
          <t>indeed</t>
        </is>
      </c>
      <c r="E16">
        <f>HYPERLINK("https://www.indeed.com/viewjob?jk=c72a28f2141820ff", "https://www.indeed.com/viewjob?jk=c72a28f2141820ff")</f>
        <v/>
      </c>
      <c r="F16">
        <f>HYPERLINK("http://www.indeed.com/job/product-manager-c72a28f2141820ff", "http://www.indeed.com/job/product-manager-c72a28f2141820ff")</f>
        <v/>
      </c>
      <c r="G16" t="inlineStr">
        <is>
          <t>Salt Lake City, UT, US</t>
        </is>
      </c>
      <c r="H16" s="2" t="n">
        <v>46037</v>
      </c>
      <c r="I16" t="inlineStr">
        <is>
          <t>Locally owned and family oriented Agricultural/Chemical wholesaler since 1936 with eight locations in Utah and Idaho is accepting resumes for a professional Product Manager.
Responsibilities include: develop and manage product lines to increase sales and margin, work and communicate with vendors and internal management, develop competitive pricing strategies.
Successful candidates will have a natural optimism and can do attitude. Our customers include farmers, ranchers, and other professionals that use our products to make a living. You will not get bored at this job.
Job Type: Full\-time
Pay: $55,000\.00 \- $65,000\.00 per year
Benefits:
* 401(k) matching
* Dental insurance
* Employee discount
* Health insurance
* Health savings account
* Life insurance
* Paid time off
* Tuition reimbursement
* Vision insurance
Work Location: In person</t>
        </is>
      </c>
    </row>
    <row r="17">
      <c r="A17" t="inlineStr">
        <is>
          <t>in-ba30e8f2bb4aaec9</t>
        </is>
      </c>
      <c r="B17" t="inlineStr">
        <is>
          <t>Social Services Senior Program Manager</t>
        </is>
      </c>
      <c r="C17" t="inlineStr">
        <is>
          <t>Polk County Local Government</t>
        </is>
      </c>
      <c r="D17" t="inlineStr">
        <is>
          <t>indeed</t>
        </is>
      </c>
      <c r="E17">
        <f>HYPERLINK("https://www.indeed.com/viewjob?jk=ba30e8f2bb4aaec9", "https://www.indeed.com/viewjob?jk=ba30e8f2bb4aaec9")</f>
        <v/>
      </c>
      <c r="F17">
        <f>HYPERLINK("http://www.indeed.com/job/social-services-senior-program-manager-ba30e8f2bb4aaec9", "http://www.indeed.com/job/social-services-senior-program-manager-ba30e8f2bb4aaec9")</f>
        <v/>
      </c>
      <c r="G17" t="inlineStr">
        <is>
          <t>Columbus, NC, US</t>
        </is>
      </c>
      <c r="H17" s="2" t="n">
        <v>46037</v>
      </c>
      <c r="I17" t="inlineStr">
        <is>
          <t>Polk County Government, county\-seat Columbus, North Carolina is presently accepting applications for a full\-time Social Services Senior Program Manager to work in it’s Health and Human Services Agency.
Polk County Government offers a $1,000\.00 sign\-on bonus for all full\-time and part\-time regular new hires.
**Ready to Apply?**
CHECK OUT THE FULL JOB DESCRIPTION AND INSTRUCTIONS ON HOW TO APPLY – UNDER JOB OPENINGS – www.polknc.org
And / Or,
UNDER JOB OPENINGS – https://www.governmentjobs.com/careers/polknc/
Resumes welcome in addition to application.
**General Statement of Duties**
Plans, and organizes the operations of Polk County’s Health \&amp; Human Services Agency Division of Public Health Services in accordance with the policies and procedures adopted by the Health \&amp; Human Services Agency Board and associated committees.
**Distinguishing Features of the Position**
The Program Manager reports to the Agency Director and collaborates with the Agency Managers and other staff, as well as the local community and state partners to create stronger families, safer communities, and a better future for those they serve. The program manager is responsible for a range of general administrative and management functions to ensure compliance and adherence to all relevant Federal and State laws, regulations and statutes. The position is also responsible for the implementation of Division level programs, policies and procedures. The position assists with representing the Division and Agency in community planning, working with the media, and directing community relations of the agency per the direction of the Agency Director. The Program Manager provides leadership to the Division and the services in the Agency Director through delegation of authority.
**Minimum Requirements and Experience**
* Bachelor’s degree in Human Services, Social Work or related field required, Master’s preferred.
* Eight to ten year’s experience in social work or human services supervisory or management level employment, to include client services, employee supervision, county/state social services administration and budgeting experience; depending on education level.
* Or an equivalent combination of training and experience.
* Valid driver’s license.
* Successful pre\-employment drug screen.
* Successful criminal Background check.
Preference will be given to individuals possessing the following skills: outstanding management skills, demonstrated leadership ability and strong oral and written communication skills. Selected candidate must be able to articulate a vision for Social Services, build collaborative community relationships, address needs with innovation, and demonstrate a strong commitment to client service. Candidate must have the ability to promote and enhance achievement of measurable objectives. State/County Social Service leadership experience is preferred.
**Physical Requirements** 
The ability to perform all duties associated with the position including, but not limited to lifting, prolonged standing, driving, sitting, bending, stooping, and operating or performing work with associated tools and machines.
***Polk County Government is an Equal Employment Opportunity employer.***   
Polk County recognizes that its continued success in meeting the needs of its citizens requires the full and active participation of talented and committed individuals, regardless of their sex, age, race, color, religion, national origin, disability, marital status, pregnancy, veteran status, political affiliation, sexual orientation or gender expression. It is the policy of the County to foster, maintain and promote equal employment opportunity by the use of a consistent recruitment program, and to identify and attract the most qualified applicants for employment with the County. This policy is to be achieved by announcing positions and vacancies, by evaluating all applicants using the same criteria, and by applying testing methods through the local job service office, or other agencies providing job information to the public.
Job Type: Full\-time
Pay: $73,471\.00 \- $85,204\.00 per year
Benefits:
* 401(k)
* Dental insurance
* Employee assistance program
* Flexible spending account
* Health insurance
* Life insurance
* Loan forgiveness
* Paid time off
* Referral program
* Retirement plan
* Vision insurance
Work Location: In person</t>
        </is>
      </c>
    </row>
    <row r="18">
      <c r="A18" t="inlineStr">
        <is>
          <t>in-0aeb2bd034285f82</t>
        </is>
      </c>
      <c r="B18" t="inlineStr">
        <is>
          <t>Hazardous Waste Program Manager</t>
        </is>
      </c>
      <c r="C18" t="inlineStr">
        <is>
          <t>Approved Storage &amp; Waste Hauling</t>
        </is>
      </c>
      <c r="D18" t="inlineStr">
        <is>
          <t>indeed</t>
        </is>
      </c>
      <c r="E18">
        <f>HYPERLINK("https://www.indeed.com/viewjob?jk=0aeb2bd034285f82", "https://www.indeed.com/viewjob?jk=0aeb2bd034285f82")</f>
        <v/>
      </c>
      <c r="F18">
        <f>HYPERLINK("http://www.indeed.com/job/hazardous-waste-program-manager-0aeb2bd034285f82", "http://www.indeed.com/job/hazardous-waste-program-manager-0aeb2bd034285f82")</f>
        <v/>
      </c>
      <c r="G18" t="inlineStr">
        <is>
          <t>Bridgeport, CT, US</t>
        </is>
      </c>
      <c r="H18" s="2" t="n">
        <v>46037</v>
      </c>
      <c r="I18" t="inlineStr">
        <is>
          <t>Approved is looking for a Hazardous Waste Program Manager to join our team.
**Location:** Bridgeport, CT or Mt Vernon, NY  
**Employment Type:** Full\-Time
**About the Role**
We are looking for a hands\-on and highly motivated **Hazardous Waste Program Manager** to build, lead, and manage our hazardous waste department. This is a unique opportunity for an experienced EHS professional who thrives in a role that blends **strategic leadership with active, day\-to\-day operational involvement**.
You will develop the program’s framework, implement compliant processes, and directly support daily hazardous waste handling activities. This is **not** a purely administrative or oversight position—your expertise will be applied in the field as well as in program design.
**Key Responsibilities**
**Program Development \&amp; Leadership**
* Build the organization’s hazardous waste program, including policies, workflows, documentation, and training materials.
* Establish short\- and long\-term program goals, KPIs, and compliance strategies.
* Manage and grow the hazardous waste team, ensuring alignment with regulatory and organizational standards.
**Day\-to\-Day Operational Involvement**
* Actively participate in daily hazardous waste handling, storage, labeling, and disposal activities.
* Conduct routine inspections of waste accumulation areas and ensure proper segregation and container management.
* Lead problem\-solving efforts for operational challenges—working alongside staff, not just supervising.
**Regulatory Compliance**
* Ensure full compliance with all applicable regulations (e.g., RCRA, DOT, EPA, state and local requirements).
* Maintain and update required documentation, manifests, and reports.
* Serve as the primary point of contact during audits, inspections, or regulatory interactions.
**Training \&amp; Continuous Improvement**
* Train employees on hazardous waste procedures, emergency response, and regulatory requirements.
* Identify opportunities to reduce waste generation, improve sustainability, and optimize processes.
* Lead incident investigations and implement corrective actions.
**Additional Responsibilities**
* **Travel regularly to the hospitals and healthcare facilities we service throughout the Northeast** to conduct inspections, support daily operations, collaborate with onsite staff, and ensure regulatory compliance across all locations.
**Qualifications**
**Required**
* Bachelor’s degree in Environmental Science, Safety, Industrial Hygiene, or related field (or equivalent experience).
* 5\+ years of experience in hazardous waste management, EHS, or related operations.
* Strong knowledge of RCRA regulations and hazardous waste accumulation requirements.
* Demonstrated experience in both **program management** and **hands\-on operational work**.
* Excellent communication, leadership, and organizational skills.
**Preferred**
* Hazardous waste or HAZWOPER certification (e.g., 40\-hour HAZWOPER).
* Experience building or significantly improving a hazardous waste program.
* Supervisory or team leadership experience.
**What We’re Looking For**
We want someone who:
* Is excited to build something new from the ground up.
* Enjoys rolling up their sleeves and getting directly involved in operations.
* Leads by example and sets high standards for safety and compliance.
* Has strong problem\-solving skills and a continuous improvement mindset.
* Communicates clearly across both technical and non\-technical teams.
**Why Join Us?**
* Opportunity to create a high\-impact program with full leadership support.
* Work in an environment that values safety, innovation, and professional growth.
* Competitive compensation and benefits package.
**About Approved**
Approved (Approved Storage \&amp; Waste Hauling, Inc.) is an industry\-leading regulated waste management company serving healthcare facilities throughout the Northeast. Since 1996, Approved has provided professional, reliable, and environmentally sustainable medical waste management services, offering a comprehensive platform that includes medical waste disposal, reusable sharps programs, chemical and hazardous waste services, pharmaceutical waste, laboratory waste, and compliance training.
Approved is unique in the region because it owns and operates the only licensed medical waste transfer station in Westchester County, ensuring complete cradle‑to‑grave accountability. The company does not outsource transportation or handling—every driver and every step of the handling process is performed by Approved employees. This guarantees superior safety, transparency, and control over all waste streams.
The company is widely recognized for its **hands\-on customer service**, straightforward pricing without hidden fees, and its environmentally responsible approach, including a zero‑landfill policy that diverts over 72 million pounds of medical waste from landfills every year.
With its expanding footprint, client‑focused service model, and vertically integrated operations, **Approved is the fastest growing medical waste company in the Northeast**, trusted by healthcare professionals for dependable service, regulatory expertise, and sustainable waste management solutions.
Job Type: Full\-time
Pay: From $80,000\.00 per year
Benefits:
* 401(k)
* 401(k) matching
* Dental insurance
* Health insurance
* Paid time off
* Vision insurance
Work Location: In person</t>
        </is>
      </c>
    </row>
    <row r="19">
      <c r="A19" t="inlineStr">
        <is>
          <t>in-17f2e2c118daba40</t>
        </is>
      </c>
      <c r="B19" t="inlineStr">
        <is>
          <t>Legal Senior Product Manager - I</t>
        </is>
      </c>
      <c r="C19" t="inlineStr">
        <is>
          <t>RELX Group</t>
        </is>
      </c>
      <c r="D19" t="inlineStr">
        <is>
          <t>indeed</t>
        </is>
      </c>
      <c r="E19">
        <f>HYPERLINK("https://www.indeed.com/viewjob?jk=17f2e2c118daba40", "https://www.indeed.com/viewjob?jk=17f2e2c118daba40")</f>
        <v/>
      </c>
      <c r="F19">
        <f>HYPERLINK("https://relx.wd3.myworkdayjobs.com/en-US/relx/job/USA---Raleigh-NC-RDU/Legal-Senior-Product-Manager---I_R107245-1", "https://relx.wd3.myworkdayjobs.com/en-US/relx/job/USA---Raleigh-NC-RDU/Legal-Senior-Product-Manager---I_R107245-1")</f>
        <v/>
      </c>
      <c r="G19" t="inlineStr">
        <is>
          <t>Raleigh, NC, US</t>
        </is>
      </c>
      <c r="H19" s="2" t="n">
        <v>46036</v>
      </c>
      <c r="I19" t="inlineStr">
        <is>
          <t>Do you have Litigation Product Management Experience?
Are you keen to develop your Product Management career?
About our Team  
LexisNexis Legal \&amp; Professional, which serves customers in more than 150 countries with 11,800 employees worldwide, is part of RELX, a global provider of information\-based analytics and decision tools for professional and business customers. Our company has been a long\-time leader in deploying AI and advanced technologies to the legal market to improve productivity and transform the overall business and practice of law, deploying ethical and powerful generative AI solutions with a flexible, multi\-model approach that prioritizes using the best model from today’s top model creators for each individual legal use case.
About the Role
The Senior Product Manager I will own a product or one or more product features within a complex product. This opportunity specifically will be working with our Lexis Create\+ Litigation portfolio. He/she will be responsible for developing a commercially successful product strategy and lead project execution with minimal guidance that is based on qualitative and quantitative customer understanding. He/she will develop strong technology relationships looking for ways to address customer needs and will be seen as a critical stakeholder for feedback on new feature ideas. He/she will informally coach more junior PMs and interview and recruit new PM candidates.  
Responsibilities:* Gather, evaluate, and deeply understand customer use cases to inform product decisions.
* Develop and execute a product vision and strategy, ensuring alignment with customer needs and business objectives.
* Define, prioritize, and manage the product roadmap, balancing long\-term innovation with near\-term delivery.
* Partner with engineering, UX, and data science teams to drive product development, ensuring an intuitive and effective user experience.
* Work closely with legal professionals, law firms, and corporate legal departments to validate product enhancements.
* Lead go\-to\-market strategies, collaborating with sales and marketing teams to drive product adoption and revenue growth.
* Monitor key product metrics, conduct A/B testing, and iterate based on feedback and data\-driven insights.
* Develop clear go\-to\-market launch plans through coordinated development with external, customer\-facing teams.
* Drive key end\-to\-end lifecycle components, from planning to release.
* Stay informed on industry trends, competitive landscape, and legal technology advancements to ensure LexisNexis remains at the forefront of innovation.
Requirements:* 5\+ years of product management experience, preferably in legal technology, software, or a related field.
* Legal domain expertise is required, with a strong preference for litigation experience.
* Demonstrated success in leading SaaS or enterprise software product development.
* Proven ability to translate customer needs into product requirements and drive execution with agile methodologies.
* Experience collaborating with cross\-functional teams and influencing stakeholders at all levels.
* Strong analytical and problem\-solving skills with a data\-driven approach to decision\-making.
* Excellent communication skills, with the ability to articulate complex ideas to technical and non\-technical audiences.
* Passion for legal technology and innovation, with a keen interest in enhancing legal professionals’ productivity.
* Experience leveraging and identifying metrics and data to track progress on customer needs and project budgets.
* Enthusiastic, self\-starter mindset with a willingness to experiment with new products, processes, and frameworks.
Work in a way that works for you
We promote a healthy work/life balance across the organization. We offer an appealing working prospect for our people. With numerous wellbeing initiatives, shared parental leave, study assistance and sabbaticals, we will help you meet your immediate responsibilities and your long\-term goals.
About the Business
LexisNexis Legal \&amp; Professional® provides legal, regulatory, and business information and analytics that help customers increase their productivity, improve decision\-making, achieve better outcomes, and advance the rule of law around the world. As a digital pioneer, the company was the first to bring legal and business information online with its Lexis® and Nexis® services.  
U.S. National Base Pay Range: $104,900 \- $174,700\. Geographic differentials may apply in some locations to better reflect local market rates.
If performed in Colorado, the base pay range is $104,900 \- $174,700\.If performed in Illinois, the base pay range is $110,100 \- $183,500\.If performed in Chicago, IL, the base pay range is $115,400 \- $192,200\.If performed in Maryland, the base pay range is $110,100 \- $183,500\.If performed in New York, the base pay range is $115,400 \- $192,200\.If performed in New York City, the base pay range is $120,600 \- $200,900\.If performed in Rochester, NY, the base pay range is $99,700 \- $166,000\.If performed in New Jersey, the base pay range is $118,349 \- $189,051\.If performed in Ohio, the base pay range is $99,700 \- $166,000\.
This job is eligible for an annual incentive bonus.
Application deadline is 01/30/2026\.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20">
      <c r="A20" t="inlineStr">
        <is>
          <t>in-8f748edea1bbb1cf</t>
        </is>
      </c>
      <c r="B20" t="inlineStr">
        <is>
          <t>Legal Senior Product Manager - I</t>
        </is>
      </c>
      <c r="C20" t="inlineStr">
        <is>
          <t>LexisNexis Legal &amp; Professional</t>
        </is>
      </c>
      <c r="D20" t="inlineStr">
        <is>
          <t>indeed</t>
        </is>
      </c>
      <c r="E20">
        <f>HYPERLINK("https://www.indeed.com/viewjob?jk=8f748edea1bbb1cf", "https://www.indeed.com/viewjob?jk=8f748edea1bbb1cf")</f>
        <v/>
      </c>
      <c r="F20">
        <f>HYPERLINK("https://relx.wd3.myworkdayjobs.com/en-US/LexisNexisLegal/job/USA---Raleigh-NC-RDU/Legal-Senior-Product-Manager---I_R107245", "https://relx.wd3.myworkdayjobs.com/en-US/LexisNexisLegal/job/USA---Raleigh-NC-RDU/Legal-Senior-Product-Manager---I_R107245")</f>
        <v/>
      </c>
      <c r="G20" t="inlineStr">
        <is>
          <t>Raleigh, NC, US</t>
        </is>
      </c>
      <c r="H20" s="2" t="n">
        <v>46036</v>
      </c>
      <c r="I20" t="inlineStr">
        <is>
          <t>Do you have Litigation Product Management Experience?
Are you keen to develop your Product Management career?
About our Team  
LexisNexis Legal \&amp; Professional, which serves customers in more than 150 countries with 11,800 employees worldwide, is part of RELX, a global provider of information\-based analytics and decision tools for professional and business customers. Our company has been a long\-time leader in deploying AI and advanced technologies to the legal market to improve productivity and transform the overall business and practice of law, deploying ethical and powerful generative AI solutions with a flexible, multi\-model approach that prioritizes using the best model from today’s top model creators for each individual legal use case.
About the Role
The Senior Product Manager I will own a product or one or more product features within a complex product. This opportunity specifically will be working with our Lexis Create\+ Litigation portfolio. He/she will be responsible for developing a commercially successful product strategy and lead project execution with minimal guidance that is based on qualitative and quantitative customer understanding. He/she will develop strong technology relationships looking for ways to address customer needs and will be seen as a critical stakeholder for feedback on new feature ideas. He/she will informally coach more junior PMs and interview and recruit new PM candidates.  
Responsibilities:* Gather, evaluate, and deeply understand customer use cases to inform product decisions.
* Develop and execute a product vision and strategy, ensuring alignment with customer needs and business objectives.
* Define, prioritize, and manage the product roadmap, balancing long\-term innovation with near\-term delivery.
* Partner with engineering, UX, and data science teams to drive product development, ensuring an intuitive and effective user experience.
* Work closely with legal professionals, law firms, and corporate legal departments to validate product enhancements.
* Lead go\-to\-market strategies, collaborating with sales and marketing teams to drive product adoption and revenue growth.
* Monitor key product metrics, conduct A/B testing, and iterate based on feedback and data\-driven insights.
* Develop clear go\-to\-market launch plans through coordinated development with external, customer\-facing teams.
* Drive key end\-to\-end lifecycle components, from planning to release.
* Stay informed on industry trends, competitive landscape, and legal technology advancements to ensure LexisNexis remains at the forefront of innovation.
Requirements:* 5\+ years of product management experience, preferably in legal technology, software, or a related field.
* Legal domain expertise is required, with a strong preference for litigation experience.
* Demonstrated success in leading SaaS or enterprise software product development.
* Proven ability to translate customer needs into product requirements and drive execution with agile methodologies.
* Experience collaborating with cross\-functional teams and influencing stakeholders at all levels.
* Strong analytical and problem\-solving skills with a data\-driven approach to decision\-making.
* Excellent communication skills, with the ability to articulate complex ideas to technical and non\-technical audiences.
* Passion for legal technology and innovation, with a keen interest in enhancing legal professionals’ productivity.
* Experience leveraging and identifying metrics and data to track progress on customer needs and project budgets.
* Enthusiastic, self\-starter mindset with a willingness to experiment with new products, processes, and frameworks.
Work in a way that works for you
We promote a healthy work/life balance across the organization. We offer an appealing working prospect for our people. With numerous wellbeing initiatives, shared parental leave, study assistance and sabbaticals, we will help you meet your immediate responsibilities and your long\-term goals.
About the Business
LexisNexis Legal \&amp; Professional® provides legal, regulatory, and business information and analytics that help customers increase their productivity, improve decision\-making, achieve better outcomes, and advance the rule of law around the world. As a digital pioneer, the company was the first to bring legal and business information online with its Lexis® and Nexis® services.  
U.S. National Base Pay Range: $104,900 \- $174,700\. Geographic differentials may apply in some locations to better reflect local market rates.
If performed in Colorado, the base pay range is $104,900 \- $174,700\.If performed in Illinois, the base pay range is $110,100 \- $183,500\.If performed in Chicago, IL, the base pay range is $115,400 \- $192,200\.If performed in Maryland, the base pay range is $110,100 \- $183,500\.If performed in New York, the base pay range is $115,400 \- $192,200\.If performed in New York City, the base pay range is $120,600 \- $200,900\.If performed in Rochester, NY, the base pay range is $99,700 \- $166,000\.If performed in New Jersey, the base pay range is $118,349 \- $189,051\.If performed in Ohio, the base pay range is $99,700 \- $166,000\.
This job is eligible for an annual incentive bonus.
Application deadline is 01/30/2026\.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21">
      <c r="A21" t="inlineStr">
        <is>
          <t>in-6c3dd73a6f334832</t>
        </is>
      </c>
      <c r="B21" t="inlineStr">
        <is>
          <t>Senior Program Manager - Controls and Automation Engineer</t>
        </is>
      </c>
      <c r="C21" t="inlineStr">
        <is>
          <t>BGIS</t>
        </is>
      </c>
      <c r="D21" t="inlineStr">
        <is>
          <t>indeed</t>
        </is>
      </c>
      <c r="E21">
        <f>HYPERLINK("https://www.indeed.com/viewjob?jk=6c3dd73a6f334832", "https://www.indeed.com/viewjob?jk=6c3dd73a6f334832")</f>
        <v/>
      </c>
      <c r="F21">
        <f>HYPERLINK("https://fa-evcg-saasfaprod1.fa.ocs.oraclecloud.com/hcmUI/CandidateExperience/fr-CA/sites/CX_1/requisitions/preview/228432", "https://fa-evcg-saasfaprod1.fa.ocs.oraclecloud.com/hcmUI/CandidateExperience/fr-CA/sites/CX_1/requisitions/preview/228432")</f>
        <v/>
      </c>
      <c r="G21" t="inlineStr">
        <is>
          <t>South Jordan, UT, US</t>
        </is>
      </c>
      <c r="H21" s="2" t="n">
        <v>46036</v>
      </c>
      <c r="I21" t="inlineStr">
        <is>
          <t>**BGIS is currently seeking a Senior Program Manager – Controls and Automation Engineer to join the team in South Jordan, UT.**
BGIS is a leading provider of integrated real estate management services, including facilities management, project management, energy \&amp; sustainability services, strategic workplace consulting, real estate services and capital planning. Its range of solutions, supported by efficient systems, processes, and people, enables it to create and optimize places that work for its clients. The team is dedicated to inspiring better business performance and helping clients focus on their core businesses.
**Purpose Statement:** Optimize performance and sustainability of data center operations through design, development, and maintenance of tailored control systems for power distribution, cooling, and mechanical infrastructure.
**RESPONSIBILITIES**
**Controls System Design \&amp; Optimization**
* Design, develop, and maintain control systems for data center power distribution, cooling, and mechanical systems.
* Monitor system performance, analyze data, and adjust controls to improve efficiency and effectiveness.
* Support integration and maintenance of Building Management Systems (BMS) and Electrical Power Management Systems (EPMS).
**Project Leadership \&amp; Collaboration**
* Collaborate with Controls and Monitoring team and stakeholders to deliver integrated solutions aligned with client operational goals.
* Lead large\-scale control system projects from conception through implementation and commissioning.
* Provide ongoing support, troubleshooting, and optimization of existing systems to ensure reliability and performance.
**Documentation \&amp; Standards**
* Prepare technical documentation and standard operating procedures for system operations and maintenance.
* Contribute to energy efficiency projects and sustainable practices in data center operations.
* Contribute to completion of other key initiatives as assigned.
**Required Education, Knowledge, and Abilities**
* Bachelor’s Degree in Electrical Engineering, Mechanical Engineering, or related technical field required.
* Minimum 5 years of experience in controls engineering with focus on data center or similar critical environments.
* Expertise in programming, configuring, and managing PLCs, SCADA, and HMIs within BMS and EPMS systems.
* Proficient understanding of data center infrastructure systems (electrical and mechanical).
* Familiarity with EtherNET/IP, Modbus, and BACnet protocols.
* Strong data analysis, problem\-solving, and system optimization skills.
* Ability to interpret complex technical drawings and schematics.
* Demonstrated experience managing full\-lifecycle control system projects.
* Preferred: Experience with Rockwell FactoryTalk and Studio 5000 or similar platforms.
* Preferred: Experience with energy efficiency and sustainability projects in data centers.
* Excellent communication skills to convey complex technical details to non\-technical stakeholders.
* Ability to travel 5–10% of the time; valid driver’s license required.
* Participation in on\-call rotation (team schedule).
* Working knowledge of Microsoft Office Suite \- Word, Excel, Outlook.
Visit us online at https://www.bgis.com/us/careers/ for more information.
*Our company culture includes a robust mix of sound business practices and employee initiatives that promote personal and professional development, work/life balance, health and wellness and community involvement.*
*The Company is an equal opportunity employer. We believe every employee has the right to work in surroundings that are free from all forms of unlawful discrimination. We are committed to providing equal employment opportunity to all employees and applicants without regard to race, color, religion, gender, national origin, age, disability, ancestry, creed, marital status, sexual orientation, or Veteran or military status, genetic information or any other basis prohibited by local, state or federal law in the relevant jurisdiction. This policy applies to all terms and conditions of employment including, but not limited to employment, advancement, assignment, and training.*
*BGIS is committed to strengthening our diversity through recruiting and retaining minority and women professionals from all backgrounds. Our commitment is consistent with our recognition that it is the outstanding people within BGIS who the source of our strength have always been. We recognize that promoting diversity is an integral component of our continuing quest for organizational excellence.*
*This commitment to Equal Employment Opportunity is made equally as a social responsibility and as an economic and business necessity.*
*Anyone with questions or concerns regarding Equal Employment Opportunity should contact their direct supervisor or the Human Resources Department without fear of retaliation of any kind.*
\#LI\-JV1</t>
        </is>
      </c>
    </row>
    <row r="22">
      <c r="A22" t="inlineStr">
        <is>
          <t>in-7543ea41cd6d0fd7</t>
        </is>
      </c>
      <c r="B22" t="inlineStr">
        <is>
          <t>Wildlife Program Manager</t>
        </is>
      </c>
      <c r="C22" t="inlineStr">
        <is>
          <t>State of Vermont</t>
        </is>
      </c>
      <c r="D22" t="inlineStr">
        <is>
          <t>indeed</t>
        </is>
      </c>
      <c r="E22">
        <f>HYPERLINK("https://www.indeed.com/viewjob?jk=7543ea41cd6d0fd7", "https://www.indeed.com/viewjob?jk=7543ea41cd6d0fd7")</f>
        <v/>
      </c>
      <c r="F22">
        <f>HYPERLINK("https://careers.vermont.gov/job/Montpelier-Wildlife-Program-Manager-VT-05601/1356695300/", "https://careers.vermont.gov/job/Montpelier-Wildlife-Program-Manager-VT-05601/1356695300/")</f>
        <v/>
      </c>
      <c r="G22" t="inlineStr">
        <is>
          <t>Montpelier, VT, US</t>
        </is>
      </c>
      <c r="H22" s="2" t="n">
        <v>46036</v>
      </c>
      <c r="I22" t="inlineStr">
        <is>
          <t>**Overview**
Oversee program administrative needs including:
* Supervision of staff including developing performance evaluations and work plans
* Establish program priorities through strategic and operational planning
* Develop and oversee budgets associated with grants
* Develop, review, and oversee administration of state and federal grants that support the work of the program
* Oversee and review development of long range management plans for state land
* Coordinate and lead an inter\-department state lands team
* Participate on the wildlife division administration team with other program managers and division director
* Review and provide input into state and federal statutes, rules, and policies that affect public land
* Develop and review reports describing results of program accomplishments
* Prepare and deliver presentations on program accomplishments, issues, challenges, and needs to a wide range of audiences including legislative committees, department and agency leadership, fish and wildlife board, and the public
This position is expected to work independently and at a high level of competence in collaboration with the Division Director and other program managers. The position requires a deep knowledge of public land management policy and management with experience performing the applied, on\-the\-ground work. This position coordinates and collaborates with a wide range of partner organizations including U.S. Fish and Wildlife Service, U.S. Forest Service, U.S. Environmental Protection Agency, U.S. Natural Resources Conservation Service, other state agencies, and numerous non\-government organizations such as The Nature Conservancy, Vermont Land Trust, Ducks Unlimited, National Wild Turkey Federation, Audubon, among others. In particular, this position is expected to work directly with program managers from the Vermont Department of Forests, Parks and Recreation on all matters pertaining to state land management, administration and policy. Provide a high level of expertise to guide and direct staff responsible for implementing management activities on Wildlife Management Areas and other public land.**Who May Apply**
This position, **Wildlife Program Manager (Job Requisition \#54158\),** is open to all State employees and external applicants.  
If you would like more information about this position, please contact John Austin at john.austin@vermont.gov.
Please note that multiple positions in the same work location may be filled from this job posting.  
Resumes will not be accepted via e\-mail. You must apply online to be considered.**Environmental Factors**
Duties are performed primarily in a standard office setting. Occasional field work and attendance at public meetings require that private means of transportation be available. Some work outside of normal office hours may be required. Interaction may be anticipated with individuals and groups expressing strong dissent from and hostility to Department programs and policies.
**Minimum Qualifications**
Master's degree or higher in a scientific or natural resources field AND three (3\) years of experience in a fish or wildlife management program, INCLUDING one (1\) year or more of administrative or supervisory responsibilities.
OR
Bachelor's degree in a scientific or natural resources field AND five (5\) years of experience in a fish or wildlife management program, INCLUDING one (1\) year or more of administrative or supervisory responsibilities.
**Total Compensation**
As a State employee you are offered a great career opportunity, but it's more than a paycheck. The State's total compensation package features an outstanding set of employee benefits that are worth about 30% of your total compensation, including:
* 80% State paid medical premium and a dental plan at no cost for employees and their families
* Work/Life balance: 11 paid holidays each year and a generous leave plan
* State Paid Family and Medical Leave Insurance (FMLI)
* Two ways to save for your retirement: A State defined benefit pension plan and a deferred compensation 457(b) plan
* Tuition Reimbursement
* Flexible spending healthcare and childcare reimbursement accounts
* Low cost group life insurance
* Incentive\-based Wellness Program
* Qualified Employer for Public Service Student Loan Forgiveness Program
Want the specifics? Explore the Benefits of State Employment on our website.**Equal Opportunity Employer**
The State of Vermont celebrates diversity, and is committed to providing an environment of mutual respect and meaningful inclusion that represents a variety of backgrounds, perspectives, and skills. The State does not discriminate in employment on the basis of race, color, religion or belief, national, social or ethnic origin, sex (including pregnancy), age, physical, mental or sensory disability, HIV Status, sexual orientation, gender identity and/or expression, marital, civil union or domestic partnership status, past or present military service, membership in an employee organization, family medical history or genetic information, or family or parental status. The State’s employment decisions are merit\-based. Retaliatory adverse employment actions by the State are forbidden.</t>
        </is>
      </c>
    </row>
    <row r="23">
      <c r="A23" t="inlineStr">
        <is>
          <t>in-bb1175c8411c0d18</t>
        </is>
      </c>
      <c r="B23" t="inlineStr">
        <is>
          <t>Senior Product Manager (Remedy)</t>
        </is>
      </c>
      <c r="C23" t="inlineStr">
        <is>
          <t>Medline Industries</t>
        </is>
      </c>
      <c r="D23" t="inlineStr">
        <is>
          <t>indeed</t>
        </is>
      </c>
      <c r="E23">
        <f>HYPERLINK("https://www.indeed.com/viewjob?jk=bb1175c8411c0d18", "https://www.indeed.com/viewjob?jk=bb1175c8411c0d18")</f>
        <v/>
      </c>
      <c r="F23">
        <f>HYPERLINK("https://medline.wd5.myworkdayjobs.com/en-US/Medline/job/Chicago-Illinois/Senior-Product-Manager--Remedy-_R2600945", "https://medline.wd5.myworkdayjobs.com/en-US/Medline/job/Chicago-Illinois/Senior-Product-Manager--Remedy-_R2600945")</f>
        <v/>
      </c>
      <c r="G23" t="inlineStr">
        <is>
          <t>Chicago, IL, US</t>
        </is>
      </c>
      <c r="H23" s="2" t="n">
        <v>46036</v>
      </c>
      <c r="I23" t="inlineStr">
        <is>
          <t>**Job Summary**
Under minimal supervision, manage the full product lifecycle including the sourcing, marketing, new product development, sales support and financial growth of assigned products for a small (or stand\-alone business unit).
Work with and train sales forces to be able to confidently sell product to customers. May have one or more Manager level direct reports.
**Job Description**
**Responsibilities:**
* Negotiate pricing with vendors for raw materials and finished goods. Visit vendors to develop products and train personnel in all aspects of each product and usages. Coordinate materials with vendors and develop finished custom items.
* Provide coaching and training to product management team. Service as a resource and provide project oversight.
* Develop and implement comprehensive marketing plans and promotional programs for existing products to include product strategy development, pricing strategy, collateral creation and brand management
* Review monthly financial performance and determine contributing factors. Offer solutions for detrimental sales or cost trends. Prepare product forecasts to include revenue and expense expectations. Analyze sales trends over time and impact of competitive strategies. Support forecasts and budgets with appropriately detailed marketing plans.
* Work with Manufacturing, Purchasing, and Engineering to reduce Cost of Goods by assessing packaging, alternate materials, new sources of material, stocking, make to order, direct to customer shipments, etc. Manage inventory by focusing on eliminating surplus and optimizing SKU count.
* Develop and deliver training materials for internal stakeholders, sales forces and customers. Create sales tools.
* Conduct effective market research and translate that research into new products, product improvements, or line extensions by providing leadership to a multi\-functional team.
* Travel with sales force to support efforts to convert customers to purchase Medline products. Provide timely follow up to sales forces by answering product questions via e\-mail and phone.
* Develop and mentor staff through on\-boarding, open communication, training and development opportunities and performance management processes; build and maintain employee morale and motivation; ensure the team is appropriately staffed with required competencies.
**Required Experience:**
**Education**
* Bachelor’s degree.
**MINIMUM JOB REQUIREMENTS:**
* At least 4 years experience in marketing, sales, product management or clinical practice in the healthcare industry.
* Experience negotiating with outside vendors and internal resources.
* Experience collecting and analyzing financial data.
**Knowledge / Skills / Abilities**
* Willing to travel up to 50% of the time for business purposes (within state and out of state).
* Intermediate level skill in Microsoft Word (for example: inserting headers, page breaks, page numbers and tables and/or adjusting table columns).
* Intermediate level skill in Microsoft PowerPoint (for example: applying a theme, formatting character spacing, inserting a picture, changing slide layout and theme colors, adding transitions, customizing slide numbers, changing chart style and/or formatting font).
* Intermediate level skill in Microsoft Excel (for example: using SUM function, setting borders, setting column width, inserting charts, using text wrap, sorting, setting headers and footers and/or print scaling).
Medline Industries, LP, and its subsidiaries, offer a competitive total rewards package, continuing education \&amp; training, and tremendous potential with a growing worldwide organization.
The anticipated salary range for this position:
$92,000\.00 \- $138,000\.00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24">
      <c r="A24" t="inlineStr">
        <is>
          <t>in-9283ee620952a1a7</t>
        </is>
      </c>
      <c r="B24" t="inlineStr">
        <is>
          <t>Product Manager - Personal Care</t>
        </is>
      </c>
      <c r="C24" t="inlineStr">
        <is>
          <t>Medline Industries</t>
        </is>
      </c>
      <c r="D24" t="inlineStr">
        <is>
          <t>indeed</t>
        </is>
      </c>
      <c r="E24">
        <f>HYPERLINK("https://www.indeed.com/viewjob?jk=9283ee620952a1a7", "https://www.indeed.com/viewjob?jk=9283ee620952a1a7")</f>
        <v/>
      </c>
      <c r="F24">
        <f>HYPERLINK("https://medline.wd5.myworkdayjobs.com/en-US/Medline/job/Northfield-Illinois/Product-Manager---Personal-Care_R2600775", "https://medline.wd5.myworkdayjobs.com/en-US/Medline/job/Northfield-Illinois/Product-Manager---Personal-Care_R2600775")</f>
        <v/>
      </c>
      <c r="G24" t="inlineStr">
        <is>
          <t>Northfield, IL, US</t>
        </is>
      </c>
      <c r="H24" s="2" t="n">
        <v>46036</v>
      </c>
      <c r="I24" t="inlineStr">
        <is>
          <t>**Job Summary**
Under general supervision, manage the full product lifecycle including the sourcing, marketing, new product development, sales support and financial growth of assigned products. Work with and train sales force to be able to confidently sell product to customers.
**Job Description**
**Responsibilities:**
* Identify and develop new products and manage each stage of the process through take to market.
* Develop and implement comprehensive marketing plans and promotional programs for existing products to include product strategy development, pricing strategy, collateral creation and brand management.
* Review monthly financial performance and determine contributing factors. Offer solutions for detrimental sales or cost trends. Prepare product forecasts to include revenue and expense expectations. Analyze sales trends over time and impact of competitive strategies. Support forecasts and budgets with appropriately detailed marketing plans.
* Work with Manufacturing, Purchasing and Engineering to reduce Cost of Goods by assessing packaging, alternate materials, new sources of material, stocking, make to order, direct to customer shipments, etc. Manage inventory by focusing on eliminating surplus and optimizing SKU count. May negotiate pricing with vendors for raw materials and finished goods. Visit vendors to develop products and train personnel all aspects of each product and usages. Coordinate materials with vendors and develop finished custom items.
* Analyze and bid on GPO and/or Integrated Delivery Network contracts for assigned product categories.
* Develop and deliver training materials for internal stakeholders, sales forces and customers. Create sales tools.
* Conduct market research and translate that research into new products, product improvements, or line extensions by providing leadership to a multi\-functional team.
* Travel with sales force to support efforts to convert customers to purchase Medline products. Provide timely follow up to sales forces by answering product questions via e\-mail and phone.
**Required Experience:**
**Education**
* Bachelor’s degree
**Work Experience**
* At least 2 years of marketing, sales, product management or clinical practice experience (preferably in the healthcare industry).
**Knowledge / Skills / Abilities**
* Experience negotiating with outside vendors and internal resources.
* Experience collecting and analyzing financial data.
* Willing to travel up to 50% of the time for business purposes (within state and out of state).
* Intermediate level skill in Microsoft Word (for example: inserting headers, page breaks, page numbers and tables and/or adjusting table columns).
* Intermediate level skill in Microsoft PowerPoint (for example: applying a theme, formatting character spacing, inserting a picture, changing slide layout and theme colors, adding transitions, customizing slide numbers, changing chart style and/or formatting font).
* Intermediate level skill in Microsoft Excel (for example: using SUM function, setting borders, setting column width, inserting charts, using text wrap, sorting, setting headers and footers and/or print scaling).
Medline Industries, LP, and its subsidiaries, offer a competitive total rewards package, continuing education \&amp; training, and tremendous potential with a growing worldwide organization.
The anticipated salary range for this position:
$79,000\.00 \- $119,000\.00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25">
      <c r="A25" t="inlineStr">
        <is>
          <t>in-9ff9d935fb355172</t>
        </is>
      </c>
      <c r="B25" t="inlineStr">
        <is>
          <t>Senior Program Manager - Controls and Automation Engineer</t>
        </is>
      </c>
      <c r="C25" t="inlineStr">
        <is>
          <t>BGIS</t>
        </is>
      </c>
      <c r="D25" t="inlineStr">
        <is>
          <t>indeed</t>
        </is>
      </c>
      <c r="E25">
        <f>HYPERLINK("https://www.indeed.com/viewjob?jk=9ff9d935fb355172", "https://www.indeed.com/viewjob?jk=9ff9d935fb355172")</f>
        <v/>
      </c>
      <c r="F25">
        <f>HYPERLINK("https://fa-evcg-saasfaprod1.fa.ocs.oraclecloud.com/hcmUI/CandidateExperience/en/sites/CX_1/requisitions/preview/228432", "https://fa-evcg-saasfaprod1.fa.ocs.oraclecloud.com/hcmUI/CandidateExperience/en/sites/CX_1/requisitions/preview/228432")</f>
        <v/>
      </c>
      <c r="G25" t="inlineStr">
        <is>
          <t>South Jordan, UT, US</t>
        </is>
      </c>
      <c r="H25" s="2" t="n">
        <v>46036</v>
      </c>
      <c r="I25" t="inlineStr">
        <is>
          <t>**BGIS is currently seeking a Senior Program Manager – Controls and Automation Engineer to join the team in South Jordan, UT.**
BGIS is a leading provider of integrated real estate management services, including facilities management, project management, energy \&amp; sustainability services, strategic workplace consulting, real estate services and capital planning. Its range of solutions, supported by efficient systems, processes, and people, enables it to create and optimize places that work for its clients. The team is dedicated to inspiring better business performance and helping clients focus on their core businesses.
**Purpose Statement:** Optimize performance and sustainability of data center operations through design, development, and maintenance of tailored control systems for power distribution, cooling, and mechanical infrastructure.
**RESPONSIBILITIES**
**Controls System Design \&amp; Optimization**
* Design, develop, and maintain control systems for data center power distribution, cooling, and mechanical systems.
* Monitor system performance, analyze data, and adjust controls to improve efficiency and effectiveness.
* Support integration and maintenance of Building Management Systems (BMS) and Electrical Power Management Systems (EPMS).
**Project Leadership \&amp; Collaboration**
* Collaborate with Controls and Monitoring team and stakeholders to deliver integrated solutions aligned with client operational goals.
* Lead large\-scale control system projects from conception through implementation and commissioning.
* Provide ongoing support, troubleshooting, and optimization of existing systems to ensure reliability and performance.
**Documentation \&amp; Standards**
* Prepare technical documentation and standard operating procedures for system operations and maintenance.
* Contribute to energy efficiency projects and sustainable practices in data center operations.
* Contribute to completion of other key initiatives as assigned.
**Required Education, Knowledge, and Abilities**
* Bachelor’s Degree in Electrical Engineering, Mechanical Engineering, or related technical field required.
* Minimum 5 years of experience in controls engineering with focus on data center or similar critical environments.
* Expertise in programming, configuring, and managing PLCs, SCADA, and HMIs within BMS and EPMS systems.
* Proficient understanding of data center infrastructure systems (electrical and mechanical).
* Familiarity with EtherNET/IP, Modbus, and BACnet protocols.
* Strong data analysis, problem\-solving, and system optimization skills.
* Ability to interpret complex technical drawings and schematics.
* Demonstrated experience managing full\-lifecycle control system projects.
* Preferred: Experience with Rockwell FactoryTalk and Studio 5000 or similar platforms.
* Preferred: Experience with energy efficiency and sustainability projects in data centers.
* Excellent communication skills to convey complex technical details to non\-technical stakeholders.
* Ability to travel 5–10% of the time; valid driver’s license required.
* Participation in on\-call rotation (team schedule).
* Working knowledge of Microsoft Office Suite \- Word, Excel, Outlook.
Visit us online at https://www.bgis.com/us/careers/ for more information.
*Our company culture includes a robust mix of sound business practices and employee initiatives that promote personal and professional development, work/life balance, health and wellness and community involvement.*
*The Company is an equal opportunity employer. We believe every employee has the right to work in surroundings that are free from all forms of unlawful discrimination. We are committed to providing equal employment opportunity to all employees and applicants without regard to race, color, religion, gender, national origin, age, disability, ancestry, creed, marital status, sexual orientation, or Veteran or military status, genetic information or any other basis prohibited by local, state or federal law in the relevant jurisdiction. This policy applies to all terms and conditions of employment including, but not limited to employment, advancement, assignment, and training.*
*BGIS is committed to strengthening our diversity through recruiting and retaining minority and women professionals from all backgrounds. Our commitment is consistent with our recognition that it is the outstanding people within BGIS who the source of our strength have always been. We recognize that promoting diversity is an integral component of our continuing quest for organizational excellence.*
*This commitment to Equal Employment Opportunity is made equally as a social responsibility and as an economic and business necessity.*
*Anyone with questions or concerns regarding Equal Employment Opportunity should contact their direct supervisor or the Human Resources Department without fear of retaliation of any kind.*
\#LI\-JV1</t>
        </is>
      </c>
    </row>
    <row r="26">
      <c r="A26" t="inlineStr">
        <is>
          <t>in-666cbcdd5aa31582</t>
        </is>
      </c>
      <c r="B26" t="inlineStr">
        <is>
          <t>Mental Health Program Manager</t>
        </is>
      </c>
      <c r="C26" t="inlineStr">
        <is>
          <t>community care service</t>
        </is>
      </c>
      <c r="D26" t="inlineStr">
        <is>
          <t>indeed</t>
        </is>
      </c>
      <c r="E26">
        <f>HYPERLINK("https://www.indeed.com/viewjob?jk=666cbcdd5aa31582", "https://www.indeed.com/viewjob?jk=666cbcdd5aa31582")</f>
        <v/>
      </c>
      <c r="F26">
        <f>HYPERLINK("https://gethired.com/job/mental-health-program-manager-4?rcid=inply", "https://gethired.com/job/mental-health-program-manager-4?rcid=inply")</f>
        <v/>
      </c>
      <c r="G26" t="inlineStr">
        <is>
          <t>Charlotte, NC, US</t>
        </is>
      </c>
      <c r="H26" s="2" t="n">
        <v>46036</v>
      </c>
      <c r="I26" t="inlineStr">
        <is>
          <t>Mental Health Agency now hiring Program Manager for the Charlotte area program.
You must be experienced with care coordination, system of care, and onboarding of new quality staff and development.
Respond if experienced with efficiency and leading a program.</t>
        </is>
      </c>
    </row>
    <row r="27">
      <c r="A27" t="inlineStr">
        <is>
          <t>in-4b48361cd3abbf26</t>
        </is>
      </c>
      <c r="B27" t="inlineStr">
        <is>
          <t>Lead Product Manager, Reputation Line of Business Expansion</t>
        </is>
      </c>
      <c r="C27" t="inlineStr">
        <is>
          <t>Gen</t>
        </is>
      </c>
      <c r="D27" t="inlineStr">
        <is>
          <t>indeed</t>
        </is>
      </c>
      <c r="E27">
        <f>HYPERLINK("https://www.indeed.com/viewjob?jk=4b48361cd3abbf26", "https://www.indeed.com/viewjob?jk=4b48361cd3abbf26")</f>
        <v/>
      </c>
      <c r="F27">
        <f>HYPERLINK("https://gen.wd1.myworkdayjobs.com/en-US/careers/job/USA---California-Mountain-View/Lead-Product-Manager--Reputation-Line-of-Business-Expansion_55108", "https://gen.wd1.myworkdayjobs.com/en-US/careers/job/USA---California-Mountain-View/Lead-Product-Manager--Reputation-Line-of-Business-Expansion_55108")</f>
        <v/>
      </c>
      <c r="G27" t="inlineStr">
        <is>
          <t>Mountain View, CA, US</t>
        </is>
      </c>
      <c r="H27" s="2" t="n">
        <v>46036</v>
      </c>
      <c r="I27" t="inlineStr">
        <is>
          <t>Lead Product Manager, Reputation Line of Business Expansion  
Location: Mountain View, CA  
Reporting to: VP of Identity and Reputation  
About Gen Digital  
Gen Digital Inc (NASDAQ: GEN) is a global, Fortune 500 company dedicated to powering Digital Freedom through a trusted family of consumer brands that help people live safely, privately, and confidently online. Gen’s portfolio includes Norton, Avast, LifeLock, Reputation Defender, MoneyLion, and trusted partners, delivering cybersecurity, identity protection, privacy, and digital trust solutions to hundreds of millions of users worldwide.
Gen is a recognized leader in online reputation management and identity protection. Through Reputation Defender, Gen has pioneered solutions that help consumers monitor, manage, and improve how they appear online. Through LifeLock, Gen has built industry\-leading capabilities in identity theft protection, recovery, and financial risk monitoring. As digital identity, financial standing, and online reputation become increasingly interconnected, Gen views reputation as a holistic concept that includes personal identity, financial health, and digital presence.
Gen is expanding its Reputation Line of Business both globally and across additional brands in the US, leveraging its combined strengths in reputation management and identity protection to deliver trusted, locally relevant experiences worldwide.  
Role Overview  
We are seeking a Lead Product Manager to drive expansion of Gen’s Reputation Line of Business, spanning international markets, additional brand integrations in the US, and external partners.
This role owns the platform strategy and capability roadmap for reputation\-related products that serve multiple brands, including Reputation Defender, Norton, Avast, LifeLock, MoneyLion, and select third\-party partners. The focus is on delivering a combination of globally available core capabilities and market\-specific localized experiences, rather than replicating a single product or US\-centric solution.
You will work closely with product managers responsible for individual brands, as well as engineering, design, legal, compliance, marketing, and partners, to integrate reputation, identity, and financial risk capabilities in ways that meet local customer needs, regulatory requirements, and trust expectations. This is a high\-impact, cross\-functional platform role that requires strong product leadership, global perspective, and the ability to influence across teams without direct authority.  
Key Responsibilities  
Reputation Line of Business Strategy  
* Define and own the platform strategy and roadmap for the Reputation Line of Business, aligned with Gen’s broader Identity and Reputation vision.
* Establish a clear approach for delivering globally consistent reputation and identity capabilities alongside localized, market\-specific features.
* Identify opportunities to integrate identity theft protection and financial risk signals into reputation experiences, recognizing reputation as a combination of digital presence, identity integrity, and financial standing.
Global and Market\-Specific Experience Development  
* Partner with regional and in\-market teams to understand local reputation risks, including identity theft patterns, financial fraud, and culturally specific trust signals.
* Design and deliver localized reputation management experiences that encompass digital reputation, identity protection, and financial reputation, such as credit standing and fraud exposure.
* Ensure localization extends beyond language to include workflows, features, data sources, and value propositions relevant to each market.
* Incorporate local identity systems, credit frameworks, and financial risk indicators into customer\-facing experiences where appropriate.
Platform and Capability Ownership  
* Own shared reputation capabilities such as monitoring, scoring, sentiment analysis, alerts, identity and financial risk signals, and remediation workflows.
* Define platform requirements, APIs, and integration patterns that enable brands and external partners to embed reputation and identity capabilities into their products.
* Ensure the platform supports scalability, configurability, and brand differentiation across regions and use cases.
Brand and Partner Collaboration  
* Work closely with product managers for Reputation Defender, Norton, Avast, and LifeLock to integrate reputation capabilities into brand\-specific experiences.
* Support integrations with MoneyLion and external partners where reputation, identity, and financial insights enhance customer value.
* Align stakeholders across brands, regions, and partners around shared priorities, delivery plans, and success metrics.
Execution and Delivery  
* Translate strategy into clear product requirements, milestones, and execution plans.
* Drive cross\-functional execution across engineering, design, legal, compliance, marketing, and operations.
* Manage dependencies, risks, and tradeoffs related to regulation, data access, financial systems, and customer trust.
Qualifications and Experience  
Required  
* 8 or more years of product management experience, including ownership of platform or capability\-based products.
* Demonstrated experience delivering products across multiple markets, regions, brands, or partners.
* Proven ability to build localized experiences rather than deploying one\-size\-fits\-all solutions.
* Strong cross\-functional leadership skills and ability to influence without direct authority.
* Experience collaborating with brand product teams and external partners.
Strongly Preferred  
* Experience in reputation management, identity protection, fraud prevention, fintech, trust and safety, or privacy\-related domains.
* Familiarity with global regulatory, identity, and financial data environments.
* Experience with platform services, APIs, and configurable product architectures.
* Background working in multi\-brand, platform\-led, or partner\-driven ecosystems.
What Success Looks Like  
* Reputation capabilities are successfully expanded internationally and across additional Gen brands and partners.
* Products demonstrate strong local relevance, regulatory alignment, and customer trust.
* Reputation, identity, and financial risk signals work together to deliver differentiated and meaningful customer value.
* Brand teams and partners can efficiently deliver reputation experiences using shared platform capabilities.
* Gen strengthens its position as a global leader in reputation management.
Salary Ranges:
$218,300\.00 \- $258,200\.00
The pay range depicts a base salary range for all positions except commission\-based roles. The pay range for commission\-based roles represents On Target Earnings (annual base salary \+ target annual commission). Additional compensation elements may be offered including an opportunity for bonus incentives and also competitive benefits package. Actual compensation offered will be determined by factors such as the external/internal market demand, location, level, job\-related knowledge, skills, and experience.
Gen is proud to be an equal\-opportunity employer, committed to diversity and inclusivity. We base employment decisions on merit, experience, and business needs, without considering race, color, national origin, age, religion, sex, pregnancy, genetic information, disability, medical condition, marital status, sexual orientation, gender identity or expression, military or veteran status, or other unlawful factors. Gen prohibits discrimination based on these protected characteristics and recruits talented candidates from diverse backgrounds.  
We consider individuals with arrest and conviction records and do not discriminate against employees for discussing their own pay or that of other employees or applicants. Learn more about pay transparency.  
To conform to U.S. export control regulations, applicant should be eligible for any required authorizations from the U.S. Government.</t>
        </is>
      </c>
    </row>
    <row r="28">
      <c r="A28" t="inlineStr">
        <is>
          <t>in-c8b737040fabc97f</t>
        </is>
      </c>
      <c r="B28" t="inlineStr">
        <is>
          <t>Part Time Program Manager - Mount Carmel After School Staff</t>
        </is>
      </c>
      <c r="C28" t="inlineStr">
        <is>
          <t>Right at School</t>
        </is>
      </c>
      <c r="D28" t="inlineStr">
        <is>
          <t>indeed</t>
        </is>
      </c>
      <c r="E28">
        <f>HYPERLINK("https://www.indeed.com/viewjob?jk=c8b737040fabc97f", "https://www.indeed.com/viewjob?jk=c8b737040fabc97f")</f>
        <v/>
      </c>
      <c r="F28">
        <f>HYPERLINK("https://rightatschool.sensehq.cloud/careers/jobs?jobId=5551&amp;utm_source=Indeed&amp;utm_medium=JOB_PORTAL", "https://rightatschool.sensehq.cloud/careers/jobs?jobId=5551&amp;utm_source=Indeed&amp;utm_medium=JOB_PORTAL")</f>
        <v/>
      </c>
      <c r="G28" t="inlineStr">
        <is>
          <t>Redwood City, CA, US</t>
        </is>
      </c>
      <c r="H28" s="2" t="n">
        <v>46036</v>
      </c>
      <c r="I28" t="inlineStr">
        <is>
          <t>### **Right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**Pay Rate**: $26 \- $29 USD per hour (based on education and experience)
Program Hours: Monday \- Friday 2pm \- 5:30pm
 **You’ll drive the mission by:**
* **Daily Program Meetings:** Each day, review goals and updates, share ideas,discuss professional progress, encourage collaboration, and team accountability.
* **Organize and Facilitate Daily Activities**: Prepare activities and curriculum for the day, ensuring they align with the program’s objectives. Organize and lead structured daily fitness, activities, and curriculum; that are both educational and enjoyable for all ages.
* **Leading by Example:** Maintain a safe and nurturing environment, ensuring children are enjoying themselves while also meeting program goals. You will achieve this by modeling positive guidance and effective classroom management.
* **Prioritize Safety and Joy:** Monitor the environment, address potential hazards, and follow all safety protocols. These may include documenting attendance, incidents, and other observations.
* **Communication:** Effective communication with a varied audience, including children, parents, staff, and school personnel.
**Ideal Candidates will have the following:**
* Outstanding customer service and relationship\-building skills
* Works well in a team environment
* At least 1 year of experience working with children under 13 years of age (preferred)
* Ability to lift 25lbs
* Drive to inspire a love for learning and commitment to healthy living
* Flexibility to support additional local programs as needed
**California State Requirements:**
* Ability to meet state\-specific requirements; LIVE Scan fingerprint, Mandated Reporter training, Health Certificate with Negative Tuberculosis Test (from a physician)
* 18\+ years of age
* Proof of High School diploma/GED required
* Authorized to work in the US
* CPR and First Aid Certification required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\#RASP1</t>
        </is>
      </c>
    </row>
    <row r="29">
      <c r="A29" t="inlineStr">
        <is>
          <t>in-b976e2f316123693</t>
        </is>
      </c>
      <c r="B29" t="inlineStr">
        <is>
          <t>Behavioral Health Program Manager (Clinical Therapist Supervisor) (AAC)</t>
        </is>
      </c>
      <c r="C29" t="inlineStr">
        <is>
          <t>State of Kansas</t>
        </is>
      </c>
      <c r="D29" t="inlineStr">
        <is>
          <t>indeed</t>
        </is>
      </c>
      <c r="E29">
        <f>HYPERLINK("https://www.indeed.com/viewjob?jk=b976e2f316123693", "https://www.indeed.com/viewjob?jk=b976e2f316123693")</f>
        <v/>
      </c>
      <c r="F29">
        <f>HYPERLINK("https://jobs.sok.ks.gov/psc/sokhrprdcg/APPLICANT/HRMS/c/HRS_HRAM_FL.HRS_CG_SEARCH_FL.GBL?Page=HRS_APP_JBPST_FL&amp;Action=U&amp;FOCUS=Applicant&amp;SiteId=1&amp;JobOpeningId=219347&amp;PostingSeq=1", "https://jobs.sok.ks.gov/psc/sokhrprdcg/APPLICANT/HRMS/c/HRS_HRAM_FL.HRS_CG_SEARCH_FL.GBL?Page=HRS_APP_JBPST_FL&amp;Action=U&amp;FOCUS=Applicant&amp;SiteId=1&amp;JobOpeningId=219347&amp;PostingSeq=1")</f>
        <v/>
      </c>
      <c r="G29" t="inlineStr">
        <is>
          <t>KS, US</t>
        </is>
      </c>
      <c r="H29" s="2" t="n">
        <v>46036</v>
      </c>
      <c r="I29" t="inlineStr">
        <is>
          <t>**Important Recruitment Information for this vacancy**
======================================================
**Job Posting closes:** **Posted until filled**
-----------------------------------------------
**Agency Information:** **Osawatomie State Hospital**
=====================================================
**About the Position**
======================
**Who can apply:** **Anyone**
-----------------------------
**Classified/Unclassified Service:** **Unclassified**
-----------------------------------------------------
**Full\-Time/Part\-Time:** **Full\-time**
-----------------------------------------
**Regular/Temporary:** **Regular**
----------------------------------
**Work Schedule:** **M\-F, 8:00Am \- 4:30PM**
---------------------------------------------
**Eligible to Receive Benefits:** **Yes**
-----------------------------------------
**Veterans' Preference Eligible:** **Yes**
------------------------------------------
**Search Keywords:** **Behavioral Health Program Manager, Clinical Therapist Supervisor**
-----------------------------------------------------------------------------------------
**Compensation:** **$36\.30 \- $36\.67**
========================================
**TEMPORARY additional differential of $2\.50/hr for all hours worked.**
========================================================================
* *Salary can vary depending upon education, experience, or qualifications.*
**Employment Benefits**
=======================
### **Comprehensive medical, mental, dental, vision, and additional coverage**
### **Sick \&amp; Vacation leave**
### **Work\-Life Balance programs: parental leave, military leave, jury leave, funeral leave**
### **Paid State Holidays (designated by the Governor annually)**
### **Fitness Centers in select locations**
### **Employee discounts with the** **STAR Program**
### **Retirement and deferred compensation programs**
Visit the Employee Benefits page for more information…
*Osawatomie State Hospital is licensed by the State of Kansas to provide care and treatment for adults diagnosed with psychiatric disorders regardless of ability to pay. There are currently two hospitals on the Osawatomie campus in Miami county: Osawatomie State Hospital (OSH) and Adair Acute Care (AAC). Adair Acute Care are a 60\-bed facility, certified by the Centers for Medicare and Medicaid Services.*
*All employees are expected to work in a harmonious and cooperative fashion with other staff to provide efficient and effective customer service: to use free time as available to assist other staff in the completion of work assignments and perform other tasks as needed; to contribute to a positive work environment through a positive, helpful, courteous demeanor towards staff, customers and the general public; and to adhere to appropriate standards of conduct regarding the use of leave, reports to work on time and in the designated fashion.*
*The purpose of the Behavioral Health Program Manager position is to assist with management and supervision of Clinical Therapy staff members for a treatment program consisting of psychiatric patients in need of ongoing treatment for acute, severe \&amp; persistent mental illness. This position works directly with patients and staff to ensure that treatment needs are being addressed and that all appropriate standards are being maintained or exceeded throughout a patient’s hospitalization. Staff supervisory duties include setting goals and documenting performance, coordinating quality of care reviews with discipline leaders, and scheduling staff to ensure coverage throughout all shifts when Director of Clinical Therapy Services is not present.*
*The essential functions of this position may require physical strength to frequently push, pull, twist, bend, squat, walk, stand for extended periods of time, lift and/or restrain residents with or without assistance and respond to aggressive resident behavior with specific, trained techniques. Be able to observe and respond to residents in distress.*
*Osawatomie State Hospital Adair Acute Care is funded in part by the Centers for Medicare and Medicaid Services and is subject to requirements bestowed by Federal and State levels of government conditions of participation.*
**Position Summary \&amp; Responsibilities**
========================================
**Position Summary:**
---------------------
The Behavioral Health Program Manager will assist with management and supervision of Clinical Therapy staff members for a treatment program consisting of psychiatric patients in need of ongoing treatment for acute, severe \&amp; persistent mental illness. The incumbent works directly with patients and staff to ensure that treatment needs are being addressed and that all appropriate standards are being maintained or exceeded throughout a patient’s hospitalization. Staff supervisory duties include setting goals and documenting performance, coordinating quality of care reviews with discipline leaders, and scheduling staff to ensure coverage throughout all shifts when Director of Clinical Therapy Services is not present/available. The incumbent also works with Human Resources to recruit, hire, train and retain staff.
**Job Responsibilities may include but are not limited to the following:**
--------------------------------------------------------------------------
* Takes responsibility for the structure and functioning of the clinical treatment program at AAC.
* Provides coaching and feedback related to documentation to team members. Engages in special projects as assigned to streamline documentation workflow and processes. Develops and provides training programs for staff to further professional development, improve therapeutic response on the unit, and increases staffs’ understanding of hospital policy and procedures.
* Takes main responsibility for the integrity of the treatment planning process, including supervision to the program treatment team, with particular emphasis for the clinical therapists, but including physicians, nurses, social workers, and others assigned or working within the program.
* Evaluates the work of staff in an ongoing manner and provides a written annual evaluation in conjunction with departmental supervisors. Assists with coordinating the staffing and work schedules for staff assigned to the program when Director of Clinical Therapy Services is not present.
* Provides staff training, both formal and informal, as needed in order to improve treatment services.
* Develops, implements, maintains, and evaluates treatment program with assistance and involvement from the rest of the team.
* Works with staff to establish and maintain a cohesive set of treatment offerings that are provided in a cooperative and collaborative atmosphere.
**Qualifications**
==================
**Minimum Qualifications****:**
-------------------------------
**License or temporary license to practice at the independent, clinical level as a Psychologist, Social Worker, Professional Counselor or Masters Level Psychologist.**
**Preferred Qualifications****:**
---------------------------------
**At least two years of experience managing or directing a program. At least five years of experience working in the behavioral health field with individuals experiencing severe and persistent mental illness or with an inpatient psychiatric population.**
**Recruiter Contact Information**
=================================
**Email****: OSH.HR@ks.gov**
----------------------------
**Phone****: (913\) 755\-7333**
-------------------------------
**Job Application Process**
===========================
### **First** **Sign in** **or register as a** **New User****.**
### **Complete or update your contact information** **on the Careers\&gt; My Contact Information page. \*This information is included on all your job applications.**
### **Upload required documents** **listed below for the Careers\&gt; My Job Applications page. \*This information is included on all your job applications.**
### **Start your** **draft job application****, upload other required documents, and** **Submit** **when it is complete.**
### **Manage your draft and submitted applications on the Careers\&gt; My Job Applications page.**
### **Check your email** **and** **My Job Notifications** **for written communications from the Recruiter.**
### **Email – sent to the Preferred email on the My Contact Information page**
### **Notifications – view the Careers\&gt; My Job Notifications page**
 ***Helpful Resources at*** *jobs.ks.gov****:*** *“How to Apply for a Job – Instructions” and “How to Search for a Job – Instructions"*
**Required Documents for this Application to be Complete**
==========================================================
**Upload these on the Careers \- My Job Applications page**
===========================================================
Transcripts
DD214 (if you are claiming Veteran’s Preference)
**Upload these on the Attachments step in your Job Application**
----------------------------------------------------------------
* 
***Helpful Resources at*** ***jobs.ks.gov******:*** ***“How, What, \&amp; Where do I Upload Documents”***
-----------------------------------------------------------------------------------------------------
**Kansas Tax Clearance Certificate:** A valid Kansas Tax Clearance Certificate is a condition of employment for all employees of the State of Kansas. Applicants (including non\-residents) who receive a formal job offer for a State job, are required to obtain a valid Tax Clearance within ten (10\) days of the job offer. A Tax Clearance can be obtained through the Kansas Department of Revenue who reviews individual accounts for compliance with Kansas Tax Law.
If you have a missing tax return(s) or you owe taxes to the State of Kansas, please know that the Kansas Department of Revenue will work with you. The Kansas Department of Revenue can set you up on a payment plan to receive a Tax Clearance so you can get a job working for the State of Kansas. The Kansas Department of Revenue can be contacted at 785\-296\-3199\. Kansas Department of Revenue \- Tax Clearance Frequently Asked Questions
**How to Claim Veterans Preference**
====================================
**Veterans' Preference Eligible (VPE):****Former military personnel or their spouse that have been verified as a "veteran"; under K.S.A. 73\-201 will receive an interview if they meet the minimum competency factors of the position. The veterans' preference laws do not guarantee the veteran a job. Positions are filled with the best qualified candidate as determine by the hiring manager.**
------------------------------------------------------------------------------------------------------------------------------------------------------------------------------------------------------------------------------------------------------------------------------------------------------------------------------------------------------------------------------------------------------
Learn more about claiming Veteran’s Preference
 **How to Claim Disability Hiring Preference**
Applicants that have physical, cognitive and/or mental disabilities may claim an employment preference when applying for positions. If they are qualified to meet the performance standards of the position, with or without a reasonable accommodation, they will receive an interview for the position. The preference does not guarantee an applicant the job, as positions are filled with the best qualified candidate as determined by the hiring manager.
Learn more about claiming Disability Hiring Preference
**PLEASE NOTE**: The documentation verifying a person's eligibility for use of this preference should ***not*** be sent along with other application materials to the hiring agency but should be sent directly to OPS. These documents should be scanned and emailed to Gustavo.Victoriano@ks.gov, or can be mailed/delivered in person to:
ATTN: Disability Hiring Preference Coordinator  
Office of Personnel Services  
Docking State Office Building  
915 SW Harrison Ave, Suite 260  
Topeka, KS 66612
**Equal Employment Opportunity**
================================
The State of Kansas is an Equal Opportunity Employer. All qualified persons will be considered for employment without regard to race, color, religion, sex, sexual orientation, gender identity, national origin, age, political affiliation, disability or any other factor unrelated to the essential functions of the job.
If you wish to identify yourself as a qualified person with a disability under the Americans with Disabilities Act and would like to request an accommodation, please address the request to the agency recruiter.</t>
        </is>
      </c>
    </row>
    <row r="30">
      <c r="A30" t="inlineStr">
        <is>
          <t>in-794afbc2054159ad</t>
        </is>
      </c>
      <c r="B30" t="inlineStr">
        <is>
          <t>Nutrition Services Program Manager - 1.0 FTE - Nutrition Services</t>
        </is>
      </c>
      <c r="C30" t="inlineStr">
        <is>
          <t>Portland Public Schools</t>
        </is>
      </c>
      <c r="D30" t="inlineStr">
        <is>
          <t>indeed</t>
        </is>
      </c>
      <c r="E30">
        <f>HYPERLINK("https://www.indeed.com/viewjob?jk=794afbc2054159ad", "https://www.indeed.com/viewjob?jk=794afbc2054159ad")</f>
        <v/>
      </c>
      <c r="F30">
        <f>HYPERLINK("https://careers.pps.net/psc/career/SELFSRV/HRMS/c/HRS_HRAM_FL.HRS_CG_SEARCH_FL.GBL?Page=HRS_APP_JBPST_FL&amp;Action=U&amp;FOCUS=Applicant&amp;SiteId=1&amp;JobOpeningId=29271&amp;PostingSeq=1", "https://careers.pps.net/psc/career/SELFSRV/HRMS/c/HRS_HRAM_FL.HRS_CG_SEARCH_FL.GBL?Page=HRS_APP_JBPST_FL&amp;Action=U&amp;FOCUS=Applicant&amp;SiteId=1&amp;JobOpeningId=29271&amp;PostingSeq=1")</f>
        <v/>
      </c>
      <c r="G30" t="inlineStr">
        <is>
          <t>Portland, OR, US</t>
        </is>
      </c>
      <c r="H30" s="2" t="n">
        <v>46036</v>
      </c>
      <c r="I30" t="inlineStr">
        <is>
          <t>This job is open until filled. Applications will be reviewed as received. Portland Public Schools reserves the right to make a hiring decision at any point during the posting period.
**Position Details**
--------------------
**BASIC FUNCTION**  
Under general direction, develops systems and directs others to provide high quality food and customer service and to ensure compliance with all required regulations related to the Child Nutrition Program and the district policies. Manage a team responsible for approximately 20\-24 schools in the Portland School District .
 **REPRESENTATIVE DUTIES**
* Ensure schools are in compliance with all Federal, State and Local regulations and policies.
* Conduct employee performance reviews and if necessary, corrective actions for employees not meeting expectations.
* Assist in the hiring and training of employees.
* Develop work schedules and other training materials to support staff.
* Analyze individual school profit and loss report; use data to continuously improve programs and staffing for break\-even site operations.
* Work with team to develop action plans for increasing participation in school meal programs or lowering food and/or labor costs at individual schools.
* Develop and communicate department Standard Operating Procedures and district policies.
* Work with Principals, local PTA and other school personnel in the planning and implementation of programs relating to the Child Nutrition Program or District Wellness policy.
* Drive to and from assigned schools daily.
 **KNOWLEDGE AND ABILITIES**
*Knowledge of:** Principles and practices of large\-scale food service management, food preparation, and program administrations.
* Material and equipment needs for school sites and food service warehouses.
* Federal, State and local codes and regulations governing food handling and school food service including USDA Child Nutrition programs.
* Techniques and practices for efficient and cost\-effective management of resources.
* Technologies and computer applications related to school nutrition.
* Nutrition and health requirements for children and young adults.
* Customer service and public relations methods and practices.
* Experience managing large school district nutrition service programs.
* Principles and practices of effective leadership, management and supervision.
* District policies, procedures, organizational structure.
 *Ability to:** Manage Nutrition Services operations.
* Interpret and apply applicable local, state and Federal, standards, guidelines, regulations and laws related to Pre\-K – 12 public education nutrition programs.
* Monitor school compliance with Federal, State, local and district standards, guidelines, regulations, laws and policies related to school nutrition programs.
* Analyze problems and develop effective solutions.
* Manage staff, delegate tasks and authority, and coach to improve staff performance.
* Assess and prioritize multiple tasks, projects and demands.
* Establish and maintain effective working relationships with co\-workers and clients.
* Deliver high\-level of customer service to district stakeholders.
* Advocate, model, learn and implement Portland Public School’s Racial Equity Initiative, Equity in Public.
* Purchasing and Contracting and other board policies.
* Respond quickly to systems’ failures and recommend procedures for improvement.
* Analyze processes and problems, identify opportunities for improvement and follow through on changes.
* Prepare and present data in written and oral reports, and represent the district in a variety of public settings.
* Operate a personal computer utilizing standard and specialized software.
* Communicate effectively orally and in writing.
* Communicate with and monitor multiple school sites and district locations in person during the course of the workday.
 **MINIMUM QUALIFICATIONS**  
**Education, Training and Experience:**
* Bachelor's degree in Food and Nutrition, Institutional Management, Hotel and Restaurant Management, or a related field is required.
* One to Three years of leadership experience in large scale full\-service food preparation, preferably in public schools' food and nutrition services is required.
*Any other combination of education, training and experience which demonstrates the candidate is likely to possess the skill, knowledge, ability and trait characteristics essential for this classification may be considered.*
 **Special Requirements:*** Positions in this classification are required to obtain and maintain a valid Multnomah County Food Handler’s card or ServSafe certification throughout the course of employment.
* Employees in this classification are required to possess a valid Driver’s License and personal transportation.
 **WORKING CONDITIONS**
*The conditions herein are representative of those that must be met by an employee to successfully perform the essential functions of this job. Persons with certain disabilities may be capable of performing the essential duties of this class with or without reasonable accommodation, depending on the nature of the disability.*
**Work Environment:** Work is performed primarily in a standard office environment with extensive student, parent and public contact and frequent interruptions.
**Hazards:** Potential conflict situations.
**Physical Demands:** Primary functions require sufficient physical ability and mobility to work in an office setting; dexterity of hands and fingers to operate a computer keyboard and other office equipment; sitting or standing for extended periods of time; kneeling, bending at the waist, reaching overhead, above the shoulders and horizontally to retrieve and store files and supplies; lifting, pushing, pulling and carrying office equipment, supplies and materials weighing up to 25 pounds; repetitive hand movement and fine coordination to use a computer keyboard; hearing and speaking to exchange information in person or on the telephone; seeing to read, prepare and assure the accuracy of documents.
 **CLASSIFICATION AND SALARY**  
This position is classified as Nutrition Services Program Manager, **Pay Grade 32**, on the Non\-Represented, Confidential, Professional and Management Employees salary schedule FLSA **Exempt**. The Non\-Represented Confidential Professional Management and Employees Salary Schedule for **260 day** employees can be found here.
**Salary range:** $97,878 \- $116,872
**Work Year:** 260 days
Portland Public Schools (PPS) is seeking talented people from diverse backgrounds and experiences to lead change and inspire PPS students. At PPS, every employee, despite having different roles, is an educator. We hope to attract talented educators who model the core PPS Educator Essentials. With the District’s focus on eliminating systemic racism and its adverse impact on student learning, we seek to hire individuals who bring to our district a deep commitment to racial equity and social justice.
The District is committed to equal opportunity and nondiscrimination in all its educational and employment activities. The District prohibits discrimination based on perceived or actual race; national or ethnic origin; color; sex; religion; age; sexual orientation; gender expression or identity; pregnancy; marital status; veteran’s status; familial status; economic status or source of income; mental or physical disability or perceived disability; or military service.
504 Coordinator: Katie Loewen, kloewen@pps.net, 503\-916\-3337 x63337  
ADA Coordinator: Jey Buno, jbuno@pps.net, 503\-916\-3360  
Director of Civil Rights: Dr. Bobby Cruz, bcruz@pps.net, 503\-839\-3660
Accessibility Statement
**Benefits Information**
------------------------
Portland Public Schools (PPS) offers several competitive and comprehensive benefit packages to employees. Fringe benefits include medical, dental, vision, prescription, life and disability insurance, employee assistance program, 403(b) retirement savings plan and various leave and professional development programs. Depending on the insurance option selected by the employee, there may be an employee contribution toward insurance.
Portland Public Schools is a public employer and participates in the Public Employees Retirement System (PERS/OPSRP). Eligible employees are required by statute to contribute 6% of salary on a pre\-tax basis to OPSRP/IAP, after serving six months under a PERS employer.
For more information about additional benefits or compensation options by employee group, please visit our website at: https://www.pps.net/Page/1635</t>
        </is>
      </c>
    </row>
    <row r="31">
      <c r="A31" t="inlineStr">
        <is>
          <t>in-2b0241c601ddb835</t>
        </is>
      </c>
      <c r="B31" t="inlineStr">
        <is>
          <t>Product Manager - Buy Side Core OMS</t>
        </is>
      </c>
      <c r="C31" t="inlineStr">
        <is>
          <t>Bloomberg</t>
        </is>
      </c>
      <c r="D31" t="inlineStr">
        <is>
          <t>indeed</t>
        </is>
      </c>
      <c r="E31">
        <f>HYPERLINK("https://www.indeed.com/viewjob?jk=2b0241c601ddb835", "https://www.indeed.com/viewjob?jk=2b0241c601ddb835")</f>
        <v/>
      </c>
      <c r="F31">
        <f>HYPERLINK("https://click.appcast.io/t/DkvpcHpiXMiDmLUeND0VyvtlAinxrEzuUR7kY8TMsEw=", "https://click.appcast.io/t/DkvpcHpiXMiDmLUeND0VyvtlAinxrEzuUR7kY8TMsEw=")</f>
        <v/>
      </c>
      <c r="G31" t="inlineStr">
        <is>
          <t>New York, NY, US</t>
        </is>
      </c>
      <c r="H31" s="2" t="n">
        <v>46036</v>
      </c>
      <c r="I31" t="inlineStr">
        <is>
          <t>Product Manager \- Buy Side Core OMS
Location
New York
Business Area
Product
Ref \#
10048652
**Description \&amp; Requirements**
-------------------------------
Powered by an unparalleled combination of automation, innovation, access and service, Bloomberg’s comprehensive and integrated enterprise solutions help buy\-side firms generate alpha, develop and service clients, remain compliant and grow profits in the face of change.
From a single solution to a complete end\-to\-end workflow, Bloomberg’s integrated services are tailored to our clients’ needs to increase efficiency and productivity – exponentially.
Bloomberg's OMS (AIM) delivers global, multi\-asset solutions for portfolio management, trading, compliance and operations for buy\-side firms. AIM is used by more than 14,000 professionals at over 900 client firms, including some of the largest asset managers, hedge funds, insurance companies, pension funds and government agencies. Our goal is to offer the most scalable asset management technology in the market \-one that allows AIM clients to grow assets on existing investments and to quickly expand into new asset classes, markets or investment styles without disruption
**What’s the role?**
We are seeking a Senior Product Manager to join the Buyside OMS (AIM) Product team focusing on our Core Order Management offering. This position will play a critical role in defining our OEMS (Order \&amp; Execution Management) experience. As part of the Buyside Product team they will be responsible for setting priorities that contribute to the strategic OEMS product roadmap accountable for progress towards OKRs. In this role you will need to apply working knowledge of order management and trade execution to define product design and detailed specifications.
**We'll trust you to:**
The Product Manager will be responsible for:
* Support the leadership of a multi year transformation objective, redefining and aligning the way our OMS solution integrates to both internal and external EMS systems.
* Refine the OEMS roadmap alongside several cross functional teams
* Communicate the vision, value proposition, and development progress to business leadership, sales, engineering and our client stakeholders.
* Set measurable milestones for the global delivery of cross asset order and execution workflows. Documenting clear functional specifications (including OKRs) for each phase of product development
* Work collaboratively with other Product owners to integrate Order Management services within other AIM and EMS applications
* Ensure project milestones are delivered on time and to specification with a strong focus on stability and resilience.
**You'll need to have/be:**
* Deep experience in multi\-asset order management and electronic trading workflows
* Detailed asset class life\-cycle experience in at least one of these asset classes: Equity, Fixed Income, Currency \&amp; Commodities, Derivatives
* Highly motivated, consensus builder, collaborates well in a team and across wider business
* Experience managing complex projects and teams
* Detail\-oriented with solid analytic and problem\-solving skills
* Excellent written and oral communication skills
* Excellent presentation skills including written, graphic and verbal
* Ability to engage senior technology staff both internally \&amp; externally
* A deep understanding of the Buyside trader persona and interactions of a Portfolio Manager and Trader on the Buyside
**We’d love to see:**
* Deep financial markets understanding demonstrated through designations and/or licenses (ie CFA, MBA, Series 7, etc)
* Experience with connectivity, integrations and REST APIs
* Previous product ownership within the trade lifecycle (Order creation, electronic trading, order management, EMS, TCA)
* Previous experience with software development processes and technologies (example Agile, Jira)
* Experiences with portfolio trading technologies and high throughput protocols
* A technical PM background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32">
      <c r="A32" t="inlineStr">
        <is>
          <t>in-9ae69745f2eebef4</t>
        </is>
      </c>
      <c r="B32" t="inlineStr">
        <is>
          <t>(USA) Staff, Technical Program Manager, Revenue Marketing Technologies – Market Place</t>
        </is>
      </c>
      <c r="C32" t="inlineStr">
        <is>
          <t>Walmart</t>
        </is>
      </c>
      <c r="D32" t="inlineStr">
        <is>
          <t>indeed</t>
        </is>
      </c>
      <c r="E32">
        <f>HYPERLINK("https://www.indeed.com/viewjob?jk=9ae69745f2eebef4", "https://www.indeed.com/viewjob?jk=9ae69745f2eebef4")</f>
        <v/>
      </c>
      <c r="F32">
        <f>HYPERLINK("https://click.appcast.io/t/bmM6rGMH9w0yQqJCNFWcamXFB-ciJbHF-tUasPUqS0I=", "https://click.appcast.io/t/bmM6rGMH9w0yQqJCNFWcamXFB-ciJbHF-tUasPUqS0I=")</f>
        <v/>
      </c>
      <c r="G32" t="inlineStr">
        <is>
          <t>Sunnyvale, CA, US</t>
        </is>
      </c>
      <c r="H32" s="2" t="n">
        <v>46036</v>
      </c>
      <c r="I32" t="inlineStr">
        <is>
          <t>**Position Summary...**
-----------------------
**What you'll do...**
---------------------
**Role summary:** The (USA) Staff, Technical Program Manager leads complex, multi\-faceted technology programs by defining goals, schedules, and deliverables aligned with strategic objectives. This role requires expertise in program planning, stakeholder engagement, and technical solution design to ensure seamless execution and operational excellence. The position involves managing dependencies, mitigating risks, and driving continuous improvement while fostering collaboration across cross\-functional teams. Effective communication and analytical problem\-solving skills are essential to deliver high\-quality outcomes that support business priorities and innovation within a dynamic environment. **About the team:**
The Revenue Marketing team focuses on driving growth across key areas including AdTech, Marketing Technologies, Social Commerce, and Connected TV. This team collaborates closely with cross\-functional partners to deliver innovative technology solutions that support business objectives. Members apply strong program and stakeholder management skills to coordinate complex initiatives, ensuring alignment and timely execution. The team values clear communication, strategic decision\-making, and continuous improvement to optimize program outcomes. Working within a dynamic environment, the team contributes to advancing Walmart’s capabilities in marketing and advertising technologies to enhance customer engagement and revenue growth. **What you'll do:**
* Manage outcomes for a specific Track in service of Walmart Marketplace and drive programs within that track.
* Define program goals, deliverables, schedules, and critical paths to manage multiple medium to high\-complexity programs aligned with strategic objectives.
* Secure commitment from cross\-functional teams and manage dependencies to ensure seamless program execution.
* Translate product requirements into technical designs and collaborate on system architecture for scalability, availability, and performance.
* Monitor program progress, identify risks, and develop mitigation plans to maintain quality and timelines.
* Communicate program status, risks, and updates effectively to stakeholders and teams.
* Identify opportunities for process improvements, automation, and technology reuse to enhance program efficiency.
* Establish and oversee operational excellence frameworks, including monitoring, alerting, and release management.
**What you'll bring:**
* 7\+ years of experience driving complex strategic programs and managing cross functional outcomes.
* Excellent stakeholder management skills to align diverse teams, resolve conflicts, and communicate complex information clearly and effectively.
* Proven expertise in program management techniques, tools, and frameworks to lead multiple medium to high\-complexity programs aligned with strategic objectives.
* Strong technical knowledge of distributed software design, cloud infrastructure, and platform thanking to guide end\-to\-end technology solutions.
* Proven use of AI tools in Program management.
* Demonstrated ability to manage risks, dependencies, and budgets while driving program execution and continuous improvement.
* Analytical problem\-solving skills with data\-driven decision\-making and impact analysis to optimize program outcomes.
* Experience in establishing operational excellence frameworks, monitoring, and incident management for reliable system delivery.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 Option 1: Bachelor’s degree in computer science, information technology, engineering, or related area and 5 years’ experience in engineering, engineering program management, technical program management, product management, or related area.
* Option 2: 7 years’ experience in engineering, engineering program management, technical program management, product management, or related area.
**Preferred Qualifications...**
-------------------------------
*Outlined below are the optional preferred qualifications for this position. If none are listed, there are no preferred qualifications.*
Certification in Project Management., Master’s degree in Business Administration, with specialization in strategy, supply chain, finance, information systems, or related area and 3 years’ experience in product design.,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640 W California Avenue, Sunnyvale, CA 94086\-4828,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3">
      <c r="A33" t="inlineStr">
        <is>
          <t>in-89fc288da2b50c4e</t>
        </is>
      </c>
      <c r="B33" t="inlineStr">
        <is>
          <t>Program Manager for Community Engagement, Hybrid, College of Arts and Sciences</t>
        </is>
      </c>
      <c r="C33" t="inlineStr">
        <is>
          <t>University Of Cincinnati</t>
        </is>
      </c>
      <c r="D33" t="inlineStr">
        <is>
          <t>indeed</t>
        </is>
      </c>
      <c r="E33">
        <f>HYPERLINK("https://www.indeed.com/viewjob?jk=89fc288da2b50c4e", "https://www.indeed.com/viewjob?jk=89fc288da2b50c4e")</f>
        <v/>
      </c>
      <c r="F33">
        <f>HYPERLINK("https://jobs.uc.edu/job/Cincinnati-Program-Manager-for-Community-Engagement%2C-Hybrid%2C-College-of-Arts-and-Sciences-OH-45221/1356650300/?feedId=130800&amp;utm_source=Indeed&amp;utm_campaign=UC_Indeed", "https://jobs.uc.edu/job/Cincinnati-Program-Manager-for-Community-Engagement%2C-Hybrid%2C-College-of-Arts-and-Sciences-OH-45221/1356650300/?feedId=130800&amp;utm_source=Indeed&amp;utm_campaign=UC_Indeed")</f>
        <v/>
      </c>
      <c r="G33" t="inlineStr">
        <is>
          <t>Cincinnati, OH, US</t>
        </is>
      </c>
      <c r="H33" s="2" t="n">
        <v>46036</v>
      </c>
      <c r="I33" t="inlineStr">
        <is>
          <t>**Current UC employees must apply internally via** ***SuccessFactors***
 **Next Lives at the University of Cincinnati**
Founded in 1819, the University of Cincinnati ranks among the nation’s best urban public research universities. Home to more than 53,600 students, 12,000 faculty and staff, and over 360,000 living alumni, UC, a Carnegie 1 institution, combines research prowess with a physical setting The New York Times has called “the most ambitious campus design program in the country." UC's momentum has never been stronger as the anchor of the Cincinnati Innovation District, the oldest cooperative education (co\-op) program in the country with students earning $94 million annually through paid experiences, an academic health system, and as a member of the Big 12 Conference. The university contributes $10\.6 billion in economic impact to the city and $22\.7 billion to the state of Ohio. At UC, next is all of us. Learn more at uc.edu.
UC is a mission\-driven organization where we are committed to student success and positively transforming the community through scholarship and service. We thrive on innovation, making an impact, and fostering an environment where staff and faculty are key contributors to UC’s success.
**Job Overview**
----------------
The College of Arts and Sciences is seeking a highly organized and dynamic Program Manager to oversee the planning, coordination, and execution of events that advance the mission and visibility of the College of Arts \&amp; Sciences. This role is responsible for managing all aspects of event logistics, from conception to completion, ensuring high\-quality experiences for participants and stakeholders.
**Essential Functions**
-----------------------
* Lead the planning, development, and execution of a wide range of events, which may include, lectures, seminars, conferences, workshops, and community engagement activities.
* Collaborate with faculty, staff, students, and external partners to identify event objectives and design programs that align with institutional goals.
* Manage event logistics, including vendor/venue selection, catering, audiovisual needs, accommodations, and timeline development.
* Develop and manage event budgets, ensuring cost\-effective solutions and adherence to financial guidelines.
* Oversee event promotion and marketing efforts, including the creation of promotional materials, social media outreach, and collaboration with A\&amp;S Marketing \&amp; Communications.
* Supervise on\-site event operations, ensuring smooth execution and troubleshooting any issues that arise.
* Evaluate event outcomes and gather feedback to inform continuous improvement of future programming.
* Maintain relationships with vendors, service providers, and community partners to support successful events.
* Ensure compliance with university policies, risk management, and safety regulations for all events.
* Strategic development of an ongoing calendar of events to improve community \&amp; attendee engagement.
* Perform related duties based on departmental need. This job description can be changed at any time.
**Required Education**
----------------------
* Bachelor's Degree.
* Seven (7\) years of relevant work experience and/or other specialized training can be used in lieu of education requirement.
**Required Experience**
-----------------------
* Three (3\) years of relevant experience
**Application Process Information**
-----------------------------------
A resume and cover letter are required as part of the application process. Attach these documents before submitting your application.
**Physical Requirements/Work Environment**
------------------------------------------
* Office environment/no specific unusual physical or environmental demands.
**Compensation and Benefits**
UC offers an exceptional benefits package designed to support your well\-being, financial security, and work\-life balance. Eligibility varies by position and FTE. Highlights include:
 **Salary/Hourly Pay Rate Information:** 54000
**Comprehensive Tuition Remission**
UC provides tuition remission for you and your eligible dependents, covering tuition costs for nearly all undergraduate and graduate programs offered by the university.
**Robust Retirement Plans**
As a UC employee, you won’t contribute to Social Security (except Medicare). Instead, you’ll choose between state pension plans (OPERS, STRS) or an Alternative Retirement Plan (ARP), with UC contributing 14–18% of your salary based on position.
**Real Work\-Life Balance**
UC prioritizes work\-life balance with a generous time\-off policy, including:
Vacation and sick time
11 paid holidays and additional end\-of\-year paid time off (Winter Season Days)
6 weeks of paid parental leave for new parents
**Additional Benefits Include:**
* Competitive salary up to $54,000 based on experience
* Comprehensive health coverage (medical, dental, vision, prescription)
* Flexible spending accounts \&amp; wellness programs
* Professional development \&amp; mentorship opportunities
For questions about the UC recruiting process or to request accommodations with the application, please contact Human Resources at **jobs@uc.edu****.**
 **Equal Opportunity Employer. Building a workplace where all qualified applicants will receive consideration for employment, including Individuals with Disabilities and Protected Veterans.**
REQ: 101040</t>
        </is>
      </c>
    </row>
    <row r="34">
      <c r="A34" t="inlineStr">
        <is>
          <t>in-e6dab2e087fa54dc</t>
        </is>
      </c>
      <c r="B34" t="inlineStr">
        <is>
          <t>5G Tactical Communications Product Manager</t>
        </is>
      </c>
      <c r="C34" t="inlineStr">
        <is>
          <t>Thales</t>
        </is>
      </c>
      <c r="D34" t="inlineStr">
        <is>
          <t>indeed</t>
        </is>
      </c>
      <c r="E34">
        <f>HYPERLINK("https://www.indeed.com/viewjob?jk=e6dab2e087fa54dc", "https://www.indeed.com/viewjob?jk=e6dab2e087fa54dc")</f>
        <v/>
      </c>
      <c r="F34">
        <f>HYPERLINK("https://careers.thalesdsi.com/job/CLARKSBURG-5G-Tactical-Communications-Product-Manager-MD-20871/1356698300/", "https://careers.thalesdsi.com/job/CLARKSBURG-5G-Tactical-Communications-Product-Manager-MD-20871/1356698300/")</f>
        <v/>
      </c>
      <c r="G34" t="inlineStr">
        <is>
          <t>Clarksburg, MD, US</t>
        </is>
      </c>
      <c r="H34" s="2" t="n">
        <v>46036</v>
      </c>
      <c r="I34" t="inlineStr">
        <is>
          <t>**5G Tactical Communications Product Manager**
==============================================
Req Id: 291
Location:
CLARKSBURG, MD, US, 20871
Date: Jan 15, 2026
**Thales Defense \&amp; Security, Inc. (TDSI)** Headquartered in Clarksburg, MD, is a U.S. company that has been serving domestic and international defense Air, Land and Sea domains for 60\+ years. With over 1,000 employees, TDSI and its four subsidiaries (Advanced Acoustic Concepts, Digital Receiver Technology, Tampa Microwave, and Trusted Cyber Technologies), supports U.S. Joint Services, special operations forces and multi\-national partners with a variety of communication, visualization, signal intelligence/electronic warfare, and sensor/sonar capabilities. TDSI’s key technologies include tactical handheld radios, expeditionary satellite terminals, helmet\-mounted displays, optics and target recognition capability, advanced radars, undersea sensing and missile systems. Lives depend on what we do!
**Top Benefits** (Subject to terms of applicable policies/plans)
* Competitive Salary
* Yearly Incentive Compensation Plan
* Medical insurance for self and eligible family members
* Generous 401(k) program\- up to 7% company contribution and 100% immediate vesting
* Tuition Reimbursement
* Paid wellness, vacation, and holiday leave
* Paid maternity, paternity, and parental leave
* 9/80 Work Schedule (every other Friday off)
* Hybrid Working Environment
We are excited to announce that we have an opening in our **Clarksburg, MD** office for a **5G Tactical Communications Product Manager**. This is a newly created position within our high\-performing business development organization, and will report to the Director of Product Line Management\- Tactical Communications in **Clarksburg, MD**. This position will be the technical, customer\-facing expert within 5G and tactical communications/ radios and will work with the global product engineering team to ensure capabilities are developed to meet customer specifications.
**Responsibilities**
* Define and develop telecom solution architectures focused on 5G technologies, including both Radio Access Network (RAN) and Core Network components, tailored for Defense and US DOD environments.
* Direct communication with the US DOD customers, which can include customer workshops, solicitation of customer feedback/ lessons learned, leveraging various strategies to capture customer requirements.
* Lead the adaptation and integration of Thales 5G products and technologies to comply with military standards, security policies, and operational constraints.
* Participate in the design, deployment, and optimization of innovative, secure, and resilient network solutions for defense applications.
* Analyze DOD requirements, conduct technical feasibility studies, and propose robust solutions aligned with mission\-critical needs.
* Ensure compliance with U.S. Federal and Defense cybersecurity/pre\-certification frameworks (e.g., FIPS, NIST, DOD STIGs).
* Collaborate with multidisciplinary teams, including R\&amp;D, systems engineering, security experts, program management, and external (government/industrial) partners.
* Draft high\-level and detailed technical documentation for both internal stakeholders and DOD representatives.
* Support proposal preparation and responses to government RFPs, including presenting technical solutions to Defense entities.
* Support the Product Line Management Director and Capture Team to conduct competitive analysis, determine discriminators and product gaps.
* Help develop a Price to Win strategy for various markets.
* Monitor technological advancements in 5G, network virtualization, and their military applications, recommending future evolutions as required.
**Qualifications**
The requirements listed below are representative of the knowledge, skill, and/or ability required. Reasonable accommodations may be made to enable individuals with disabilities to perform the essential functions.
* **U.S. Citizenship required. \-** Applicants selected may be subject to a government security investigation and must meet eligibility requirements for access to classified information.
* Bachelor’s degree in engineering or related technical discipline\- MS preferred.
* Minimum 8 years of experience in telecom solutions architecture, with proven expertise in 5G, Radio (RAN), and Core Network domains.
* Good understanding of the Radio propagation in low and high 4G/5G Bands, including effects of RF challenged environments.
* Background in adapting commercial or government telecom solutions for Defense or mission\-critical applications.
* Strong understanding of 3GPP, ETSI standards, as well as virtualization (NFV/SDN) and cloud technologies (OpenStack, Kubernetes, etc.).
* Experience working with U.S. DOD or NATO frameworks is highly valued.
* Excellent analytical, synthesis, and technical writing skills.
* Strong interpersonal and leadership abilities; capable of interfacing with both technical teams and government customers.
* Ability to travel up to 30% (mostly domestic with some international travel).
**Additional Preferred Skills:**
* Experience in cybersecurity, particularly in securing telecom systems for defense use.
* Knowledge of military communications standards, security requirements, and validation processes (e.g., DoDIN APL, DIACAP/RMF, FIPS 140\-2\).
* Knowledge of classified environments and ITAR/EAR compliance.
* Experience with network modeling tools (UML, SysML) and architecture frameworks such as DODAF.
* French language skills appreciated but not required.
The annualized pay range for this role is **$150,300\-$192,050 USD** along with a target incentive compensation plan **(ICP) of 10%****.** The pay range provided is a good faith estimate representative of the experience level for the role described above. TDSI considers several factors when extending an offer, including but not limited to, the role, function and associated responsibilities, a candidate’s work experience, location, education/training, and key skills.
For specific questions about this job posting, candidates may contact talent acquisition at careers@thalesdsi.com.
***Thales Defense \&amp; Security, Inc. is committed to non\-discrimination as applicable under federal, state and local laws. We are an E\-Verify Employer.***
***If you need an accommodation or assistance in order to apply for a position with Thales Defense \&amp; Security, Inc., please call Human Resources at 202\-961\-1016\.***
\#LI\-JD1 \#LI\-Hybrid
**Nearest Major Market:** Washington DC</t>
        </is>
      </c>
    </row>
    <row r="35">
      <c r="A35" t="inlineStr">
        <is>
          <t>in-44599b7139aad076</t>
        </is>
      </c>
      <c r="B35" t="inlineStr">
        <is>
          <t>Product Manager</t>
        </is>
      </c>
      <c r="C35" t="inlineStr">
        <is>
          <t>Helmet House, Inc</t>
        </is>
      </c>
      <c r="D35" t="inlineStr">
        <is>
          <t>indeed</t>
        </is>
      </c>
      <c r="E35">
        <f>HYPERLINK("https://www.indeed.com/viewjob?jk=44599b7139aad076", "https://www.indeed.com/viewjob?jk=44599b7139aad076")</f>
        <v/>
      </c>
      <c r="F35">
        <f>HYPERLINK("https://portal.dynamicsats.com/JobListing/Details/262b48f4-6254-485f-93ea-b5db7eb124b1/255a6867-2bf2-f011-8406-6045bd06a601", "https://portal.dynamicsats.com/JobListing/Details/262b48f4-6254-485f-93ea-b5db7eb124b1/255a6867-2bf2-f011-8406-6045bd06a601")</f>
        <v/>
      </c>
      <c r="G35" t="inlineStr">
        <is>
          <t>Calabasas Hills, CA, US</t>
        </is>
      </c>
      <c r="H35" s="2" t="n">
        <v>46036</v>
      </c>
      <c r="I35" t="inlineStr">
        <is>
          <t>Helmet House is the leading U.S. distributor of helmets and apparel in the Motorcycle and Powersports industry. We are searching for a Product Manager to join our Merchandising Team.
Our Company was founded in 1969 and has its headquarters and a distribution center in Calabasas Hills, CA along with an eastern distribution point in Southaven, MS. Our digital marketing team is located in Lake Oswego, OR. For decades Helmet House has supplied Powersports Dealers across the U.S. with two of the world’s top helmet brands. Helmet House is the exclusive US supplier for SHOEI Helmets, Sidi boots, Kriega and Fasthouse, while also distributing HJC, Alpinestars, 100%, Molecule, Pinlock, Cardo, Quad Lock, Insta360 and Sena to motorcycle dealerships in the United States. The Tourmaster, Cortech, and NORU motorcycle apparel brands are manufactured and marketed directly by Helmet House. The premium brands we carry represent our commitment to the motorcycle industry and our dealer partners.
*Helmet House is headquartered in beautiful Calabasas Hills, CA, within minutes of Southern California’s world\-famous motorcycling / biking \&amp; hiking roads*.
**JOB DUTIES AND RESPONSIBILITIES**
The ideal candidate is a passionate motorcycle enthusiast who has previous experience in brand or product management. This candidate must be a quick learner, self\-starter, troubleshooter, and problem solver with a positive attitude. You must have attention to detail, be able to think proactively, and the ability to multi\-task in a fast\-paced environment. Prior experience in retail or wholesale distribution in the motorcycle/powersports industry is preferred.
This is a full\-time in\-office position at the Calabasas Hills, CA headquarters.
**Goal / Responsibilities:**
**The product manager is responsible for achieving assigned brand sales, margin and support inventory turn goals and driving overall brand success.**
To achieve this goal, the product Manager will be responsible for the following:
* **Build and maintain strategic relationships** with senior representatives at assigned brands, ensuring consistent communication and in\-person presence at key sales meetings.
* **Drive brand KPI** **performance** collaboratively with dealers and sales team; these include sales, gross margin, turns and overall profitability.
* **Define and optimize product assortments** (models, styles, colorways, sizes) to meet brand objectives; partner closely with inventory planning to manage stock levels, new product introductions, and lifecycle strategies for core and markdown items.
* **Analyze brand performance metrics (KPIs)** and adjust strategies to maximize results.
* **Develop and execute brand strategies** that drive market share growth and increase brand awareness.
* **Collaborate with internal teams**, including digital, marketing, and sales, to guide product offerings, homepage features, and promotional campaigns.
* **Support dealer network success** by educating and assisting on programs and brand representation; participate in dealer meetings as needed.
* **Provide leadership for training initiatives**, including developing content for sales meetings and learning modules.
* **Manage promotional campaigns** with brand partners, ensuring timely communication to internal teams and dealer networks.
* **Oversee seasonal marketing materials**, including workbooks and mailers, ensuring accuracy and alignment with brand objectives.
* **Conduct in person visits,** including dealer visits and training as well as brand visits to gain “on the ground” learning and feedback. \~20% of work time should be out of the office
**Experience**
* Product or brand management
* Strong understanding of motorcycle parts and apparel brands
* Parts management experience a plus
**Skills**
* Strong communication skills / must be comfortable presenting and discussing features and benefits of product in small and large group settings
* Strong Excel / analytical skills
* Problem solving
* Ability to work independently and as part of a team
* Ability to prioritize and multi\-task to meet deadlines and remain flexible
* Attention to detail
Salary Range: $80K \- $105K, depending on skills and experience
Opportunity for promotion to merchandise manager which would include additional brand responsibilities
**BENEFITS PACKAGE (For full\-time employees)**
Medical/Dental/Vision, Supplemental Insurance Plans, Café 125 FSA, 401(k) Savings Plan with very generous match, Vacation/Sick Time off, employee discounts, EOE</t>
        </is>
      </c>
    </row>
    <row r="36">
      <c r="A36" t="inlineStr">
        <is>
          <t>in-ab5d8517375f9ada</t>
        </is>
      </c>
      <c r="B36" t="inlineStr">
        <is>
          <t>Program Manager 1 - Chemical Engineering</t>
        </is>
      </c>
      <c r="C36" t="inlineStr">
        <is>
          <t>University of Houston</t>
        </is>
      </c>
      <c r="D36" t="inlineStr">
        <is>
          <t>indeed</t>
        </is>
      </c>
      <c r="E36">
        <f>HYPERLINK("https://www.indeed.com/viewjob?jk=ab5d8517375f9ada", "https://www.indeed.com/viewjob?jk=ab5d8517375f9ada")</f>
        <v/>
      </c>
      <c r="F36">
        <f>HYPERLINK("https://careers.uh.edu/jobs/program-manager-1-chemical-engineering-houston-texas-united-states-c476f3a6-8efb-45c6-bc06-16c344531c29", "https://careers.uh.edu/jobs/program-manager-1-chemical-engineering-houston-texas-united-states-c476f3a6-8efb-45c6-bc06-16c344531c29")</f>
        <v/>
      </c>
      <c r="G36" t="inlineStr">
        <is>
          <t>Houston, TX, US</t>
        </is>
      </c>
      <c r="H36" s="2" t="n">
        <v>46036</v>
      </c>
      <c r="I36" t="inlineStr">
        <is>
          <t>* 495509
* Full\-Time
* Chemical Engineering
**Add to favorites** **View favorites****Department**: Chemical Engineering **Salary**: Commensurate with Experience/Education
**Description**:
Manages the day\-to\-day operations of a small or medium\-sized university program or department. May supervise staff employees, student workers, programs or processes.
1\. Plans and develops procedures for administering a small or medium\-sized department or program.
2\. Oversees program expenditures and ensures adherence to budget.
3\. Provides guidance to subordinate staff and evaluates performance.
4\. May prepare or participate in the creation of abstracts, research reports, funding proposals, operations and procedure manuals, and other written material and documentation.
5\. Reviews reports of budgets and activities.
6\. Prepares ad hoc reports as needed.
7\. May administer grants and grant\-related related communications, scholarships and other operations.
8\. Develops, implements and maintains appropriate policies and procedures.
9\. May serve as property custodian for the department.
10\. Performs other job\-related duties as assigned.
**Additional Posting Information:**  
Experience will be considered in lieu of education.  
This position will support the Department Chair.
MQ: Education: Requires a thorough understanding of both theoretical and practical aspects of an analytical, technical or professional discipline; or the basic knowledge of more than one professional discipline. Knowledge of the discipline is normally obtained through a formal, directly job\-related 4 year degree from a college or university or an equivalent in\-depth specialized training program that is directly related to the type of work being performed. Experience: No experience required.
All positions at the University of Houston\-System are security sensitive and will require a criminal history check.
The University of Houston System and its universities are Equal Opportunity Institutions. Everyone is encouraged to apply.</t>
        </is>
      </c>
    </row>
    <row r="37">
      <c r="A37" t="inlineStr">
        <is>
          <t>in-2a1df0cb172a393c</t>
        </is>
      </c>
      <c r="B37" t="inlineStr">
        <is>
          <t>Program Manager 1 - The Honors College</t>
        </is>
      </c>
      <c r="C37" t="inlineStr">
        <is>
          <t>University of Houston</t>
        </is>
      </c>
      <c r="D37" t="inlineStr">
        <is>
          <t>indeed</t>
        </is>
      </c>
      <c r="E37">
        <f>HYPERLINK("https://www.indeed.com/viewjob?jk=2a1df0cb172a393c", "https://www.indeed.com/viewjob?jk=2a1df0cb172a393c")</f>
        <v/>
      </c>
      <c r="F37">
        <f>HYPERLINK("https://careers.uh.edu/jobs/program-manager-1-the-honors-college-houston-texas-united-states", "https://careers.uh.edu/jobs/program-manager-1-the-honors-college-houston-texas-united-states")</f>
        <v/>
      </c>
      <c r="G37" t="inlineStr">
        <is>
          <t>Houston, TX, US</t>
        </is>
      </c>
      <c r="H37" s="2" t="n">
        <v>46036</v>
      </c>
      <c r="I37" t="inlineStr">
        <is>
          <t>* 495561
* Full\-Time
* Dean, Honors College
**Add to favorites** **View favorites****Department**: Dean, Honors College **Salary**: 43,000 \- 48,900
**Description**:
Manages the day\-to\-day operations of a small or medium\-sized university program or department. May supervise staff employees, student workers, programs or processes.
1\. Plans and develops procedures for administering a small or medium\-sized department or program.
2\. Oversees program expenditures and ensures adherence to budget.
3\. Provides guidance to subordinate staff and evaluates performance.
4\. May prepare or participate in the creation of abstracts, research reports, funding proposals, operations and procedure manuals, and other written material and documentation.
5\. Reviews reports of budgets and activities.
6\. Prepares ad hoc reports as needed.
7\. May administer grants and grant\-related related communications, scholarships and other operations.
8\. Develops, implements and maintains appropriate policies and procedures.
9\. May serve as property custodian for the department.
10\. Performs other job\-related duties as assigned.
Additional qualifications:  
* Experience in Qualtrics and quantitative and qualitative data coding is required.
* Bilingual in Spanish is preferred.
Experience will be considered in lieu of education.
MQ: Education: Requires a thorough understanding of both theoretical and practical aspects of an analytical, technical or professional discipline; or the basic knowledge of more than one professional discipline. Knowledge of the discipline is normally obtained through a formal, directly job\-related 4 year degree from a college or university or an equivalent in\-depth specialized training program that is directly related to the type of work being performed. Experience: No experience required.
All positions at the University of Houston\-System are security sensitive and will require a criminal history check.
The University of Houston System and its universities are Equal Opportunity Institutions. Everyone is encouraged to apply.</t>
        </is>
      </c>
    </row>
    <row r="38">
      <c r="A38" t="inlineStr">
        <is>
          <t>in-b2b66f8af5e68056</t>
        </is>
      </c>
      <c r="B38" t="inlineStr">
        <is>
          <t>Program Manager - Forensic PACT</t>
        </is>
      </c>
      <c r="C38" t="inlineStr">
        <is>
          <t>Eliot Community Human Services</t>
        </is>
      </c>
      <c r="D38" t="inlineStr">
        <is>
          <t>indeed</t>
        </is>
      </c>
      <c r="E38">
        <f>HYPERLINK("https://www.indeed.com/viewjob?jk=b2b66f8af5e68056", "https://www.indeed.com/viewjob?jk=b2b66f8af5e68056")</f>
        <v/>
      </c>
      <c r="F38">
        <f>HYPERLINK("https://grnh.se/ufa22m4f8us", "https://grnh.se/ufa22m4f8us")</f>
        <v/>
      </c>
      <c r="G38" t="inlineStr">
        <is>
          <t>Tewksbury, MA, US</t>
        </is>
      </c>
      <c r="H38" s="2" t="n">
        <v>46036</v>
      </c>
      <c r="I38" t="inlineStr">
        <is>
          <t>### **Join Eliot – A Place to Belong, Grow, and Inspire Change**
At Eliot, your work has purpose. You'll be part of a compassionate, mission\-driven team committed to resilience, empowerment, and lasting change. We foster an inclusive workplace where all backgrounds and perspectives are valued, creating a culture of belonging and professional growth.
### **Benefits at Eliot**
We prioritize your well\-being, work\-life balance, and career growth. Benefit eligible positions include:
* **Generous Paid Time Off** – Vacation, sick time, and paid holidays
* **Comprehensive Benefits** – Medical, dental, and vision plans
* **Retirement Savings** – 401(k) with employer match
* **Wellness \&amp; Family Support** – Discounted fitness services and access to trusted childcare resources
* **Financial Security** – 100% company\-paid life and accidental death insurance
* **Professional Growth** – Ongoing training, career advancement programs, tuition reimbursement, and leadership development
Eliot is seeking a **PACT Forensic Program Manager** to join our Program for Assertive Community Treatment (PACT) team. PACT is an evidence\-based model that provides comprehensive treatment, rehabilitation, and support to adults with severe and persistent mental illness. This PACT team is designed to work with a specialized population with a history of criminal engagement.
The ideal candidate will have an understanding of the unique needs and history/background of the population. Experience in community\-based work with adults with severe and persistent mental illness are a must.
**Responsibilities:**
* Manage and oversee the day to day operation and overall service delivery.
* Provide clinical and administrative supervision to all staff in the program.
* Coordinate and oversee all case management related services for persons served in the program. This includes assisting persons served with managing income, insurance, accessing services and community resources, and scheduling/coordination of all medical and psychiatric appointments.
* Create a culture of hope, recovery and resiliency at the program to promote persons strengths, preferences and independence. Ensure the environment is recovery focused and encourages every person to achieve goals and transition to more independent living.
* Provide support and assistance with management of medical symptoms and conditions in accordance with person's needs.
* Ensure that the program provides and/or promotes access to meaningful day\-time activities that meet the persons' treatment plan goals and individual needs.
Participate in the Assessment process and the development of Treatment Plans.  
* 
**Qualifications:**
* Preferred\- Current Massachusetts clinical license including LICSW, LCSW, LMHC, LRC, LADCI, RN or OT
* Master's Degree in psychology, criminal justice, social work or related field
* Candidate must possess at least 2 years of experience working with behavioral health and/or justice involved individuals.
* Must have a strong commitment to mental health recovery.
* Ability to provide supervision and leadership to direct care staff.
* Skills to establish supportive relationships with persons served.
* Valid Massachusetts Drivers License
**Schedule:** Monday\-Friday, 9am\-5pm
At Eliot, we are committed to supporting you at every stage of your career, providing opportunities for growth, purpose, and community. We foster belonging in the workplace by identifying and removing barriers that may prevent individuals of all backgrounds from reaching their full potential, advancing into leadership roles, and fully engaging at all levels of the organization.
**Apply today and make a difference.**</t>
        </is>
      </c>
    </row>
    <row r="39">
      <c r="A39" t="inlineStr">
        <is>
          <t>in-927ea21761483377</t>
        </is>
      </c>
      <c r="B39" t="inlineStr">
        <is>
          <t>Technical Project / Product Manager (Contract)</t>
        </is>
      </c>
      <c r="C39" t="inlineStr">
        <is>
          <t>Tech Holding</t>
        </is>
      </c>
      <c r="D39" t="inlineStr">
        <is>
          <t>indeed</t>
        </is>
      </c>
      <c r="E39">
        <f>HYPERLINK("https://www.indeed.com/viewjob?jk=927ea21761483377", "https://www.indeed.com/viewjob?jk=927ea21761483377")</f>
        <v/>
      </c>
      <c r="F39">
        <f>HYPERLINK("https://grnh.se/0qpwxmz45us", "https://grnh.se/0qpwxmz45us")</f>
        <v/>
      </c>
      <c r="G39" t="inlineStr">
        <is>
          <t>New York, NY, US</t>
        </is>
      </c>
      <c r="H39" s="2" t="n">
        <v>46036</v>
      </c>
      <c r="I39" t="inlineStr">
        <is>
          <t>**About us:**
Working at Tech Holding isn't just a job, it's an opportunity to be a part of something bigger. We are a full\-service consulting firm that was founded on the premise of delivering predictable outcomes and high\-quality solutions to our clients. Our founders and team members have industry experience and have held senior positions in a wide variety of companies – from emerging startups to large Fortune 50 firms – and we have taken our combined experiences and developed a unique approach that is supported by the principles of deep expertise, integrity, transparency, and dependability.
**The Role:**  
We are seeking a dynamic Hybrid Project/Product Manager, for a project based assignment, to join our team and be embedded with our premier client. This is a unique opportunity for a self\-driven professional who thrives at the intersection of strategic product vision and tactical project execution. You'll be the driving force behind branding initiatives and digital platform enhancements, working hands\-on while maintaining the strategic perspective needed to deliver transformational results.
**Key Responsibilities:**
* **Drive Product Strategy \&amp; Execution**: Own the product roadmap for digital properties, including websites and applications, translating business objectives into actionable product features and enhancements
* **Lead Cross\-Functional Projects**: Manage end\-to\-end project lifecycles for branding and digital initiatives, ensuring on\-time, on\-budget delivery while maintaining exceptional quality standards
* **Champion Agile Methodologies**: Facilitate sprint planning, daily stand\-ups, retrospectives, and backlog refinement sessions with development teams and stakeholders
* **Stakeholder Management**: Build and maintain strong relationships with executives, marketing teams, technical teams, and external vendors through exceptional communication and negotiation
* **Strategic Planning**: Identify opportunities for platform optimization, brand consistency, and user experience improvements that align with business goals
* **Hands\-On Problem Solving**: Roll up your sleeves to remove blockers, resolve issues, and ensure teams have what they need to succeed
* **Bridge Communication Gaps**: Serve as the translator between technical teams and business stakeholders, ensuring alignment and shared understanding across all parties
* **Manage Competing Priorities**: Navigate multiple workstreams simultaneously while maintaining focus on highest\-impact initiatives
**Must Requirements:**
* 5\+ years of experience in project management, product management, or a hybrid role
* Proven Agile expertise with hands\-on experience facilitating Scrum ceremonies and managing product backlogs
* Exceptional communication skills \- both written and verbal \- with the ability to influence and inspire diverse audiences
* Cross\-functional leadership experience working with design, development, marketing, and executive teams
* Strategic mindset with demonstrated ability to connect tactical work to broader business objectives
* Self\-starter mentality with a track record of taking initiative and driving results independently
* Negotiation and conflict resolution skills to navigate competing priorities and stakeholder interests
* Experience with digital products, including websites, mobile applications, or similar platforms
* Must be based in NYC
**Preferred Qualifications:**
* Bachelor's degree in Communications or related field
* Experience in sports, entertainment, or lifestyle brands
* Background working in consulting or client\-facing roles
* Familiarity with brand management and digital marketing initiatives
* Experience with product management tools (Jira, Asana, Aha!, etc.)
**Must Have:**
* Excellent Communication
* Agile delivery leadership
* JIRA, Confluence
* KPI and CSF tracking/reporting
**Location:**
* Hudson Yards, New York, NY 10001
* Must be willing to go into the office 4x a week (Monday\-Thursday)
* **Applicants must be authorized to work for ANY employer in the US. We are unable to sponsor or take over sponsorship of an employment Visa at this time**
Tech Holding is proud to be an Equal Opportunity Employer and is committed to fostering a diverse and inclusive workplace. We welcome applicants from all backgrounds and experiences, and we consider qualified applicants without regard to race, color, religion, gender, sexual orientation, gender identity, national origin, disability, veteran status, or any other legally protected characteristic. If you require accommodation in the application process, please contact our HR</t>
        </is>
      </c>
    </row>
    <row r="40">
      <c r="A40" t="inlineStr">
        <is>
          <t>in-d7ba4b3a29fe4521</t>
        </is>
      </c>
      <c r="B40" t="inlineStr">
        <is>
          <t>["Product Manager","Product Manager"]</t>
        </is>
      </c>
      <c r="C40" t="inlineStr">
        <is>
          <t>Cencora</t>
        </is>
      </c>
      <c r="D40" t="inlineStr">
        <is>
          <t>indeed</t>
        </is>
      </c>
      <c r="E40">
        <f>HYPERLINK("https://www.indeed.com/viewjob?jk=d7ba4b3a29fe4521", "https://www.indeed.com/viewjob?jk=d7ba4b3a29fe4521")</f>
        <v/>
      </c>
      <c r="F40">
        <f>HYPERLINK("https://careers.cencora.com/us/en/job/CHKCENUSR2522627EXTERNALENUS/-Product-Manager-Product-Manager?utm_source=indeed&amp;utm_medium=phenom-feeds", "https://careers.cencora.com/us/en/job/CHKCENUSR2522627EXTERNALENUS/-Product-Manager-Product-Manager?utm_source=indeed&amp;utm_medium=phenom-feeds")</f>
        <v/>
      </c>
      <c r="G40" t="inlineStr">
        <is>
          <t>Conshohocken, PA, US</t>
        </is>
      </c>
      <c r="H40" s="2" t="n">
        <v>46036</v>
      </c>
      <c r="I40"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
**Summary:**
The Product Manager III is a member of the Group Purchasing Organization and typically responsible for a larger product or set of products that make up a larger solution. They are accountable for creating successful outcomes related to the analytic and reporting product(s) they manage by defining a product outcome and guiding the work of one or more development teams (possibly in collaboration with one or more Product Owners). The Product Manager III must have a very good understanding of their business and product(s) and will own the roadmap and product deliverables for those product(s). They are expected to uncover and prioritize unmet user needs, define and communicate a clear product vision, develop a detailed product strategy, prioritize features and initiatives, and ensure successful outcomes are aligned to business goals.
**Primary Duties \&amp; Responsibilities:**
* Deliver business value through a robust, prioritized, and appropriately sequenced roadmap
* Lead the end\-to\-end delivery of product enhancements and other changes to ensure the product meets the needs of internal and external stakeholders
* Proactively use data, customer insight, and intuition to identify and plan product improvements that will improve the customer experience, and increase the value of the solution to the business
* Own the GTM strategy for every release by defining target customer segments, release timing, customer communications, and helping to ensure the readiness of users, customer support, and commercial teams
* Communicate early and often with product management leadership to help coordinate work across teams, helping ensure that changes in their area do not negatively impact other teams or other features within the larger solution
* Actively collaborate with product management leadership and provide insight into higher\-level cross\-product roadmap and solution strategy
* Collaborate with key stakeholders and other teams to understand user needs then devise and prioritize solutions in collaboration with their team(s) to meet those needs
* Familiarity with competitor products, their value propositions and capabilities
* Plays a key role in delivering capabilities and features that enable a consistent and connected omnichannel
* Act as a leader within their product(s) and an evangelist of those product(s) across the company; works closely with sales, customer experience, customer service, marketing, pricing and others to this end
* Regularly engage with external customers early and often to understand requirements, able understand and apply information from user feedback sessions, and demonstrate new functionality to end users where appropriate
* Perform other duties as assigned
**Required Skills \&amp; Desired Experience:**
* Generally, requires a minimum of seven (7\) years related and progressively responsible experience as a Product Owner or Product Manager
* Reporting and analytic experience, ideally using Databricks, Power BI, and Salesforce
* Should understand the basics of business process modeling, software development lifecycle planning, and Agile software development
* Experience in Healthcare or Pharmaceutical industry is desirable.
* Ability to communicate at all levels of the organization (directors, managers, engineers, quality assurance analysts, end users, etc.)
* Proven ability to work with and influence cross\-functional teams without formal authority
* Ability to self\-learn and seek out knowledge to improve understanding of technology solutions
* Excellent verbal and written communication skills, strong attention to detail
* Strong problem solving, planning, analysis, teamwork, and organizational skills
* Confident presentation skills in small and large groups
* Excellent discovery and active listening skills
* Ability to use good judgment in conveying status and problem escalation
* Provides coaching and mentoring to team members
* Must be comfortable working on a team with daily accountability for keeping commitments
* Demonstrated working knowledge of product management and Agile software lifecycle methodologies
**What Cencora offers**
=======================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time**Salary Range\***
==================
$124,000 \- 190,850*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
**Affiliated Companies:**
=========================
Affiliated Companies: International Oncology Network Solutions Inc</t>
        </is>
      </c>
    </row>
    <row r="41">
      <c r="A41" t="inlineStr">
        <is>
          <t>in-7ca34601cfce46ca</t>
        </is>
      </c>
      <c r="B41" t="inlineStr">
        <is>
          <t>Product Owner - Scrum - Cheshire, CT</t>
        </is>
      </c>
      <c r="C41" t="inlineStr">
        <is>
          <t>The Lane Construction Corporation</t>
        </is>
      </c>
      <c r="D41" t="inlineStr">
        <is>
          <t>indeed</t>
        </is>
      </c>
      <c r="E41">
        <f>HYPERLINK("https://www.indeed.com/viewjob?jk=7ca34601cfce46ca", "https://www.indeed.com/viewjob?jk=7ca34601cfce46ca")</f>
        <v/>
      </c>
      <c r="F41">
        <f>HYPERLINK("https://career8.successfactors.com/career?career%5fns=job%5flisting&amp;company=saliniimprP2&amp;navBarLevel=JOB%5fSEARCH&amp;rcm%5fsite%5flocale=en%5fUS&amp;career_job_req_id=11687", "https://career8.successfactors.com/career?career%5fns=job%5flisting&amp;company=saliniimprP2&amp;navBarLevel=JOB%5fSEARCH&amp;rcm%5fsite%5flocale=en%5fUS&amp;career_job_req_id=11687")</f>
        <v/>
      </c>
      <c r="G41" t="inlineStr">
        <is>
          <t>Cheshire, CT, US</t>
        </is>
      </c>
      <c r="H41" s="2" t="n">
        <v>46036</v>
      </c>
      <c r="I41" t="inlineStr">
        <is>
          <t>Lane Construction is one of America’s leading construction companies, specializing in large, complex civil infrastructure. For 135 years, it has contributed to the development of the country’s transportation systems including the Interstate Highway System and a vast network of roads, bridges, airports, metros, and railways. Lane specializes in mobility, tunneling, and water resources to address sustainable development and climate change adaptation challenges.  
**Responsibilities**  
* Plans and heads the development effort of a scrum project.
* Envisions the final product, communicates the vision to the scrum team, motivates the team to subscribe to the vision, and sees the vision through to completion.
* Describes features, collaborates, and communicates with the delivery team, and accepts or rejects work results, and steers the project by tracking and forecasting its progress.
* Creates, maintains, and outlines work in the product backlog; determines which activities will produce the most business value; and prioritizes it based on business value.
* Identifies the market, the customer, the business domain, and the varying needs of different types of users, and works with the user group to make sound decisions and determine what features will be in the product release.
* Collaborates closely with the development team and customers to ensure there is a clear understanding of what features are needed in the product or application.
* Ensures management, stakeholders, and sponsors are informed and the vision is aligned with their goals; communicates the business benefits of the entire product and each individual feature.
* Performs other duties as assigned.
**R****equirements**  
* Bachelor’s Degree
* 5 years of experience
*Lane Construction offers a comprehensive benefits package with an excellent opportunity to grow and be part of one of the most respected names in the construction industry. Lane is an Equal Opportunity Employer.*</t>
        </is>
      </c>
    </row>
    <row r="42">
      <c r="A42" t="inlineStr">
        <is>
          <t>in-13101fa02752ee38</t>
        </is>
      </c>
      <c r="B42" t="inlineStr">
        <is>
          <t>Senior Digital Product Manager (Hybrid)</t>
        </is>
      </c>
      <c r="C42" t="inlineStr">
        <is>
          <t>American Family Insurance</t>
        </is>
      </c>
      <c r="D42" t="inlineStr">
        <is>
          <t>indeed</t>
        </is>
      </c>
      <c r="E42">
        <f>HYPERLINK("https://www.indeed.com/viewjob?jk=13101fa02752ee38", "https://www.indeed.com/viewjob?jk=13101fa02752ee38")</f>
        <v/>
      </c>
      <c r="F42">
        <f>HYPERLINK("https://click.appcast.io/t/ZwPTUxQ2CehQi0s0fcWBQpMDzVsD80i7QOKlZm9FSy4=", "https://click.appcast.io/t/ZwPTUxQ2CehQi0s0fcWBQpMDzVsD80i7QOKlZm9FSy4=")</f>
        <v/>
      </c>
      <c r="G42" t="inlineStr">
        <is>
          <t>Boston, MA, US</t>
        </is>
      </c>
      <c r="H42" s="2" t="n">
        <v>46036</v>
      </c>
      <c r="I42" t="inlineStr">
        <is>
          <t>The Senior Digital Product Manager is responsible for leading the strategy, vision, and guiding the team on the execution of digital (web \&amp; mobile) flows for American Family. This role is a key driver in transforming the customer and agent experience, ensuring seamless, intuitive, and high\-performing digital journeys that support business growth and operational excellence.  
In this highly collaborative position, you will partner with cross\-functional teams—including agency stakeholders, UX/UI designers, engineers, and data analysts —to define, develop, and optimize digital solutions. You will leverage data\-driven insights to inform product decisions, prioritize enhancements, and measure success against key performance indicators such as improved customer experience and increased digital conversion.  
The ideal candidate combines strategic thinking and visioning with hands\-on product development expertise. You will own the end\-to\-end product lifecycle, from ideation and roadmap planning to delivery and ongoing iteration, ensuring that the digital strategy aligns with organizational goals and delivers measurable value to both customers and agents.
Position Compensation Range:
$131,000\.00 \- $220,000\.00
Pay Rate Type:
Salary*Compensation may vary based on the job level and your geographic work location.* *Relocation support is offered for eligible candidates.*
**Key Responsibilities**
* Develop and communicate a clear product vision and strategy for the digital flows on mobile and web platforms.
* Lead cross\-functional teams to design, build, and launch innovative digital solutions that enhance the experience for agents and customers.
* Utilize data analytics and user feedback to drive continuous improvement and inform decision\-making.
* Collaborate with stakeholders to gather requirements, prioritize features, and ensure alignment with business objectives.
* Identifies objectives and key results and analyze customer feedback and usage metrics to recognize key pain points and opportunities to address
* Creates a collaborative, performance\-driven work environment by facilitating and fostering trust, transparency, and inclusion.
* Manage a team of product owners to set clear goals, provide feedback, perform performance assessments, and support on\-going development
* Stay current on industry trends, emerging technologies, and best practices in digital product management.
**Specialized Knowledge and Skills Requirements**
* Proven experience in digital product management, preferably within insurance, financial services, or a related field.
* Demonstrated success in managing mobile and web product development.
* Strong strategic, analytical, and problem\-solving skills.
* Excellent communication and collaboration abilities.
* Experience working with cross\-functional teams in an agile environment.
* Data\-driven mindset with a passion for delivering impactful digital experiences.
* Demonstrated effective leadership skills.
* Demonstrated experience providing customer\-driven solutions, support, or service.
* Extensive knowledge and expertise in own and related initiatives, line of business, and broader stakeholders
* Extensive knowledge and expertise in digital/technology products and iterative product lifecycles that solve business problems and provide exceptional customer experiences
* Demonstrated experience deriving key insights and patterns from customer interviews and using that input to clarify problem statements
* Demonstrated expertise navigating matrixed organizations and teams with proven success in leveraging the right people and resources at the right time for consistent and dependable delivery
**Travel Requirements**
* Up to 10%
### **Additional Information**
* Offer to selected candidate will be made contingent on the results of applicable background checks
* Offer to selected candidate is contingent on signing a non\-disclosure agreement for proprietary information, trade secrets, and inventions
* Sponsorship will not be considered for this position unless specified in the posting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American Family Insurance is committed to the full inclusion of all qualified individuals. If a reasonable accommodation is needed to participate in the job application or interview process, to perform essential job functions, and/or to receive other benefits and privileges of employment, please email AskHR@AmFam.com to request a reasonable accommodation.
\#LI\-YM1</t>
        </is>
      </c>
    </row>
    <row r="43">
      <c r="A43" t="inlineStr">
        <is>
          <t>in-0f6a308acd34a87d</t>
        </is>
      </c>
      <c r="B43" t="inlineStr">
        <is>
          <t>Senior Digital Product Manager (Hybrid)</t>
        </is>
      </c>
      <c r="C43" t="inlineStr">
        <is>
          <t>American Family Insurance</t>
        </is>
      </c>
      <c r="D43" t="inlineStr">
        <is>
          <t>indeed</t>
        </is>
      </c>
      <c r="E43">
        <f>HYPERLINK("https://www.indeed.com/viewjob?jk=0f6a308acd34a87d", "https://www.indeed.com/viewjob?jk=0f6a308acd34a87d")</f>
        <v/>
      </c>
      <c r="F43">
        <f>HYPERLINK("https://click.appcast.io/t/U2ZoYSSk0BlbDI3XAAx53BbFWXi7U8M6Y7aNWHSuG0w=", "https://click.appcast.io/t/U2ZoYSSk0BlbDI3XAAx53BbFWXi7U8M6Y7aNWHSuG0w=")</f>
        <v/>
      </c>
      <c r="G43" t="inlineStr">
        <is>
          <t>Madison, WI, US</t>
        </is>
      </c>
      <c r="H43" s="2" t="n">
        <v>46036</v>
      </c>
      <c r="I43" t="inlineStr">
        <is>
          <t>The Senior Digital Product Manager is responsible for leading the strategy, vision, and guiding the team on the execution of digital (web \&amp; mobile) flows for American Family. This role is a key driver in transforming the customer and agent experience, ensuring seamless, intuitive, and high\-performing digital journeys that support business growth and operational excellence.  
In this highly collaborative position, you will partner with cross\-functional teams—including agency stakeholders, UX/UI designers, engineers, and data analysts —to define, develop, and optimize digital solutions. You will leverage data\-driven insights to inform product decisions, prioritize enhancements, and measure success against key performance indicators such as improved customer experience and increased digital conversion.  
The ideal candidate combines strategic thinking and visioning with hands\-on product development expertise. You will own the end\-to\-end product lifecycle, from ideation and roadmap planning to delivery and ongoing iteration, ensuring that the digital strategy aligns with organizational goals and delivers measurable value to both customers and agents.
Position Compensation Range:
$131,000\.00 \- $220,000\.00
Pay Rate Type:
Salary*Compensation may vary based on the job level and your geographic work location.* *Relocation support is offered for eligible candidates.*
**Key Responsibilities**
* Develop and communicate a clear product vision and strategy for the digital flows on mobile and web platforms.
* Lead cross\-functional teams to design, build, and launch innovative digital solutions that enhance the experience for agents and customers.
* Utilize data analytics and user feedback to drive continuous improvement and inform decision\-making.
* Collaborate with stakeholders to gather requirements, prioritize features, and ensure alignment with business objectives.
* Identifies objectives and key results and analyze customer feedback and usage metrics to recognize key pain points and opportunities to address
* Creates a collaborative, performance\-driven work environment by facilitating and fostering trust, transparency, and inclusion.
* Manage a team of product owners to set clear goals, provide feedback, perform performance assessments, and support on\-going development
* Stay current on industry trends, emerging technologies, and best practices in digital product management.
**Specialized Knowledge and Skills Requirements**
* Proven experience in digital product management, preferably within insurance, financial services, or a related field.
* Demonstrated success in managing mobile and web product development.
* Strong strategic, analytical, and problem\-solving skills.
* Excellent communication and collaboration abilities.
* Experience working with cross\-functional teams in an agile environment.
* Data\-driven mindset with a passion for delivering impactful digital experiences.
* Demonstrated effective leadership skills.
* Demonstrated experience providing customer\-driven solutions, support, or service.
* Extensive knowledge and expertise in own and related initiatives, line of business, and broader stakeholders
* Extensive knowledge and expertise in digital/technology products and iterative product lifecycles that solve business problems and provide exceptional customer experiences
* Demonstrated experience deriving key insights and patterns from customer interviews and using that input to clarify problem statements
* Demonstrated expertise navigating matrixed organizations and teams with proven success in leveraging the right people and resources at the right time for consistent and dependable delivery
**Travel Requirements**
* Up to 10%
### **Additional Information**
* Offer to selected candidate will be made contingent on the results of applicable background checks
* Offer to selected candidate is contingent on signing a non\-disclosure agreement for proprietary information, trade secrets, and inventions
* Sponsorship will not be considered for this position unless specified in the posting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American Family Insurance is committed to the full inclusion of all qualified individuals. If a reasonable accommodation is needed to participate in the job application or interview process, to perform essential job functions, and/or to receive other benefits and privileges of employment, please email AskHR@AmFam.com to request a reasonable accommodation.
\#LI\-YM1</t>
        </is>
      </c>
    </row>
    <row r="44">
      <c r="A44" t="inlineStr">
        <is>
          <t>in-559af3321df8cfe0</t>
        </is>
      </c>
      <c r="B44" t="inlineStr">
        <is>
          <t>Product Owner</t>
        </is>
      </c>
      <c r="C44" t="inlineStr">
        <is>
          <t>Togetherwork</t>
        </is>
      </c>
      <c r="D44" t="inlineStr">
        <is>
          <t>indeed</t>
        </is>
      </c>
      <c r="E44">
        <f>HYPERLINK("https://www.indeed.com/viewjob?jk=559af3321df8cfe0", "https://www.indeed.com/viewjob?jk=559af3321df8cfe0")</f>
        <v/>
      </c>
      <c r="F44">
        <f>HYPERLINK("https://grnh.se/8gdxoj3y2us", "https://grnh.se/8gdxoj3y2us")</f>
        <v/>
      </c>
      <c r="G44" t="inlineStr">
        <is>
          <t>Austin, TX, US</t>
        </is>
      </c>
      <c r="H44" s="2" t="n">
        <v>46036</v>
      </c>
      <c r="I44" t="inlineStr">
        <is>
          <t>**Product Owner**
Department: Product  
Reports To: Vice President, Product \&amp; Strategy  
Location: Austin, TX  
Schedule: Full\-time \| Hybrid (2–3 days in office)
**Work Authorization Notice:** At this time, we are unable to provide immigration sponsorship for this position. Candidates must have current, unrestricted authorization to work in the country where the role is based.
**Overview**
At Togetherwork, we set a high bar for clarity, collaboration, and execution. While our Product \&amp; Strategy leaders own portfolio outcomes, our individual contributors play a critical role in translating strategy into high\-quality, customer\-centered execution. We work in close partnership with Engineering, Design, Delivery, CX, Support, Revenue, and Operations to build stable, modern products that help our customers succeed.
Product Owners at Togetherwork are hands\-on practitioners who bring strong analytical thinking, operational discipline, and a willingness to engage deeply in sprint\-level execution. We embrace innovation, including responsible use of AI, to improve insight, speed, and delivery quality. This role reflects those expectations: collaborative, detail\-oriented, and focused on delivering meaningful outcomes.
**What You'll Do**
* Translate product strategy and roadmap priorities into clear, actionable backlog items
* Own, prioritize, and maintain a well\-groomed product backlog across two Scrum teams
* Write detailed user stories and acceptance criteria that enable predictable delivery
* Participate fully in Scrum ceremonies, including planning, grooming, standups, reviews, and retrospectives
* Support onshore, offshore, or blended engineering teams by ensuring work is well\-defined and unblocked
* Create mockups, workflows, and prototypes in Figma to communicate feature intent
* Collaborate closely with Designers to refine UX flows and ensure customer needs are met
* Partner with Product Managers to ensure sprint execution aligns with roadmap goals
* Coordinate with Delivery Managers to keep releases on track and risks visible
* Support go\-to\-market efforts by clarifying feature functionality and customer value
* Incorporate customer insights from CX, Support, and analytics into backlog decisions
* Monitor product health, adoption, and feedback to inform continuous improvement  
Use AI tools to accelerate story writing, analysis, and workflow efficiency
**What You'll Bring**
* 2–4\+ years of experience as a Product Owner or in a similar Agile delivery role
* Strong experience writing user stories, acceptance criteria, and managing product backlogs
* Hands\-on experience creating mockups and prototypes using Figma
* Experience supporting two or more Scrum teams simultaneously
* Ability to work effectively with both onshore and offshore development teams
* Strong communication and facilitation skills across technical and non\-technical audiences
* Solid understanding of Agile delivery, UX principles, and technical constraints
* Ability to translate customer and business needs into clear implementation requirements
**Bonus Points**
* Experience supporting multiple product areas or complex portfolios
* Background working in SaaS or platform\-based software environments
* Experience using AI tools to improve backlog quality, discovery, or delivery workflows
* Comfort operating in fast\-paced, evolving product organizations
**Why You'll Love Working Here**
* High\-impact role translating strategy into real customer value
* Strong cross\-functional partnerships with Product, Engineering, Design, and Delivery
* Culture of ownership, clarity, and continuous improvement
* Opportunity to grow your product craft while supporting meaningful customer outcomes
* Hybrid work model that balances collaboration and flexibility
* Belonging at Togetherwork
**The Company offers a comprehensive employee benefits program, including**:
* Medical, dental, and vision insurance options
* 100% Employer paid short/long term disability
* Basic Life
* 401(k) option with 100% company match up to 4%
* Non\-Exempt employees have a generous accrual policy
* 10 sick days annually
* 10 company paid holidays
* 6 weeks paid parental leave
**Inclusion and Diversity:** Togetherwork is an Equal Employment Opportunity Employer. We are a company where diverse backgrounds, experiences and viewpoints are valued. Togetherwork does not make hiring or employment decisions on the basis of race, color, religion, gender, gender identity, sex, sexual orientation, disability, veteran status, age, ethnic or national origin, or any other basis protected by all local, state or federal laws.
CCPA Disclosure Notice: Click Here</t>
        </is>
      </c>
    </row>
    <row r="45">
      <c r="A45" t="inlineStr">
        <is>
          <t>in-cc5ea8cdb8fef146</t>
        </is>
      </c>
      <c r="B45" t="inlineStr">
        <is>
          <t>Product Manager</t>
        </is>
      </c>
      <c r="C45" t="inlineStr">
        <is>
          <t>Togetherwork</t>
        </is>
      </c>
      <c r="D45" t="inlineStr">
        <is>
          <t>indeed</t>
        </is>
      </c>
      <c r="E45">
        <f>HYPERLINK("https://www.indeed.com/viewjob?jk=cc5ea8cdb8fef146", "https://www.indeed.com/viewjob?jk=cc5ea8cdb8fef146")</f>
        <v/>
      </c>
      <c r="F45">
        <f>HYPERLINK("https://grnh.se/b0y4dxg62us", "https://grnh.se/b0y4dxg62us")</f>
        <v/>
      </c>
      <c r="G45" t="inlineStr">
        <is>
          <t>Austin, TX, US</t>
        </is>
      </c>
      <c r="H45" s="2" t="n">
        <v>46036</v>
      </c>
      <c r="I45" t="inlineStr">
        <is>
          <t>**Product Manager (Hybrid – Austin, TX)**
**Location:** Austin, TX (Hybrid, 2–3 days/week onsite)
**Compensation:** Competitive base \+ bonus \+ benefits
**Work Authorization Notice:** At this time, we are unable to provide immigration sponsorship for this position. Candidates must have current, unrestricted authorization to work in the country where the role is based.
**About Us**
Togetherwork is a $250M recurring revenue SaaS business with over 33 software applications serving 12\+ vertical markets. We exist to help communities, organizations, and businesses thrive by delivering software solutions tailored to their unique needs.
With our new headquarters on South Congress in Austin, TX, we are entering an exciting phase of growth. We work hard and play hard. We love our customers, we innovate with purpose, and we won't stop until we've delighted every client across the diverse ecosystem we serve.
**About This Role**
Togetherwork is seeking a highly strategic, customer\-obsessed **Product Manager** to help shape the future of our products and platform. In this role, you will own the full lifecycle of product strategy and delivery—from early discovery and business case development to launch execution and post\-release optimization.
You'll partner across engineering, UX, product owners, sales, and customer success to identify meaningful customer needs, design innovative solutions, and bring high\-impact products to market. This position is ideal for a product leader who thrives in discovery, loves solving complex customer problems, and is eager to leverage AI and modern tools to accelerate product development.
**What** **You'll** **Do**
**Product Strategy \&amp; Planning**
* Develop product strategies and roadmaps that address real customer problems and deliver meaningful business outcomes.
* Build strong business cases for new investments, including financial models, ROI analysis, and competitive insights.
* Present recommendations, roadmaps, and updates to senior leadership, clearly articulating the "why" behind product decisions.
* Prioritize initiatives based on customer impact, strategic fit, revenue potential, and operational constraints.
**Customer Discovery \&amp; Innovation**
* Engage directly with customers through interviews, workshops, testing sessions, and beta programs.
* Champion a customer\-first mindset while balancing business goals and technical feasibility.
* Explore new technologies, business models, and AI\-driven capabilities to keep our products ahead of market trends.
* Leverage AI tools for research synthesis, ideation, prototyping, QA, analytics, and workflow efficiencies.
**Cross\-Functional Collaboration**
* Partner with product owners to translate strategy into user stories, acceptance criteria, and prioritized backlogs.
* Work closely with engineering teams to deliver features with clarity, quality, and velocity.
* Collaborate with UX/UI designers to create intuitive, beautiful, and impactful product experiences.
* Support go\-to\-market efforts by partnering with sales, marketing, and customer success on messaging, adoption, and launch readiness.
**Execution \&amp; Measurement**
* Own the entire product lifecycle—from discovery through launch and ongoing optimization.
* Define, track, and report key product metrics to assess performance and inform future iterations.
* Make thoughtful tradeoffs between speed, scope, and quality to ensure successful releases.
* Foster a culture of rapid experimentation, learning, and continuous improvement.
**What** **You'll** **Bring**
**Experience**
* 3\-5 years of product management experience in B2B SaaS, nonprofit software, consumer apps, or related industries.
* Proven success building and launching products that generate measurable business impact.
* Experience working in multi\-product, complex environments.
**Skills \&amp; Capabilities**
* Strong business and financial acumen, including ROI modeling and strategic prioritization.
* Excellent written and verbal communication skills, with the ability to influence executives and cross\-functional partners.
* Deep customer empathy and a track record of translating insights into successful products.
* Hands\-on experience collaborating with engineering, design, and product owners in Agile environments.
* Comfort with AI and automation tools—and enthusiasm for applying them throughout the product lifecycle.
* Analytical mindset and data\-driven approach to decision\-making.
**Mindset**
* Curious, growth\-oriented, and passionate about building exceptional software.
* Thrives in fast\-paced, dynamic, and highly collaborative environments.
* Comfortable challenging assumptions and taking smart, informed risks.
* Excited to work in\-person with peers and leaders in our Austin HQ 2–3 days per week.
**Why This Role Matters**
**Impact:** Influence the future of a $250M SaaS portfolio spanning 33 products and multiple industries.
**Innovation:** Use cutting\-edge AI tools to accelerate development and deliver differentiated value.
**Growth:** Build your career in a culture that values creativity, experimentation, and strategic thinking.
**Collaboration:** Work with passionate teams across engineering, design, product, and go\-to\-market functions.
**Culture:** Join a company that works hard, plays hard, and relentlessly focuses on customer success.
**Compensation \&amp; Benefits**
**Base Salary:** Competitive
**Bonus:** Performance\-based
**Benefits:**
* Medical, dental, and vision insurance options
* 100% employer\-paid short/long\-term disability
* Basic life insurance
* 401(k) with 100% company match up to 4%
* Flexible paid personal/vacation time built on mutual trust and accountability
* 10 sick days annually
* 10 company\-paid holidays
* 6 weeks paid parental leave
**Inclusion and Diversity**
Togetherwork is an Equal Employment Opportunity Employer. We value diverse backgrounds, experiences, and perspectives. Employment decisions are made without regard to race, color, religion, gender, gender identity, sexual orientation, disability, veteran status, age, national origin, or any other protected category under applicable law.
CCPA Disclosure Notice: Click Here</t>
        </is>
      </c>
    </row>
    <row r="46">
      <c r="A46" t="inlineStr">
        <is>
          <t>in-90cec953e5539a7a</t>
        </is>
      </c>
      <c r="B46" t="inlineStr">
        <is>
          <t>Product Manager Fiber Cable Assembly</t>
        </is>
      </c>
      <c r="C46" t="inlineStr">
        <is>
          <t>CommScope</t>
        </is>
      </c>
      <c r="D46" t="inlineStr">
        <is>
          <t>indeed</t>
        </is>
      </c>
      <c r="E46">
        <f>HYPERLINK("https://www.indeed.com/viewjob?jk=90cec953e5539a7a", "https://www.indeed.com/viewjob?jk=90cec953e5539a7a")</f>
        <v/>
      </c>
      <c r="F46">
        <f>HYPERLINK("https://jobs.commscope.com/job/Shakopee-Product-Manager-Fiber-Cable-Assembly-Minn/1350107900/?feedId=221800&amp;utm_source=Indeed&amp;utm_campaign=Commscope_Indeed", "https://jobs.commscope.com/job/Shakopee-Product-Manager-Fiber-Cable-Assembly-Minn/1350107900/?feedId=221800&amp;utm_source=Indeed&amp;utm_campaign=Commscope_Indeed")</f>
        <v/>
      </c>
      <c r="G46" t="inlineStr">
        <is>
          <t>Shakopee, MN, US</t>
        </is>
      </c>
      <c r="H46" s="2" t="n">
        <v>46036</v>
      </c>
      <c r="I46" t="inlineStr">
        <is>
          <t>Responsible for developing a new product line into a profitable product line, or expansion of existing products into new regions and/or major customer through PLM team/s. Strong emphasis on bringing new products and line extensions to market but also has overall product line management responsibility. Responsibilities include product line strategy, new product development, pricing, profitability, and marketing. In addition to classic product management functions, individual will successfully commercially manage new products transitioned from a second product management team. Position has cross\-functional responsibility working with Sales, Engineering, Manufacturing, and Distribution Channels. Recruit, select, manage and develop employees. Located in Shakopee, Minnesota.
**Duties \&amp; Responsibilities:**
* Manage the product life cycle. Accountability for the product lines P\&amp;L, including: revenue attainment, gross margin and operating income. Supports sales and marketing efforts by leading research of market opportunities and competitors with existing product line in assigned markets. Manage and develop sales and marketing presentations where additional technical expertise is required on specific solutions, applications, architectures, or assigned markets. Responsible for providing expertise and maintaining product evaluations on competitive product offers and acts as main customer contact on issues related to the product.
* Through close contact with target market and customers, responsible for new product visioning and idea generation. Attends trade shows, reviews market / trade publications and interfaces with sales workforce. Participates in technology and product roadmap development. Develops business cases for new product development including financial evaluations (RR, ROI, OPP, Cost), competitive and market analyses, customer needs, critical success factors, sales justifications, and other business case components. Defines target markets / customers and product positioning.
* Develops product definition including price, cost and performance objectives, reliability and functional features, manufacturability, and life cycle forecasts. Identifies and selects sales channels to distribute products to targeted markets / customers. Develops new production introduction plan.
* Responsible for the launch of new products. Initiates and participates in the development of all marketing collateral material. Establishes sales promotions and special incentive programs. Prepares technical databases for proposal generation. Develops and conducts product, market and application training. Ensures successful transition to manufacturing. Supports sales through joint sales calls. Conducts product review meetings. Establishes and monitors product introduction budget
* Responsible for profit and loss (P\&amp;L), evaluating, recommending and initiating cost reductions, discount analyses and inventory levels. Develops and evaluates opportunities for new products and / or line extensions. Identifies new target markets and related strategies.
* Recruit, select, manage and develop employees.
* Make decisions regarding hiring, promotions, salary adjustments, discipline, and any other changes of employee status.
**Education \&amp; Experience**
* Bachelor's degree in related curriculum such as business administration or related fields
* 12 years of combined product management and professional service experience; 5 years of management experience
* Up to 20% travel
* Salary range is $90,000\-$115,000</t>
        </is>
      </c>
    </row>
    <row r="47">
      <c r="A47" t="inlineStr">
        <is>
          <t>in-15f4b7612cc417f6</t>
        </is>
      </c>
      <c r="B47" t="inlineStr">
        <is>
          <t>Sr./Principal Product Manager, Account Management &amp; Parental Trust</t>
        </is>
      </c>
      <c r="C47" t="inlineStr">
        <is>
          <t>Roblox</t>
        </is>
      </c>
      <c r="D47" t="inlineStr">
        <is>
          <t>indeed</t>
        </is>
      </c>
      <c r="E47">
        <f>HYPERLINK("https://www.indeed.com/viewjob?jk=15f4b7612cc417f6", "https://www.indeed.com/viewjob?jk=15f4b7612cc417f6")</f>
        <v/>
      </c>
      <c r="F47">
        <f>HYPERLINK("https://grnh.se/9mhmxkz81us", "https://grnh.se/9mhmxkz81us")</f>
        <v/>
      </c>
      <c r="G47" t="inlineStr">
        <is>
          <t>San Mateo, CA, US</t>
        </is>
      </c>
      <c r="H47" s="2" t="n">
        <v>46036</v>
      </c>
      <c r="I47"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Accounts org owns the foundational experiences that enable users to securely access Roblox, configure their presence, and manage how they interact with the platform. Within Accounts, the Account Management team is responsible for the surfaces and systems that give kids and parents control, clarity, and confidence over their experience.
This includes some of the highest\-impact features on Roblox, such as:
* Parental controls and consent
* Account settings and preferences
* Account types and age\-aware experiences
* Platform\-level settings required to support safety and regulatory compliance
We're looking for a **Senior**/**Principal Product Manager** to lead the **Account Management** team and define how these experiences evolve as Roblox continues to grow globally. This is a highly visible role with executive exposure and real\-world impact on millions of families globally.
**You will:**
* Set product vision and strategy across user settings, parental consent and controls, account types, and compliance\-driven capabilities \- balancing growth, safety, usability, and regulatory requirements.
* Lead Parental Trust experiences evolving parental consent, controls, and visibility tools that are easy to discover, simple to set up, and adaptable to different levels of parental involvement.
* Build trust through clarity, providing relevant and personalized information that helps parents understand how Roblox works, how safety protections apply, and how their child engages on the platform.
* Drive cross\-functional execution by partnering with Engineering, Design, Data Science, Trust \&amp; Safety, Policy, Legal, and Communications to deliver scalable, user\-centered solutions.
* Navigate complex tradeoffs across privacy, safety, compliance, and user experience, and clearly communicate decisions to senior stakeholders.
* Support compliance and platform integrity by translating evolving regulatory requirements into thoughtful, user\-friendly account experiences.
* Measure and improve impact by defining success metrics for adoption, engagement, trust, and retention, and partnering with analytics teams to iterate based on results.
### **You have:**
* 8\+ years of product management experience leading large\-scale, consumer\-facing platforms.
* Proven ability to own ambiguous, high\-impact product areas and drive alignment across cross\-functional and executive stakeholders.
* Strong analytical and user\-centered mindset, with experience partnering with data science on metrics, experimentation, and decisions.
* Track record of delivering simple, trusted experiences in high\-stakes domains (identity, account management, safety, privacy, or family products).
* Familiarity with regulatory or compliance\-driven product development.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48">
      <c r="A48" t="inlineStr">
        <is>
          <t>in-e3eff48e10130891</t>
        </is>
      </c>
      <c r="B48" t="inlineStr">
        <is>
          <t>Sr. Product Manager</t>
        </is>
      </c>
      <c r="C48" t="inlineStr">
        <is>
          <t>Academy Sports + Outdoors</t>
        </is>
      </c>
      <c r="D48" t="inlineStr">
        <is>
          <t>indeed</t>
        </is>
      </c>
      <c r="E48">
        <f>HYPERLINK("https://www.indeed.com/viewjob?jk=e3eff48e10130891", "https://www.indeed.com/viewjob?jk=e3eff48e10130891")</f>
        <v/>
      </c>
      <c r="F48">
        <f>HYPERLINK("https://careers.academy.com/us/en/job/ASQASMUSR320384EXTERNALENUS/Sr-Product-Manager?utm_source=indeed&amp;utm_medium=phenom-feeds", "https://careers.academy.com/us/en/job/ASQASMUSR320384EXTERNALENUS/Sr-Product-Manager?utm_source=indeed&amp;utm_medium=phenom-feeds")</f>
        <v/>
      </c>
      <c r="G48" t="inlineStr">
        <is>
          <t>Katy, TX, US</t>
        </is>
      </c>
      <c r="H48" s="2" t="n">
        <v>46036</v>
      </c>
      <c r="I48" t="inlineStr">
        <is>
          <t>Come work at a place where we take pride in creating a workplace environment that values hard work, commitment, and growth.
**Job Description:**
--------------------
**Education**:
* Bachelor’s degree in business management, computer science, information systems or another closely related field or equivalent years of related work experience required.
**Work Experiences:**
* 4\-8\+ years Digital Product Management experience, preferably in Omnichannel, eCommerce, or Digital
* 4\-8\+ years of Product Development experience for a consumer facing website or digital product, preferably Omnichannel or eCommerce, with a proven track record of successfully launching new product features
**Skills:**
* Must be entrepreneurial.
* Has the ability to identify important KPIs without instruction and champion new ideas leveraging insights and metrics; has the confidence and knowledge to successfully own the product and deliver results.
* Passion for user\-centric design; commitment to research, competitive analysis, user/stakeholder reviews, analytics, and unbiased recommendations in a highly collaborative environment; must be able to align cross functional teams around best practices without assistance.
* Lead effectively; guide and facilitate team to push things forward, inspire others to think bigger, and understand group dynamics to get desired results without negatively impacting relationships.
* Assist in developing other Product Managers and team members on how to deliver effective results within their team oversight.
* Excellent communication skills: effective at presenting, pitching, and influencing outcomes that move the business forward.
* Ability to develop effective relationships and partnerships with internal/external business partners at all levels of the organization.
* Strong project management skills with ability to multi\-task and prioritize objectives.
* Deep technical understanding with the ability to communicate effectively with engineers and understand technical tradeoffs.
* Ability to prioritize technical features into the overall roadmap without any assistance; ability to effectively communicate prioritization logic to all stakeholders.
* Ability to remain organized, pay strict attention to detail, and meet critical deadlines within a high volume, fast\-paced environment.
* Ability to resolve Production issues while prioritizing resolution (immediate Production updates, short\-term fixes, and long\-term fixes) without assistance and communicate to Stakeholders.
* Know how to execute; ability to stay focused and motivate others to execute as efficiently as possible; ability to decide when holding a date will lead to a quality failure of the initiative and communicate to stakeholders.
* Have a background in many fields and can relate cross functionally between design, engineering, and marketing.
* Experience in JIRA or similar tools preferred but not required.
* Experience with Agile methodology and principles.
**Responsibilities:**
* Deliver sales and profitability for Academy.com and Academy Sports \+ Outdoors Overall Business
* Create and manage a product roadmap, deep understanding of customers’ needs, the product, and the competitive landscape.
* Champion relationships with key leaders and stakeholders to promote collaboration and enterprise\-wide alignment.
* Define and benchmark KPIs for business case development and prioritization.
* Collaborate with other product managers to enhance interdependent platform components.
* Develop and manage roadmap, balancing quick wins and platform investments for maximum impact in the least amount of time.
* Continuously monitor and report on KPIs for opportunities to innovate and improve.
* Partner with other PDMs and cross functional teams to maximize revenue and customer experience opportunities.
* With an in\-depth understanding of what makes a user experience good or bad, partner with UX Team to ideate and deliver a better site experience for our customers, submit ideas, and regularly participate in A/B test conversations.
* Ensure successful tests are translated into new site features and launched for our customers.
* Act as new business opportunity evangelist for enhancing the multi\-device user experience.
* Lead by being at the forefront of identifying impacts and capabilities offered with new mobile operating system/platform releases.
* Evaluate new solution offerings, vendor evaluation matrix, and selection.
* Write user stories, maintain a prioritized backlog to support the roadmaps and business objectives.
* Ensure continuous delivery of value\-add features for our customers, working with delivery partners to define the when.
* Partner with User Acceptance Testers to ensure the delivered product meets the business objectives and launch criteria.
* Perform pre/post launch analysis to measure and report on product performance metrics.
* Be proactive and utilize critical thinking to make the right decisions for our customers and business.
* Be a team player and support your team members.
* Develop a thorough understanding of Academy’s policies, procedures, and safety rules.
* Duties may change; team member may be required to perform other duties as assigned.
**Physical Requirements \&amp; Attendance:**
* Acceptable level of hearing and vision to perform job duties.
* Adhere to company work hours, policies, procedures, and rules governing professional staff behavior.
* Regular in office attendance is required.
Full time**Equal Employment Opportunity**
================================
Academy is an Equal Opportunity Employer and does not discriminate with regard to employment opportunities or practices on the basis of race, religion, national origin, sex, age, disability, gender identity, sexual orientation, or any other category protected by law.</t>
        </is>
      </c>
    </row>
    <row r="49">
      <c r="A49" t="inlineStr">
        <is>
          <t>in-f5f9b6337c68a2da</t>
        </is>
      </c>
      <c r="B49" t="inlineStr">
        <is>
          <t>Product Manager Digital</t>
        </is>
      </c>
      <c r="C49" t="inlineStr">
        <is>
          <t>Academy Sports + Outdoors</t>
        </is>
      </c>
      <c r="D49" t="inlineStr">
        <is>
          <t>indeed</t>
        </is>
      </c>
      <c r="E49">
        <f>HYPERLINK("https://www.indeed.com/viewjob?jk=f5f9b6337c68a2da", "https://www.indeed.com/viewjob?jk=f5f9b6337c68a2da")</f>
        <v/>
      </c>
      <c r="F49">
        <f>HYPERLINK("https://careers.academy.com/us/en/job/ASQASMUSR320383EXTERNALENUS/Product-Manager-Digital?utm_source=indeed&amp;utm_medium=phenom-feeds", "https://careers.academy.com/us/en/job/ASQASMUSR320383EXTERNALENUS/Product-Manager-Digital?utm_source=indeed&amp;utm_medium=phenom-feeds")</f>
        <v/>
      </c>
      <c r="G49" t="inlineStr">
        <is>
          <t>Katy, TX, US</t>
        </is>
      </c>
      <c r="H49" s="2" t="n">
        <v>46036</v>
      </c>
      <c r="I49" t="inlineStr">
        <is>
          <t>Come work at a place where we take pride in creating a workplace environment that values hard work, commitment, and growth.
**Job Description:**
--------------------
**Education**:
* Bachelor’s degree in business management, computer science, information systems or another closely related field or equivalent years of related work experience required.
**Work Experiences:**
* 3\-6\+ years of Digital Product Management experience, preferably in Omnichannel, eCommerce, Order Management, or Digital
* 3\-6\+ years of Product Development experience for a consumer\-facing website, Order management, or digital product, preferably Omnichannel or eCommerce, with a proven track record of successfully launching new product features
**Skills:**
* Must be entrepreneurial; champions new ideas leveraging insights and metrics; has the confidence and knowledge to successfully own the product and deliver results.
* Passion for user\-centric design; commitment to research, competitive analysis, user/stakeholder reviews, analytics, and unbiased recommendations in a highly collaborative environment.
* Lead effectively; guide and facilitate the team to push things forward, inspire others to think bigger, and understand group dynamics to get desired results.
* Excellent communication skills: effective at presenting, pitching, and influencing outcomes that move the business forward.
* Ability to develop effective relationships and partnerships with internal/external business partners.
* Strong project management skills with the ability to multi\-task and prioritize objectives.
* Deep technical understanding with the ability to communicate effectively with engineers and understand technical tradeoffs.
* Ability to remain organized, pay strict attention to detail, and meet critical deadlines within a high\-volume, fast\-paced environment.
* Know how to execute; ability to stay focused and motivate others to execute as efficiently as possible.
* Have a background in many fields and can relate cross\-functionally between design, engineering, and marketing.
* Experience in JIRA or similar tools preferred but not required.
* Experience with Agile methodology and principles.
* Experience in Data analytics tools.
**Responsibilities:**
* Deliver sales and profitability for Academy.com and Academy Sports \+ Outdoors Overall Business.
* Create and manage a product roadmap, a deep understanding of customers’ needs, the product, and the competitive landscape.
* Champion relationships with key leaders and stakeholders to promote collaboration and enterprise\-wide alignment.
* Defining, designing, and driving the development and management of the features and functionality of our Digital experiences.
* Achieves results through facilitation and collaboration with key stakeholders from across the business and information technology.
* Define and benchmark KPIs for business case development and prioritization.
* Collaborate with other product managers to enhance interdependent platform components.
* Develop and manage roadmap, balancing quick wins and platform investments for maximum impact in the least amount of time.
* Continuously monitor and report on KPIs for opportunities to innovate and improve.
* Partner with other PDMs and cross\-functional teams to maximize revenue and customer experience opportunities.
* With an in\-depth understanding of what makes a user experience good or bad, partner with UX Team to ideate and deliver a better site experience for our customers, submit ideas, and regularly participate in A/B test conversations.
* Ensure successful tests are translated into new site features and launched for our customers.
* Act as a new business opportunity evangelist for enhancing the multi\-device user experience.
* Lead by being at the forefront of identifying impacts and capabilities offered with new mobile operating system/platform releases.
* Evaluate new solution offerings, vendor evaluation matrix, and selection.
* Write user stories, maintain a prioritized backlog to support the roadmaps and business objectives.
* Ensure continuous delivery of value\-add features for our customers, working with delivery partners to define the when.
* Partner with the Quality assurance team and User Acceptance Testers to ensure the delivered product meets the business objectives and launch criteria.
* Perform pre/post\-launch analysis to measure and report on product performance metrics.
* Be proactive and utilize critical thinking to make the right decisions for our customers and business.
* Be a team player and support your team members.
* Develop a thorough understanding of the Academy’s policies, procedures, and safety rules.
* Duties may change; team members may be required to perform other duties as assigned.
**Physical Requirements \&amp; Attendance:**
* Acceptable level of hearing and vision to perform job duties.
* Adhere to company work hours, policies, procedures, and rules governing professional staff behavior.
* Regular attendance required.
Full time**Equal Employment Opportunity**
================================
Academy is an Equal Opportunity Employer and does not discriminate with regard to employment opportunities or practices on the basis of race, religion, national origin, sex, age, disability, gender identity, sexual orientation, or any other category protected by law.</t>
        </is>
      </c>
    </row>
    <row r="50">
      <c r="A50" t="inlineStr">
        <is>
          <t>in-e3577d5f75cffaf8</t>
        </is>
      </c>
      <c r="B50" t="inlineStr">
        <is>
          <t>Behavioral Health Program Manager (HCPM/MPD)</t>
        </is>
      </c>
      <c r="C50" t="inlineStr">
        <is>
          <t>State of Washington</t>
        </is>
      </c>
      <c r="D50" t="inlineStr">
        <is>
          <t>indeed</t>
        </is>
      </c>
      <c r="E50">
        <f>HYPERLINK("https://www.indeed.com/viewjob?jk=e3577d5f75cffaf8", "https://www.indeed.com/viewjob?jk=e3577d5f75cffaf8")</f>
        <v/>
      </c>
      <c r="F50">
        <f>HYPERLINK("https://www.governmentjobs.com/careers/washington/jobs/5199873/behavioral-health-program-manager-hcpm-mpd", "https://www.governmentjobs.com/careers/washington/jobs/5199873/behavioral-health-program-manager-hcpm-mpd")</f>
        <v/>
      </c>
      <c r="G50" t="inlineStr">
        <is>
          <t>Olympia, WA, US</t>
        </is>
      </c>
      <c r="H50" s="2" t="n">
        <v>46036</v>
      </c>
      <c r="I50" t="inlineStr">
        <is>
          <t>**Description**
---------------
**Behavioral Health Program Manager (HCPM/MPD)**
**71101109**
Are you seeking a meaningful career impacting healthcare delivery throughout the state? HCA is seeking a team member with knowledge of contract management principles and behavioral health and crisis systems. This position works with internal and external partners to develop and implement quality improvement processes and monitoring tools applied to behavioral health systems across the state. The ideal candidate will be able to pivot as community, agency, or legislative needs evolve. If you are a strong relationship builder who is able to adapt to changes in your work, this may be the opportunity for you!
*All HCA employees will apply an equity lens to their work, which may include but is not limited to all analyses of core business and processes*.
**About the division:**
The mission of the Medicaid Programs Division (MPD) in the Health Care Authority (HCA) is to provide high quality administrative services to assist in the purchase and delivery of medical assistance program services to approximately 1\.9 million Washington citizens.
The Strategic Design and Program Oversight (SDPO) Section works across the agency, between agencies (Department of Health, Department of Social and Health Services), and in partnership with health care providers and community stakeholders to develop and manage high\-quality, evidence\-based health care programs and purchase services that enhance Medicaid clients’ and clients of the crisis system’s access to care. SDPO has the responsibility of making policy decisions and implementing and overseeing system design improvements, in accordance with federal and state regulation.
**About the position:**
This position will work to implement elements of legislation related to E2SHB 1134 of 2023\. This position is the subject matter expert in the areas related to the establishment of the endorsed mobile rapid response crisis team and community\-based crisis team performance program. This position will serve as a statewide resource for questions and issues related to implementing mobile rapid response crisis teams and community\-based crisis team to seek endorsement. The position is also responsible for working with the appropriate departments to ensure all mobile rapid response crisis teams or community\-based crisis teams meet or exceed necessary requirements.
**This position is eligible to telework and is typically not required to report on\-site.**The default assigned work location of all Health Care Authority (HCA) positions – both on\-site and telework eligible positions – is within the State of Washington. This position reports to Olympia, WA. Frequency of onsite work will vary based on business and operational needs. **HCA has currently suspended the ability to support out\-of\-state telework.**
**Duties**
----------
**Some of what you will do:**
* Serve as primary MPD contact and, in collaboration with other HCA divisions, establish and monitor an endorsed mobile rapid response crisis team and community\-based mobile crisis team contracting performance program to be implemented statewide.
* Oversee contract language related to the establishment of grants to support mobile rapid response crisis teams and community\-based crisis teams.
* Partner with HCA’s Division of Behavioral Health and Recovery (DBHR) to develop and issue establishment grants.
* Develop and implement processes to issue performance payments to mobile response crisis teams and community\-based crisis teams that have met certain expectations.
* Provide expert technical assistance:
* To contractors around compliance with federal and state regulations.
* In development of contract amendments related to endorsed mobile rapid response crisis teams.
* In response to barriers to quality behavioral health care.
* Serve as the primary point of contact and subject matter expert for coordination of issues related to quality development, assessment, and performance of endorsed mobile rapid response crisis teams.
* Serve as subject matter expert for statewide management of Behavioral Health Administrative Service Only (BH\-ASO) contracts
* Develop and review monitoring tools and materials to ensure quality of care and adherence to best practices and federal and state requirements
* Support the process of streamlining and coordination of contracts within the MPD team to develop more efficient practices, including policies and procedures.
* Act as a subject matter expert to provide input on substantive areas of statewide policy and/or legislation, develop and provide recommendations on needed improvement related to programs, policies, and contracts.
* Provide expert technical assistance and corrective action as needed in response to non\-compliance with elements of the contract.
**Qualifications**
------------------
**Required qualifications:**
Qualifying candidates will meet **one** of the following criteria options:
Option 1:
* Master’s degree from an accredited college with a major study in psychology, sociology, public health, public administration, social work, or closely related field and
* Three (3\) years of supervisory or consultative experience in working with the public behavioral health system with duties and responsibilities in the specialized field of behavioral health treatment services.
Option 2:
* Bachelor’s degree with major study in psychology, sociology, public health, public administration, social work, or closely related field and
* Five (5\) years of supervisory or consultative experience in working with the public behavioral health system with duties and responsibilities in the specialized field of behavioral health treatment services.
Option 3:
* Associate degree in a related field and
* Seven (7\) years of supervisory or consultative experience in working with the public behavioral health system with duties and responsibilities in the specialized field of behavioral health treatment services.
Option 4:
* Nine (9\) years of supervisory or consultative experience in working with the public behavioral health system with duties and responsibilities in the specialized field of behavioral health treatment services.
Option 5:
* One year as a Health Care Program Specialist in state service.
**Required competencies:**
* The ability to take action to learn and grow.
* The ability to take action to meet the needs of others.
* Previously demonstrated knowledge of the State of Washington’s behavioral health system.
* Previously demonstrated experience working collaboratively with multiple stakeholders, including other government agencies, county commissioners, municipal leaders, community\-based providers, and advocates.
**Preferred qualifications:**
* Current license/credentials as a behavioral health professional.
* Experience in providing outreach and education about behavioral health programs in a community setting, including working with providers, tribal entities, and Urban Indian Health Organizations, MCOs, BH\-ASOs and other stakeholders who are participants in the implementation of Integrated Managed Care.
* Experience in program development, implementation, and evaluation of health care programs in a community setting.
* Project management, including team facilitation and process improvement methods.
* Experience working with diverse client populations with clients with behavioral health issues; including cultural competency in working with an ethnically diverse population.
* Experience in participating in and facilitating meetings and task forces involving internal and external stakeholders at the state and local level.
* Experience analyzing data and providing technical assistance related to data collection and submission concerns.
* Health services program development: Procure contracts for programs that serve Medical Assistance clients, including but not limited to managed care. Work with contract development and management, including contract monitoring.
* Knowledge of state and federal laws, policies, regulations and procedures on Medicaid and behavioral healthcare both within and outside the Health Care Authority.
* Experience in technical and non\-technical report writing for both low\-literacy audiences and others, such as executive leadership, internal staff, contractors and interested stakeholders.
* Skill in strategic planning, data management, and conducting research into trends, utilization patterns and use of services by high\-risk clients.
* Knowledge of HCA programs and payment mechanisms; managed care operations; policy development related to health and behavioral health care delivery; and integration of quality measurement and program evaluation.
**How to apply:**
Only candidates who reflect the minimum qualifications on their NEOGOV profile will be considered. Failure to follow the application instructions below may lead to disqualification. **To apply for this position, you will need to complete your profile which includes three professional references and attach in separate files:**
* A **cover letter** that specifically addresses how you meet the qualifications for this position
* Current **resume**
To take advantage of **veteran preference**, please do the following:
* Attach a copy of your DD214 (Member 4 long\-form copy), NGB 22, or USDVA signed verification of service letter.
* Please black out any PII (personally identifiable information) data such as social security numbers. Include your name as it appears on your application in careers.wa.gov.
**Supplemental Information**
----------------------------
**About HCA:**
Functioning as both the state's largest health care purchaser and its behavioral health authority, the Washington State Health Care Authority (HCA) is a leader in ensuring Washington residents have the opportunity to be as healthy as possible.
There are three pillars of our work: Apple Health (Medicaid); the Public Employees Benefits Board (PEBB) and School Employees Benefits Board (SEBB) programs; and behavioral health and recovery. Under these pillars, HCA purchases health care, including behavioral health treatment for more than 2\.7 million Washington residents and provides behavioral health prevention, crisis, and recovery supports to all Washington residents.  
**What we have to offer:**
* Meaningful work with friendly co\-workers who care about those we serve Voices of HCA
* A clear agency mission that drives our work and is person\-centered HCA's Mission, Vision \&amp; Values
* A healthy work/life balance, including alternative/flexible schedules and mobile work options.
* A great total compensation and benefit package WA State Government Benefits
* A safe, pleasant workplace in a convenient location with restaurants, and shopping nearby.
* And free parking!
**Notes:**
Prior to a new hire, a background check including criminal record history will be conducted. Information from the background check will not necessarily preclude employment.
HCA is an equal opportunity employer. We value the importance of creating an environment in which all employees can feel respected, included, and empowered to bring unique ideas to the agency. HCA has five employee resource groups (ERGs). ERGs are voluntary, employee\-led groups whose aim is to foster a diverse, inclusive workplace aligned with HCA’s mission.Our diversity and inclusion efforts include embracing different cultures, backgrounds and viewpoints while fostering growth and advancement in the workplace. Studies have shown women, racial and ethnic minorities, and persons of disability are less likely to apply for jobs unless they feel they meet every qualification as described in a job description. Persons over 40 years of age, disabled and Vietnam era veterans, as well as people of all sexual orientations and gender identities are also encouraged to apply. If you have any questions about the required qualifications or how your experience relates to them, please contact us at HCAjobs@hca.wa.gov. Persons with disabilities needing assistance in the application process, or those needing this job announcement in an alternative format may contact Jake Nelko at jake.nelko@hca.wa.gov or 360\.725\.0945\.
The Washington State Health Care Authority (HCA) is an E\-Verify employer. All applicants with a legal right to work in the United States are encouraged to apply.
E\-Verify® is a registered trademark of the U.S. Department of Homeland Security.
Subscribe to our weekly newsletter to receive a list of new job postings at HCA.</t>
        </is>
      </c>
    </row>
    <row r="51">
      <c r="A51" t="inlineStr">
        <is>
          <t>in-2c4d2e68d38607f0</t>
        </is>
      </c>
      <c r="B51" t="inlineStr">
        <is>
          <t>Program Manager Customs Compliance</t>
        </is>
      </c>
      <c r="C51" t="inlineStr">
        <is>
          <t>Floor &amp; Decor</t>
        </is>
      </c>
      <c r="D51" t="inlineStr">
        <is>
          <t>indeed</t>
        </is>
      </c>
      <c r="E51">
        <f>HYPERLINK("https://www.indeed.com/viewjob?jk=2c4d2e68d38607f0", "https://www.indeed.com/viewjob?jk=2c4d2e68d38607f0")</f>
        <v/>
      </c>
      <c r="F51">
        <f>HYPERLINK("https://flooranddecoroutlets.wd1.myworkdayjobs.com/FloorandDecorCareers/job/100-Store-Support-Center---Remote/Program-Manager-Customs-Compliance_R047173-1", "https://flooranddecoroutlets.wd1.myworkdayjobs.com/FloorandDecorCareers/job/100-Store-Support-Center---Remote/Program-Manager-Customs-Compliance_R047173-1")</f>
        <v/>
      </c>
      <c r="G51" t="inlineStr">
        <is>
          <t>Atlanta, GA, US</t>
        </is>
      </c>
      <c r="H51" s="2" t="n">
        <v>46036</v>
      </c>
      <c r="I51" t="inlineStr">
        <is>
          <t>**Our Mission**
At Floor \&amp; Decor, we’re transforming spaces and careers across the country. The most exciting thing we’re building isn’t just floors—it’s a company without ceilings where dreamers, thinkers, and doers shape our future. With over 250 stores and counting, this is where ambition meets opportunity. Are you looking for new challenges? Let's build what's next.
**Your Work Matters**
The Program Manager Customs Compliance will support and enhance our Global Trade Compliance program. This position will work cross\-functionally with internal teams including Supply Chain, Merchandising, Finance and Legal, as well as with product vendors, customs brokerage service providers, consultants and trade attorneys. The position will help Floor \&amp; Decor ensure compliance with all Customs and Border Protection (CBP) regulations and optimize our global trade compliance activities in order to support our tremendous growth as a leading hard surface flooring retailer. This position will provide learning and training support to internal teams and vendor partners as needed. This role will also help to execute strategic projects around classification, tariff mitigation, AD/CVD, post summary corrections/protest, FTZ, CTPAT, duty drawback and other relevant topics as the trade compliance landscape changes.
**Your Day Consists Of**
* Analyze customs duty spend and implement opportunities to reduce cost
* Analyze exam spend and hold duration and implement opportunities to reduce cost and increase speed to market
* Research and classify new and existing products in the Harmonized Tariff Schedule (HTS) based on the General Rules of Interpretation, CBP rulings and other relevant resources
* Monitor trade remedy announcements (AD/CVD, Section 301, etc.) to determine applicability to the business and implement measures to comply
* Manage compliance with PGA import requirements (EPA, USDA APHIS, FWS, FDA, etc.)
* Develop and manage performance scorecards for customs brokerage service providers. Provide recommendations and implement solutions to drive improvement in performance.
* Support Customs Compliance team activities below as needed based on workload allocation of the team throughout the year
	+ Provide analytical support for Director/Sr. Director Global Trade
	+ Manage compliance and customs brokerage SOPs
	+ Provide support for our export sales team including AES filing
	+ Manage CTPAT process including vendor and DC reviews and audits
* Serve as training mentor for new compliance associates on the team
**You’ll Be Successful With**
* Bachelor’s degree with focus in International Affairs, Supply Chain or Business Administration is preferred
* 4\-5 years of experience in a US Customs/Regulatory Compliance environment. Importer or flooring experience is preferred.
* U.S. Customs Brokers License is preferred
* Thrives in a challenging and rapidly changing environment. Must be a self\-starter and can prioritize effectively.
* Must possess strong written and verbal communication skills with a high attention to detail and be able to communicate effectively with all levels of the organization
* Must have proven track record developing, implementing and managing new US Customs procedures and regulations as they occur
* Strong computer skills including advanced Microsoft Excel and Word
* Ability to manage projects from discovery to roll\-out, documenting key steps, bringing together the necessary cross\-functional partners and driving accountability to deadlines
* Ability to multi\-task, meet deadlines, and work in a fast\-paced environment
* Subject to National Security screening by CBP
**Work Environment / Physical Expectations**
* Primarily a sedentary role with extended periods of sitting, though occasional walking, standing, or light physical activity (lifting up to 20 lbs) may be needed.
* Work is typically performed in a quiet to moderate office setting, with occasional exposure to active warehouse environments and moving equipment.
**Benefits \&amp; Rewards**
Bonus opportunities \&amp; career advancement opportunities at every level
Programs that help you reach your financial goals: 401k with company match, Employee Stock Purchase Plan, and Referral Bonus Program
Medical, Dental, Vision, Life, and other Insurance Plans (subject to eligibility criteria)
Work\-life balance, including:
* Paid vacation and sick time for eligible associates
* Paid holidays plus a personal holiday
* Paid Volunteer Time Off that starts on Day 1
**Equal Employment Opportunity**
Floor \&amp; Decor provides equal employment opportunities to all associates and applicants without regard to age, race, color, religion or creed, national origin or ancestry, sex (including pregnancy), sexual orientation, gender, gender identity, disability, veteran status, genetic information, ethnicity, citizenship, or any other category protected by law.
This policy applies to all areas of employment, including recruitment, testing, screening, hiring, selection for training, upgrading, transfer, demotion, layoff, discipline, termination, compensation, benefits and all other privileges, terms and conditions of employment. This policy and the law prohibit employment discrimination against any associate or applicant on the basis of any legally protected status outlined above.</t>
        </is>
      </c>
    </row>
    <row r="52">
      <c r="A52" t="inlineStr">
        <is>
          <t>in-65d71abc407e8a8f</t>
        </is>
      </c>
      <c r="B52" t="inlineStr">
        <is>
          <t>Product Owner</t>
        </is>
      </c>
      <c r="C52" t="inlineStr"/>
      <c r="D52" t="inlineStr">
        <is>
          <t>indeed</t>
        </is>
      </c>
      <c r="E52">
        <f>HYPERLINK("https://www.indeed.com/viewjob?jk=65d71abc407e8a8f", "https://www.indeed.com/viewjob?jk=65d71abc407e8a8f")</f>
        <v/>
      </c>
      <c r="F52">
        <f>HYPERLINK("https://wd1.myworkdaysite.com/recruiting/ascentgl/ASG/job/Remote---US/Product-Owner_R1670", "https://wd1.myworkdaysite.com/recruiting/ascentgl/ASG/job/Remote---US/Product-Owner_R1670")</f>
        <v/>
      </c>
      <c r="G52" t="inlineStr">
        <is>
          <t>Belleville, MI, US</t>
        </is>
      </c>
      <c r="H52" s="2" t="n">
        <v>46036</v>
      </c>
      <c r="I52" t="inlineStr">
        <is>
          <t>**About Ascent**
Ascent Global Logistics, headquartered in Belleville, Michigan, is a leading global provider of expedited, time\-critical logistics solutions and other direct transportation services. The company connects customers to its extensive carrier network, internal ground fleet and airline via its proprietary, digital PEAK freight marketplace, which provides robust carrier capacity and transparent pricing, backed by 24/7/365 logistics experts. Ascent’s offerings include air charter and ground expedited solutions as well as truckload, less\-than\-truckload, global forwarding, brokerage, and managed transportation services. The experienced Ascent team solves customers’ most challenging logistics needs by providing industry\-leading service and top\-tier satisfaction.
**Our Guiding Principles**
At the core of Ascent's culture is a strong commitment to excellence, driven by the passion and dedication of every team member. We're equally dedicated to going above and beyond for our customers, ensuring this commitment extends beyond our team and brings exceptional value to those we serve. We aim for perfect execution in everything we do and ‘play hard’ by creating an environment where tasks are performed with a can\-do attitude from start to finish. We ‘play smart’ by delivering on our commitments in an honest, fair and ethical manner. We treat every person with whom we interface with the utmost dignity and respect. We understand that our teammates are our most valuable assets, so we ‘play together’ by making every effort to provide a professional and enjoyable experience, enabling careers to flourish and personal growth to be achieved.
**What You’ll Do**
We’re seeking a Product Owner to guide the discovery, delivery, and adoption of enterprise supply\-chain and transportation platforms. You’ll translate business strategy into outcomes, own and order the product backlog, and ensure each increment delivers measurable value to operations and customers. The role blends logistics/TMS domain fluency with strong product execution in an Agile environment. The Product Owner is accountable for maximizing value and for effective backlog management (vision, ordering, clarity), working closely with engineering, design, QA, data, and integration teams. You’ll be part of a cross\-functional product team supported by a Scrum Master; you own the vision, prioritization, and acceptance of increments.
**Backlog Ownership \&amp; Execution**
* Translate product strategy into actionable user stories with clear acceptance criteria and supporting context.
* Maintain and prioritize a well\-groomed backlog in Jira, balancing technical dependencies, user needs, and business priorities; keep 1–2 sprints of “Ready” work.
* Own value and ordering—make timely scope and priority calls; accept or reject increments against acceptance criteria and Definition of Done (DoD).
* Partner with engineering, QA, and UX to ensure items meet Definition of Ready/Done (DoR/DoD).
* Participate in Scrum events (Planning, Refinement, Review, Retro); keep the team focused and sequence cross\-team dependencies.
**Delivery \&amp; Quality**
-----------------------
* Act as the voice of the customer during development; define acceptance tests and validate increments to ensure valuable, usable outcomes.
* Validate releases through UAT, operational testing, and post\-deployment feedback loops.
* Support release readiness and communicate new functionality to business users (release notes, SOP updates, self\-serve guides).
* Monitor flow and quality (e.g., cycle time, defect escape rate) and drive timely corrective actions.
**Collaboration \&amp; Communication**
----------------------------------
* Serve as the central point of contact between delivery teams and business stakeholders across operations, sales, and customer service.
* Communicate progress, risks, and scope decisions to stakeholders; make trade\-offs explicit and evidence based.
* Document functionality, workflows, and user impacts in Confluence and other shared knowledge bases; enable field teams with concise how\-to and change notes.
* Coordinate with the Scrum Master to support effective Reviews and a healthy team cadence.
**Alignment \&amp; Continuous Improvement**
---------------------------------------
* Partner with stakeholders to align Sprint Goals to broader roadmap milestones and strategic initiatives.
* Analyze and report on feature adoption, quality metrics, and sprint outcomes to inform future iterations; update the backlog rapidly after Reviews.
* Contribute to process improvements that enhance delivery efficiency and team collaboration; refine DoR/DoD as the product evolves.
* Coordinate cross\-team dependencies through established Agile ceremonies and forums.
**What You’ll Bring**
* 3\+ years in a Product Owner or Product Manager role delivering software products or platforms.
Domain fluency in supply chain and transportation (planning execution visibility* financials), with practical experience supporting or evolving TMS/visibility or adjacent systems.
* Demonstrated skill in user story writing, backlog ordering, acceptance/validation, and Agile delivery with cross\-functional teams.
* Strong stakeholder facilitation and communication; comfortable with executives, operations, and engineers.
* Data literacy: able to define metrics, read dashboards, and use insights to shape priorities.
* Proficiency with Jira/Confluence (or similar Agile delivery tools).
* Experience coordinating work across multiple business units and multiple systems (TMS, visibility, WMS, ERP, CRM).
* Familiarity with EDI/API concepts and logistics data flows; comfort partnering on data quality and eventing.
* Exposure to scaled delivery (e.g., PI/quarterly planning, dependency management) and outcome\-based roadmaps.
* Certifications (e.g., CSPO/PSPO, SAFe PO/PM) are a plus.
**Ascent’s Competitive Benefits**
* 401(k) and employer matching
* Life Insurance
* Health, Dental, Vision Insurance
* Short\- \&amp; Long\-Term Disability
* Paid Time Off (PTO)
* Employee Assistance Program
* Paid Parental Leave
* Employee Wellness Program
* Paid Holidays
* Employee Recognition Programs
* Flexible Spending Account (FSA)
* Tuition Reimbursement
* Health Savings Account (HSA)
* Overtime, Differential \&amp; Bonus Pay
**Additional Considerations**
* Fully remote role aligned with Eastern or Central Time Zone hours.
* Some cross\-functional or global meeting participation may be required.
* Close collaboration with Operations, Customer Experience, and IT.
**\#LI\-Remote**
Salary Range: $115,000 \- $130,000</t>
        </is>
      </c>
    </row>
    <row r="53">
      <c r="A53" t="inlineStr">
        <is>
          <t>in-7841a7bd16afbbfb</t>
        </is>
      </c>
      <c r="B53" t="inlineStr">
        <is>
          <t>Product Manager</t>
        </is>
      </c>
      <c r="C53" t="inlineStr">
        <is>
          <t>Chorus Innovations</t>
        </is>
      </c>
      <c r="D53" t="inlineStr">
        <is>
          <t>indeed</t>
        </is>
      </c>
      <c r="E53">
        <f>HYPERLINK("https://www.indeed.com/viewjob?jk=7841a7bd16afbbfb", "https://www.indeed.com/viewjob?jk=7841a7bd16afbbfb")</f>
        <v/>
      </c>
      <c r="F53">
        <f>HYPERLINK("https://grnh.se/3vyaww887us", "https://grnh.se/3vyaww887us")</f>
        <v/>
      </c>
      <c r="G53" t="inlineStr">
        <is>
          <t>Long Beach, CA, US</t>
        </is>
      </c>
      <c r="H53" s="2" t="n">
        <v>46036</v>
      </c>
      <c r="I53" t="inlineStr">
        <is>
          <t>**About Us**
------------
Chorus Innovations is a fast\-growing healthcare technology company with an adaptive platform as a service (PaaS) that enables the rapid development of mobile, desktop, text messaging and interactive voice applications. Chorus' platform currently powers transformative healthcare, biomedical research and community health projects across institutions and public health agencies nationwide. We believe every community should have world\-class health technology so they can thrive.
Our mission is to improve the lives of people and communities by democratizing technology development in health and research.
**About the Role**
As a Product Manager, you will influence the vision, strategy, and evolution of key product lines within the Chorus platform. You will translate market needs, client patterns, and platform capabilities into clear product direction—balancing strategic foresight with the pragmatism needed to drive outcomes in a complex healthcare ecosystem.
You will work at the intersection of R\&amp;D, Delivery, and Go\-To\-Market, ensuring each product area has well\-defined goals, reusable templates, and a roadmap that reduces swirl, increases reuse, and unlocks scalable growth. You'll define problems deeply, synthesize insights from users, clinical experts, research, and stakeholders, and convert them into product requirements, sequencing, and standards that elevate how solutions are built across Chorus.
On the Product team, you will champion clarity, prioritization, and measurable impact. You will shape product narratives, guide cross\-functional alignment, and create the artifacts—requirements, stories, templates, domain definitions, and playbooks—that enable both Delivery teams and external partners to move faster with higher quality. Your work ensures that each product line evolves intentionally, customers experience consistent value, and the platform advances toward our long\-term vision of intelligent, scalable healthcare infrastructure.
**What You'll Be Doing**
* Define product and feature roadmaps for behavioral health workflows across intake, referrals, crisis response, care coordination, and ongoing case management.
* Translate real\-world behavioral health practices, policy changes, and user insights into clear product requirements, workflow definitions, and reusable templates.
* Partner with Clinical Solutions, Design, Engineering, and Delivery to ensure features are feasible, well\-sequenced, and aligned to product standards and platform capabilities.
* Identify cross\-client patterns to create scalable, repeatable modules that reduce customization and accelerate delivery.
* Drive workflow and data model design, ensuring behavioral health workflows work seamlessly with other health systems
* Prioritize roadmap decisions based on user value, strategic impact, regulatory alignment, data metrics, and long\-term scalability.
* Measure product performance and user outcomes to inform iteration and continuous improvement.
* Support GTM, Partner Success, and Delivery teams with clear product artifacts that improve scoping, demos, and client alignment.
**What We're Looking For**
* 3\+ years of product management experience owning features or product lines through discovery, definition, delivery, and iteration.
* Strong ability to map complex workflows, gathering requirements, synthesizing user research, and translating real\-world scenarios into clear product specifications and reusable patterns.
* Proven success launching workflow\-heavy products and driving measurable impact across end users and operational stakeholders.
* Effective cross\-functional partner to Engineering, Design, Clinical Solutions, Delivery, Data, and GTM teams, with strong communication and alignment skills.
* Analytical thinker skilled at using data, feedback, and usage insights to refine workflows and inform roadmap decisions.
* Familiarity with Agile methodologies, including backlog refinement and iteration planning.
**Nice to Have Qualifications**
* Experience in healthcare, behavioral health, public health, or similarly complex regulated environments.
* Understanding of healthcare interoperability, especially FHIR, HL7, and EHR/EDW integration models.
* BS/BA in a relevant field; technical or clinical background helpful but not required.
**Why Join Us?**
* A mission\-driven company – be part of a team that is helping to improve people's lives by democratizing technology development in health!
* Full medical, dental, vision and life insurance benefits
* 401K plan
* Company stock options
* Unlimited paid vacation
* Performance bonuses
* Company support for career and skill development
* Fun company events and outings
* Chorus is an equal opportunity employer with a commitment to diversity and inclusion
**Compensation Disclosure**  
The anticipated base salary range for this position is $125,000 – $145,000 in the Los Angeles market. Actual offers depend on skills, experience, and location, and may include additional components such as performance bonuses, stock options, and benefits.
Chorus Innovations is proud to be an equal\-opportunity employer committed to building a diverse team. We welcome applicants of every background and provide reasonable  
accommodations throughout the hiring process. If you need assistance, email careers@joinchorus.com
Chorus Innovations values diversity as a core principle of the work we do and the communities we serve. We are committed to equal employment opportunity, and we do not discriminate on the basis of race, color, religious creed, citizenship, marital status, age, national origin, ancestry, physical or mental disability, medical condition, genetic information, sex, sexual orientation, military and veteran status, gender, gender identity, gender expression, or any other protected characteristic.
**Disability Accommodation for Applicants to Chorus Innovations**
At Chorus Innovations, we are committed to fostering an inclusive and accessible workplace environment for all individuals, including job applicants with disabilities. We recognize the value that individuals with diverse abilities bring to our organization and are dedicated to providing equal opportunities for all applicants.
If you require accommodations at any stage of the job application process due to a disability, please inform us of your needs. We will do our best to work with you to ensure that reasonable accommodations are made to facilitate your participation in the recruitment process.
Please note that accommodations will be provided in a manner that respects your privacy and confidentiality. Disclosing a disability or requesting accommodations will not affect your candidacy or opportunities for employment with Chorus Innovations.
To request accommodations or discuss your needs further, please contact careers@joinchorus.com. We encourage you to reach out as early as possible to ensure that appropriate arrangements can be made.
Thank you for considering Chorus Innovations as a potential employer. We look forward to the opportunity to work together and to creating an inclusive workplace where all individuals can thrive.</t>
        </is>
      </c>
    </row>
    <row r="54">
      <c r="A54" t="inlineStr">
        <is>
          <t>in-1885fe7b104e205f</t>
        </is>
      </c>
      <c r="B54" t="inlineStr">
        <is>
          <t>Product Owner</t>
        </is>
      </c>
      <c r="C54" t="inlineStr">
        <is>
          <t>Qode</t>
        </is>
      </c>
      <c r="D54" t="inlineStr">
        <is>
          <t>indeed</t>
        </is>
      </c>
      <c r="E54">
        <f>HYPERLINK("https://www.indeed.com/viewjob?jk=1885fe7b104e205f", "https://www.indeed.com/viewjob?jk=1885fe7b104e205f")</f>
        <v/>
      </c>
      <c r="F54">
        <f>HYPERLINK("https://apply.workable.com/j/AB1366312F", "https://apply.workable.com/j/AB1366312F")</f>
        <v/>
      </c>
      <c r="G54" t="inlineStr">
        <is>
          <t>Florham Park, NJ, US</t>
        </is>
      </c>
      <c r="H54" s="2" t="n">
        <v>46036</v>
      </c>
      <c r="I54" t="inlineStr">
        <is>
          <t>HI,Our client is looking for product Owner in NJ please have a look and let me know your interets on this.
**Job Title:** Product Owner – Banking \&amp; PaymentsLocation: Florham Park, NJ (Hybrid)Domain: BankingExperience: 9–11 years Job SummaryWe are looking for a seasoned Product Owner with strong expertise in the Banking domain, specifically across Payments, Credit Cards, and Treasury Services, with a solid understanding of Customer Acquisition journeys. The ideal candidate will work closely with business stakeholders, technology teams, and cross\-functional partners to define, prioritize, and deliver high\-impact banking products. Key Responsibilities• Own and manage the product backlog, ensuring alignment with business objectives and customer needs.
* Collaborate with business stakeholders to gather, analyze, and translate requirements into clear user stories and acceptance criteria.
* Drive product strategy and roadmap for Banking and Payment solutions, including Credit Card and Treasury Services.
* Work closely with engineering teams to ensure timely and high\-quality delivery of features.
* Participate in sprint planning, backlog grooming, sprint reviews, and retrospectives.
* Act as the primary liaison between business, technology, and external stakeholders.
* Ensure regulatory, compliance, and risk considerations are incorporated into product design.
* Analyze customer acquisition funnels and propose enhancements to improve onboarding and conversion.
* Track product performance using relevant KPIs and recommend continuous improvements.
Required Skills \&amp; Experience• 9–11 years of overall experience as a Product Owner / Business Analyst / Product Manager in the Banking domain.
* Strong hands\-on experience in Payments, Credit Cards, and/or Treasury Services.
* Good understanding of customer acquisition, onboarding workflows, and digital banking journeys.
* Strong experience working in Agile/Scrum environments.
* Ability to write clear user stories, functional specifications, and acceptance criteria.
* Excellent stakeholder management and communication skills.
* Strong analytical and problem\-solving abilities.
Preferred Qualifications• Experience working with US banks or large financial institutions.
* Exposure to digital banking platforms and payment ecosystems.
* CSPO / SAFe PO or similar Agile certifications (preferred).</t>
        </is>
      </c>
    </row>
    <row r="55">
      <c r="A55" t="inlineStr">
        <is>
          <t>in-385dbb56eee3fa3e</t>
        </is>
      </c>
      <c r="B55" t="inlineStr">
        <is>
          <t>Staff Technical Program Manager</t>
        </is>
      </c>
      <c r="C55" t="inlineStr">
        <is>
          <t>Redpanda</t>
        </is>
      </c>
      <c r="D55" t="inlineStr">
        <is>
          <t>indeed</t>
        </is>
      </c>
      <c r="E55">
        <f>HYPERLINK("https://www.indeed.com/viewjob?jk=385dbb56eee3fa3e", "https://www.indeed.com/viewjob?jk=385dbb56eee3fa3e")</f>
        <v/>
      </c>
      <c r="F55">
        <f>HYPERLINK("https://grnh.se/7sn9e40h5us", "https://grnh.se/7sn9e40h5us")</f>
        <v/>
      </c>
      <c r="G55" t="inlineStr">
        <is>
          <t>Remote, US</t>
        </is>
      </c>
      <c r="H55" s="2" t="n">
        <v>46036</v>
      </c>
      <c r="I55" t="inlineStr">
        <is>
          <t>Redpanda is pioneering the Agentic Data Plane (ADP) \- a new category in AI infrastructure that makes it simple and secure to connect AI agents with enterprise data and systems. Built on a multi\-modal data streaming engine, Redpanda empowers agentic applications that reason and act in real\-time with speed, autonomy, and precision.
Global leaders including Activision Blizzard, Cisco, Moody's, Texas Instruments, Vodafone and 2 of the top 5 banks in the U.S. rely on Redpanda to process hundreds of terabytes of data a day.
Backed by premier venture investors Lightspeed, GV and Haystack VC, Redpanda is a diverse, people\-first organization with teams distributed around the globe. **About the Role:**
Redpanda is looking for a Staff Technical Program Manager to help drive the execution, delivery, and release of Redpanda's products, with a focus on the **Agentic Data Plane (ADP).** Redpanda's Agentic Data Plane is the control and execution layer that powers how AI agents safely interact with real\-world data across the technological sprawl of the modern enterprise. In this role, you will not only lead complex, cross\-team technical programs for ADP, but also drive and strengthen the end\-to\-end release process across Redpanda's entire product portfolio, ensuring that we ship high\-quality, predictable releases as our platform and organization scale.
Redpanda's Agentic Data Plane enables intelligent agents to autonomously access, reason over, and act on enterprise data in real time, while providing their human counterparts with the visibility and control to ensure and validate that they do so securely. ADP combines Redpanda's industry\-leading low\-latency streaming layer, a distributed query engine for real\-time context, 300\+ connectors for seamless data integration, and a global policy and observability framework that enforces access, records intent, and enables replayable audits.
In this role, you will act as a force multiplier for Product and Engineering leadership, as well as our GTM teams. This involves translating strategy into execution, fostering strong collaboration across teams, managing dependencies and risk, and ensuring Redpanda consistently delivers value to our customers.
**You Will:**
* Drive execution of Redpanda's most complex, cross\-team initiatives, with primary on the Agentic Data Plane (ADP)
* Lead end\-to\-end delivery and release execution across Redpanda's product portfolio, ensuring consistent, high\-quality, and predictable releases
* Manage program plans, milestones, dependencies, risks, and trade\-offs across multiple engineering teams and workstreams
* Partner closely with Product Management, Engineering and GTM leadership to translate product strategy and technical direction into executable plans
* Drive cross\-functional coordination across Engineering, Product, QE, Security, Customer Success, Support, and GTM to ensure delivery and release readiness
* Proactively identify and resolve execution risks, technical dependencies, and delivery blockers in a highly distributed systems environment, and maintain clear program and release visibility to stakeholders
* Own and continuously improve release processes and operational best practices as Redpanda's platform and organization scale
* Support customer\-facing commitments and launches, aligning delivery timelines with business and GTM priorities
* Lead retrospectives and drive continuous improvement in program management, release execution, and cross\-team collaboration
**You Have:**
* 8\+ years of experience in Technical Program Management, Engineering Program Management, or similar roles delivering complex enterprise or infrastructure software
* Strong technical foundation in distributed systems, data infrastructure, and/or AI/ML platforms, with the ability to reason about architecture and engineering trade\-offs
* Proven experience managing large, multi\-team programs spanning multiple layers of infrastructure, including dependency management, risk mitigation, and execution tracking
* Demonstrated ownership of release management or large\-scale delivery processes across multiple products or teams
* Ability to align diverse stakeholders, manage ambiguity, and drive execution in fast\-moving, high\-growth environments
* Strong written and verbal communication skills, with the ability to clearly communicate status, risks, and trade\-offs, including the ability to adapt communication to targeted audiences from diverse teams and roles (individual contributors to executives)
* An ability to empathize with your fellow employees, designing and negotiating policies and procedures that enable needed business outcomes while minimizing friction and overhead
* Comfortable working in a 100% distributed / remote environment, collaborating via GitHub/JIRA, Slack, Google Docs, and modern productivity tools
**Nice to Have:**
* Background in security, policy, and governance systems relevant to enterprise data or AI usage.
* Prior experience scaling release processes in fast\-growing or multi\-product organizations.
*U.S. base salary range for this role is $200,000 \- $235,000 (CA, NY, WA) and $190,000 \- $224,500 (other US locations).Our salary ranges are determined by role, level, and location. As a remote\-first company, we strive to consider each candidate's job\-related skills, location, experience, relevant education or training to determine individual base salary. Your talent partner will share more about the specific salary range for your preferred location during the hiring process.*
*Please note that Redpanda uses artificial intelligence (AI) technology to assist in the screening and assessment of applications for this position. However, all final hiring decisions are made by our human hiring team.*  
*Vacancy Status: This job posting is for an existing vacancy.*
Redpanda is used by Fortune 1000 enterprises pushing hundreds of terabytes a day, as well as by the solo dev prototyping a React application on her laptop. Think of it as a streaming data API platform that scales with you from the smallest projects to petabytes of data distributed across the globe.
Join Redpanda if you'd enjoy being part of a fast\-moving, 100% remote organization with team members around the globe and a culture based on trust, transparency, communication, and kindness.
###### ***\#LI\-Remote***</t>
        </is>
      </c>
    </row>
    <row r="56">
      <c r="A56" t="inlineStr">
        <is>
          <t>in-fa25aab6e318204a</t>
        </is>
      </c>
      <c r="B56" t="inlineStr">
        <is>
          <t>Senior Content Strategy Program Manager</t>
        </is>
      </c>
      <c r="C56" t="inlineStr">
        <is>
          <t>Haworth, Inc</t>
        </is>
      </c>
      <c r="D56" t="inlineStr">
        <is>
          <t>indeed</t>
        </is>
      </c>
      <c r="E56">
        <f>HYPERLINK("https://www.indeed.com/viewjob?jk=fa25aab6e318204a", "https://www.indeed.com/viewjob?jk=fa25aab6e318204a")</f>
        <v/>
      </c>
      <c r="F56">
        <f>HYPERLINK("https://careers.haworth.com/job/Holland-Senior-Content-Strategy-Program-Manager-MI-49423/1356688700/?feedId=289300&amp;utm_source=Indeed&amp;utm_campaign=Haworth_Indeed", "https://careers.haworth.com/job/Holland-Senior-Content-Strategy-Program-Manager-MI-49423/1356688700/?feedId=289300&amp;utm_source=Indeed&amp;utm_campaign=Haworth_Indeed")</f>
        <v/>
      </c>
      <c r="G56" t="inlineStr">
        <is>
          <t>Holland, MI, US</t>
        </is>
      </c>
      <c r="H56" s="2" t="n">
        <v>46036</v>
      </c>
      <c r="I56" t="inlineStr">
        <is>
          <t>Join the Future of Workspace Innovation at Haworth
Are you ready to shape the future of how people work, live, and thrive? At Haworth, we're not just creating furniture – we're revolutionizing the way the world interacts with spaces. As a global pioneer in workspace design since 1948, we've been pushing boundaries and redefining possibilities for over seven decades.
We're looking for visionaries like you to help write the next chapter of our story.
Discover more here !
Job Overview
We are currently looking for a Senior Content Strategy Program Manager to join our team in Holland, MI.
**As a Senior Content Strategy Program Manager you will:**  
Develop and execute content strategies and plans that align with our brand vision and business objectives. Collaborating with various teams to create and distribute compelling and engaging content across multiple channels. Conducts continuous review and analysis to assure content is supporting the needs of the market and align with the Haworth brand. Essential Functions
**Lead Program Development:** Lead the development and implementation of comprehensive program strategies, aligning with overall business objectives and goals.
**Manage Program Portfolio:** Manage a portfolio of programs, overseeing all aspects of planning, execution, and performance measurement.
**Develop and Oversee Program Budgets:** Develop and oversee program budgets, ensuring efficient resource allocation and tracking.
**Develop and Implement Program Policies and Procedures:** Establish and maintain program policies, procedures, and standards to ensure consistency and compliance.
**Lead Cross\-Functional Teams:** Lead and inspire cross\-functional teams to deliver exceptional program results, fostering collaboration and communication.
**Drive Program Innovation:** Identify and implement innovative program strategies and tactics to enhance customer engagement and drive business growth.
**Stay Abreast of Emerging Industry Trends and Technologies:** Stay informed and apply new knowledge about emerging industry trends, best practices, and emerging technologies in program management to be an industry leader in innovation.
Must be able to perform all essential job functions with/without accommodation.
Uses office automation, communication, software, and tools used in Haworth office environment.
Performs other duties within scope as assigned. Required Qualifications
Bachelor's Degree in Marketing, Communications, Design, Business Administration, or similar.
5 years experience in Marketing, Knowledge Content Management, and Research Marketing with Bachelor’s Degree (3 years related experience with Master’s Degree) Military Equivalency at www.mynextmove.org/vets/find/military Preferred Qualifications
Experience with Knowledge and Research Marketing.
Experience Leading Large Scale Projects.
Furniture Industry Experience.
Experience Writing and Editing Content.
Experience Presenting.
Experience using Project Management Tools (asana, planner, etc)
Experience using Adobe Creative Suite.
Design your future with Haworth
Headquartered in Holland Michigan, Haworth is a family\-owned global powerhouse at the forefront of innovation and sustainable design in the workspace interiors industry. Here, you'll have access to state\-of\-the\-art resources, collaborate with cross\-functional teams of passionate innovators, and experience a blend of global reach with personal growth opportunities. Whether you're developing new manufacturing processes, implementing smart factory solutions, or designing tomorrow's workspace solutions, you'll be empowered to make a lasting impact while growing your career.
We believe in the power of collaboration and strive to create a culture where everyone feels valued, respected, and empowered to make a difference. Your hard work, dedication, and talent are the foundation of our success and enable us to build meaningful connections with our customers and each other.
At Haworth, members enjoy benefits from their first day of employment:
**20 Days Paid Time Off:** Plus, the option to buy up to 5 extra days.
**Health Benefits:** Priority Health Medical options, Delta Dental, and Vision Insurance.
**401k Match:** Contribute 6% of your annual salary, and Haworth will match 7%.
**Insurance Coverage:** Company\-provided Short\-Term Disability, Long Term Disability, and Life Insurance.
Tuition Reimbursement
Volunteer Time Off
Parental Leave
Pet Insurance
Zero Waste to Landfill</t>
        </is>
      </c>
    </row>
    <row r="57">
      <c r="A57" t="inlineStr">
        <is>
          <t>in-04506b5d7da3556a</t>
        </is>
      </c>
      <c r="B57" t="inlineStr">
        <is>
          <t>Program Manager</t>
        </is>
      </c>
      <c r="C57" t="inlineStr">
        <is>
          <t>CALIBRE Systems</t>
        </is>
      </c>
      <c r="D57" t="inlineStr">
        <is>
          <t>indeed</t>
        </is>
      </c>
      <c r="E57">
        <f>HYPERLINK("https://www.indeed.com/viewjob?jk=04506b5d7da3556a", "https://www.indeed.com/viewjob?jk=04506b5d7da3556a")</f>
        <v/>
      </c>
      <c r="F57">
        <f>HYPERLINK("https://jobs.silkroad.com/CalibreSys/httpscalibresyscareerssilkroadcom/jobs/5250?embedded=true", "https://jobs.silkroad.com/CalibreSys/httpscalibresyscareerssilkroadcom/jobs/5250?embedded=true")</f>
        <v/>
      </c>
      <c r="G57" t="inlineStr">
        <is>
          <t>Remote, US</t>
        </is>
      </c>
      <c r="H57" s="2" t="n">
        <v>46036</v>
      </c>
      <c r="I57" t="inlineStr">
        <is>
          <t>Program Manager
﻿
LinkedIn
Twitter
Email
Message
Share  
Category
Information Technology  
Tracking Code
HLS 5250\-585  
Position Type
Full\-Time/Regular  
CALIBRE Systems, Inc., an employee\-owned mission focused solutions and digital transformation company, is looking for a highly motivated **Program Manager** to join our dynamic team supporting a federal client. This role requires an innovative and collaborative mindset, with the ability to work closely with designers, back\-end engineers, and business stakeholders to deliver high\-quality, scalable digital solutions.
 The Budget for this salary is $200K per year.
**Responsibilities include, but are not limited to:**
* Oversee program\-level planning and execution within a SAFe Agile framework, ensuring alignment with federal agency objectives
* Facilitate Program Increment (PI) planning, coordinating across multiple Agile teams and stakeholders
* Monitor and manage program scope, schedule, and budget to meet contractual and compliance requirements
* Serve as a liaison between business stakeholders, technical teams, and leadership to ensure transparency and effective communication
* Track and report on program metrics, including progress, risks, and dependencies, leveraging data for informed decision\-making
* Ensure compliance with federal standards, security requirements, and governance processes
* Identify and mitigate risks, issues, and impediments impacting program delivery
* Support continuous improvement initiatives across teams and the program level
* Collaborate with Product Management and Release Train Engineers to align priorities and deliverables
* Provide guidance on Agile best practices and SAFe principles to teams and stakeholders
* Understand data\-related requirements and implications for program deliverables, ensuring proper integration and reporting
* Prepare and deliver executive\-level briefings, status reports, and documentation for leadership
Required Skills
* Proficiency with Agile tools such as JIRA, Azure DevOps, Mural, and Trello
* Exceptional verbal and written communication skills for executive\-level reporting and stakeholder engagement
* Collaborative leadership style with experience coaching teams and fostering self\-organization
* Strong problem\-solving and risk management capabilities
* Ability to build trust and maintain transparency across technical and business teams
* Skilled in facilitating PI planning, Agile ceremonies, and cross\-team coordination in a remote environment
* Basic working knowledge (i.e. ability to understand, speak about, and participate in solutioning) of the following domains: data science, the software development life cycle, data privacy (specifically PII/PHI), Federal data policies, the Tricare Military Health System
Required Experience
* **Bachelor’s Degree** (or higher) in Business, IT, or related field (Master’s degree preferred)
* 5\+ years of experience managing programs in an Agile environment, preferably using the Scaled Agile Framework (**SAFe Agile Certification** preferred)
* 5\+ years of experience working with Federal agencies (preferably healthcare and/or data\-centric projects)
* Proven experience facilitating Agile practices across multiple teams and stakeholders
* Demonstrated ability to manage scope, schedule, and budget for complex programs
* **Active Secret Clearance at the Department of Defense (or eligibility to obtain a clearance)**
* Ability to work east coast business hours (8am\-5pm)
**CALIBRE and its subsidiaries are an Equal Opportunity Employer and supports transitioning service members, veterans and individuals with disabilities. We offer a competitive salary and full benefits package. To be considered, please apply via our website at** **www.calibresys.com****. Come join our dynamic team. \#CALIBRECareers**</t>
        </is>
      </c>
    </row>
    <row r="58">
      <c r="A58" t="inlineStr">
        <is>
          <t>in-4b04ae075114b852</t>
        </is>
      </c>
      <c r="B58" t="inlineStr">
        <is>
          <t>Training Program Manager, Office of Local Programs, PN 20063586</t>
        </is>
      </c>
      <c r="C58" t="inlineStr">
        <is>
          <t>State of Ohio</t>
        </is>
      </c>
      <c r="D58" t="inlineStr">
        <is>
          <t>indeed</t>
        </is>
      </c>
      <c r="E58">
        <f>HYPERLINK("https://www.indeed.com/viewjob?jk=4b04ae075114b852", "https://www.indeed.com/viewjob?jk=4b04ae075114b852")</f>
        <v/>
      </c>
      <c r="F58">
        <f>HYPERLINK("https://dasstateoh.taleo.net/careersection/oh_ext/jobdetail.ftl?job=260000CI&amp;tz=GMT-06%3A00&amp;tzname=America%2FChicago", "https://dasstateoh.taleo.net/careersection/oh_ext/jobdetail.ftl?job=260000CI&amp;tz=GMT-06%3A00&amp;tzname=America%2FChicago")</f>
        <v/>
      </c>
      <c r="G58" t="inlineStr">
        <is>
          <t>Columbus, OH, US</t>
        </is>
      </c>
      <c r="H58" s="2" t="n">
        <v>46036</v>
      </c>
      <c r="I58" t="inlineStr">
        <is>
          <t>**Training Program Manager, Office of Local Programs, PN 20063586**
**What You Will Do:**
* You will provide training on technical training topics based on previous experience and education. Creates training courses and programs based on customer needs, delivering training via in\-person, webinar, and eLearning methods.
* You will manage the Roads Scholar Training recognition program and coordinates recognition for the Project Management Training Program.
* You will work with LTAP customers to provide technical assistance or coordination in reaching subject matter experts for technical assistance. Maintains network of colleagues with technical expertise to provide the technical assistance.
* You will travel throughout the state to provide outreach ad training to Ohio’s 2,300\+ local public agencies (LPAs).
**Benefits to you:**
* Enjoy an excellent work/life balance.
* Receive paid time off with vacation, sick and personal leave.
* Receive 11 paid holidays per year.
* Receive regular pay increases; 1st increase after 4 months.
* Receive an extensive benefits package; including Medical and FREE Vision, Dental and Basic Life Insurance after completion of eligibility period.
* Experience growth opportunities within organization.
* Participate in employee tuition reimbursement programs.
* Receive a pension plan with 14% employer contribution.
* For a list of all the State of Ohio benefits, please visit the Total Rewards website!
**Why Work for the State of Ohio**
At the State of Ohio, we take care of the team that cares for Ohioans. We provide a variety of quality, competitive benefits to eligible full\-time and part\-time employees\*. For a list of all the State of Ohio Benefits, visit our Total Rewards website! Our benefits package includes:
* Medical Coverage
* Free Dental, Vision and Basic Life Insurance premiums after completion of eligibility period
* Paid time off, including vacation, personal, sick leave and 11 paid holidays per year
* Childbirth, Adoption, and Foster Care leave
* Education and Development Opportunities (Employee Development Funds, Public Service Loan Forgiveness, and more)
* Public Retirement Systems (such as OPERS, STRS, SERS, and HPRS) \&amp; Optional Deferred Compensation (Ohio Deferred Compensation)
* Benefits eligibility is dependent on a number of factors. The Agency Contact listed above will be able to provide specific benefits information for this position.
**Qualifications**
Completion of undergraduate core program in business or public administration, human resources or related field, or adult education; 2 yrs. exp. in teaching/presenting adult education or human resources training \&amp; development classes, or in developing adult education curriculum or access to educational partners/vendors providing adult education; 1 course or 3 mos. exp. in operating personal computer \&amp; use of office systems software (e.g., Microsoft Word; Access; Excel; Power Point).
* Or completion of undergraduate core program in business or public administration, human resources or related field, or adult education; 2 yrs. managerial or supervisory exp. in adult education or human resources field; 1 course or 3 mos. exp. in operating personal computer \&amp; use of office systems software (e.g., Microsoft Word; Access; Excel; Power Point).
* Or equivalent of Minimum Class Qualifications noted above.
**Supplemental Information****ALL ANSWERS TO THE SUPPLEMENTAL QUESTIONS MUST BE SUPPORTED BY THE WORK EXPERIENCE/EDUCATION PROVIDED ON YOUR CIVIL SERVICE APPLICATION.**
All bargaining unit and exempt new hires to ODOT must serve a one\-year probationary period.
This position is overtime exempt based on FLSA Standards.
If this position is filled internally, the wage rate will be determined in accordance with the Ohio Revised Code.
The final candidate selected for this position will be required to undergo a criminal background check. An individual assessment of an applicant's prior criminal convictions will be made before excluding an applicant from consideration.
**ADA Statement**
Ohio is a Disability Inclusion State and strives to be a model employer of individuals with disabilities. The State of Ohio is committed to providing access and inclusion and reasonable accommodation in its services, activities, programs and employment opportunities in accordance with the Americans with Disabilities Act (ADA) and other applicable laws.
**Drug\-Free Workplace**
The State of Ohio is a drug\-free workplace which prohibits the use of marijuana (recreational marijuana/non\-medical cannabis). Please note, this position may be subject to additional restrictions pursuant to the State of Ohio Drug\-Free Workplace Policy (HR\-39\), and as outlined in the posting.</t>
        </is>
      </c>
    </row>
    <row r="59">
      <c r="A59" t="inlineStr">
        <is>
          <t>in-5a5b5c2d014e2f73</t>
        </is>
      </c>
      <c r="B59" t="inlineStr">
        <is>
          <t>Program Manager, Technology Operations</t>
        </is>
      </c>
      <c r="C59" t="inlineStr">
        <is>
          <t>Lyft</t>
        </is>
      </c>
      <c r="D59" t="inlineStr">
        <is>
          <t>indeed</t>
        </is>
      </c>
      <c r="E59">
        <f>HYPERLINK("https://www.indeed.com/viewjob?jk=5a5b5c2d014e2f73", "https://www.indeed.com/viewjob?jk=5a5b5c2d014e2f73")</f>
        <v/>
      </c>
      <c r="F59">
        <f>HYPERLINK("https://grnh.se/5a48izny2us", "https://grnh.se/5a48izny2us")</f>
        <v/>
      </c>
      <c r="G59" t="inlineStr">
        <is>
          <t>San Francisco, CA, US</t>
        </is>
      </c>
      <c r="H59" s="2" t="n">
        <v>46036</v>
      </c>
      <c r="I59" t="inlineStr">
        <is>
          <t>At Lyft, our purpose is to serve and connect. We aim to achieve this by cultivating a work environment where all team members belong and have the opportunity to thrive.
We believe that our people are our greatest asset, and the technology that supports them is crucial to our success. Within Corporate Engineering, IT, Privacy and Security teams, we're focused on partnering with our business customers and stakeholders to elevate their impact to game\-changing status. Our strategic initiatives, formulated through our customer\-obsession culture, deliver the technology they need to increase their velocity and impact. We're seeking an experienced Senior TechOps Program Manager to drive high\-impact, high\-value initiatives that propel Lyft forward. The ideal candidate will partner cross\-functionally with business leaders and technology delivery teams, serving as the critical connection point that ensures our organization moves with unified purpose and measurable impact.
If you are a candidate who has the vision of what could be, who has the ability to cultivate relationships, and has a belief in driving impact, then you may be the ideal person for this position. We are committed to building a diverse and inclusive team and encourage applications from candidates of all backgrounds.
**Responsibilities:**
---------------------
* Lead end\-to\-end program delivery for complex, multi\-year initiatives such as financial technology transformations (Oracle, Anaplan), people technology transformations (Workday, Greenhouse), sales technology rollouts (Salesforce), privacy compliance programs (GDPR, CCPA), and security implementations
* Execute strategic planning sessions and cross\-functional prioritization with Corporate Engineering, IT, Privacy and Security leadership teams to align program roadmaps with business objectives
* Manage program governance through biweekly and monthly strategic initiative reviews, risk assessments, and executive reporting that drives accountability and informed decision\-making
* Orchestrate cross\-functional program teams spanning engineering, IT operations, security, privacy, compliance, and business stakeholders to ensure seamless program delivery
* Drive enterprise technology lifecycle management including vendor selection, contract negotiations, system integrations, and sunset/migration planning
* Execute operational excellence initiatives such as infrastructure optimization, business process automation, disaster recovery planning, and performance monitoring implementations
* Proactively manage program risks and dependencies, implementing course corrections and stakeholder communications to keep initiatives on track
* Partner with finance and strategy teams to manage program budgets, track ROI, and optimize resource allocation across the technology portfolio
**Experience:**
---------------
* 8\+ years executing complex transformation programs in operations, consulting, strategy, or enterprise technology
* 6\+ years leading enterprise technology program delivery including ERP implementations (Oracle Financials, Anaplan), HCM platforms (Workday, Greenhouse), CRM rollouts (Salesforce), security tool deployments, or privacy compliance initiatives
* Proven track record executing full\-cycle transformations from business case development through implementation, change management, and operational handoff
* Experience leading privacy and security programs such as GDPR/CCPA compliance, security framework implementations, identity management systems, or data governance initiatives
* Experience leading enterprise\-wide AI and automation initiatives by identifying high\-impact generative AI opportunities to optimize processes and drive a culture of continuous operational excellence
* Strong executive communication skills with ability to manage up to C\-level stakeholders and translate complex technical and regulatory requirements into business impact
* Demonstrated experience managing technology vendors, complex procurement processes, and success managing technology budgets exceeding $1M annually
* Track record coordinating cross\-functional teams across IT, Engineering, Security, Privacy, Compliance, Finance, HR, and business operations
* Strong business acumen with the ability to identify strategic needs, lead all aspects of planning, and generate alignment with key business partners
* Forward\-thinking strategist with proven success in translating strategy to tactical plans with high\-quality execution and delivery.
* An empathetic leader style and a strong sense of self\-awareness
**Benefits:**
-------------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60">
      <c r="A60" t="inlineStr">
        <is>
          <t>in-b9888e866a24a5ca</t>
        </is>
      </c>
      <c r="B60" t="inlineStr">
        <is>
          <t>Senior Program Manager, AI &amp; Legal Technology</t>
        </is>
      </c>
      <c r="C60" t="inlineStr">
        <is>
          <t>Okta</t>
        </is>
      </c>
      <c r="D60" t="inlineStr">
        <is>
          <t>indeed</t>
        </is>
      </c>
      <c r="E60">
        <f>HYPERLINK("https://www.indeed.com/viewjob?jk=b9888e866a24a5ca", "https://www.indeed.com/viewjob?jk=b9888e866a24a5ca")</f>
        <v/>
      </c>
      <c r="F60">
        <f>HYPERLINK("https://grnh.se/4djhdmn81us", "https://grnh.se/4djhdmn81us")</f>
        <v/>
      </c>
      <c r="G60" t="inlineStr">
        <is>
          <t>Bellevue, WA, US</t>
        </is>
      </c>
      <c r="H60" s="2" t="n">
        <v>46036</v>
      </c>
      <c r="I60"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**Senior Program Manager, AI \&amp; Legal Technology**
Okta is seeking a Sr. Program Manager, AI \&amp; Legal Technology to join our Legal Operations Team, reporting to the Director of Legal Systems and Technology. In this strategic role, you will be a visionary leader within the Legal Team, architecting the next generation of our technology roadmap with a primary focus on Artificial Intelligence (AI) and Machine Learning (ML) integration. You will drive world\-class operational excellence by identifying and deploying AI\-driven systems and data strategies that empower our legal team to achieve bold ambitions with increased velocity.  
You will lead the implementation of innovative technologies—such as LLM\-powered assistants and advanced automation—while collaborating cross\-functionally with Technology,Data, and Intelligence (TDI), Finance, Security, and Procurement to ensure a scalable, high\-performing legal tech ecosystem.
**What you'll be doing**
**AI Strategy \&amp; Governance**
* **AI Roadmap Leadership:** Lead the vision and execution of the Legal AI roadmap, partnering across Legal to identify and prioritize use cases and collaborating with the teams to bring these use cases to life.
* **Prompt Engineering \&amp; Optimization:** Author, test, and maintain a centralized library of prompts for legal tasks such as contract summarization, litigation triage, and research.
* **AI Risk \&amp; Security Oversight:** Partner with Security and Privacy teams to vet AI vendors for use on the Legal team , performing tests to mitigate risks like hallucinations and ensure IP protection.
* **Nascent Tech Assessment:** Conduct ongoing assessments of existing and upcoming AI tools to identify enhancements that increase departmental productivity.
**Systems Management \&amp; Implementation**
* **Portfolio Support:** Own the strategy and support for the Legal tool portfolio, including CLM (Conga), workflow automation, eBilling, and AI\-powered systems.
* **AI Implementation:** Lead vendor selection, global rollout, and user acceptance testing (UAT) for AI\-powered legal technologies and complex workflow automation platforms.
* **Workflow Design:** Architect and implement AI\-assisted workflows focused on reducing bottlenecks, including eliminating redundant queues and automating manual contract generation.
**Analytics \&amp; Enablement**
* **Data\-Driven Decisions:** Leverage advanced reporting and analytics to build AI based dashboards that track legal spend, AI adoption, and overall team performance.
* **Change Management \&amp; Training:** Establish core documentation and training to foster AI literacy and ensure successful adoption of new technologies across the global team.
* **Strategic Collaboration:** Act as the primary liaison between Legal, TDI, and corporate AI team to resolve complex technical issues and drive internal AI tool development.
**What you'll bring to the role**
* **Experience:** Bachelor's Degree or equivalent with 5\+ years of experience in Legal Operations or Technology Program Management.
* **AI Technical Proficiency:** Proven success leading AI tech implementations or workflow automation tools, with a deep understanding of LLM capabilities (e.g., Gemini, GPT, Copilot).
* **System Mastery:** Deep familiarity with Conga preferred and workflow automation is required.
* **Strategic Communication:** Ability to influence and engage stakeholders at all levels, translating complex AI and technical concepts into strategic legal outcomes.
* **Operational Excellence:** Skilled in establishing a culture of continuous improvement through agile methodologies and metrics\-based feedback mechanisms.
* **Leadership Presence:** Experienced in working with Sr. Executives and global teams to assist in influencing organizational strategy.
\#LI\-CM2
\#LI\-Hybrid
(P24614\_3338897\)
**What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Okta is committed to complying with applicable data privacy and security laws and regulations. For more information, please see our Personnel and Job Candidate Privacy Notice at https://www.okta.com/legal/personnel\-policy/.</t>
        </is>
      </c>
    </row>
    <row r="61">
      <c r="A61" t="inlineStr">
        <is>
          <t>in-b6d3ba169cb3bdc2</t>
        </is>
      </c>
      <c r="B61" t="inlineStr">
        <is>
          <t>Group Product Manager, Customer Interfaces</t>
        </is>
      </c>
      <c r="C61" t="inlineStr">
        <is>
          <t>Adyen</t>
        </is>
      </c>
      <c r="D61" t="inlineStr">
        <is>
          <t>indeed</t>
        </is>
      </c>
      <c r="E61">
        <f>HYPERLINK("https://www.indeed.com/viewjob?jk=b6d3ba169cb3bdc2", "https://www.indeed.com/viewjob?jk=b6d3ba169cb3bdc2")</f>
        <v/>
      </c>
      <c r="F61">
        <f>HYPERLINK("https://grnh.se/b5f3wijl1us", "https://grnh.se/b5f3wijl1us")</f>
        <v/>
      </c>
      <c r="G61" t="inlineStr">
        <is>
          <t>Chicago, IL, US</t>
        </is>
      </c>
      <c r="H61" s="2" t="n">
        <v>46036</v>
      </c>
      <c r="I61" t="inlineStr">
        <is>
          <t>### **This is Adyen**
Adyen provides payments, data, and financial products in a single solution for customers like Meta, Uber, H\&amp;M, and Microsoft \- making us the financial technology platform of choice. At Adyen, everything we do is engineered for ambition.
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
### **The Role**
We are seeking a senior product leader to own and scale **Adyen's Customer Interfaces**—the primary surface through which merchants, developers, partners, and internal teams experience the Adyen platform.
This role is foundational to delivering Adyen's **One Platform** strategy. You will transform the Customer Area from a set of operational tools into a **growth engine** that drives product activation, customer expansion, and long\-term platform differentiation.
You will lead the strategy, execution, and evolution of a unified, AI\-enabled, globally scalable interface ecosystem—spanning onboarding, payments operations, financial products, communications, support, and partner experiences. Your work will directly impact product adoption (e.g., UpLift), customer satisfaction, operational efficiency, and Adyen's readiness for an open, embedded ecosystem.
This is a high\-ownership role with responsibility for complex platform migrations, global product teams, and deep cross\-functional alignment across Product, Engineering, Commercial, Support, Risk, and Compliance.
### **What You'll Do**
**Set the Vision for AI\-Native Customer Interfaces**  
Define and execute a multi\-year strategy to evolve Adyen's Customer Area toward conversational, agentic, and intelligent workflows—bridging traditional UI with AI\-driven experiences.
**Turn Interfaces into a Growth Engine**  
Reimagine Customer Interfaces as a primary channel for product discovery and activation, enabling customers to self\-serve and adopt capabilities such as UpLift, Capital, and Issuing directly within their workflows.
**Lead Platform\-Scale Execution**  
Partner closely with Engineering, Design, Commercial, Support, Risk, and Compliance to deliver platform migrations, simplify fragmented tools, and scale globally without compromising reliability or trust.
**Operate with Data and Experimentation**  
Define success metrics across activation, usage, CSAT, and operational efficiency. Run experiments that measurably improve outcomes across the customer lifecycle.
**Build and Develop a World\-Class Team**  
Lead and grow a team of product managers across Amsterdam and Chicago. Set high standards for product craft, clarity of thinking, and ownership.
### **What Success Looks Like**
**Within the first 12–18 months, you will have:**
* Established a clear, executable vision for AI\-driven customer interfaces
* Launched early conversational and intelligent workflows with real customer adoption
* Made Customer Interfaces a meaningful lever for product\-led growth
* Built and up\-leveled a high\-performing, globally distributed product team
### **Who You Are**
* 8\+ years of product management experience, including 2\+ years leading PMs
* Proven success delivering complex, multi\-year platform initiatives at scale
* Strong product instincts at the intersection of UX, platforms, and business outcomes
* Demonstrated passion for AI\-powered experiences (deep expertise not required)
* Comfortable operating in ambiguity with high autonomy and ownership
* A clear, compelling communicator who influences across senior leadership
### **Hybrid work commitment**
This role is based out of our Chicago office. We are an office\-first company and value in\-person collaboration; we do not offer remote\-only roles.
### **Our Diversity, Equity and Inclusion commitments**
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
Studies show that women and members of underrepresented communities apply for jobs only if they meet 100% of the qualifications. Does this sound like you? If so, Adyen encourages you to reconsider and apply. We look forward to your application!
### **What's next?**
Ensuring a smooth and enjoyable candidate experience is critical for us. We aim to get back to you regarding your application within 5 business days. Our interview process tends to take about 4 weeks to complete, but may fluctuate depending on the role. Learn more about our hiring process here. Don't be afraid to let us know if you need more flexibility.
### **Equal Opportunity Employer**
Adyen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All your information will be kept confidential according to EEO guidelines.</t>
        </is>
      </c>
    </row>
    <row r="62">
      <c r="A62" t="inlineStr">
        <is>
          <t>in-ed2c81d3e453798b</t>
        </is>
      </c>
      <c r="B62" t="inlineStr">
        <is>
          <t>Rewards Program Manager</t>
        </is>
      </c>
      <c r="C62" t="inlineStr">
        <is>
          <t>Arizona Public Service (APS)</t>
        </is>
      </c>
      <c r="D62" t="inlineStr">
        <is>
          <t>indeed</t>
        </is>
      </c>
      <c r="E62">
        <f>HYPERLINK("https://www.indeed.com/viewjob?jk=ed2c81d3e453798b", "https://www.indeed.com/viewjob?jk=ed2c81d3e453798b")</f>
        <v/>
      </c>
      <c r="F62">
        <f>HYPERLINK("https://careers.aps.com/job/PHOENIX-Rewards-Program-Manager-AZ-85004-3903/1356675900/", "https://careers.aps.com/job/PHOENIX-Rewards-Program-Manager-AZ-85004-3903/1356675900/")</f>
        <v/>
      </c>
      <c r="G62" t="inlineStr">
        <is>
          <t>Phoenix, AZ, US</t>
        </is>
      </c>
      <c r="H62" s="2" t="n">
        <v>46036</v>
      </c>
      <c r="I62" t="inlineStr">
        <is>
          <t>**Date:** Jan 15, 2026
**Location:** PHOENIX, AZ, US, 85004\-3903
**Company:** APS
Our present and future success depends on the creative and dedicated people of our company who demonstrate the principles outlined in the APS Promise: Design for Tomorrow, Empower Each Other and Succeed Together.
**Summary**
-----------
**Rewards Program Manager**
As a **Rewards Program Manager** at APS, you’ll shape the health and benefits programs that support the well‑being of our employees and their families. Your work ensures that our offerings align with corporate strategy, remain competitive, and provide real value to the people who help power Arizona. This role plays an essential part in our commitment to doing what is right for our employees and our state by designing sustainable, thoughtful programs that prioritize care, equity, and long‑term health. Through collaboration, innovation, and a deep understanding of employee needs, you will help advance APS’s vision of a sustainable energy future supported by a healthy and engaged workforce.
**What your day would be like:**
* Develop, recommend, and administer health, welfare, and wellness programs that support employee well‑being and company goals.
* Assess program performance and identify opportunities to improve value, cost effectiveness, and accessibility.
* Partner with leaders, vendors, and HR teams to implement benefit plan updates and ensure a smooth employee experience.
* Support long‑term planning by helping define the strategic direction of health programs.
* Monitor trends, employee needs, and market best practices to keep APS’s offerings competitive and forward‑thinking.
**Who we’re looking for:**
* Experienced benefits professional with a strong understanding of health and welfare programs.
* Analytical thinker who can evaluate program performance and recommend improvements.
* Strong communicator who collaborates well across teams and builds trust with internal and external partners.
* Someone who embodies the APS Promise—innovative, inclusive, accountable and committed to helping employees thrive.
* A relationship‑builder with a continuous improvement mindset and a passion for employee well‑being.
**Minimum Requirements**
------------------------
**Rewards Program Manager**
* Bachelor's degree in Business Administration, Human Resources, Finance or other job\-related field from an accredited college or university
* ***PLUS*** eight (8\) years of professional level experience in benefits plan design, administration and negotiation.
* In lieu of bachelor's degree, combination of college coursework and/or experience in benefits plan design, administration and negotiation **equaling 12 years required**.
* Ability to effectively consult and negotiate with all levels of management for solutions to complex problems.
* Demonstrated strong analytical skills with the ability to perform independent in\-depth analysis and research.
* Good project management skills.
* High attention to detail and accuracy.
* Knowledge of federal and state employee benefit laws required.
* Oracle experience preferred.
* CEBS or CBP certification preferred.
**Major Accountabilities**
--------------------------
1\) Develops, recommends, implements and administers the health and welfare\-related benefit programs, plans and policies. Responsible for financials, plan compliance, communications, vendor management and contract management. Assists in establishing long term objectives for the programs.  
2\) Administers benefit programs for active, represented and retiree populations in conjunction with HR Services.  
3\) Conducts financial analysis for recommendation of budgets, accruals, plan changes, annual contributions and costs. Partners with financial analyst and business partners to ensure all requirements are met.  
4\) Produces written and oral presentations of data, analysis and business information which enables effective decision making by business unit and company executives.  
5\) Leads the design, cost/benefit analysis and communication of benefit programs in proposal and rollout stage. Participates in negotiation of vendor contracts.  
6\) Develops and facilitates presentations and related training on benefit topics including annual enrollment, vendor changes and plan introduction and change.  
7\) Completes benchmark analysis, survey participation, evaluation and comparison with other companies to align with industry best practices. Provides change recommendations to management when appropriate.  
8\) Defines and develops key performance indicators with integrated program metrics, tracks delivery against program objectives and leads improvement initiatives.  
9\) Communicates regularly with the HR Services to provide benefit updates including plan changes, vendor changes and policy changes. Provides benefit training to the HR Service Team as needed.
10\) Collaborates with and manages relationships with insurance brokers, carriers, and third\-party administrators. Monitor service providers by ensuring compliance and evaluating various types of fees and services.
**Export Compliance / EEO Statement**
-------------------------------------
This position may require access to and/or use of information subject to control under the Department of Energy's Part 810 Regulations (10 CFR Part 810\), the Export Administration Regulations (EAR) (15 CFR Parts 730 through 774\), or the International Traffic in Arms Regulations (ITAR) (22 CFR Chapter I, Subchapter M Part 120\) (collectively, 'U.S. Export Control Laws'). Therefore, some positions may require applicants to be a U.S. person, which is defined as a U.S. Citizen, a U.S. Lawful Permanent Resident (i.e. 'Green Card Holder'), a Political Asylee, or a Refugee under the U.S. Export Control Laws. All applicants will be required to confirm their U.S. person or non\-US person status. All information collected in this regard will only be used to ensure compliance with U.S. Export Control Laws, and will be used in full compliance with all applicable laws prohibiting discrimination on the basis of national origin and other factors. For positions at Palo Verde Nuclear Generating Stations (PVNGS) all openings will require applicants to be a U.S. person.  
Pinnacle West Capital Corporation and its subsidiaries and affiliates ('Pinnacle West') maintain a continuing policy of nondiscrimination in employment. It is our policy to provide equal opportunity in all phases of the employment process and in compliance with applicable federal, state, and local laws and regulations. This policy of nondiscrimination shall include, but not be limited to, recruiting, hiring, promoting, compensating, reassigning, demoting, transferring, laying off, recalling, terminating employment, and training for all positions without regard to race, color, religion, disability, age, national origin, gender, gender identity, sexual orientation, marital status, protected veteran status, or any other classification or characteristic protected by law.  
For more information on applicable equal employment regulations, please refer to EEO is the Law poster. Federal law requires all employers to verify the identity and employment eligibility of every person hired to work in the United States, refer to E\-Verify poster. View the employee rights and responsibilities under the Family and Medical Leave Act (FMLA).  
In compliance with the Drug Free Workplace Act of 1988, the Company is committed to a work environment that is free from the effects of alcohol and controlled substances, and free from the abuse or inappropriate use of prescribed and over\-the\-counter medications. The Company requires employees to be subject to drug and alcohol testing that is job\-related and consistent with business necessity, regulatory requirements and applicable laws.
**Hybrid:** Employees in hybrid roles work both in their home offices (virtually) and alongside their colleagues (in person).
In order for employees to build strong relationships and to promote meaningful in\-person interactions, hybrid employees are expected to work about 40% of their time in\-person at an APS or other (non\-home office) location.
* *Employees are expected to reside in Arizona (or New Mexico for Four Corners\-based employees).*
* *Working from a home office requires adequate technology and an appropriate ergonomic set up.*
* *Role types are subject to change based on business need.*
**Job Segment:** Sustainability, Nuclear, Energy</t>
        </is>
      </c>
    </row>
    <row r="63">
      <c r="A63" t="inlineStr">
        <is>
          <t>in-67ad632d31bc3c7d</t>
        </is>
      </c>
      <c r="B63" t="inlineStr">
        <is>
          <t>Workplace Experience Program Manager</t>
        </is>
      </c>
      <c r="C63" t="inlineStr">
        <is>
          <t>CBRE</t>
        </is>
      </c>
      <c r="D63" t="inlineStr">
        <is>
          <t>indeed</t>
        </is>
      </c>
      <c r="E63">
        <f>HYPERLINK("https://www.indeed.com/viewjob?jk=67ad632d31bc3c7d", "https://www.indeed.com/viewjob?jk=67ad632d31bc3c7d")</f>
        <v/>
      </c>
      <c r="F63">
        <f>HYPERLINK("https://careers.cbre.com/en_US/careers/JobDetail/Workplace-Experience-Program-Manager/256009", "https://careers.cbre.com/en_US/careers/JobDetail/Workplace-Experience-Program-Manager/256009")</f>
        <v/>
      </c>
      <c r="G63" t="inlineStr">
        <is>
          <t>Los Angeles, CA, US</t>
        </is>
      </c>
      <c r="H63" s="2" t="n">
        <v>46035</v>
      </c>
      <c r="I63" t="inlineStr">
        <is>
          <t>Workplace Experience Program Manager
Job ID
256009
Posted
14\-Jan\-2026
Service line
GWS Segment
Role type
Full\-time
Areas of Interest
Administrative, Customer Service
Location(s)
Los Angeles \- California \- United States of America
**About the Role:**
As a CBRE Program Manager, you will manage a team responsible for facilitating small to medium cross\-functional projects and programs.
This job is part of the Program Management function. They are responsible for the creation and delivery of strategic programs representing major company initiatives.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Oversee cross\-functional projects or programs from end to end using a formal process.
* Ensure that all functions remain on schedule and any issues get escalated and resolved so that the program gets completed on time.
* Manage internal and external relationships in support of programs.
* Work with core teams to develop solutions and guide project teams throughout delivery.
* Create and distribute routine PMO reports, which include status reports and updated Gantt charts.
* Conduct financial or business evaluations.
* Establish, cultivate, and maintain effective client relationships.
* Comprehend, evaluate, and interpret business documents.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Bachelor's Degree preferred with 5\-8 years of relevant experience. In lieu of a degree, a combination of experience and education will be considered. PgMP or PMP certifications preferred.
* Experience in the areas of staffing, selection, training, development, coaching, mentoring, measuring, appraising, and rewarding performance and retention is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 CBRE carefully considers multiple factors to determine compensation, including a candidate’s education, training, and experience. The minimum salary for the Workplace Experience Program Manager position is $150,000 annually and the maximum salary for the Workplace Experience Program Manager position is $156,000 annually. The compensation that is offered to a successful candidate will depend on the candidate’s skills, qualifications, and experience.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is>
      </c>
    </row>
    <row r="64">
      <c r="A64" t="inlineStr">
        <is>
          <t>in-a2ff73cb410deafd</t>
        </is>
      </c>
      <c r="B64" t="inlineStr">
        <is>
          <t>Mobile Product Owner</t>
        </is>
      </c>
      <c r="C64" t="inlineStr">
        <is>
          <t>Ameriprise Financial</t>
        </is>
      </c>
      <c r="D64" t="inlineStr">
        <is>
          <t>indeed</t>
        </is>
      </c>
      <c r="E64">
        <f>HYPERLINK("https://www.indeed.com/viewjob?jk=a2ff73cb410deafd", "https://www.indeed.com/viewjob?jk=a2ff73cb410deafd")</f>
        <v/>
      </c>
      <c r="F64">
        <f>HYPERLINK("https://ameriprise.wd5.myworkdayjobs.com/Ameriprise/job/Minneapolis-Minnesota/Mobile-Product-Owner_R25_0000003865", "https://ameriprise.wd5.myworkdayjobs.com/Ameriprise/job/Minneapolis-Minnesota/Mobile-Product-Owner_R25_0000003865")</f>
        <v/>
      </c>
      <c r="G64" t="inlineStr">
        <is>
          <t>Charlotte, NC, US</t>
        </is>
      </c>
      <c r="H64" s="2" t="n">
        <v>46028</v>
      </c>
      <c r="I64" t="inlineStr">
        <is>
          <t>Ameriprise Financial has an exciting new opportunity for a Mobile Product Owner to join our team! In this role, you will act as the voice of the customer by maintaining key information on personas, user journeys, product metrics and benefits. You’ll partner with key stakeholders to define goals, success criteria and measurable outcomes for delivering ongoing value. Product Owners will provide effective day\-to\-day leadership of an agile product team by defining the vision and directing execution of a digital product roadmap.**Responsibilities:**
* Lead day\-to\-day execution of product strategy and delivery for one or more Agile Scrum teams. Represent the Customer to the Product team based on product strategy. Influence team without direct leadership responsibilities. Partner with UX Design Lead and Software Engineering Lead to define roadmap, backlog and sprint plans. Author user stories and provide context for product vision, strategy and requirements. Ameriprise views indirect leadership section as part of a true hierarchy.
* Create compelling product vision \- develop and execute product roadmap with a focus on measurable business outcomes. Understand business strategy and customer goals. Define Key Performance Indicators (KPI’s) for the customer and business and regularly monitor progress toward goals. Regularly track and share progress with stakeholders and team.
* Represent the Product to the business \- Act as the key point of contact to consult with product stakeholders and determine strategic roadmap prioritized list of feature improvements.
* Identify new opportunities to drive value and deepen customer relationship through ongoing assessment of customer needs and goals. Adjust product strategy in partnership with leadership.
* Manage annual product budget to effectively deliver products in collaboration with Senior Product Owner.
* Lead mobile strategy, ensuring cohesive client experiences within the Mobile App and alignment with its partners across the organization.
* Build and maintain strong relationships with partner Product Owners, UX, Engineering, Compliance, Security, and business stakeholders, acting as the primary Mobile point of contact for the features your team supports.
* Serve as the mobile subject\-matter expert for your product area, providing guidance on mobile UX best practices, platform constraints, architectural considerations, and release planning.
* Drive backlog prioritization grounded in data, including analytics insights, client feedback, accessibility requirements, competitive research, and mobile\-specific KPIs.
* Ensure mobile readiness for all releases, including coordinating with QA, Accessibility, Design, Content, Analytics, and Release Management to deliver high\-quality features on time.
* Partner closely with Engineering to support mobile.
* Advocate for the mobile\-first perspective in cross\-functional forums, influencing enterprise roadmap decisions and ensuring mobile remains a strategic channel for client engagement.
**Required Qualifications:**
* Bachelors degree or equivalent (4 years).
* 5\-7 years of experience, with 3\+ years experience in software\-based solutions in an agile environment.
* Experience working in Agile/Scrum, including backlog creation, story writing, sprint planning, and iterative delivery.
* Strong understanding of mobile app development frameworks, iOS/Android UX patterns, and mobile\-specific constraints (even if not technical).
* Demonstrated ability to translate business strategy into a clear product roadmap.
* Proven ability to build strong relationships and influence without authority across engineering, design, and business partners.
* Experience using analytics tools to inform product decisions.
* Excellent written and verbal communication skills, including ability to communicate technical concepts to non\-technical stakeholders.
* Strong organizational and prioritization skills; able to manage competing priorities and multiple workstreams.
**Preferred Qualifications:**
* Experience working specifically on mobile applications in financial services, fintech, or another highly regulated industry.
* Strong understanding of mobile UI/UX principles, accessibility requirements, and design patterns.
* Background or certifications in Agile (CSPO, SAFe PO/PM, Scrum Master, etc.).
* Demonstrated success driving mobile adoption.
* Experience working with UX research teams to translate insights into features.
* Ability to facilitate workshops, visioning sessions, and roadmap alignment meetings with cross\-functional teams.
* Experience with backlog and roadmapping tools (e.g., Jira, Productboard, Confluence).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$93,400 \- $126,100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Business Support \&amp; Operations**Line of Business**
MARKT Marketing</t>
        </is>
      </c>
    </row>
    <row r="65">
      <c r="A65" t="inlineStr">
        <is>
          <t>in-88a2232f6bd28e03</t>
        </is>
      </c>
      <c r="B65" t="inlineStr">
        <is>
          <t>Product Manager Wealth Management</t>
        </is>
      </c>
      <c r="C65" t="inlineStr">
        <is>
          <t>Ameriprise Financial</t>
        </is>
      </c>
      <c r="D65" t="inlineStr">
        <is>
          <t>indeed</t>
        </is>
      </c>
      <c r="E65">
        <f>HYPERLINK("https://www.indeed.com/viewjob?jk=88a2232f6bd28e03", "https://www.indeed.com/viewjob?jk=88a2232f6bd28e03")</f>
        <v/>
      </c>
      <c r="F65">
        <f>HYPERLINK("https://ameriprise.wd5.myworkdayjobs.com/Ameriprise/job/Minneapolis-Minnesota/Product-Manager-Wealth-Management_R25_0000004315-1", "https://ameriprise.wd5.myworkdayjobs.com/Ameriprise/job/Minneapolis-Minnesota/Product-Manager-Wealth-Management_R25_0000004315-1")</f>
        <v/>
      </c>
      <c r="G65" t="inlineStr">
        <is>
          <t>Charlotte, NC, US</t>
        </is>
      </c>
      <c r="H65" s="2" t="n">
        <v>46027</v>
      </c>
      <c r="I65" t="inlineStr">
        <is>
          <t>As a Product Manager within the Wealth Management business group, you will be responsible for managing business/product critical processes, reports and audits. You will also represent the wealth management products group as a subject matter expert and liaison with project initiatives.**Key Responsibilities**
* Act as a subject matter expert on small to medium scale projects related to the Advisory, Mutual Fund, 529 Plans, Alternative Investments, Structured Products, Capital Markets, Third Party Insurance and Annuity product lines
* Ensure the maintenance of a healthy compliance environment by completing regular reviews of policies, procedures, and reports
* Perform routine reports and audits accurately and on\-time
* Manage resolution of complex and non\-routine advisor/client issues with internal/external partners
* Own and act as subject matter expert for client pre\-qualification and product sales kit process for Alternative Investments
* Work on special projects and perform other duties as assigned
 **Required Qualifications**
* 5\+ years financial services experience
* Bachelor's degree or equivalent experience
* Active Series 7 or the ability to obtain within 120 days
 **Preferred Qualifications**
* Excellent strategic and analytical skills to solve complex problems and identify new product solutions
* Knowledge and experience working with Ameriprise product suite
* Strong understanding of compliance and regulatory environment
* Proven organizational skills, including managing multiple tasks simultaneously
* Strong written and verbal communication skills
* Attention to detail, accuracy, and high level of personal accountability
* Project Management experience
* Experience working with Ameriprise project methodologies
* Working knowledge of Ameriprise systems and tools (including BETA Host, Thomson One/Refinitiv, Denodo)
* Data analysis experience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$81,700 \- $112,300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66">
      <c r="A66" t="inlineStr">
        <is>
          <t>in-5f2e736226f6e59a</t>
        </is>
      </c>
      <c r="B66" t="inlineStr">
        <is>
          <t>Technical Product Manager – AI Infrastructure &amp; Platform</t>
        </is>
      </c>
      <c r="C66" t="inlineStr">
        <is>
          <t>SingleFile</t>
        </is>
      </c>
      <c r="D66" t="inlineStr">
        <is>
          <t>indeed</t>
        </is>
      </c>
      <c r="E66">
        <f>HYPERLINK("https://www.indeed.com/viewjob?jk=5f2e736226f6e59a", "https://www.indeed.com/viewjob?jk=5f2e736226f6e59a")</f>
        <v/>
      </c>
      <c r="F66">
        <f>HYPERLINK("https://singlefile.breezy.hr/p/e634c6775b72-technical-product-manager-ai-infrastructure-platform?source=indeed", "https://singlefile.breezy.hr/p/e634c6775b72-technical-product-manager-ai-infrastructure-platform?source=indeed")</f>
        <v/>
      </c>
      <c r="G66" t="inlineStr">
        <is>
          <t>Remote, US</t>
        </is>
      </c>
      <c r="H66" s="2" t="n">
        <v>46022</v>
      </c>
      <c r="I66" t="inlineStr">
        <is>
          <t>### ***Open to candidates in the U.S. and Canada***
### **About the Role**
SingleFile is looking for a Technical Product Manager to lead the evolution of the platforms and infrastructure that power our AI\-enabled compliance solutions. This role focuses on building the internal systems, data access layers, and platform capabilities that enable teams across SingleFile to securely and effectively leverage AI at scale.
You will work closely with engineering and data leaders to design and deliver scalable, secure, and reliable foundations for AI\-driven innovation. By guiding architectural decisions, prioritizing platform investments, and shaping how data is accessed and governed, you will ensure SingleFile's internal infrastructure unlocks new possibilities for our products and customers.
As a leader, you will also help mentor other PMs, align executive stakeholders, and ensure SingleFile's platform remains the trusted foundation for compliance innovation.
What you'll do
* Design and deliver the product direction for the systems, pipelines, and internal tools that allow SingleFile teams to effectively leverage AI, spanning scalable data pipelines, secure data access frameworks, and governance controls.
* Define and prioritize how teams securely access, process, and apply data for AI use cases, ensuring privacy, security, and regulatory compliance are built in from the start.
* Partner with engineering and data teams to evolve our cloud and SaaS architecture to support AI\-driven workflows at scale, including APIs, permissions models, and infrastructure services.
* Own the roadmap for a defined set of platform initiatives such as permissions, AI infrastructure, APIs, and related platform areas. Define and measure platform KPIs such as system performance, data accessibility, and AI adoption metrics to guide iteration and investment.
* Collaborate closely with engineering leads and architects to define requirements, evaluate technical tradeoffs, and guide product development with an understanding of system design principles.
* Drive backlog management, prioritization, and delivery planning, of high\-quality, technically sound platform capabilities, ensuring engineering teams have clear priorities and context.
* Work with executives, security, compliance, and product teams to ensure AI infrastructure investments unlock real customer and business value downstream.
What we're looking for
* 5\+ years in product management with a focus on technical or platform initiatives such as data platforms, APIs, AI/ML infrastructure, or cloud systems.
* Familiarity with SaaS architecture, cloud platforms, APIs, and AI/ML technologies. Experience with data governance, security frameworks, or scaling AI systems is a strong plus.
* Understanding of how modern AI models interact with data pipelines, infrastructure, and APIs, and ability to translate business needs into technical requirements for AI enablement.
* Background in legal technology, compliance, or other regulated industries, with an understanding of workflows, data sensitivity, and the customer landscape.
* Proven track record of leading technical product areas and partnering with engineering to deliver platform capabilities at scale.
* Strong communicator who can align executives, engineers, and product stakeholders around a shared vision.
* Ability to connect infrastructure investments to downstream customer and business outcomes.
* Thrives in a distributed, fast\-paced startup environment with a bias for action.
**About SingleFile**
At SingleFile, we are rethinking the way companies and law firms manage compliance work. And in the process, we give people back more of their most scarce resource—time. How? We simplify repetitive, manual and detail\-oriented compliance work, which frees people up for more rewarding activities. With SingleFile, our users have more time and the peace of mind that all the administrative stuff is under control.
Companies need to comply with state and local regulations wherever they operate. It's important, detail\-oriented work that nobody wants to do. Today, it's managed with to\-do lists and spreadsheets, which are hard to maintain and prone to inaccuracy. The alternative is to use one of the two large service providers that throw filing clerks at the problem. Very little has changed since the industry started over 120 years ago.
We help companies and their law firms do this job quickly, easily and precisely while disrupting a dated yet profitable industry. We partner with national law firms so that their clients can benefit from our services. We're looking for a highly visible channel sales manager to play a pivotal role in owning and developing our relationships with top tier National Law Firms.</t>
        </is>
      </c>
    </row>
    <row r="67">
      <c r="A67" t="inlineStr">
        <is>
          <t>in-220e231d1a90d9ce</t>
        </is>
      </c>
      <c r="B67" t="inlineStr">
        <is>
          <t>Deputy Program Manager / Operations Lead</t>
        </is>
      </c>
      <c r="C67" t="inlineStr">
        <is>
          <t>Zantech</t>
        </is>
      </c>
      <c r="D67" t="inlineStr">
        <is>
          <t>indeed</t>
        </is>
      </c>
      <c r="E67">
        <f>HYPERLINK("https://www.indeed.com/viewjob?jk=220e231d1a90d9ce", "https://www.indeed.com/viewjob?jk=220e231d1a90d9ce")</f>
        <v/>
      </c>
      <c r="F67">
        <f>HYPERLINK("https://zantech-it.breezy.hr/p/69bc50db5521-deputy-program-manager-operations-lead?source=indeed", "https://zantech-it.breezy.hr/p/69bc50db5521-deputy-program-manager-operations-lead?source=indeed")</f>
        <v/>
      </c>
      <c r="G67" t="inlineStr">
        <is>
          <t>Washington, DC, US</t>
        </is>
      </c>
      <c r="H67" s="2" t="n">
        <v>46022</v>
      </c>
      <c r="I67" t="inlineStr">
        <is>
          <t>*Are you looking for your next challenge? Are you ready to work with a performance\-based small company? At Zantech, we are a dynamic Woman Owned Small Business focused on providing complex, mission\-focused solutions with a proven track record of outstanding customer performance and high employee satisfaction. We would love to talk with you regarding the next step in your career. Come join our team!*
Zantech is looking for a talented **Deputy Program Manager / Operations Lead** to contribute to the success of our upcoming **Program Management Support** project for an **Hybrid** role based out of **the** **Washington DC Metro Area/Pentagon**.
The **Deputy Program Manager / Operations Lead** will play a crucial role in providing:
* Program Operations and Day\-to\-Day Management
* Deliverable Quality Management
* Team Coordination and Resource Management
* Risk Management and Issue Resolution
* Customer Relationship Management
The **Deputy Program Manager** serves as the operational backbone of the contract, managing day\-to\-day execution, deliverable quality, team coordination, and client relationships. This role ensures seamless program operations when the PM is engaged in strategic activities or executive meetings, and provides critical continuity and depth to program leadership.
**This role ensures consistent, high\-quality delivery of all contract requirements, maintaining stakeholder satisfaction and enabling the PM to focus on strategic initiatives.**
**Responsibilities include, but will not be limited to:**
* Manage day\-to\-day program operations and team activities
* Ensure quality and timeliness of all contract deliverables
* Coordinate team resources and manage workload distribution
* Conduct regular team meetings and status reviews
* Manage program budget, schedule, and earned value reporting
* Identify and mitigate program risks and resolve issues
* Maintain strong relationships with CDAO customer and stakeholders
* Oversee deliverable review process and quality assurance
* Coordinate with subcontractors and teaming partners
* Prepare program status reports and briefings
* Implement and maintain Agile/SAFe practices across the team
* Support proposal efforts and contract modifications
**Required Experience or Knowledge of the following technologies/functions:**
* 10\+ years in program/project management with 6\+ years managing DoD contracts
* Proven program management experience on DoD CPAF/CPFF contracts
* Strong knowledge of Agile/SAFe methodologies
* Deliverable quality management and review processes
* Resource management and team coordination
* Risk and issue management
* Budget management and earned value management (EVM)
* Stakeholder communication and relationship management
* Schedule development and management (MS Project, Jira, etc.)
* Contract administration and compliance
* Government acquisition and contracting processes (FAR/DFARS)
* Experience managing professional services contracts in DoD EA/BPM domain preferred
* Prior experience with CDAO, DISA, or OSD customers valued
* Strong organizational and communication skills essential
* Experience with government CPARS evaluations and award fee processes
**Required Education/Certifications:**
* PMP (Project Management Professional) or equivalent
* Certifications Preferred:
* + SAFe Program Consultant (SPC) or RTE (Release Train Engineer)
	+ PMI\-ACP (Agile Certified Practitioner)
	+ DAWIA Program Management Level II or III
	+ Cost/Schedule Control Systems Criteria (C/SCSC) certification
	+ Education Required:
* Bachelor's degree in Business Administration, Engineering, Information Systems, or related field
* Education Preferred:
* + Master's degree in Business Administration (MBA), Project Management, Engineering Management, or related field
	+ PMP certification with advanced project management training
**Required Security Clearance:**
* US Citizenship and the ability to obtain and maintain an active Secret or higher clearance, per contract requirements.
*“****Outstanding Performance…Always!”***
*Our corporate motto represents our commitment to build long\-term relationships with both our clients and our employees by providing the highest quality service in everything we do. We strive for excellence for our clients and for each other. We embrace the opportunity to hire individuals with new talents and fresh perspectives. Zantech offers competitive compensation, strong benefits, and a vacation package, as well as a fast\-paced and exciting work environment.* ***Come join our team!***</t>
        </is>
      </c>
    </row>
    <row r="68">
      <c r="A68" t="inlineStr">
        <is>
          <t>in-db0708a9e660ad78</t>
        </is>
      </c>
      <c r="B68" t="inlineStr">
        <is>
          <t>Program Manager / Chief Enterprise Architect</t>
        </is>
      </c>
      <c r="C68" t="inlineStr">
        <is>
          <t>Zantech</t>
        </is>
      </c>
      <c r="D68" t="inlineStr">
        <is>
          <t>indeed</t>
        </is>
      </c>
      <c r="E68">
        <f>HYPERLINK("https://www.indeed.com/viewjob?jk=db0708a9e660ad78", "https://www.indeed.com/viewjob?jk=db0708a9e660ad78")</f>
        <v/>
      </c>
      <c r="F68">
        <f>HYPERLINK("https://zantech-it.breezy.hr/p/0d57ee56da5b-program-manager-chief-enterprise-architect?source=indeed", "https://zantech-it.breezy.hr/p/0d57ee56da5b-program-manager-chief-enterprise-architect?source=indeed")</f>
        <v/>
      </c>
      <c r="G68" t="inlineStr">
        <is>
          <t>Washington, DC, US</t>
        </is>
      </c>
      <c r="H68" s="2" t="n">
        <v>46022</v>
      </c>
      <c r="I68" t="inlineStr">
        <is>
          <t>*Are you looking for your next challenge? Are you ready to work with a performance\-based small company? At Zantech, we are a dynamic Woman Owned Small Business focused on providing complex, mission\-focused solutions with a proven track record of outstanding customer performance and high employee satisfaction. We would love to talk with you regarding the next step in your career. Come join our team!*
Zantech is looking for a talented **Program Manager / Chief Enterprise Architect** to contribute to the success of our upcoming **Program Management Support** project for an **Onsite** role based out of **the** **Washington DC Metro Area/Pentagon**.
The **Program Manager / Chief Enterprise Architect** will play a crucial role in providing:
* Enterprise Architecture Framework Development
* Strategic Planning and Roadmap Development
* Stakeholder Engagement and Executive Briefings
* DoDAF/FEAF Architecture Documentation
* Program Management and Contract Oversight.
The **Program Manager/Chief Enterprise Architect** serves as the primary technical and strategic leader for the Enterprise Architecture and Business Process Management contract. This individual will lead the development and implementation of enterprise architecture frameworks, strategic roadmaps, and governance structures that align technical, data, and business architecture with mission goals. The PM/Chief Architect will serve as the principal interface with leadership, coordinate across DoD Components, and ensure delivery of all contract requirements.
**This role directly shapes the strategic direction of DoD's premier data and analytics platform, affecting decision\-making capabilities across the entire Department.**
**Responsibilities include, but will not be limited to:**
* Serve as primary point of contact and strategic advisor to CDAO leadership on all EA/BPM matters
* Develop and maintain comprehensive enterprise architecture roadmaps and strategic plans for Advana platform evolution
* Lead development of DoDAF\-compliant architecture products (OV, SV, TV, DIV views)
* Design and implement data governance frameworks and enterprise data management strategies
* Coordinate architecture decisions across 40\+ DoD organizations using Advana
* Brief senior DoD leadership (flag officers, SES) on architecture strategies and recommendations
* Manage program execution including budget, schedule, staffing, and quality deliverables
* Ensure integration of EA/BPM work with broader Open DAGIR and CDAO initiatives
* Lead technical design reviews and architecture assessment boards
* Mentor and develop enterprise architecture team members
* Establish and maintain relationships with key stakeholders across OSD, Services, and COCOMs
**Required Experience or Knowledge of the following technologies/functions:**
* 15\+ years in DoD Enterprise Architecture and program management
* Deep expertise in DoDAF (Department of Defense Architecture Framework)
* Proven experience with TOGAF and/or FEAF frameworks
* Prior work with CDAO, Advana platform, or DoD enterprise data architecture
* Executive communication skills (briefing flag officers, SES leadership)
* Strategic planning and multi\-year roadmap development
* Enterprise\-wide systems integration and data architecture
* Government stakeholder management across OSD/Services/COCOMs
* Contract program management and CPAF/CPFF contract execution
* Data governance and information architecture principles
* Agile/SAFe program management methodologies
* Must have demonstrated experience as a technical lead on DoD enterprise data platforms
* Prior pilot program or first\-of\-kind implementation experience highly valued
* Experience with real\-time data integration, cloud migration, and multi\-domain architectures
* Published architecture artifacts and framework documentation preferred
**Required Education/Certifications:**
* DoDAF or TOGAF certification (required)
* PMP or equivalent program management certification
* Certifications Preferred:
* + FEAF certification
	+ DAMA CDMP (Certified Data Management Professional)
	+ AWS Solutions Architect or equivalent cloud certification
	+ SAFe Program Consultant (SPC) or Release Train Engineer (RTE)
* Bachelor's degree in Computer Science, Information Systems, Engineering, or related technical field
* Education Preferred:
* + Master's degree in Information Systems, Engineering, or related field
	+ Doctorate in relevant technical or management field
**Required Security Clearance:**
* US Citizenship and the ability to obtain and maintain an active TS/SCI or higher clearance, per contract requirements.
*“****Outstanding Performance…Always!”***
*Our corporate motto represents our commitment to build long\-term relationships with both our clients and our employees by providing the highest quality service in everything we do. We strive for excellence for our clients and for each other. We embrace the opportunity to hire individuals with new talents and fresh perspectives. Zantech offers competitive compensation, strong benefits, and a vacation package, as well as a fast\-paced and exciting work environment.* ***Come join our team!***</t>
        </is>
      </c>
    </row>
    <row r="69">
      <c r="A69" t="inlineStr">
        <is>
          <t>in-c243950f7ec5d2c6</t>
        </is>
      </c>
      <c r="B69" t="inlineStr">
        <is>
          <t>Product Manager, Apple Pay</t>
        </is>
      </c>
      <c r="C69" t="inlineStr">
        <is>
          <t>Apple</t>
        </is>
      </c>
      <c r="D69" t="inlineStr">
        <is>
          <t>indeed</t>
        </is>
      </c>
      <c r="E69">
        <f>HYPERLINK("https://www.indeed.com/viewjob?jk=c243950f7ec5d2c6", "https://www.indeed.com/viewjob?jk=c243950f7ec5d2c6")</f>
        <v/>
      </c>
      <c r="F69">
        <f>HYPERLINK("https://jsv3.recruitics.com/redirect?rx_cid=3427&amp;rx_jobId=200640975-0836_rxr-660&amp;rx_url=https%3A%2F%2Fjobs.apple.com%2Fen-us%2Fdetails%2F200640975-0836%2Fproduct-manager-apple-pay%3Fboard_id%3DJB001%26rx_campaign%3Dindeed0%26rx_ch%3Djobp4p%26rx_group%3D122365%26rx_id%3Da5647593-f1ee-11f0-b21a-afff3fe1ad51%26rx_job%3D200640975-0836_rxr-660%26rx_medium%3Dcpc%26rx_r%3Dnone%26rx_source%3Dindeed%26rx_ts%3D20260115T163810Z%26rx_vp%3Dcpc%26team%3DMKTG", "https://jsv3.recruitics.com/redirect?rx_cid=3427&amp;rx_jobId=200640975-0836_rxr-660&amp;rx_url=https%3A%2F%2Fjobs.apple.com%2Fen-us%2Fdetails%2F200640975-0836%2Fproduct-manager-apple-pay%3Fboard_id%3DJB001%26rx_campaign%3Dindeed0%26rx_ch%3Djobp4p%26rx_group%3D122365%26rx_id%3Da5647593-f1ee-11f0-b21a-afff3fe1ad51%26rx_job%3D200640975-0836_rxr-660%26rx_medium%3Dcpc%26rx_r%3Dnone%26rx_source%3Dindeed%26rx_ts%3D20260115T163810Z%26rx_vp%3Dcpc%26team%3DMKTG")</f>
        <v/>
      </c>
      <c r="G69" t="inlineStr">
        <is>
          <t>Cupertino, CA, US</t>
        </is>
      </c>
      <c r="H69" s="2" t="n">
        <v>46036</v>
      </c>
      <c r="I69" t="inlineStr">
        <is>
          <t>This role will be responsible for developing product strategies, identifying opportunities, and designing solutions to enable innovative commerce experiences with Apple Pay. You will lead a cross\-functional team including business, marketing, design, data science, and engineering to execute the strategies you create.  
The Apple Pay team is experiencing rapid growth, expanding into new markets and introducing many innovative features. We are seeking a highly skilled product professional to contribute to the growth of Apple Pay in e\-commerce.  
We are seeking a product manager with extensive experience in building and launching consumer products, a deep passion for e\-commerce and payment, and familiarity with agentic commerce.  
**Description**  
In this position, you will collaborate closely with the Wallet, Payments, and Commerce business, engineering, human\-interface, and other functional teams across Apple. You will also work closely with external partners such as payment networks, issuers, payment service platforms (PSPs), e\-commerce merchants, and other ecosystem players.  
You will be expected to guide teams leading intricate, cross\-functional projects, driving progress by delving into technical details when necessary while simultaneously considering the end\-to\-end experience and fostering innovation within a rapidly evolving domain.  
You should possess technical proficiency, a strong emphasis on user experience, business acumen, and the ability to navigate the payments and e\-commerce ecosystem. Additionally, you should possess exceptional presentation skills and be able to articulate a compelling vision and requirements that motivate the team and enhance customer satisfaction.  
We are seeking a motivated candidate who is eager to work on the most exciting technology to transform the payments and e\-commerce industries.  
","responsibilities":"Drive innovation that benefits end users.  
Collaborate with Human Interface, Engineering, other Product Managers, Legal, Business  
Development, Marketing, Analytics, and Operations to launch products.  
Develop launch plans, ensure the readiness of various partners.  
Drive adoption and collaborate with strategic partners on product development.  
**Preferred Qualifications**  
Comprehensive understanding of the transformative impact of artificial intelligence on e\-commerce, payment systems, and broader consumer technology.  
Existing experience with a major technology company working on agentic commerce.  
MBA or PhD a plus.  
**Minimum Qualifications**  
8\+ years Product Management experience driving e\-commerce, payment or consumer digital experiences.  
Track record of building consumer products with cross\-functional teams, including designers, engineers, and data scientists, as well as external partners.  
Effective communicator with the ability to synthesize complex topics, distill key business dynamics, and communicate effectively with senior executives.  
Expertise in payment and e\-commerce technology end\-to\-end stack (discovery, checkout, authentication, fraud, processing, etc.) and ecosystem players’ roles and strategies (e.g., networks, issuers, payment service providers, etc.).  
Proven ability to impact payment and e\-commerce business metrics (payment volume, conversion, authorization, and fraud rate, etc.).  
BS/BA Degree required.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0">
      <c r="A70" t="inlineStr">
        <is>
          <t>in-98d264fbc7d48d5a</t>
        </is>
      </c>
      <c r="B70" t="inlineStr">
        <is>
          <t>Data Science Program Manager</t>
        </is>
      </c>
      <c r="C70" t="inlineStr">
        <is>
          <t>Advocate Aurora Health</t>
        </is>
      </c>
      <c r="D70" t="inlineStr">
        <is>
          <t>indeed</t>
        </is>
      </c>
      <c r="E70">
        <f>HYPERLINK("https://www.indeed.com/viewjob?jk=98d264fbc7d48d5a", "https://www.indeed.com/viewjob?jk=98d264fbc7d48d5a")</f>
        <v/>
      </c>
      <c r="F70">
        <f>HYPERLINK("https://AdvocateAuroraHealth.contacthr.com/150647780", "https://AdvocateAuroraHealth.contacthr.com/150647780")</f>
        <v/>
      </c>
      <c r="G70" t="inlineStr">
        <is>
          <t>Oak Brook, IL, US</t>
        </is>
      </c>
      <c r="H70" s="2" t="n">
        <v>46036</v>
      </c>
      <c r="I70" t="inlineStr">
        <is>
          <t>**MAJOR RESPONSIBILITIES**
* Manages architect, analyst, and data science/statistical resources for applying advanced analytics to operations.
* Engages extensively with senior leaders, executives, and clinician leaders from across the enterprise in support of responsible applications of artificial intelligence (AI).
* Facilitates accurate data set creation for data scientists and statisticians, assisting to identify key variables used in modeling and analysis.
* Creates clear and concise analysis plans and documentation to report analytic findings and recommendations to business users and leaders.
* Ensures analytic projects are aligned with a business problem and evaluates the impact of AI solutions to patients, clinicians, and providers.
* Tracks AI solutions post implementation to ensure ongoing evaluation of model effectiveness is conducted and reported.
* Researches potential vendor AI solutions, assists with coordinating vendor collaborations.
**Level of Education:**
* Bachelor’s Degree in data science, economics, statistics or related field, additional Master’s degree preferred
**Years of Experience:**
* Typically requires 7 years of experience working in business intelligence, analytics, applications of artificial intelligence, including working with healthcare data
**MINIMUM KNOWLEDGE, SKILLS AND ABILITIES**
* Strong analytical thinker able discern business needs and match to applicable advanced analytics options.
* Self\-starter comfortable taking initiative and making decisions on the best available information.
* Detail oriented with ability to handle complexity and focus on key project objectives.
* Knowledge of data science and statistical methodologies and tools, with proficiency querying data.
* Strong communication skills with demonstated ability to describe advanced statistical and data science concepts to leaders, and describe impact of analytic findings/models on operations.
* Team oriented with ability to lead diverse analytic resources.
* Demonstrated awareness and sensitivity to the issues of using AI in a health care setting.
\#Remote
\#LIRemote
**Preferred remote locations in IL, WI, NC, GA**
Fully Remote Role from these states: AL, AK, AR, AZ, DE, FL, GA, IA, ID, IL, IN, LA, KS, KY, ME, MI, MO, MS, MT, NC, ND, NE, NH, NM, NV, OH, OK, PA, SC, SD, TN, TX, UT, VA, WI, WV, WY.
 **No relocation, No Sponsorship or transfer of visa for this position.**
**PHYSICAL REQUIREMENTS AND WORKING CONDITIONS**
* Requires extensive amounts of time working at a computer.
* Operates all equipment necessary to perform the job.
* Work can be performed in an office environment or remotely.
This job description indicates the general nature and level of work expected of the incumbent. It is not designed to cover or contain a comprehensive listing of activities, duties or responsibilities required of the incumbent. Incumbent may be required to perform other related duties.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li-4362727059</t>
        </is>
      </c>
      <c r="B2" t="inlineStr">
        <is>
          <t>Product Owner</t>
        </is>
      </c>
      <c r="C2" t="inlineStr">
        <is>
          <t>The Value Maximizer</t>
        </is>
      </c>
      <c r="D2" t="inlineStr">
        <is>
          <t>linkedin</t>
        </is>
      </c>
      <c r="E2">
        <f>HYPERLINK("https://www.linkedin.com/jobs/view/4362727059", "https://www.linkedin.com/jobs/view/4362727059")</f>
        <v/>
      </c>
      <c r="F2" t="inlineStr"/>
      <c r="G2" t="inlineStr">
        <is>
          <t>New Jersey, United States</t>
        </is>
      </c>
      <c r="H2" t="inlineStr"/>
      <c r="I2" t="inlineStr">
        <is>
          <t>HI,Our client is looking for product Owner in NJ please have a look and let me know your interets on this.
**Job Title: Product Owner \- Banking \&amp; Payments** 
**Location:** 
 Florham Park, NJ (Hybrid)
 **Domain:** 
 Banking
 **Experience:** 
 9\-11 years
 **Job Summary** 
 We are looking for a seasoned
 **Product Owner** 
 with strong expertise in the
 **Banking domain** 
 , specifically across
 **Payments, Credit Cards, and Treasury Services** 
 , with a solid understanding of
 **Customer Acquisition** 
 journeys. The ideal candidate will work closely with business stakeholders, technology teams, and cross\-functional partners to define, prioritize, and deliver high\-impact banking products.
 **Key Responsibilities**
* Own and manage the product backlog, ensuring alignment with business objectives and customer needs
* Collaborate with business stakeholders to gather, analyze, and translate requirements into clear user stories and acceptance criteria
* Drive product strategy and roadmap for Banking and Payment solutions, including Credit Card and Treasury Services
* Work closely with engineering teams to ensure timely and high\-quality delivery of features
* Participate in sprint planning, backlog grooming, sprint reviews, and retrospectives
* Act as the primary liaison between business, technology, and external stakeholders
* Ensure regulatory, compliance, and risk considerations are incorporated into product design
* Analyze customer acquisition funnels and propose enhancements to improve onboarding and conversion
* Track product performance using relevant KPIs and recommend continuous improvements
**Required Skills \&amp; Experience**
* 9\-11 years of overall experience as a Product Owner / Business Analyst / Product Manager in the Banking domain
* Strong hands\-on experience in Payments, Credit Cards, and/or Treasury Services
* Good understanding of customer acquisition, onboarding workflows, and digital banking journeys
* Strong experience working in Agile/Scrum environments
* Ability to write clear user stories, functional specifications, and acceptance criteria
* Excellent stakeholder management and communication skills
* Strong analytical and problem\-solving abilities
**Preferred Qualifications**
* Experience working with US banks or large financial institutions
* Exposure to digital banking platforms and payment ecosystems
* CSPO / SAFe PO or similar Agile certifications (preferred)</t>
        </is>
      </c>
    </row>
    <row r="3">
      <c r="A3" t="inlineStr">
        <is>
          <t>li-4362756366</t>
        </is>
      </c>
      <c r="B3" t="inlineStr">
        <is>
          <t>Senior Product Manager</t>
        </is>
      </c>
      <c r="C3" t="inlineStr">
        <is>
          <t>Tremendous</t>
        </is>
      </c>
      <c r="D3" t="inlineStr">
        <is>
          <t>linkedin</t>
        </is>
      </c>
      <c r="E3">
        <f>HYPERLINK("https://www.linkedin.com/jobs/view/4362756366", "https://www.linkedin.com/jobs/view/4362756366")</f>
        <v/>
      </c>
      <c r="F3">
        <f>HYPERLINK("https://www.adzuna.com/details/5584110279?v=CE1ED8BBB8F2FF9D6CBCAA547A5731B993CBE106&amp;frd=07e15d6c1c36310244aaf50f4200e72f&amp;ccd=e58af9ba21eef24483a67e06cf1fe313&amp;r=21065298&amp;utm_source=linkedin7&amp;utm_medium=organic&amp;chnlid=1931&amp;title=Senior%20Product%20Manager&amp;a=e&amp;urlHash=uHcy", "https://www.adzuna.com/details/5584110279?v=CE1ED8BBB8F2FF9D6CBCAA547A5731B993CBE106&amp;frd=07e15d6c1c36310244aaf50f4200e72f&amp;ccd=e58af9ba21eef24483a67e06cf1fe313&amp;r=21065298&amp;utm_source=linkedin7&amp;utm_medium=organic&amp;chnlid=1931&amp;title=Senior%20Product%20Manager&amp;a=e&amp;urlHash=uHcy")</f>
        <v/>
      </c>
      <c r="G3" t="inlineStr">
        <is>
          <t>New York, NY</t>
        </is>
      </c>
      <c r="H3" t="inlineStr"/>
      <c r="I3" t="inlineStr">
        <is>
          <t>Tremendous is the fast, free, flexible way to send bulk payouts to people in over 230 countries and regions. 20,000\+ companies ranging from mom\-and\-pops to Google, MIT, and United Way have sent over $1 billion, saving 15 hours a month on average.
 In both our product and our workplace, we’re intentional about making work more efficient, flexible, and fulfilling. Tremendous is a fully remote, high\-documentation, low\-meeting culture, which means more time for what matters in both your professional and personal life.
 Our customers, who include marketers, researchers, HR teams, and nonprofits, rave about how quick and easy it is to use Tremendous —
 **check the ratings on G2** 
 . Yet there’s a lot of complexity under the hood, including over 2,500 redemption options and plenty of banking infrastructure. This duality makes working here a fun challenge.
 Tremendous is profitable and growing without outside investors. Join us before our next international offsite.
**About The Role**
 We’re looking for a Senior PM to join our team. The product team currently consists of our co\-founder (who has been a Head of Product in a past role) and three senior PMs.
 To start, you will partner with other PMs on in\-flight projects across the org. As the team expands (we're at \~25 engineers and growing), we'll look to seat this PM with a dedicated team.
**You will**
* Manage our product roadmap. You’ll be working with stakeholders to help figure out what to build and when to build it. When there’s uncertainty, you’ll be expected to figure it out and generate clarity for the rest of the team.
* Frame up problems. You’ll be expected to explain what problems we are solving and why. This helps our engineers and designers understand how to solve those problems.
* Conduct research and analysis. In order to frame those problems well, you’ll need to collect supporting evidence–from user interviews, market research, and competitive analysis.
* Work with designers and engineers to devise solutions. PMs set requirements and then work with designers and engineers to select appropriate solutions.
* Collaborate without meetings. Tremendous has an async, non\-meeting culture. This can be tricky for a PM who has previously been accustomed to doing work in meetings, which is the default at most organizations. Expect to do a lot of writing!
* Persuade with a light touch. Not everyone will agree on priorities; it’s the PM’s responsibility to help drive to a decision in a way that everyone feels included in the process.
* Report back on what’s working. Once we ship, you’ll be responsible for helping the team understand the impact of their work.
**You have**
* 6\+ years building and shipping web applications as a designer, engineer, or product manager at tech companies.
* 2\+ years as a PM in startup environments (growth\-stage companies).
* Excellent product intuition, refined through years of delivering products to users, that lets you identify the appropriate solution for a problem.
* Solid design judgment that helps you collaborate with our design team by providing feedback on mockups.
* Enough technical chops to understand potential technical approaches to problems and to collaborate engineering managers.
* The ability to take a long\-term strategy and a big feature backlog and translate that into roadmaps.
* The ability to manage uncertainty and ambiguity well. You can make decisive calls without enough information.
* Empathy for users and a desire to talk to them about their problems.
* Outstanding communication skills.
* Strong written communication skills. We’re a documentation\-first culture.
* Desire and ability to work autonomously and drive your work. Tremendous is not a great fit for people who default to waiting for instructions.
* High empathy. You care about your teammates and our users. You can put yourself in their shoes.
**What's Cool About The Role**
* You'll work at a company growing quickly yet sustainably. We’re profitable with plenty more opportunity ahead. That’s good news for your career growth.
* Competitive pay and benefits. For this role, base salary ranges from $225,000 to $300,000\.
* We're a remote company. Work from wherever you want in the Americas.
* Smart people and a great culture. See our company handbook.</t>
        </is>
      </c>
    </row>
    <row r="4">
      <c r="A4" t="inlineStr">
        <is>
          <t>li-4362469823</t>
        </is>
      </c>
      <c r="B4" t="inlineStr">
        <is>
          <t>Product Manager</t>
        </is>
      </c>
      <c r="C4" t="inlineStr">
        <is>
          <t>Vitality Group Inc.</t>
        </is>
      </c>
      <c r="D4" t="inlineStr">
        <is>
          <t>linkedin</t>
        </is>
      </c>
      <c r="E4">
        <f>HYPERLINK("https://www.linkedin.com/jobs/view/4362469823", "https://www.linkedin.com/jobs/view/4362469823")</f>
        <v/>
      </c>
      <c r="F4" t="inlineStr"/>
      <c r="G4" t="inlineStr">
        <is>
          <t>Chicago, IL</t>
        </is>
      </c>
      <c r="H4" t="inlineStr"/>
      <c r="I4" t="inlineStr">
        <is>
          <t>We're looking for a
 **Product Manager** 
 who thrives on turning big ideas into impactful solutions. In this role, you'll lead the charge from concept to launch—shaping features and products that delight our clients and transform the lives of our members. Their main responsibility is to ensure the vision of the client and/or stakeholders is met as the Features move through the various teams. They are the single thread from ideation to launch.
 You'll collaborate with stakeholders, including Research \&amp; Development, Operations, Sales, and Systems, to align on vision and driving consensus across teams. You'll partner closely with talented software development teams (Squads) to bring your product roadmap to life.
 If you're passionate about creating exceptional products, love solving complex challenges, and want to make a real difference, this is your opportunity to shine.
* Drive the entire vision and delivery of new products and features from high\-level concept to delivery
* Work with R\&amp;D and strategy groups to understand desired features and document their rules.
* Create detailed scope documents which will be used by internal stakeholders to design, develop, train, and market the products.
* Helps define feature\-level key performance indicators (KPIs).
* Be an active participant in the SAFe framework processes, including PI Planning, ART Syncs, etc.
* Define design requirements and actively participate in UX/UI design sprints to ensure designs meet business requirements and strategy.
* Clearly communicate strategy and goals to project teams and ensuring delivery against them
* Engage stakeholders in research, data, and support, and coordinate across teams to maintain product and strategy alignment
* Provide input into go\-to\-market strategies when launching a new product or feature.
* Work with marketing, sales, and training to ensure accuracy of product features in their deliverables.
* Suggest and prioritize enhancements to products.
* Other duties as assigned
 Pay Range \= $130,000\-150,000 annual
**Requirements**
* Minimum 5 years in a Product Owner/Product Manager role
* Experience with the SAFe methodology
* Action oriented and drives results
* Ability to articulate product objectives to technical, operational, and business management audiences
* Ability to understand complex technical systems and multiparty integrations
* Optimistic problem solver
* Resilient and driven in an ambiguous environment
**Preferred**
* Healthcare experience
* Local to the Chicago\-land area
**Benefits**
 Medical, Dental and Vision
 401(k) with company match
 Company paid Life, AD\&amp;D Short and Long term disability insurance
 Generous PTO, Holidays and Summer Fridays
 100% paid parental leave
 Wellness Resources</t>
        </is>
      </c>
    </row>
    <row r="5">
      <c r="A5" t="inlineStr">
        <is>
          <t>li-4359018683</t>
        </is>
      </c>
      <c r="B5" t="inlineStr">
        <is>
          <t>Product Manager - App Ads</t>
        </is>
      </c>
      <c r="C5" t="inlineStr">
        <is>
          <t>Apple</t>
        </is>
      </c>
      <c r="D5" t="inlineStr">
        <is>
          <t>linkedin</t>
        </is>
      </c>
      <c r="E5">
        <f>HYPERLINK("https://www.linkedin.com/jobs/view/4359018683", "https://www.linkedin.com/jobs/view/4359018683")</f>
        <v/>
      </c>
      <c r="F5" t="inlineStr"/>
      <c r="G5" t="inlineStr">
        <is>
          <t>New York, NY</t>
        </is>
      </c>
      <c r="H5" t="inlineStr"/>
      <c r="I5" t="inlineStr">
        <is>
          <t>**Summary**
 At Apple, we focus deeply on our customers’ experience. Apple Ads brings this same approach to advertising, helping people find exactly what they’re looking for and helping advertisers grow their businesses.nnOur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everyone.nnWe're looking for a curious, analytical and collaborative technical Product Manager to build advertising solutions with a deep understanding of Apple's values. Product scope can range from evolving the consumer experience for ads to improving ad measurement, campaign management, reporting, and optimization features for advertisers.
**Description**
* As a product owner, you'll work across Product, Data Insights, Engineering, Design, Sales and Marketing teams to deliver product specifications that enable near u0026 long\-term strategic projects in our App Ads business.nn\- Define product features and communicate requirements to Engineering teams via clearly written requirements, diagrams, and concise verbal communication.nn\- Work closely with the Data Insights and Engineering teams to enable them to identify the critical path, prioritize and execute upon requirements.nn\- Synthesize insights from quantitative research, customer meetings and sales feedback to inform product strategy and specifications.nn\- Collaborate with partner product managers, Engineering, and Data Insights teams on the relevant feature delivery strategy and plans.
**Minimum Qualifications**
 12\+ months of technical product management or adjacent experience and a Bachelor’s Degree in Computer Science, Statistics, Economics or related area.nnExperience with or coursework in designing and deploying advertising or consumer products at scale.nnStrong technical and analytical abilities, including proficiency with SQL.nnOutstanding written and verbal communication skills; ability to clearly articulate product vision, product strategy and requirements to engineers and internal business partners.
**Preferred Qualifications**
 Master’s Degree in Computer Science, Statistics, Economics or related area.nnPrior experience working within Ad\-Tech or similar domain.nnExperience working closely with cross\-functional teams and product stakeholders to define and drive product strategy and roadmap.nnAbility to build durable relationships, influence without authority, sell concepts internally, and actively drive decision\-making across organizations.nnSelf\-motivated, thrives in a fast\-paced environment with a high degree of ownership and accountability, and able to work efficiently to make continued progress on multiple priorities.
**Pay \&amp; Benefits**
 At Apple, base pay is one part of our total compensation package and is determined within a range. This provides the opportunity to progress as you grow and develop within a role. The base pay range for this role is between $147,400 and $220,900,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6">
      <c r="A6" t="inlineStr">
        <is>
          <t>li-4357638664</t>
        </is>
      </c>
      <c r="B6" t="inlineStr">
        <is>
          <t>Product/Senior Product Manager, AppleCare</t>
        </is>
      </c>
      <c r="C6" t="inlineStr">
        <is>
          <t>Apple</t>
        </is>
      </c>
      <c r="D6" t="inlineStr">
        <is>
          <t>linkedin</t>
        </is>
      </c>
      <c r="E6">
        <f>HYPERLINK("https://www.linkedin.com/jobs/view/4357638664", "https://www.linkedin.com/jobs/view/4357638664")</f>
        <v/>
      </c>
      <c r="F6">
        <f>HYPERLINK("https://jobs.apple.com/en-us/details/200631262&amp;urlHash=nMU2", "https://jobs.apple.com/en-us/details/200631262&amp;urlHash=nMU2")</f>
        <v/>
      </c>
      <c r="G6" t="inlineStr">
        <is>
          <t>Cupertino, CA</t>
        </is>
      </c>
      <c r="H6" t="inlineStr"/>
      <c r="I6" t="inlineStr">
        <is>
          <t>**Summary**
 Imagine what you could do here. At Apple, great ideas have a way of becoming great products, services, and customer experiences very quickly. We believe that if you bring passion and dedication to your job, there's no telling what you could accomplish! nnAs a member of our Worldwide Product Marketing group, you’ll represent customers throughout a product line’s journey from concept through development and launch. You’ll develop and apply insights to help infuse innovative features into our product development process. Together with our team, you’ll work to craft groundbreaking ideas into tangible products that excite the world. nnAt Apple, we combine product management/development and product marketing responsibilities into a single, cross functional Product Management role that collaborates with design, engineering, finance, legal, marketing communications, public relations, market research, sales and support for maximum impact across the organization. We are looking for a highly motivated Product Manager to join the Worldwide Product Marketing team to support AppleCare. Are you passionate about creating compelling products and ready to join an amazing team? Then we want to hear from you!
**Description**
 The Product/Senior Product Manager, AppleCare collaborates across Product Operations, Finance, Engineering, Retail, and Sales teams to define the roadmap and launch new device protection service experiences for AppleCare.
**Minimum Qualifications**
 6\+ years in product management and/or product marketing, including ownership of a full product or service lifecycle from concept to launch.nExperience developing and launching customer\-facing products or services.nDemonstrated success working cross\-functionally with operations, finance, legal, engineering, and marketing.
**Preferred Qualifications**
 10\+ years in product management and/or product marketing, including ownership of a full product or service lifecycle from concept to launch.nExperience with device protection programs, warranty or service operations, including post\-purchase services models such as repair, claims, and customer support.nExperience in both B2C and B2B environments — building consumer\-facing products or services while also working with enterprise, carrier, retail, or service provider partners to deliver or scale those offerings.nAbility to simplify operational and financial complexity into clear product strategies and customer value propositions.nExcellent written and verbal communication skills; able to influence through storytelling, data, and collaboration.nA track record in formulating product messaging and creating outbound marketing; Experience developing product communication for broad audiences, including customers, media, analysts, and leading industry specialistsnStrong analytical skills and attention to detail with the ability to shift between strategic and execution\-focused work.nSelf\-starter with creativity, critical thinking, and a passion for improving customer experience.nBS/BA and/or MBA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7">
      <c r="A7" t="inlineStr">
        <is>
          <t>li-4359163703</t>
        </is>
      </c>
      <c r="B7" t="inlineStr">
        <is>
          <t>Software Product Manager (UX)</t>
        </is>
      </c>
      <c r="C7" t="inlineStr">
        <is>
          <t>Apple</t>
        </is>
      </c>
      <c r="D7" t="inlineStr">
        <is>
          <t>linkedin</t>
        </is>
      </c>
      <c r="E7">
        <f>HYPERLINK("https://www.linkedin.com/jobs/view/4359163703", "https://www.linkedin.com/jobs/view/4359163703")</f>
        <v/>
      </c>
      <c r="F7" t="inlineStr"/>
      <c r="G7" t="inlineStr">
        <is>
          <t>California, United States</t>
        </is>
      </c>
      <c r="H7" t="inlineStr"/>
      <c r="I7"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something.nnWe are looking for an expert Product Manager to craft usable, valuable, and delightful user experiences for key applications and tools that enable the reliability and efficiency of Apple’s Infrastructure Services. Come join a passionate and skilled group of developers, designers, and product folks that care deeply about our users and the work they do.nn
**Description**
 You should have a passion for product design and UX; excel at digging deep into user problems to understand and empathize with an active and opinionated user base; and drive a team to simple and elegant solutions to hard, complex design problems.nn
**Minimum Qualifications**
 Excellent collaborative skills, and demonstrated ability to work cross\-functionality with developers and other designersnnExperience with Infrastructure, Data Center Engineering, and Cloud Computing is not required \- but you must have a curiosity about learning about these areas and becoming deeply familiar with this domainnnUI/UX experience in a software product team: prototyping, designing, and shipping full\-stack software productsnnExpertise designing across a diversity of platforms \- web, mobile, responsive, AR/VR, APInnExpertise creating, owning, and evolving the information architecture (IA) of large complex applicationsnnExpertise in UI/UX wireframing and design tools, such as Sketch and Figmann
**Preferred Qualifications**
 Demonstrated ability of taking a user\-centric approach in everything you do to define, test, and iterate on UI/UX (e.g. user research, usability studies, A/B testing)nnDemonstrated ability to build and maintain design systems and frontend component systems at scalennExcellent written and oral communication skillsnnExperience with prototyping and design toolingnn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8">
      <c r="A8" t="inlineStr">
        <is>
          <t>li-4359108416</t>
        </is>
      </c>
      <c r="B8" t="inlineStr">
        <is>
          <t>Product Manager - App Ads</t>
        </is>
      </c>
      <c r="C8" t="inlineStr">
        <is>
          <t>Apple</t>
        </is>
      </c>
      <c r="D8" t="inlineStr">
        <is>
          <t>linkedin</t>
        </is>
      </c>
      <c r="E8">
        <f>HYPERLINK("https://www.linkedin.com/jobs/view/4359108416", "https://www.linkedin.com/jobs/view/4359108416")</f>
        <v/>
      </c>
      <c r="F8">
        <f>HYPERLINK("https://jobs.apple.com/en-us/details/200636067&amp;urlHash=15bc", "https://jobs.apple.com/en-us/details/200636067&amp;urlHash=15bc")</f>
        <v/>
      </c>
      <c r="G8" t="inlineStr">
        <is>
          <t>New York, NY</t>
        </is>
      </c>
      <c r="H8" t="inlineStr"/>
      <c r="I8" t="inlineStr">
        <is>
          <t>**Summary**
 At Apple, we focus deeply on our customers’ experience. Apple Ads brings this same approach to advertising, helping people find exactly what they’re looking for and helping advertisers grow their businesses. nnOur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nnWe're looking for a curious, analytical and collaborative technical Product Manager to build advertising solutions with a deep understanding of Apple's values. Product scope can range from evolving the consumer experience for ads to improving ad measurement, campaign management, reporting, and optimization features for advertisers.
**Description**
* As a product owner, you'll work across Product, Data Insights, Engineering, Design, Sales and Marketing teams to deliver product specifications that enable near u0026 long\-term strategic projects in our App Ads business. nn\- Define product features and communicate requirements to Engineering teams via clearly written requirements, diagrams, and concise verbal communication. nn\- Work closely with the Data Insights and Engineering teams to enable them to identify the critical path, prioritize and execute upon requirements. nn\- Synthesize insights from quantitative research, customer meetings and sales feedback to inform product strategy and specifications. nn\- Collaborate with partner product managers, Engineering, and Data Insights teams on the relevant feature delivery strategy and plans.
**Minimum Qualifications**
 3\+ years of technical product management experience with at least one entire product development cycle from concept to launch or a Master's Degree in Computer Science, Statistics, Economics or related area.nExperience with or coursework in designing and deploying advertising or consumer products at scale.nStrong technical and analytical abilities, including proficiency with SQL.nOutstanding written and verbal communication skills; ability to clearly articulate product vision, product strategy and requirements to engineers and internal business partners.
**Preferred Qualifications**
 Prior experience working within Ad\-Tech or similar domain.nExperience working closely with cross\-functional teams and product stakeholders to define and drive product strategy and roadmap.nAbility to build durable relationships, influence without authority, sell concepts internally, and actively drive decision\-making across organizations.nSelf\-motivated, thrives in a fast\-paced environment with a high degree of ownership and accountability, and able to work efficiently to make continued progress on multiple priorities.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9">
      <c r="A9" t="inlineStr">
        <is>
          <t>li-4362842259</t>
        </is>
      </c>
      <c r="B9" t="inlineStr">
        <is>
          <t>Senior Product Manager</t>
        </is>
      </c>
      <c r="C9" t="inlineStr">
        <is>
          <t>FieldAI</t>
        </is>
      </c>
      <c r="D9" t="inlineStr">
        <is>
          <t>linkedin</t>
        </is>
      </c>
      <c r="E9">
        <f>HYPERLINK("https://www.linkedin.com/jobs/view/4362842259", "https://www.linkedin.com/jobs/view/4362842259")</f>
        <v/>
      </c>
      <c r="F9" t="inlineStr"/>
      <c r="G9" t="inlineStr">
        <is>
          <t>Irvine, CA</t>
        </is>
      </c>
      <c r="H9" t="inlineStr"/>
      <c r="I9" t="inlineStr">
        <is>
          <t>................................................................................</t>
        </is>
      </c>
    </row>
    <row r="10">
      <c r="A10" t="inlineStr">
        <is>
          <t>li-4357648817</t>
        </is>
      </c>
      <c r="B10" t="inlineStr">
        <is>
          <t>Product Manager, Shopping Experience</t>
        </is>
      </c>
      <c r="C10" t="inlineStr">
        <is>
          <t>Apple</t>
        </is>
      </c>
      <c r="D10" t="inlineStr">
        <is>
          <t>linkedin</t>
        </is>
      </c>
      <c r="E10">
        <f>HYPERLINK("https://www.linkedin.com/jobs/view/4357648817", "https://www.linkedin.com/jobs/view/4357648817")</f>
        <v/>
      </c>
      <c r="F10">
        <f>HYPERLINK("https://jobs.apple.com/en-us/details/200638455&amp;urlHash=S4oW", "https://jobs.apple.com/en-us/details/200638455&amp;urlHash=S4oW")</f>
        <v/>
      </c>
      <c r="G10" t="inlineStr">
        <is>
          <t>Cupertino, CA</t>
        </is>
      </c>
      <c r="H10" t="inlineStr"/>
      <c r="I10" t="inlineStr">
        <is>
          <t>**Summary**
 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work.nnHere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things.nnApple is looking for an experienced Product Manager to join the Apple Store Online Product Team to lead some of Apple Retail’s most significant growth initiatives. This team is responsible for building seamless, personalized, and innovative digital commerce experiences and capabilities for all our online customers. This is a technical role that links between business, design, and engineering to bring to life incredible products for our customers.
**Description**
 This role will develop product strategies, identify opportunities, and design solutions that set the standard for a personalized digital retail experience that upholds Apple’s privacy values. You will lead a cross\-functional team including business, marketing, design, data science, and engineering to deliver on the strategies that you create.
**Minimum Qualifications**
 7\+ years Product Management experience driving e\-commerce or consumer digital experiences in a revenue\-driven organization.nProficient in web technologies, large\-scale service architectures, and app platforms.nExperience leveraging data and insights to deliver customer\-facing digital products and capabilities globally.nBA/BS in Computer Science or a technical degree, or 7\+ years of relevant professional experience.
**Preferred Qualifications**
 Experience designing and delivering personalized experiences, including incorporating the latest generative AI capabilities and user experience standards.nFamiliarity with Apple OS frameworks, AI toolkits, and Human Interface Guidelines.nAbility to lead significant digital transformations, including adopting new technology platforms and defining operational processes.nPossess strong technical skills with the ability to dive into architecture and designs in order to partner with solution architects and engineering teams.nCapable of moving from high\-level conceptual ideas to detailed, systematically organized plans and implementations.nProven ability to translate complex information into concise, and compelling narratives appropriate for different stakeholders, fostering alignment across all organizational levels.nDemonstrates Apple’s values of inclusion and diversity in daily activities, helping create an environment by respecting differences and having a curiosity to learn.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1">
      <c r="A11" t="inlineStr">
        <is>
          <t>li-4358570474</t>
        </is>
      </c>
      <c r="B11" t="inlineStr">
        <is>
          <t>Senior Product Manager</t>
        </is>
      </c>
      <c r="C11" t="inlineStr">
        <is>
          <t>MeeruAI</t>
        </is>
      </c>
      <c r="D11" t="inlineStr">
        <is>
          <t>linkedin</t>
        </is>
      </c>
      <c r="E11">
        <f>HYPERLINK("https://www.linkedin.com/jobs/view/4358570474", "https://www.linkedin.com/jobs/view/4358570474")</f>
        <v/>
      </c>
      <c r="F11" t="inlineStr"/>
      <c r="G11" t="inlineStr">
        <is>
          <t>Pleasanton, CA</t>
        </is>
      </c>
      <c r="H11" t="inlineStr"/>
      <c r="I11" t="inlineStr">
        <is>
          <t>**We are Hiring: Senior Product Manager – Finance \&amp; Accounting (Fulltime, Hybrid)** 
**MeeruAI \| Pleasanton, California** 
 At
 **MeeruAI,** 
 we are building the future of
 **AI\-powered Finance and Accounting** 
 , and we are looking for a
 **Senior Product Manager** 
 to own the roadmap and delivery of our core product capabilities. In this role, you will work closely with finance leaders, designers, engineers, and go\-to\-market teams to define high\-impact problems and ship AI\-driven solutions that deliver measurable customer value.
**What you will do:** 
* Lead discovery with Controllers, CFOs, and finance leaders to deeply understand workflows, pain points, and success metrics for Finance and Accounting AI.
* Own the roadmap for one or more product areas from problem definition through launch and iteration.
* Translate customer and business needs into clear problem statements, product requirements, and detailed user stories.
* Partner closely with Design and Engineering to scope, prioritize, and deliver high\-quality product increments.
* Define and track product KPIs such as adoption, cycle time, user satisfaction, and accuracy or quality metrics.
* Work with GTM and Customer Success to support rollouts, enablement, and ongoing customer success.
* Collaborate with other PMs to ensure a cohesive experience across products and modules.
* Mentor junior PMs and analysts and contribute to product culture and best practices.
**Qualifications:** 
* 5\+ years of experience in Product Management, with at least 3 years in B2B SaaS.
* Direct exposure to operational finance and accounting processes; hands\-on experience in a finance or accounting role is a plus.
* Proven track record of owning a product area end\-to\-end and delivering measurable business impact.
* Strong discovery, communication, and stakeholder management skills.
* Experience partnering with cross\-functional teams across Product, Design, Engineering, and GTM.
* Comfort working in an early\-stage, fast\-changing environment.
* Experience with AI or automation in finance or accounting is a plus.
**Work Location: Hybrid – Pleasanton, CA** 
 This role requires
 **on\-site presence at least three (3\) days per week** 
 in our Pleasanton office.
**Please apply only if you are currently local to the Pleasanton area. Relocation assistance is not available for this role.**</t>
        </is>
      </c>
    </row>
    <row r="12">
      <c r="A12" t="inlineStr">
        <is>
          <t>li-4357649150</t>
        </is>
      </c>
      <c r="B12" t="inlineStr">
        <is>
          <t>Technical Product Manager</t>
        </is>
      </c>
      <c r="C12" t="inlineStr">
        <is>
          <t>Ascendion</t>
        </is>
      </c>
      <c r="D12" t="inlineStr">
        <is>
          <t>linkedin</t>
        </is>
      </c>
      <c r="E12">
        <f>HYPERLINK("https://www.linkedin.com/jobs/view/4357649150", "https://www.linkedin.com/jobs/view/4357649150")</f>
        <v/>
      </c>
      <c r="F12" t="inlineStr"/>
      <c r="G12" t="inlineStr">
        <is>
          <t>Seattle, WA</t>
        </is>
      </c>
      <c r="H12" t="inlineStr"/>
      <c r="I12" t="inlineStr">
        <is>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 Build the coolest tech for world’s leading brands
* Solve complex problems – and learn new skills
* Experience the power of transforming digital engineering for Fortune 500 clients
*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**Job Title: Technical Product Manager** 
**Location: Seattle, WA** 
**About the Role:** 
**Key Responsibilities:** 
* Define and manage the product roadmap, priorities, and feature backlog.
* Translate business goals into technical requirements and user stories.
* Collaborate with engineering teams to deliver scalable, high\-quality software products.
* Lead cross\-functional teams through the product development lifecycle.
* Analyze customer feedback, usage data, and market trends to inform product decisions.
* Ensure timely product releases and manage stakeholder communications.
**Requirements:** 
* 5\+ years of experience in product management with a focus on software products.
* Strong technical background or experience working closely with software development teams.
* Proficient in Agile methodologies and product management tools (e.g., Jira, Confluence).
* Excellent communication, analytical, and organizational skills.
* Bachelor’s degree in Computer Science, Engineering, or a related field.
- 
**Salary Range:** 
 The salary for this position is between $120,000 – $130,000 annually. Factors which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\[5 personal days accrued each calendar year. The Paid time off benefits meet the paid sick and safe time laws that pertains to the City/ State] \[10\-15 days of paid vacation time] \[6 paid holidays and 1 floating holiday per calendar year] \[Ascendion Learning Management System]
**Want to change the world? Let us know.** 
 Tell us about your experiences, education, and ambitions. Bring your knowledge, unique viewpoint, and creativity to the table. Let’s talk!</t>
        </is>
      </c>
    </row>
    <row r="13">
      <c r="A13" t="inlineStr">
        <is>
          <t>li-4359028399</t>
        </is>
      </c>
      <c r="B13" t="inlineStr">
        <is>
          <t>Product/Senior Product Manager, Apple Intelligence and Siri</t>
        </is>
      </c>
      <c r="C13" t="inlineStr">
        <is>
          <t>Apple</t>
        </is>
      </c>
      <c r="D13" t="inlineStr">
        <is>
          <t>linkedin</t>
        </is>
      </c>
      <c r="E13">
        <f>HYPERLINK("https://www.linkedin.com/jobs/view/4359028399", "https://www.linkedin.com/jobs/view/4359028399")</f>
        <v/>
      </c>
      <c r="F13" t="inlineStr"/>
      <c r="G13" t="inlineStr">
        <is>
          <t>Cupertino, CA</t>
        </is>
      </c>
      <c r="H13" t="inlineStr"/>
      <c r="I13" t="inlineStr">
        <is>
          <t>**Summary**
 Imagine what you could do here. At Apple, great ideas have a way of becoming outstanding products, services and customer experiences very quickly. We believe that if you bring passion and dedication to your job, there's no telling what you could accomplish! nnAs a member of our Worldwide Product Marketing group, you’ll represent customers throughout product and feature journeys from concept through development and launch. You’ll develop and apply insights to help infuse innovative features into our product development process. Together with our team, you’ll work to craft groundbreaking ideas into tangible products and features that excite the world. At Apple, we combine product management and product marketing responsibilities into a single, cross functional Product Management role that collaborates with design, engineering, finance, legal, marketing communications, public relations, market research, sales and support for maximum impact across the organization. nnWe are looking for a highly motived Product/Senior Product Manager to focus on Apple Intelligence and Siri.
**Description**
 You will help drive the definition and launch of meaningful AI experiences and features across Apple’s operating systems and products including Apple Intelligence, Siri, and more. You will play an instrumental role on the AIML product marketing team by collaborating with engineering and design to investigate new concepts and ideas and being the voice of the market to Apple during the development phase. Leading into launch you will craft product messaging briefs, guide marketing communications on the creation of launch materials and act as a spokesperson in press briefings and public events. Together with your partner teams, you will enrich our users’ lives with products that leverage the latest innovations in AI. nnThis role requires a deep understanding of AI, including consumer experiences and industry trends. You are comfortable with complex and ambiguous problems and situations, adept at identifying a project’s risks, and hold a commitment to excellence in your work. You love using your creative and critical thinking to craft solutions for resolving them quickly. Working with multiple internal and external partners, you are adept at quickly gaining their respect and support, and consistently demonstrate extraordinary marketing expertise, attention to detail, objectivity, and accountability.
**Minimum Qualifications**
 6\+ years experience having led multiple consumer\-focused product development cycles from concept to launch
**Preferred Qualifications**
 Proven record working collaboratively with engineering, design, and marketing peersnnDeep understanding of the AI landscape, products, and experiencesnnTechnical track record working closely with engineering/technical teamsnnStrong ability to lead through influence, debate, and focusing on what’s best for usersnnHigh aptitude for uncovering insights through data exploration and analysis nnExperience and ability to synthesize technologies into product communication for broad audience including customers, media, analysts, and leading industry specialistsnnBest\-in\-class story\-telling, presentation, and written communication skillsnnPress and media experience with success as a product spokesperson on a national or global levelnnStrong attention to detailnnWillingness to travelnnA dedicated self\-starter who demonstrates creative and critical thinking abilitiesnnBachelor’s degree; MS/MBA preferred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4">
      <c r="A14" t="inlineStr">
        <is>
          <t>li-4357628292</t>
        </is>
      </c>
      <c r="B14" t="inlineStr">
        <is>
          <t>Product Manager/ Sr. Product Manager, App Store Experience</t>
        </is>
      </c>
      <c r="C14" t="inlineStr">
        <is>
          <t>Apple</t>
        </is>
      </c>
      <c r="D14" t="inlineStr">
        <is>
          <t>linkedin</t>
        </is>
      </c>
      <c r="E14">
        <f>HYPERLINK("https://www.linkedin.com/jobs/view/4357628292", "https://www.linkedin.com/jobs/view/4357628292")</f>
        <v/>
      </c>
      <c r="F14" t="inlineStr"/>
      <c r="G14" t="inlineStr">
        <is>
          <t>Cupertino, CA</t>
        </is>
      </c>
      <c r="H14" t="inlineStr"/>
      <c r="I14" t="inlineStr">
        <is>
          <t>**Summary**
 The App Store is the world's safest and most vibrant app marketplace, serving more than half a billion people each week! Since the App Store launched in 2008, it has helped creators, dreamers, and learners of all ages and backgrounds connect with the tools and information they need to build a brighter future and a better world. It has enabled countless new companies, spawned new industries and created millions of jobs. A significant driver of the global economy, the App Store facilitated over a $1 trillion in developer billings and sales in 2022 alone, rewarding developers and entrepreneurs for their hard work and creativity. And we believe we’re just getting started! nWe’re seeking a hardworking, experienced and driven Product Manager/ Sr. Product Manager who will own the end\-to\-end discovery experience across the App Store. Ideal candidates bring deep consumer product experience, strong cross\-functional leadership, and the ability to turn insights into scalable, user\-facing solutions.
**Description**
 Define, deliver, market, and measure consumer\-focused discovery experiences on the App Store across all our platforms \- iOS, iPadOS, macOS, watchOS, tvOS and visionOS. nPartner closely with design, engineering, editorial, and business teams to define features, optimize surfaces, and scale growth strategies. From opportunity identification to outcome definition, you’ll lead with a customer\-centric mindset and deliver features that improve how apps are surfaced, recommended, and communicated across the App Store. nDefine and continuously improve the App Store discovery experience across browse and search tabs, focusing on personalization, simplicity, performance, and customer delight, and driven by a hypothesis\-led approach using A/B testing, user research, and behavioral data to iterate and optimize outcomes. nUse customer feedback, user research, competitive analysis, and product metrics to identify key opportunities and guide product prioritization. nImplement the product vision and strategy, including leading the feature definition process, prioritizing features, and shaping how they are introduced to the public across communication channels. nCollaborate with different cross\-functional teams to form policies and practices that uphold privacy, trust, safety, and AI principles to deliver a premium user experience.
**Minimum Qualifications**
 7\+ years of experience in customer\-facing UX, including at least 3\+ years in product management and managing complex software projects with multiple collaborators and organizations.nStrong track record delivering delightful, intuitive digital consumer products at scale, ideally with complex content discovery and search components.
**Preferred Qualifications**
 Expert storytelling and Keynote presentation skills with the ability to effectively communicate both big picture vision and detailed product specs.nExceptional interpersonal skills; thrives in highly collaborative projects, effective at building consensus, handles decisions with ease, and has the ability to navigate ambiguity.nExperience working closely and collaboratively with both design and engineering partners.nStrong analytical skills and ability to identify key opportunities and measure impact to drive improved user experiences.nProven track record of collaborating with machine learning experts to define and assess critical metrics.nExtraordinary oral and written communication skills; ability to become fluent in technical concepts and explain to executives and non\-technical partners.nBA/BS in Computer Science/other similar technical degree, or equivalent relevant professional experience.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5">
      <c r="A15" t="inlineStr">
        <is>
          <t>li-4355197890</t>
        </is>
      </c>
      <c r="B15" t="inlineStr">
        <is>
          <t>Product Manager</t>
        </is>
      </c>
      <c r="C15" t="inlineStr">
        <is>
          <t>ExaCare AI</t>
        </is>
      </c>
      <c r="D15" t="inlineStr">
        <is>
          <t>linkedin</t>
        </is>
      </c>
      <c r="E15">
        <f>HYPERLINK("https://www.linkedin.com/jobs/view/4355197890", "https://www.linkedin.com/jobs/view/4355197890")</f>
        <v/>
      </c>
      <c r="F15" t="inlineStr"/>
      <c r="G15" t="inlineStr">
        <is>
          <t>New York, NY</t>
        </is>
      </c>
      <c r="H15" t="inlineStr"/>
      <c r="I15" t="inlineStr">
        <is>
          <t>**Company Overview:** 
 We are a trailblazing health tech company on a mission to revolutionize the nursing home \&amp; post acute space. Our innovative AI software is transforming the admissions process and care delivery in these settings. We’ve raised $38M to date and are experiencing rapid growth. We are looking for an Product Manager to join our team and help us reshape healthcare.
**Job Description:** 
 We are hiring a Product Manager who will take real ownership of a core product area. You will shape what we build, why we build it, and how it shows up for customers. This is not a project management role. You will make tradeoffs, say no often, and turn messy healthcare problems into clear product direction.You will work directly with engineering, design, sales, and customer teams. Your job is to connect customer reality, business goals, and technical constraints into products that actually get used.
**Key Responsibilities:** 
* Spend time with customers and internal teams to deeply understand user workflows.
* Continuously evaluate competitors, market shifts, and regulatory changes for anything that could affect our product
* Translate insights into a clear product vision, strategy, and roadmap that you can communicate clearly internally and externally
* Write high\-quality specs and then collaborate with engineers and designers to build
* Take responsibility for the whole product lifecycle from concept through launch
* Support and mentor junior product managers
**Qualifications:** 
* Bachelor’s degree in a technical, business, or related field
* At least 2 years of product management experience building software products
* Proven experience owning products
* Strong judgment and structured thinking in ambiguous problem spaces
* Clear, direct communication skills. Written and verbal</t>
        </is>
      </c>
    </row>
    <row r="16">
      <c r="A16" t="inlineStr">
        <is>
          <t>li-4359108401</t>
        </is>
      </c>
      <c r="B16" t="inlineStr">
        <is>
          <t>Product Manager, Apple Pay</t>
        </is>
      </c>
      <c r="C16" t="inlineStr">
        <is>
          <t>Apple</t>
        </is>
      </c>
      <c r="D16" t="inlineStr">
        <is>
          <t>linkedin</t>
        </is>
      </c>
      <c r="E16">
        <f>HYPERLINK("https://www.linkedin.com/jobs/view/4359108401", "https://www.linkedin.com/jobs/view/4359108401")</f>
        <v/>
      </c>
      <c r="F16" t="inlineStr"/>
      <c r="G16" t="inlineStr">
        <is>
          <t>Cupertino, CA</t>
        </is>
      </c>
      <c r="H16" t="inlineStr"/>
      <c r="I16" t="inlineStr">
        <is>
          <t>**Summary**
 This role will be responsible for developing product strategies, identifying opportunities, and designing solutions to enable innovative commerce experiences with Apple Pay. You will lead a cross\-functional team including business, marketing, design, data science, and engineering to execute the strategies you create.nnThe Apple Pay team is experiencing rapid growth, expanding into new markets and introducing many innovative features. We are seeking a highly skilled product professional to contribute to the growth of Apple Pay in e\-commerce.nnWe are seeking a product manager with extensive experience in building and launching consumer products, a deep passion for e\-commerce and payment, and familiarity with agentic commerce.
**Description**
 In this position, you will collaborate closely with the Wallet, Payments, and Commerce business, engineering, human\-interface, and other functional teams across Apple. You will also work closely with external partners such as payment networks, issuers, payment service platforms (PSPs), e\-commerce merchants, and other ecosystem players.nnYou will be expected to guide teams leading intricate, cross\-functional projects, driving progress by delving into technical details when necessary while simultaneously considering the end\-to\-end experience and fostering innovation within a rapidly evolving domain.nnYou should possess technical proficiency, a strong emphasis on user experience, business acumen, and the ability to navigate the payments and e\-commerce ecosystem. Additionally, you should possess exceptional presentation skills and be able to articulate a compelling vision and requirements that motivate the team and enhance customer satisfaction. nnWe are seeking a motivated candidate who is eager to work on the most exciting technology to transform the payments and e\-commerce industries.nn
**Minimum Qualifications**
 8\+ years Product Management experience driving e\-commerce, payment or consumer digital experiences.nnTrack record of building consumer products with cross\-functional teams, including designers, engineers, and data scientists, as well as external partners.nnEffective communicator with the ability to synthesize complex topics, distill key business dynamics, and communicate effectively with senior executives.nnExpertise in payment and e\-commerce technology end\-to\-end stack (discovery, checkout, authentication, fraud, processing, etc.) and ecosystem players’ roles and strategies (e.g., networks, issuers, payment service providers, etc.).nnProven ability to impact payment and e\-commerce business metrics (payment volume, conversion, authorization, and fraud rate, etc.).nnBS/BA Degree required.
**Preferred Qualifications**
 Comprehensive understanding of the transformative impact of artificial intelligence on e\-commerce, payment systems, and broader consumer technology.nnExisting experience with a major technology company working on agentic commerce.nnMBA or PhD a plus.n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7">
      <c r="A17" t="inlineStr">
        <is>
          <t>li-4357688491</t>
        </is>
      </c>
      <c r="B17" t="inlineStr">
        <is>
          <t>Senior Product Manager, Agents</t>
        </is>
      </c>
      <c r="C17" t="inlineStr">
        <is>
          <t>Apple</t>
        </is>
      </c>
      <c r="D17" t="inlineStr">
        <is>
          <t>linkedin</t>
        </is>
      </c>
      <c r="E17">
        <f>HYPERLINK("https://www.linkedin.com/jobs/view/4357688491", "https://www.linkedin.com/jobs/view/4357688491")</f>
        <v/>
      </c>
      <c r="F17">
        <f>HYPERLINK("https://jobs.apple.com/en-us/details/200631017&amp;urlHash=5g7s", "https://jobs.apple.com/en-us/details/200631017&amp;urlHash=5g7s")</f>
        <v/>
      </c>
      <c r="G17" t="inlineStr">
        <is>
          <t>Cupertino, CA</t>
        </is>
      </c>
      <c r="H17" t="inlineStr"/>
      <c r="I17" t="inlineStr">
        <is>
          <t>**Summary**
 nWe are looking for a Senior Product Manager to join our Manufacturing AI team. You will be responsible for the product strategy, roadmap, and execution to streamline, analyze, and drive decisions. This means creating intuitive experiences that leverage the full potential of a Frontier LLM while being simple, approachable and incredibly powerful. nnWe work cross\-functionally and you will partner daily with our AI engineers, designers, mechanical engineers, and stakeholders to build impactful software products, specifically unlocking new Agentic experiences. We believe in going deep on user research and data analysis to decide where we would should go next with our products, we believe in delivering iterative features quickly and continuously improving our products and processes, and we are a strong design and product\-led organization. We love talking to and working with our users every day to enable them to do their best work.nnWe want someone that has experience taking an idea from the whiteboard to production and then scale it. You are going to get to do that again here.
**Description**
 The Manufacturing Design team enables the mass production of Apple's entire product line from iPhones, iPads and MacBooks to the Mac Pro, AppleTV, Apple Watch and Vision Pro. Part of the magic that makes all of this possible is a robust set of applications and systems designed and developed by Apple that support the production of a product from prototype to announcement and beyond.nnThe applications we build are used daily by the people at Apple that design our products along with those that figure out how to make them at scale. This includes; Manufacturing Design Engineers, Product Designers, Mechanical Engineers, Quality Engineers, Supply Chain Managers, along with our Suppliers. We work closely with them to design and architect the best solutions for the challenges faced when making the highest quality hardware products.
**Minimum Qualifications**
 5\+ years of product management experience, preferably building complex tools and systemsn8\+ years experience working with software product teams, either in a product role, or design or engineeringnProfessional experience building AI products using MCP and Agents nProduct\-first mindset, and the demonstrated ability to define and build intentional product processes that are shared cross\-functionally nDemonstrated ability to craft and effectively communicate a product vision, strategy, and roadmap, and the ability to inspire the product team to execute upon these artifactsnDemonstrated use of user research, usability studies, analytics and data to drive business decisions and prioritize, as well as the ability to distill this work quickly into impactful decisions that move the team and product forwardnDemonstrated ability to work closely with software engineers and designers, engage in thoughtful and respectful debate, and prioritize among competing needsnExperience with manufacturing processes, consumer product design, and mechanical engineering is not required \- but you must have an interest in learning about these areas and becoming deeply familiar with this domain
**Preferred Qualifications**
 Craft and set the product vision u0026 strategynCreate use cases and user stories and communicate them effectively to both design and software engineeringnBuild and prioritize an ambitious but iterative roadmap that balances user needs with business and stakeholder priorities, as well as team needsnShip experiences that are delightful to our usersnDeeply understand and empathize with our users’ needs and pain pointsnPresent and communicate product decisions, roadmaps, and long\-term goals to the product team, stakeholder groups, and organizational leadershipn
**Pay \&amp; Benefits**
 At Apple, base pay is one part of our total compensation package and is determined within a range. This provides the opportunity to progress as you grow and develop within a role. The base pay range for this role is between $212,000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8">
      <c r="A18" t="inlineStr">
        <is>
          <t>li-4359058596</t>
        </is>
      </c>
      <c r="B18" t="inlineStr">
        <is>
          <t>Product Manager, Employee Experience u0026 Productivity</t>
        </is>
      </c>
      <c r="C18" t="inlineStr">
        <is>
          <t>Apple</t>
        </is>
      </c>
      <c r="D18" t="inlineStr">
        <is>
          <t>linkedin</t>
        </is>
      </c>
      <c r="E18">
        <f>HYPERLINK("https://www.linkedin.com/jobs/view/4359058596", "https://www.linkedin.com/jobs/view/4359058596")</f>
        <v/>
      </c>
      <c r="F18" t="inlineStr"/>
      <c r="G18" t="inlineStr">
        <is>
          <t>Culver City, CA</t>
        </is>
      </c>
      <c r="H18" t="inlineStr"/>
      <c r="I18" t="inlineStr">
        <is>
          <t>**Summary**
 At Apple, we don’t just build products, we create the kind of wonder that has transformed entire industries. It’s the diversity of our people and their ideas that fuels the innovation driving everything we do.nApple Services touch millions of lives every day, delivering music, TV, podcasts, news, fitness, and more, all with Apple’s unwavering commitment to privacy, quality, and delight.nWe’re seeking a Senior Product Manager to define and drive the vision, strategy, and execution of multiple internal products that power the operations behind Apple Music and Services. In this role, you’ll lead cross\-functional initiatives that enable our global teams to work more efficiently, scale seamlessly, and deliver exceptional content experiences to our users. Working closely with engineering, design, and business partners, you’ll build tools and systems that elevate operational excellence and innovation across Apple’s ecosystem.
**Description**
 The ISu0026T Services Technology team is responsible for the technology strategy, systems, and solutions that power Apple’s Services which includes Music, Beats, TV\+, Podcasts, and more. As a Senior Product Manager, you’ll be the connective tissue between business operations and engineering, ensuring our internal tools and platforms deliver maximum impact for Apple’s content and production teams.
**Minimum Qualifications**
 Bachelor’s degree in Engineering, Computer Science, or a related field, or equivalent practical experience.n5\+ years of product management experience, preferably in technology, media, or entertainment industries.n5\+ years leading complex, large\-scale product initiatives and internal tooling efforts in partnership with engineering and cross\-functional teams.
**Preferred Qualifications**
 Strong technical foundation with the ability to engage deeply with engineering teams and understand system architecture and platform trade\-offs.nDeep understanding of customer and stakeholder needs, informed by ongoing feedback, research, and data.nSkilled at synthesizing problems and opportunities into clear goals and structured plans that articulate both the “why” and the “how.”nExceptional communication and storytelling abilities, able to distill complex topics into concise, compelling narratives that drive clarity and alignment.nBackground in music, entertainment, or digital media operations strongly preferred.nOutstanding interpersonal and leadership skills. Able to build consensus, navigate ambiguity, and make thoughtful, informed decisions.
**Pay \&amp; Benefits**
 At Apple, base pay is one part of our total compensation package and is determined within a range. This provides the opportunity to progress as you grow and develop within a role. The base pay range for this role is between $134,800 and $245,800,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9">
      <c r="A19" t="inlineStr">
        <is>
          <t>li-4359088634</t>
        </is>
      </c>
      <c r="B19" t="inlineStr">
        <is>
          <t>Product Manager - Measurement and Attribution</t>
        </is>
      </c>
      <c r="C19" t="inlineStr">
        <is>
          <t>Apple</t>
        </is>
      </c>
      <c r="D19" t="inlineStr">
        <is>
          <t>linkedin</t>
        </is>
      </c>
      <c r="E19">
        <f>HYPERLINK("https://www.linkedin.com/jobs/view/4359088634", "https://www.linkedin.com/jobs/view/4359088634")</f>
        <v/>
      </c>
      <c r="F19">
        <f>HYPERLINK("https://jobs.apple.com/en-us/details/200636728&amp;urlHash=aacx", "https://jobs.apple.com/en-us/details/200636728&amp;urlHash=aacx")</f>
        <v/>
      </c>
      <c r="G19" t="inlineStr">
        <is>
          <t>Cupertino, CA</t>
        </is>
      </c>
      <c r="H19" t="inlineStr"/>
      <c r="I19" t="inlineStr">
        <is>
          <t>**Summary**
 At Apple, we work every day to create products that enrich people’s lives. Our Apple Ads group makes it possible for people around the world to easily access informative and imaginative content on their devices while helping publishers and developers promote and monetize their work. Our platforms are highly performant, deployed at scale, and set new standards for enabling effective advertising while protecting user privacy.nnApple Ads is seeking a highly motivated Product Manager to own critical portions of our brand advertising initiatives. In this role, you will be responsible for measurement and attribution of advertising in our live sports on Apple TV and in Apple News. You will own delivery of our advertiser reporting and implement solutions that help advertisers associate outcomes that they value to their advertising spend with Apple.nnThe ideal candidate is a master of prioritization and communication, excels at building strong relationships, and can identify and advocate for process improvements and feature requests within fast\-moving projects. If you are passionate about advertising and want to take on complex technical challenges with exceptional colleagues, we want to hear from you.n
**Description**
 As a Product Manager, Measurement and Attribution, you will:nn\* Own end\-to\-end delivery of internal and external reporting for our Video and Display advertising businessesn\* Partner with cross\-functional teams to analyze key trends within the Video and Display advertising businesses and advocate for feature requests based on data\-driven insights n\* Define a vision and tactical roadmap for attribution capabilities and offerings to complement our brand advertising businessn\* Evaluate, select, and partner with leading third parties, as needed, to deliver ongoing ad measurement and attribution capabilitiesn\* Create comprehensive documentation of all reporting and measurement workflows and data flowsn\* Create detailed roadmaps with prioritized, planned improvements for our reporting and attribution capabilities and processesn
**Minimum Qualifications**
* Direct experience in the advertising ecosystem, including ad measurement, ad delivery, and ad format optimizationn\* 3\-6 years experience in product management, including defining requirements, outlining workflows, and identifying high\-impact areas of product improvement n\* Technical proficiency to partner effectively with engineering teams; business acumen to partner with and support market\-facing teamsn\* Outstanding communication skills with ability to translate technical concepts for all audiences, including executive leadershipn\* Experience collaborating effectively with internal engineering teamsn\* Bachelor's degree in Computer Science, a related technical field, or equivalent practical experience
**Preferred Qualifications**
* Direct experience in ad measurement and attributionn\* Demonstrated ability to build strong relationships and influence cross\-functional teams without direct authorityn\* A proven track record of successfully operating in ambiguous, fast\-paced environmentsn\* Strong technical and analytical abilities, including proficiency with SQLn\* Experience partnering with leading third\-party measurement and attribution vendors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0">
      <c r="A20" t="inlineStr">
        <is>
          <t>li-4359128842</t>
        </is>
      </c>
      <c r="B20" t="inlineStr">
        <is>
          <t>Sr. Product Manager</t>
        </is>
      </c>
      <c r="C20" t="inlineStr">
        <is>
          <t>Stealth Startup</t>
        </is>
      </c>
      <c r="D20" t="inlineStr">
        <is>
          <t>linkedin</t>
        </is>
      </c>
      <c r="E20">
        <f>HYPERLINK("https://www.linkedin.com/jobs/view/4359128842", "https://www.linkedin.com/jobs/view/4359128842")</f>
        <v/>
      </c>
      <c r="F20" t="inlineStr"/>
      <c r="G20" t="inlineStr">
        <is>
          <t>Los Angeles County, CA</t>
        </is>
      </c>
      <c r="H20" t="inlineStr"/>
      <c r="I20" t="inlineStr">
        <is>
          <t>**Job Title** 
 : Senior Product Manager
**Job Type** 
 : Full\-Time, Salaried
**Job Location** 
 : Long Beach, CA. Pittsburgh, PA.
**Company Overview:** 
 At Stealth, we’re not just leading the way in fixed ops solutions for the automotive industry—we’re redefining what’s possible for dealership service centers. Headquartered in Long Beach, California, and powered by a global team, our industry\-leading SaaS platform combines communication, scheduling, and payment tools in one seamless solution that keeps dealerships and vehicle owners connected. With Stealth, every service interaction flows effortlessly, bringing a great experience to customers and service teams.
**About the Role** 
 As a Senior
 **Product Manager** 
 , you will lead complex, high\-impact product initiatives that shape the direction of our platform and meaningfully influence company strategy. This role goes beyond owning a roadmap. You will uncover ambiguous problems others don’t see, drive cross\-functional alignment, and deliver solutions that create long\-term customer and business value.
 Senior Product Managers are radical collaborators with a bias toward action and learning. You operate with substantial autonomy, working as a strategic partner to engineering, design, go\-to\-market teams, and product leadership to drive alignment and outcomes. As a trusted decision\-maker, mentor, and force multiplier, you elevate product judgment, execution speed, and impact across the organization.
**What You’ll Do** 
* **Lead Strategic Problem Solving\-** 
 Independently identify and solve complex, multi\-dimensional customer and business problems across products and teams.
* **Uncover high\-impact opportunities** 
 through customer insight, data analysis, and systems thinking, often before they are explicitly requested.
* Define clear problem statements, success metrics, and long\-term solution strategies that scale beyond a single feature or release.
* **Shape Product Strategy \&amp; Business Outcomes \-** 
 Own and influence product strategy within your domain, ensuring alignment with company\-level objectives such as revenue growth, churn reduction, and operational efficiency.
* **Translate strategy into outcome\-driven roadmaps** 
 with clear priorities, tradeoffs, and measurable results.
* Identify and eliminate waste in processes, workflows, or product experiences to increase customer and business value.
* Move Fast, Learn Faster. Rapidly test assumptions through prototypes, experiments, customer conversations, and data analysis.
* Embrace early iteration and informed risk\-taking to surface insights quickly and avoid slow, expensive mistakes later.
* Create momentum by making timely decisions, unblocking teams, and driving progress in ambiguous or evolving problem spaces.
* **Deliver at Scale\-Lead the end\-to\-end lifecycle** 
 of complex initiatives spanning multiple teams or product areas, from discovery through launch and iteration.
* **Partner deeply with engineering and design** 
 to validate solutions early, manage risk, and ensure high\-quality delivery.
* Drive pilots, betas, and launches with a strong focus on adoption, readiness, and long\-term impact.
* **Collaborate \&amp; Influence Across the Organization** 
 \- Align diverse stakeholders across product, engineering, sales, customer success, and operations toward shared goals.
* Proactively break down silos and improve how teams collaborate to deliver cohesive customer experiences.
* **Serve as a trusted advisor to leadership** 
 by clearly communicating tradeoffs, risks, and recommendations.
* Elevate the Product Team \- Set the standard for strong product thinking, discovery practices, and execution excellence within the product organization.
**What You Bring** 
 Required Skills and Qualifications:
* **5\+ years of product management** 
 experience building and scaling SaaS or platform products.
* Proven ability to independently drive high\-impact, cross\-functional initiatives with measurable business outcomes.
* **Strong product judgment** 
 with experience navigating ambiguity and making informed tradeoffs.
* Demonstrated success defining, tracking, and achieving outcome\-based metrics (OKRs, KPIs).
* **Clear bias toward action.** 
 You move quickly to test assumptions, learn from real\-world feedback, and iterate based on evidence.
* **High data literacy;** 
 comfortable using analytics, experimentation, and qualitative insight to guide decisions.
* **Exceptional communication** 
 and influence skills, with experience partnering with senior stakeholders.
**Nice to Have:** 
* Experience in automotive technology, enterprise SaaS, or complex operational domains.
* Familiarity with platform products, integrations, APIs, or ecosystem\-driven solutions.
* Background in customer experience optimization, workflow automation, or multi\-product environments.
 The starting salary range for this role is
 **$140\-180k \+ bonus** 
 , depending on experience and qualifications, reflecting our dedication to competitive industry compensation. Additional details about our Total Rewards package will be shared during recruitment.
 We offer a comprehensive Total Rewards package that extends beyond the base salary. Our commitment to competitive compensation includes bonuses and benefits that support both personal and professional well\-being:
* **Flexible Work Environment** 
 : We embrace a high\-performance, flexible structure that values freedom and responsibility.
* **Health and Wellness** 
 : Comprehensive medical, dental, vision, life, and disability benefits, along with wellness and telework stipends.
* **Time Off:** 
 Generous vacation time to recharge and balance life outside work.
* **In\-Office Perks:** 
 Enjoy unlimited snacks and refreshments when in our office.</t>
        </is>
      </c>
    </row>
    <row r="21">
      <c r="A21" t="inlineStr">
        <is>
          <t>li-4359058484</t>
        </is>
      </c>
      <c r="B21" t="inlineStr">
        <is>
          <t>Product Manager, Apple Ads Experimentation</t>
        </is>
      </c>
      <c r="C21" t="inlineStr">
        <is>
          <t>Apple</t>
        </is>
      </c>
      <c r="D21" t="inlineStr">
        <is>
          <t>linkedin</t>
        </is>
      </c>
      <c r="E21">
        <f>HYPERLINK("https://www.linkedin.com/jobs/view/4359058484", "https://www.linkedin.com/jobs/view/4359058484")</f>
        <v/>
      </c>
      <c r="F21" t="inlineStr"/>
      <c r="G21" t="inlineStr">
        <is>
          <t>Cupertino, CA</t>
        </is>
      </c>
      <c r="H21" t="inlineStr"/>
      <c r="I21" t="inlineStr">
        <is>
          <t>**Summary**
 At Apple, we focus deeply on our customers’ experience. Apple Ads brings this same approach to advertising, helping people find exactly what they’re looking for and helping advertisers grow their businesses.nnOur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everyone.nnWe are looking for a highly technical product manager to shape the future of our experimentation platform, empowering teams to innovate with confidence. This role will partner with engineering, data science, and product teams to deliver a world\-class experimentation platform that accelerates innovation, improves user experiences, and drives business impact. With a focus on scalability, usability, and advanced analytics, you will shape how various teams test and iterate on features to deliver value to Apple Ads stakeholders.
**Description**
* Define product vision, roadmap, and requirements for Apple Ads experimentation platform.nn\- Define key metrics to measure success of the platform. nn\- Implement u0026 rapidly iterate on the roadmap towards the vision in collaboration with product, UX, engineering, and data science teams.nn\- Develop statistical frameworks and processes designed to analyze experiments to enable fast, reliable and accurate decision\-making.nn\- Collaborate with engineering to integrate statistical algorithms and new metrics into our experimentation platform. nn\- Develop automated solutions for experiment diagnostics, anomaly detection, and guardrail monitoring. nn\- Communicate statistical concepts to partners, including product managers, data science, and engineering teams. nn\- Define standard methodologies and frameworks for trustworthy online controlled experiments; drive cultural adoption of data\-driven decision making across product and engineering teams.
**Minimum Qualifications**
 Product Management experience.nnExperience building or scaling experimentation platforms at a tech company.nnProven experience in defining measurable and interpretable success metrics and rallying cross\-functional teams to achieve them.nnExceptional written and verbal communication skills, with the ability to clearly and concisely convey results and opportunity areas to cross\-functional teams and leadership.nnStrong track record of collaborating with engineers and data scientists on technical design discussions and proposing simple u0026 creative solutions to complex problems.nnExperience gathering and synthesizing requirements from internal customers (e.g., product teams, engineers) to deliver user\-centric solutions.nnProficiency in defining and measuring KPIs, interpreting experiment results, and using data to drive decisions. nnExpert knowledge of experimental design, statistics and other analytical concepts.nnProficiency in SQL and experience in analyzing complex, large\-scale data sets to form hypotheses, evaluate experiment results, justify product opportunities, and measure success.nnBachelor's degree or equivalent experience.
**Preferred Qualifications**
 Experience in advertising technology including platforms (ad exchange, or supply side platform), ad networks, and search advertising. nnExperience building incrementality measurement solutions.nnExpertise in ad optimization algorithms and digital marketplaces.n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2">
      <c r="A22" t="inlineStr">
        <is>
          <t>li-4345394272</t>
        </is>
      </c>
      <c r="B22" t="inlineStr">
        <is>
          <t>Senior Product Manager I</t>
        </is>
      </c>
      <c r="C22" t="inlineStr">
        <is>
          <t>The Walt Disney Company</t>
        </is>
      </c>
      <c r="D22" t="inlineStr">
        <is>
          <t>linkedin</t>
        </is>
      </c>
      <c r="E22">
        <f>HYPERLINK("https://www.linkedin.com/jobs/view/4345394272", "https://www.linkedin.com/jobs/view/4345394272")</f>
        <v/>
      </c>
      <c r="F22">
        <f>HYPERLINK("https://www.disneycareers.com/job/-/-/391/89055522064?source=LINKEDIN_JOB_SLOTS&amp;urlHash=JrVS", "https://www.disneycareers.com/job/-/-/391/89055522064?source=LINKEDIN_JOB_SLOTS&amp;urlHash=JrVS")</f>
        <v/>
      </c>
      <c r="G22" t="inlineStr">
        <is>
          <t>New York, NY</t>
        </is>
      </c>
      <c r="H22" t="inlineStr"/>
      <c r="I22" t="inlineStr">
        <is>
          <t>**Job Summary**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Commerce, Data \&amp; Identity provides the core product management functions for areas crucial to Disney’s media businesses. These include initiatives and products that power digital commerce, identity, and growth, as well as those that reach uniquely across The Walt Disney Company enterprise, such as messaging and privacy, among others. Additionally, it is responsible for the data engineering, science, and products for Disney Entertainment \&amp; ESPN, along with their interconnection with other parts of The Walt Disney Company.
 The ideal candidate is a strategic thinker with a proven track record of building scalable, high\-performing platforms. You will combine deep technical understanding with a rigorous, metrics\-driven approach to product development, identifying opportunities for innovation, optimizing agent workflows, and ensuring our tooling is robust, efficient, and dynamic enough to adapt to diverse customer needs. We value passionate product leadership that drives with discipline and attention to detail.
**Responsibilities**
* Experience driving cross\-functional initiatives from ideation and requirements gathering to launch and post\-launch optimization.
* Collaborate extensively with various internal stakeholders to deeply understand their workflows, pain points, and ever\-evolving tooling needs
* Translate complex business problems and user needs into clear and concise product requirements, user stories, and acceptance criteria.
* Drive product decisions through a strong analytical and data\-driven approach, defining key performance indicators (KPIs) for customer support tooling, monitoring performance, and iterating based on quantitative and qualitative insights.
* Proactively identify technical opportunities and challenges, working closely with engineering teams to architect scalable solutions and ensure the technical health and reliability of our commerce tooling.
* Champion operational efficiency within the customer support tooling ecosystem, seeking out opportunities for simplification and automation.
* Act as a subject matter expert for customer support tooling and core commerce processes, providing guidance and thought leadership across the organization.
**Basic Qualifications**
* Bachelor’s degree
* 5\+ years of product management experience, with experience in either B2B tools, internal tooling platforms, or large\-scale operational tools.
* Demonstrated experience defining and executing product roadmaps that have led to significant business impact and improved user experience.
* Proven ability to manage cross\-functional teams, including engineering and design, operations, analytics, and legal \&amp; compliance.
* Strong technical aptitude with the ability to engage in engineering discussions and make informed technical trade\-offs.
* Strong analytical skills with a track record of using data, metrics, and various testing approaches to drive product decisions and measure success.
* Strong written and verbal communication skills, capable of communicating effectively across a wide range of audiences.
* Ability to thrive in a dynamic, fast\-paced environment, with a proven ability to manage multiple priorities and adapt to change.
* Strong proficiency with agile development methodologies and product management tools (e.g., Jira).
**Preferred Qualifications**
* Experience with customer service platforms, CRM systems, or agent\-facing tools in a high\-volume environment.
* Background in subscription\-based businesses or digital streaming services.
* Experience with global platforms and understanding of international market nuances.
* Proven track record of leveraging AI/ML technologies, such as natural language processing, GenAI, and/or predictive analytics to design and deliver customer service solutions that enhance the user experience, reduce resolution times, and agent productivity.
 Additional Information
 \#DISNEYTECH
 \#CDI
 The hiring range for this position in New York City, NY is $148,700 to $199,400\. Santa Monica, CA is $141,900\-$190,300 per year, and San Francisco, CA is $155,400 \- $208,400\.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3">
      <c r="A23" t="inlineStr">
        <is>
          <t>li-4357648488</t>
        </is>
      </c>
      <c r="B23" t="inlineStr">
        <is>
          <t>Senior Product Manager, Agentic Commerce</t>
        </is>
      </c>
      <c r="C23" t="inlineStr">
        <is>
          <t>Apple</t>
        </is>
      </c>
      <c r="D23" t="inlineStr">
        <is>
          <t>linkedin</t>
        </is>
      </c>
      <c r="E23">
        <f>HYPERLINK("https://www.linkedin.com/jobs/view/4357648488", "https://www.linkedin.com/jobs/view/4357648488")</f>
        <v/>
      </c>
      <c r="F23" t="inlineStr"/>
      <c r="G23" t="inlineStr">
        <is>
          <t>Cupertino, CA</t>
        </is>
      </c>
      <c r="H23" t="inlineStr"/>
      <c r="I23" t="inlineStr">
        <is>
          <t>**Summary**
 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work.nnHere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things.nnApple is looking for an experienced Product Manager to join the Apple Store Online Product Team to lead some of Apple Retail’s most significant growth initiatives. This team is responsible for building seamless, personalized, and innovative digital commerce experiences and capabilities for all our online customers. nThis is a technical role that links between business, design, and engineering to bring to life incredible products for our customers.
**Description**
 This role will develop product strategies, identify opportunities, and design solutions to enable agentic commerce experiences that uphold Apple’s privacy values. You will lead a cross\-functional team including business, marketing, design, data science, and engineering to deliver on the strategies that you create.
**Minimum Qualifications**
 10\+ years Product Management experience driving e\-commerce or consumer digital experiences in a revenue\-driven organization.nProficient in web technologies, large\-scale service architectures, and app platforms.nExperience leveraging data and insights to deliver customer\-facing digital products and capabilities globally.nBA/BS in Computer Science or a technical degree, or 10\+ years of relevant professional experience.
**Preferred Qualifications**
 Experience working in technology consulting, technology strategy, and/or a product development rolenTrack record of designing and delivering personalized experiences, incorporating the latest generative AI capabilities and user experience standards.nExperience with Apple OS frameworks, AI toolkits, and Human Interface Guidelines.nAbility to lead significant digital transformations, including adopting new technology platforms and defining operational processes.nCapable of moving from high\-level conceptual ideas to detailed, systematically organized plans and implementations.nProven ability to translate complex information into concise, and compelling narratives appropriate for different stakeholders, fostering alignment across all organizational levels.nDemonstrates Apple’s values of inclusion and diversity in daily activities, helping create an environment by respecting differences and having a curiosity to learn.
**Pay \&amp; Benefits**
 At Apple, base pay is one part of our total compensation package and is determined within a range. This provides the opportunity to progress as you grow and develop within a role. The base pay range for this role is between $203,300 and $305,600,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4">
      <c r="A24" t="inlineStr">
        <is>
          <t>li-4353520789</t>
        </is>
      </c>
      <c r="B24" t="inlineStr">
        <is>
          <t>Product Manager</t>
        </is>
      </c>
      <c r="C24" t="inlineStr">
        <is>
          <t>All Star Healthcare Solutions</t>
        </is>
      </c>
      <c r="D24" t="inlineStr">
        <is>
          <t>linkedin</t>
        </is>
      </c>
      <c r="E24">
        <f>HYPERLINK("https://www.linkedin.com/jobs/view/4353520789", "https://www.linkedin.com/jobs/view/4353520789")</f>
        <v/>
      </c>
      <c r="F24" t="inlineStr"/>
      <c r="G24" t="inlineStr">
        <is>
          <t>Boca Raton, FL</t>
        </is>
      </c>
      <c r="H24" t="inlineStr"/>
      <c r="I24" t="inlineStr">
        <is>
          <t>All Star Healthcare Solutions is seeking dedicated, energetic, hardworking individuals to join a highly successful, growing healthcare staffing company in North Broward. Our culture is professional, fast\-paced, and people\-centric. Our team members provide exceptional service in a people\-first environment. We pride ourselves on serving our Providers, Clients, and the Community effectively while also focusing on our employees' personal, professional, and financial goals. As a Sun\-Sentinel Top Places to Work recipient, All Star is the team to join if you are looking for specialized development, benefits, competitive pay, and job expansion in a fun and collaborative environment.
**What You’ll Do (Key Responsibilities)** 
**Product Discovery \&amp; User Empathy** 
* Conduct continuous user research (interviews, surveys, feedback analysis, usability testing) to gain deep insights into the needs, pain points, and Jobs\-to\-be\-Done of our internal users (Consultants, Business Partners) and external users (Clients, Candidates).
* Develop a strong understanding of the Locum Tenens assignment lifecycle, including lead management, matching, presentation, booking, credentialing, compliance, travel, and post\-assignment workflows.
* Translate user insights and business requirements into clear problem statements and opportunities—including opportunities for automation and AI\-assisted workflows across the staffing lifecycle.
**Product Planning \&amp; Backlog Management** 
* Own, maintain, and prioritize the product backlog for your stream\-aligned team, ensuring alignment with the overall product vision, strategy, and roadmap set by the Director of Product Management.
* Develop clear and concise user stories, acceptance criteria, and feature specifications.
* Partner with the Director PM and Solution Architect on roadmap planning, making effective trade\-off decisions based on value, effort, strategic importance, and platform constraints within Salesforce.
**Feature Delivery \&amp; Execution (Stream\-Aligned Team)** 
* Work day\-to\-day as a core member of a stream\-aligned team, collaborating closely with the Solution Architect, Developers, and QA to bring features to life.
* Actively participate in Agile ceremonies, clarifying requirements and making real\-time decisions to ensure sprint goals are met.
* Ensure features effectively leverage our CRM platform, adhere to CRM governance best practices, and integrate seamlessly with connected systems (HubSpot, Sage Intacct, etc.).
* Identify opportunities to enhance workflows through AI, automation, or data\-driven recommendations, working with data and engineering partners as needed.
**Stakeholder Collaboration \&amp; Communication** 
* Engage with internal stakeholders across Sales, Operations, Marketing, Credentialing, Travel, Finance, and Support to gather input, manage expectations, and ensure buy\-in for product initiatives.
* Clearly communicate product plans, progress, and insights to your team, the Director of Product Management, and relevant stakeholders.
* Help drive adoption and change management for new features within a high\-volume, fast\-paced staffing environment.
**Data Analysis \&amp; Performance Monitoring** 
* Partner with the Reporting \&amp; Analytics team to define success metrics and instrument features for effective tracking.
* Analyze product usage data, user feedback, staffing KPIs, and operational throughput metrics (e.g., time\-to\-book, fill rate) to identify areas for improvement.
* Evaluate the performance and effectiveness of AI\-driven features and use insights to iterate and enhance value.
**What You’ll Bring (Qualifications)** 
**Experience** 
* Typically 2–5\+ years of experience in a Product Management role, with a track record of launching and iterating on successful products or features, preferably in a B2B or SaaS environment.
* Proven experience working in an Agile/Scrum development environment directly with engineering teams.
* Hands\-on experience with product discovery techniques (user interviews, journey mapping, JTBD) and translating insights into actionable product plans.
* Experience with CRM platforms (Salesforce is a strong plus), with an understanding of configuration vs customization, platform limitations, and system integrations.
* Experience optimizing workflow\-heavy or operationally intensive products; staffing industry experience is a plus.
* Exposure to AI\- or automation\-enhanced products (e.g., LLM\-enabled workflows, recommendations, summarization, or predictive analytics) is highly desirable.
**Skills** 
* Deep user empathy and a passion for solving user problems.
* Strong analytical and problem\-solving skills, with the ability to break down complex issues into manageable parts.
* Excellent verbal and written communication skills, with the ability to write clear requirements and articulate product decisions.
* Proficiency in backlog management, prioritization techniques, and writing effective user stories.
* A data\-informed approach to decision\-making and measuring success.
* Highly collaborative, proactive, and able to thrive in a fast\-paced, evolving environment.
* Ability to think critically about where AI can responsibly improve user workflows and reduce manual effort.
**Education** 
* Bachelor’s degree in Business, Computer Science, Engineering, Design, Information Systems, or a related field, or equivalent practical experience.
**Nice to Haves** 
* Experience in the staffing industry, particularly healthcare or Locum Tenens.
* Direct experience with Salesforce configuration or as a Salesforce product owner.
* Familiarity with marketing automation (e.g., HubSpot), financial systems (e.g., Sage Intacct), or BI tools (e.g., Tableau).
* Experience with product management tools (e.g., Productboard, Jira, Smartsheet).
* Experience designing or shipping AI\-enhanced or automation\-driven features.
**Why Join All Star?** 
* Direct Impact: Own significant product areas and directly influence the experience of our users and the success of our business.
* Modern Tech Stack: Work with a contemporary platform centered on Salesforce and Assist, with opportunities to build valuable integrations and AI\-driven enhancements.
* Growth \&amp; Learning: Be part of a growing product team, reporting to an experienced Director in a company committed to product\-led transformation.
* Meaningful Work: Contribute to a company that plays a vital role in the healthcare industry.
* Collaborative Environment: Join passionate, dedicated teams working together to achieve common</t>
        </is>
      </c>
    </row>
    <row r="25">
      <c r="A25" t="inlineStr">
        <is>
          <t>li-4359170881</t>
        </is>
      </c>
      <c r="B25" t="inlineStr">
        <is>
          <t>Senior Technical Product Manager</t>
        </is>
      </c>
      <c r="C25" t="inlineStr">
        <is>
          <t>Experis</t>
        </is>
      </c>
      <c r="D25" t="inlineStr">
        <is>
          <t>linkedin</t>
        </is>
      </c>
      <c r="E25">
        <f>HYPERLINK("https://www.linkedin.com/jobs/view/4359170881", "https://www.linkedin.com/jobs/view/4359170881")</f>
        <v/>
      </c>
      <c r="F25" t="inlineStr"/>
      <c r="G25" t="inlineStr">
        <is>
          <t>New York, United States</t>
        </is>
      </c>
      <c r="H25" t="inlineStr"/>
      <c r="I25" t="inlineStr">
        <is>
          <t>**Technical Program/Product Manager – Machine Learning** 
**New York, NY \| Hybrid (Tue–Thu Onsite)** 
 A global research company is seeking exceptional Technical Program/Product Managers to join their New York‑based team and help drive pioneering machine learning initiatives shaping the future of drug discovery, biomolecular simulation, and biophysics.
 This is a high‑visibility, high‑impact role supporting cutting‑edge scientific and technological progress. You will work closely with world‑class ML researchers, engineers, and senior leadership to co\-ordinate programs that push the boundaries of molecular science.
 🔍
 **What You’ll Do** 
* Coordinating day‑to‑day execution of advanced ML projects, including:
* Generative models for identifying novel drug‑like molecules
* Predicting PK and ADME properties of small molecules
* Developing ML‑enhanced molecular simulation methodologies
* Advancing 3D structure prediction
* Applying large language models (LLMs) to molecular science and drug discovery
* Partnering with internal ML researchers, engineers, and leadership to align strategy, timelines, and technical decisions.
* Managing relationships with vendors and external partners, ensuring smooth collaboration and delivery.
* Overseeing acquisition and curation of scientific datasets that feed and accelerate ML research.
* Supporting strategic initiatives, including risk mitigation, infrastructure enhancement, and long‑term program planning.
 🌟
 **What We’re Looking For** 
 Ideal candidates will bring a strong combination of technical depth, leadership capability, and cross‑functional communication skills.
**You have:** 
* A background in computer science, machine learning, or related technical fields.
* Experience coordinating complex technical programs or managing interdisciplinary teams.
* Excellent communication skills, with the ability to bridge scientific and engineering perspectives.
* Demonstrated leadership, ownership, and the ability to drive projects to completion.
 🏙️
 **Hybrid Working** 
 This role follows a
 **hybrid schedule** 
 :
 Onsite in the New York office Tuesday, Wednesday, and Thursday, with remote flexibility on Monday and Friday.
 🎁
 **Compensation \&amp; Benefits** 
 This opportunity offers a highly competitive compensation package, including:
* **Sign‑on bonus**
* **Year‑end performance bonus**
* **Other generous benefits** 
 , supporting both personal and professional wellbeing
* **Relocation assistance** 
 for candidates moving to New York
* **Immigration support** 
 , where applicable
 🧠
 **Why This Role Matters** 
 You will be at the forefront of scientific and technological innovation, helping design and deliver ML programs that directly influence next‑generation therapeutic discovery and molecular understanding. If you are energized by high‑impact work at the intersection of ML and life sciences, this is a truly unique opportunity.
 📩
 **Interested?** 
 We welcome conversations with Product Managers who are passionate about applying machine learning to transformative scientific challenges.
 Apply now or reach out for a confidential discussion.</t>
        </is>
      </c>
    </row>
    <row r="26">
      <c r="A26" t="inlineStr">
        <is>
          <t>li-4359128578</t>
        </is>
      </c>
      <c r="B26" t="inlineStr">
        <is>
          <t>Apple Cash Product Manager</t>
        </is>
      </c>
      <c r="C26" t="inlineStr">
        <is>
          <t>Apple</t>
        </is>
      </c>
      <c r="D26" t="inlineStr">
        <is>
          <t>linkedin</t>
        </is>
      </c>
      <c r="E26">
        <f>HYPERLINK("https://www.linkedin.com/jobs/view/4359128578", "https://www.linkedin.com/jobs/view/4359128578")</f>
        <v/>
      </c>
      <c r="F26" t="inlineStr"/>
      <c r="G26" t="inlineStr">
        <is>
          <t>Cupertino, CA</t>
        </is>
      </c>
      <c r="H26" t="inlineStr"/>
      <c r="I26" t="inlineStr">
        <is>
          <t>**Summary**
 Apple is a place where extraordinary people gather to do their best work. Together we craft products and experiences people once couldn’t have imagined — and now can’t imagine living without. If you’re excited by the idea of making a real impact, and joining a team where we pride ourselves in being one of the most diverse and inclusive companies in the world, a career with Apple might be your dream job!nnApple Cash is built right into iPhone, making it an easy way to send and receive money. The Apple Card and Cash team is seeking a top\-flight and experienced professional to help drive the continued growth of Apple Cash and launch ground\-breaking new features.
**Description**
 In this role, you will help chart the strategic direction of Apple Cash and support execution against that long\-term strategy. You will partner directly with the Human Interface, Engineering teams and other functional teams across Apple to define and deliver on a multi\-year product roadmap. You will also work closely with external partners such as payment networks, issuers and other players to deliver results. nnYou should have significant experience building and launching consumer products, passion for helping users achieve a healthier financial life and familiarity with financial services and payments. You will be expected to guide teams leading complex, cross\-functional, projects and drive progress by diving into technical details when needed while also thinking through the end\-to\-end experience. You should combine technical proficiency, a strong sense of user experience, tact and business insight. You should have excellent presentation abilities and be able to drive a concrete vision and requirements that rally the team and delight customers.
**Minimum Qualifications**
 Skilled product professional with 7\+ years of experience in Product Management for financial services / financial technologynExperience building consumer products working with designers, engineers, and data scientistsnExperience handling regulatory and compliance requirements in the financial services spacenFamiliarity with financial technical infrastructure (e.g. processors and card networks)nTechnical mindset when problem\-solving with engineersnEffective communicator who can synthesize complex topics, distill key business dynamics, and communicate effectively with senior executivesnAbility to lead and influence different cross\-functional teams and external partnerships to drive decisions and outcomesnn
**Preferred Qualifications**
 Bachelors Degree in Computer Science, Engineering or equivalent technical work experience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7">
      <c r="A27" t="inlineStr">
        <is>
          <t>li-4353481080</t>
        </is>
      </c>
      <c r="B27" t="inlineStr">
        <is>
          <t>Product Manager</t>
        </is>
      </c>
      <c r="C27" t="inlineStr">
        <is>
          <t>weavix</t>
        </is>
      </c>
      <c r="D27" t="inlineStr">
        <is>
          <t>linkedin</t>
        </is>
      </c>
      <c r="E27">
        <f>HYPERLINK("https://www.linkedin.com/jobs/view/4353481080", "https://www.linkedin.com/jobs/view/4353481080")</f>
        <v/>
      </c>
      <c r="F27" t="inlineStr"/>
      <c r="G27" t="inlineStr"/>
      <c r="H27" t="inlineStr"/>
      <c r="I27" t="inlineStr">
        <is>
          <t>**The Mission** 
 :
 weavix created the Smart Radio category and secured Product\-Market Fit with Fortune 500 industrials. Now, we are entering a phase of hyper\-growth. We don't need a caretaker for existing features; we need a builder.
**Position Summary:** 
 As a Product Manager, you will report directly to the Chief Product Officer and work within a unified Product \&amp; Engineering structure. Your aim is to navigate the ambiguity of market creation, turning raw customer insights into "zero\-to\-one" products. You will not just write tickets; you will inspire engineering teams to build, measure, and pivot until we maximize customer outcomes.
 This is a broad\-spectrum role that spans anywhere along the customer journey from lead gen to account expansion, anywhere the business needs help to grow. Startup is not a job, it’s a lifestyle, it’s not for the faint of heart, so only apply if you are ready for it.
**What you will do:** 
* **Drive Zero\-to\-One Innovation:** 
 Lead the discovery, definition, and launch of new product capabilities from scratch. You will prioritize finding the right problem over sticking to a rigid roadmap.
* **Orchestrate Engineering Alignment:** 
 Bridge the gap between customer needs and technical execution. You must provide the "why" that inspires engineers to build high\-quality solutions, even when the direction changes rapidly based on new learnings.
* **Get Boots on the Ground:** 
 You cannot solve industrial problems from a desk. You will frequently, and often on short notice, visit customer sites (factories, construction zones, mines) to solve product problems, observe the frontline workforce, and validate hypotheses in real\-time.
* **Ruthless Prioritization:** 
 You will manage competing demands in a high\-pressure environment. You must have the courage to kill bad ideas quickly and the conviction to double down on winning ones.
* **Full\-Cycle Ownership:** 
 This is not a “strategy\-only” role; this is all about execution. Own the product lifecycle from initial concept and user research to go\-to\-market strategy and post\-launch iteration. You are responsible for the tactical delivery.
* **Engineering Alignment \&amp; Momentum:** 
 You are the unblocker. You serve the engineering team by providing crystal\-clear requirements while providing them with the room to innovate without micromanaging or overprescribing. Your job is to shield them from noise so they can ship velocity, while constantly re\-aligning them when pivots occur.
**Who you are:** 
* **A Builder, Not an Optimizer:** 
 You have a proven track record of shipping successful products from 0\-to\-1\. You are comfortable when there is no playbook.
* **High Agency \&amp; Resilience:** 
 You thrive in a startup environment where "pivot" is a regular state of operation. You view ambiguity as an opportunity, not a blocker.
* **Data\-Driven, Intuition\-Led:** 
 You use data to guide decisions but have the product intuition to make calls when the data is incomplete.
* **Technical Fluency:** 
 You can speak the language of engineering. You understand technical debt and trade\-offs and can negotiate scope effectively without compromising the user experience.
* **Industrial Empathy:** 
 You are excited about empowering the frontline workforce, not just office workers.
**Minimum knowledge, skills, and abilities required:** 
* Bachelor's degree in Computer Science, Engineering, or related field experience
* 3\+ Proven experience as a Product Manager, Technical Product Manager, or similar role
* Strong technical background with knowledge of software development processes and methodologies
* Excellent communication and interpersonal skills
* Ability to work effectively in a fast\-paced, collaborative environment
* Experience with Agile development methodologies
* Strong analytical and problem\-solving skills
* Proficiency in project management tools and product software
**Why weavix** 
 Being a part of the weavix team is being a part of something bigger. We value the innovators and the risk\-takers—the ones who love a challenge. Through our shared values and dedication to our mission to
 **Connect every Disconnected Worker** 
 , we’re reshaping the future of work to focus on this world's greatest assets: people.
 It's truly amazing what happy, engaged team members can achieve. Our ever\-evolving list of benefits means you'll be able to achieve work/life balance, perform impactful work, grow in your role, look after yourself/your family, and invest in your future.
**Perks and Benefits** 
* Competitive Compensation
* Employee Equity Stock Program
* Competitive Benefits Package including: Medical, Dental, Vision, Life, and Disability Insurance
* 401(k) Retirement Plan \+ Company Match
* Flexible Spending \&amp; Health Savings Accounts
* Paid Holidays
* Flexible Time Off
* Employee Assistance Program (EAP)
* Other exciting company benefits
**About Us** 
 weavix®, the Internet of Workers® platform, revolutionizes frontline communication and productivity at scale. Since its founding, weavix has shaped the future of work by introducing innovative methods to better connect and enable the frontline workforce. weavix transforms enterprise by providing data\-driven insights into facilities and teams to maximize productivity and achieve breakthrough results. weavix is the single source of truth for both workers and executives.
 Our mission is simple:
 **to connect every disconnected worker through disruptive technology.** 
 How do you want to make your impact?
 For more information about us, visit
 weavix.com
 .
**Equal Employment Opportunity (EEO) Statement** 
 weavix is an Equal Opportunity Employer. At weavix, diversity fuels innovation. We are dedicated to fostering an inclusive environment where every team member is empowered to contribute to our mission of connecting the disconnected workforce.
 We do not discriminate on the basis of race, color, religion, sex (including pregnancy, sexual orientation, and gender identity), national origin, age, disability, veteran status, genetic information, or any other legally protected characteristic. All qualified applicants will receive consideration for employment.
**Americans with Disabilities Act (ADA) Statement** 
 weavix is committed to working with and providing reasonable accommodations to individuals with disabilities. If you need assistance or an accommodation during the application process due to a disability, you may contact us at
 **hr@weavix.com**
 .
**E\-Verify Notice** 
 Notice: weavix participates in the
 **E\-Verify** 
 program to confirm employment eligibility as required by law.</t>
        </is>
      </c>
    </row>
    <row r="28">
      <c r="A28" t="inlineStr">
        <is>
          <t>li-4359128345</t>
        </is>
      </c>
      <c r="B28" t="inlineStr">
        <is>
          <t>Product Manager, Card Payments and Authentication</t>
        </is>
      </c>
      <c r="C28" t="inlineStr">
        <is>
          <t>Apple</t>
        </is>
      </c>
      <c r="D28" t="inlineStr">
        <is>
          <t>linkedin</t>
        </is>
      </c>
      <c r="E28">
        <f>HYPERLINK("https://www.linkedin.com/jobs/view/4359128345", "https://www.linkedin.com/jobs/view/4359128345")</f>
        <v/>
      </c>
      <c r="F28" t="inlineStr"/>
      <c r="G28" t="inlineStr">
        <is>
          <t>Cupertino, CA</t>
        </is>
      </c>
      <c r="H28" t="inlineStr"/>
      <c r="I28" t="inlineStr">
        <is>
          <t>**Summary**
 Imagine what you could do here. At Apple, new insights have a way of becoming extraordinary products, services, and customer experiences very quickly. Bring passion and dedication to your job and there's no telling what you could accomplish! The people here at Apple don’t just build products — they build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nnWe are seeking a payments authentication expert to join a dynamic team of product managers within Wallet, Payments, and Commerce. In this role, you will be instrumental in building the next generation of payment authentication solutions for eCommerce. You will be a key contributor to ensuring our customers can seamlessly and securely access our services.n
**Description**
 Lead the product vision and strategy for payment authentication with concentration on technologies like 3DS (3\-D Secure, and related emerging technologies)nLead the integration and launch of new local card schemes, ensuring compliance with regional regulations and payment network requirements.nDrive the implementation and optimization of advanced authentication solutions, including 3DS to enhance security and reduce fraud.nAnalyze card payment and authentication performance, identify areas for improvement, and implement solutions to enhance conversion rates and customer satisfaction.nCollaborate closely with engineering, product, legal, and business teams to define requirements, develop solutions, and ensure successful deployment.nStay abreast of the latest trends and technologies in payments and authentication, and propose innovative solutions to deliver the best possible customer experience
**Minimum Qualifications**
 5\+ years of experience in the payments industry, with a focus on card payment authentication. This includes deep understanding of authentication protocols and technologies, such as, EMVCo 3DS specification. nExperience with integrating and launching new local card payment methods in different regions.nAbility to think strategically and implement tactically, a persistent attention to detail, and a high level of comfort in cutting through ambiguitynOutstanding analytical capabilities, business savvy, and leadership skills.nBachelor's degree in Computer Science, Statistics, Mathematics, Engineering, Information Systems, or a related fieldnn
**Preferred Qualifications**
 Demonstrated ability to conceptualize and deliver end\-to\-end payment authentication experiences, from strategy through launch and iterationnExcellent written and verbal communication skills, with the ability to clearly articulate vision, strategy, and details to diverse business partnersnAbility to analyze payment data to find opportunities for optimizationnBachelor’s degree or equivalent experience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9">
      <c r="A29" t="inlineStr">
        <is>
          <t>li-4359137588</t>
        </is>
      </c>
      <c r="B29" t="inlineStr">
        <is>
          <t>Senior Product Manager, AI</t>
        </is>
      </c>
      <c r="C29" t="inlineStr">
        <is>
          <t>Apple</t>
        </is>
      </c>
      <c r="D29" t="inlineStr">
        <is>
          <t>linkedin</t>
        </is>
      </c>
      <c r="E29">
        <f>HYPERLINK("https://www.linkedin.com/jobs/view/4359137588", "https://www.linkedin.com/jobs/view/4359137588")</f>
        <v/>
      </c>
      <c r="F29" t="inlineStr"/>
      <c r="G29" t="inlineStr">
        <is>
          <t>Cupertino, CA</t>
        </is>
      </c>
      <c r="H29" t="inlineStr"/>
      <c r="I29" t="inlineStr">
        <is>
          <t>**Summary**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nnApple Services touch millions of lives every day — delivering music, TV, podcasts, news, fitness, and more, all with Apple’s commitment to privacy, quality, and delight. We are looking for a Product Manager to lead the product vision and strategy for both a generative AI platform and the consumer\-facing features it enables across Apple Services. You will partner closely with engineering, design, and other product teams to define platform capabilities and deliver seamless, high\-impact AI experiences. You’ll play a key role in shaping how generative AI enriches our products — and by constantly focusing on the consumer, you’ll create products that are intuitive and useful to billions of people worldwide.
**Description**
 In this role, you will define requirements and drive the roadmap for AI capabilities serving multiple Apple Services. You’ll partner closely with engineering to deliver powerful, reliable capabilities — and with product and design teams to craft experiences that feel effortless, personal, and trusted. You’ll balance the needs of developers and end users, connecting technical capabilities to user\-centric outcomes across services like Music, TV\+, Podcasts, App Store, and more. You will lead through influence, collaborate across disciplines, and relentlessly focus on delivering value to our customers. nnThis is an individual contributor role with broad scope and visibility, ideal for someone who thrives at the intersection of technology, product, and experience. You will work across multiple engineering teams and collaborate tightly with other product managers to define, prioritize, and deliver AI capabilities that scale across our ecosystem.
**Minimum Qualifications**
 7\+ years of product management experience, including platform and customer\-facing product leadership.nStrong technical foundation, with the ability to engage deeply on AI capabilities.nFamiliarity with human\-centered AI design and responsible AI principles.nHands\-on experience working with generative AI technologies such as large language models, diffusion models, or multimodal systems.nProven track record of launching complex technical products at scale in collaboration with cross\-functional engineering teams.nDeep understanding of customer needs, maintained by regularly absorbing feedback, research, and insights from multiple sources.nSkilled at synthesizing problems, insights, and opportunities into clear goals and plans that articulate both the
**Preferred Qualifications**
 Experience building platforms or developer\-facing products supporting multiple consumer applications.nExperience delivering AI\-powered features in media, content, or services environments.nBackground in machine learning, natural language understanding, or related technical fields.
**Pay \&amp; Benefits**
 At Apple, base pay is one part of our total compensation package and is determined within a range. This provides the opportunity to progress as you grow and develop within a role. The base pay range for this role is between $203,300 and $305,600,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0">
      <c r="A30" t="inlineStr">
        <is>
          <t>li-4362488823</t>
        </is>
      </c>
      <c r="B30" t="inlineStr">
        <is>
          <t>Senior Product Manager, Growth Bets</t>
        </is>
      </c>
      <c r="C30" t="inlineStr">
        <is>
          <t>Uber</t>
        </is>
      </c>
      <c r="D30" t="inlineStr">
        <is>
          <t>linkedin</t>
        </is>
      </c>
      <c r="E30">
        <f>HYPERLINK("https://www.linkedin.com/jobs/view/4362488823", "https://www.linkedin.com/jobs/view/4362488823")</f>
        <v/>
      </c>
      <c r="F30" t="inlineStr"/>
      <c r="G30" t="inlineStr">
        <is>
          <t>New York, NY</t>
        </is>
      </c>
      <c r="H30" t="inlineStr"/>
      <c r="I30" t="inlineStr">
        <is>
          <t>**About The Role**
 Uber Eats is looking for a strategic Growth leader to join our dynamic and fast\-paced team. As a Sr Product Manager, you will be responsible for identifying and executing cross\-platform opportunities to convert Uber Riders into Uber Eats customers. You'll drive the end\-to\-end strategy and roadmap to deepen engagement across the Uber ecosystem\-retaining these users, increasing order frequency, and enhancing the overall user experience. You'll partner closely with teams across Rides and Eats to create seamless, relevant, and high\-impact experiences that unlock the full potential of Uber's multi\-platform user base.
 In this role, you'll work closely with Product Design, Data Science, Engineering, Strategy \&amp; Ops, and other partners across Uber's businesses and geographies. You will lead with deep customer compassion, relying on data and UXR to make informed decisions grounded in strong product intuition.
**What The Candidate Will Do**
* Collaborate with cross\-functional teams, including Design, Data Science, Engineering and Ops, on both Rides and Eats, to identify growth opportunities, develop product initiatives, and implement data\-driven experiments to improve key growth metrics
* Effectively present and communicate strategy, implementation, and growth plans to various collaborators ranging from business audiences to senior leadership
* Distill the vision and strategy for the team to generate enthusiasm across cross\-functional partners and executive leadership
* Anticipate and remove obstacles that slow down or prevent us from delivering on operational, product, and program objectives
**Basic Qualifications**
* 5\+ years of Product Management experience delivering highly successful and innovative products with your fingerprints all over them. You should be familiar with systems thinking, analytics and experiment design, and have a solid understanding of software development processes and concepts.
* Bachelors degree in Computer Science or similar.
* Mearsurable growth experience and a track record of delivering highly successful and innovative 0\-to\-1 products.
* Entrepreneurial experience building and leading businesses, including ownership and optimization of business performance metrics.
* Experience managing and aligning stakeholders on a global scale.
**Preferred Qualifications**
* A true passion for Uber's mission, our products, and the company's hybrid technology/operations nature.
* Extensive experience setting and delivering on a strategy you crafted, where you were accountable for the outcomes.
* You have a knack for taking on complex product challenges and finding elegant solutions that are delightfully simple for our users.
* You are biased toward action, a great collaborator, a master disambiguator/simplifier, and constantly pushing toward clarity and delivery. You never hesitate to roll up your sleeves and tackle something hands\-on.
* From your own contributions to the people you work with, to the products you work on, you have a never\-ending desire to grow and learn.
 For New York, NY\-based roles: The base salary range for this role is USD$190,000 per year \- USD$211,000 per year. For San Francisco, CA\-based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USD$190,000 per year \- USD$211,000 per year. For San Francisco, CA\-based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31">
      <c r="A31" t="inlineStr">
        <is>
          <t>li-4362863221</t>
        </is>
      </c>
      <c r="B31" t="inlineStr">
        <is>
          <t>Senior Product Manager - Messaging and Communications Platform</t>
        </is>
      </c>
      <c r="C31" t="inlineStr">
        <is>
          <t>TrueDialog</t>
        </is>
      </c>
      <c r="D31" t="inlineStr">
        <is>
          <t>linkedin</t>
        </is>
      </c>
      <c r="E31">
        <f>HYPERLINK("https://www.linkedin.com/jobs/view/4362863221", "https://www.linkedin.com/jobs/view/4362863221")</f>
        <v/>
      </c>
      <c r="F31" t="inlineStr"/>
      <c r="G31" t="inlineStr">
        <is>
          <t>Detroit, MI</t>
        </is>
      </c>
      <c r="H31" t="inlineStr"/>
      <c r="I31" t="inlineStr">
        <is>
          <t>Based in Austin, Texas, TrueDialog is a Communications Platform\-as\-a\-Service (CPaaS) company that offers an enterprise\-grade SMS messaging platform designed for businesses of all sizes. Our award\-winning platform is transforming how organizations connect with customers through text messaging \- today's most engaging and responsive channel \- with powerful capabilities and simplified implementation.
 Through superior features, industry\-leading security, and direct carrier connections, the platform deliver enterprise\-grade reliability while reducing messaging costs by up to 75%. TrueDialog is trusted by thousands of brands, including Coca\-Cola, Hilton, Kansas City Chiefs, Northern Tool, SubjectWell, and Tulane University.
 We are seeking a
 **Sr. Product Manager** 
 to augment the customer and market needs and contribute to the vision, strategy, development and execution of our SMS, MMS, Voice and RCS communications platform. This role will report directly to the Chief Technology Officer (CTO) and will also work closely with the CEO, and other members of the leadership team as needed. The ideal candidate will be instrumental in collaborating with the CTO to help shape the product roadmap and run product operations, ensuring product excellence, and delivering innovative solutions that meet the evolving needs of enterprise customers and partners, and keep TrueDialog at the forefront of innovation.
 The ideal candidate will act as the crucial bridge between product development, sales, and marketing. He/she will have a strong understanding of the technology and work closely with the product owners, to effectively translate timelines and product details to marketing and sales, and also translate market and customer needs into requirements for the product owners.
**Key Responsibilities**
* Product Operations Leadership
* Collaborates with the leadership team to capture product vision and strategy and produce company\-wide associated work products
* Work with the CTO and Product Owners to manage the product roadmap, aligned with company goals and market trends.
* Identify opportunities for innovation in messaging workflows, integrations, and compliance\-driven features.
* Partner with the CTO to align product initiatives with technical architecture and scalability plans.
* Work with leadership to ensure all new feature requests are based on quantified business cases such as revenue improvement, retention improvement, or competitive parity.
* Execution \&amp; Delivery
* Work closely with the tech team to deliver high\-quality product releases.
* Establish KPIs and success metrics to measure product adoption, customer satisfaction, and revenue impact, in coordination with customer success, marketing and finance.
* Drive prioritization and resource allocation across competing initiatives.
* Customer \&amp; Market Insight
* Engage with customers, partners, and industry stakeholders to gather insights and translate them into product requirements.
* Monitor competitive landscape and regulatory changes (e.g., carrier rules, TCPA, potentially GDPR with future expansion) to ensure compliance and differentiation.
* Leadership \&amp; Collaboration
* Work closely with product managers/owners and foster a culture of accountability, innovation, and operational excellence.
* Serve as a product voice in executive discussions, providing clear updates and strategic recommendations.
* Collaborate closely with engineering leadership to balance speed, scalability, and compliance.
* Collaborate with a team of product owners, ensuring alignment across product lines and team efficiency
* Actively learn and understand each product owner's area of expertise to foster collaboration and cross\-domain innovation.
* Build a unified product culture that values knowledge\-sharing and collective accountability.
* Marketing Partnership
* Work with the Marketing team to translate technical features into clear, non\-technical product descriptions and highlight business value, for campaigns, collateral, and customer communications.
* Ensure product positioning resonates with diverse audiences, from technical buyers to business decision\-makers.
* Documentation \&amp; Knowledge Management
* Develop and maintain comprehensive product documentation, including feature specifications, release notes, and compliance updates.
* Identify areas requiring updates and ensure documentation remains accurate, accessible, and aligned with regulatory standards.
**Requirements**
* Proven experience (6\+ years) in product management, ideally at communications, SaaS, or messaging platform start\-up or earlier stage founder\-led companies.
* Strong understanding of SMS/MMS technologies, carrier ecosystems, APIs, and compliance frameworks. Knowledge of RCS a plus
* Demonstrated ability to translate technical concepts into successful business outcomes for diverse audiences.
* Track record of leading cross\-functional teams and delivering products at\-scale.
* Excellent communication, stakeholder management, and executive presentation skills. The ideal candidate can effectively translate highly technical concepts into valuable content for the marketing and sales teams.
* Analytical mindset with experience in data\-driven decision\-making and customer\-centric product design.
* Adept at navigating complexity, rapid decision cycles and evolving priorities.
* Proven ability to translate founder intent into executable product plans while balancing structure, delivery discipline, and business outcomes.
* Proactive, independently goal\-driven, high integrity, highly organized.
* Negotiation skills, particularly in reconciling diverse perspectives in the organization.
* Advanced experience with Jira \&amp; Confluence and other products in the Atlassian ecosystem.
**Preferred Qualifications**
* Experience with US and Canadian messaging regulations (e.g., TCPA, carrier compliance).
* Background in enterprise SaaS or B2B communications platforms.
* Familiarity with cloud infrastructure (Azure, AWS) and API\-first product design.
* Prior experience with CRMs such as Salesforce, HubSpot, Microsoft Dynamics
* Master's in Product Management (MPM) or advanced degree in technology, business, or related field.
* Prior product leadership experience and certifications
**Benefits**
* Dynamic Work Environment: Join a passionate team in a fast\-growing company with a strong product foundation, proven financials, and ambitious growth plans. This is an opportunity to shape the future of enterprise SMS communications in a high\-growth environment including direct collaboration with the CTO and executive leadership team.
* Competitive Compensation: Attractive salary and benefits package in a remote company, including 70% of employee health benefits paid, 401k, strong PTO, and professional development opportunities
* Growth Opportunities: Be a key player in a market that is poised for exponential growth, and scale\-up environment where your insights and leadership will directly impact the company's future
* Innovative Culture: Work in a collaborative culture of innovation, compliance, excellence, and customer impact. This is a forward\-thinking setting that values innovation, creativity, and data\-driven decision\-making with a strong team and proven Executive team</t>
        </is>
      </c>
    </row>
    <row r="32">
      <c r="A32" t="inlineStr">
        <is>
          <t>li-4362911622</t>
        </is>
      </c>
      <c r="B32" t="inlineStr">
        <is>
          <t>Sr Product Manager, SaaS</t>
        </is>
      </c>
      <c r="C32" t="inlineStr">
        <is>
          <t>TP-Link Systems Inc.</t>
        </is>
      </c>
      <c r="D32" t="inlineStr">
        <is>
          <t>linkedin</t>
        </is>
      </c>
      <c r="E32">
        <f>HYPERLINK("https://www.linkedin.com/jobs/view/4362911622", "https://www.linkedin.com/jobs/view/4362911622")</f>
        <v/>
      </c>
      <c r="F32" t="inlineStr"/>
      <c r="G32" t="inlineStr">
        <is>
          <t>Irvine, CA</t>
        </is>
      </c>
      <c r="H32" t="inlineStr"/>
      <c r="I32"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TP\-LINK Systems is seeking an experienced
 **Senior Product Manager** 
 to lead the strategy, development, and growth of our
 **Software\-as\-a\-Service (SaaS)** 
 offerings that complement our
 **Home Networking and Smart Home** 
 product ecosystem.
 This role is ideal for a product leader who thrives at the intersection of technology, user experience, and business impact — driving innovative
 **subscription services and connected software experiences** 
 that enhance how customers connect, automate, and manage their smart homes and networks.
**Key Responsibilities**
 Product Strategy \&amp; Definition
* Collaborate with leadership to define and execute the SaaS product roadmap aligned with TP\-LINK's strategic vision for connected devices and digital services
* Translate customer insights, competitive intelligence, and market trends into clear product requirements and success metrics
* Partner with cross\-functional teams—including hardware, cloud engineering, and UX—to ensure seamless integration between SaaS platforms and TP\-LINK devices
 Product Development \&amp; Execution
* Drive the full product development lifecycle—from concept and design through delivery and iteration—ensuring high\-quality, scalable, and secure solutions
* Work closely with engineering, QA, and project management to define priorities, manage timelines, and ensure on\-time delivery of product milestones
* Identify risks and proactively remove roadblocks to maintain development velocity
 Go\-to\-Market \&amp; Growth Enablement
* Partner with marketing, sales, and customer success to define pricing, packaging, and positioning strategies for subscription products
* Develop metrics to measure product performance and adoption, leveraging analytics to guide data\-driven decisions and continuous improvement
* Champion the customer experience, ensuring that our SaaS products deliver measurable value and long\-term engagement
 Lifecycle \&amp; Portfolio Management
* Oversee the end\-to\-end lifecycle of SaaS products—from initial launch through feature expansion and optimization
* Continuously evaluate market feedback and platform performance to refine the roadmap and maintain product\-market fit
* Collaborate with finance and operations to monitor subscription health, churn, and renewal rates
**Requirements**
 Qualifications:
* Bachelor's degree in Computer Science, Engineering, Business, or related field; MBA or equivalent preferred
* 6\+ years of experience in product management, with at least 3 years focused on SaaS or cloud\-based products
* Proven track record of driving product growth and customer adoption in a subscription\-based business model
* Strong technical understanding of cloud infrastructure, APIs, and data\-driven product development
* Excellent communication and cross\-functional collaboration skills, with the ability to influence across technical and business teams
* Experience in networking, IoT, or consumer electronics ecosystems a plus
**Benefits**
 Salary Range $150,000 to $200,000
* Fully paid medical, dental, and vision insurance (partial coverage for dependents)
* Contributions to 401k funds (Quarterly Employer Contributions)
* 15 days accrued vacation
* 11 paid holidays
* Health and wellness benefits, including free gym membership
* Quarterly team\-building events
* Free lunch Friday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t>
        </is>
      </c>
    </row>
    <row r="33">
      <c r="A33" t="inlineStr">
        <is>
          <t>li-4362763753</t>
        </is>
      </c>
      <c r="B33" t="inlineStr">
        <is>
          <t>Senior Product Manager, Platform</t>
        </is>
      </c>
      <c r="C33" t="inlineStr">
        <is>
          <t>Arcadia</t>
        </is>
      </c>
      <c r="D33" t="inlineStr">
        <is>
          <t>linkedin</t>
        </is>
      </c>
      <c r="E33">
        <f>HYPERLINK("https://www.linkedin.com/jobs/view/4362763753", "https://www.linkedin.com/jobs/view/4362763753")</f>
        <v/>
      </c>
      <c r="F33">
        <f>HYPERLINK("https://grnh.se/s7s6phr52us?gh_src=c05a0e2d2us&amp;source=LinkedIn&amp;urlHash=wzkj", "https://grnh.se/s7s6phr52us?gh_src=c05a0e2d2us&amp;source=LinkedIn&amp;urlHash=wzkj")</f>
        <v/>
      </c>
      <c r="G33" t="inlineStr"/>
      <c r="H33" t="inlineStr"/>
      <c r="I33" t="inlineStr">
        <is>
          <t>**Who We Are** 
 Arcadia is the global utility data and energy solutions platform. With our leading data platform, AI\-powered analytics, industry expertise, and expansive partner network, we deliver solutions for every stage of the enterprise energy management lifecycle across carbon, cost, and reliability. 
 Arcadia’s Enterprise Energy Management Solutions are built on a foundational data platform that has been developed for over a decade and scaled across millions of customer facilities.  We transform fragmented data and siloed processes into coordinated, enterprise\-wide action with comprehensive solutions including:
* Utility Bill Management:  Lower utility costs and streamline bill management with automated bill payment, proactive error identification, optimized tariff structures, and budgeting \&amp; forecasting.
* Energy Procurement Advisory: Source clean energy through a comprehensive evaluation of supply options \- including traditional retail options and onsite and offsite resources — to effectively manage risks, reduce costs, and achieve corporate sustainability goals.
* Sustainability Reporting:  Achieve compliance goals and track carbon emissions with standardized energy data and seamless integration with leading sustainability platforms.
 Tackling an enterprise client’s most critical energy challenges requires out\-of\-the\-box thinking \&amp; diverse perspectives. We’re building a team of individuals from different backgrounds, industries, \&amp; educational experiences. If you share our passion for ushering in the era of the clean, cost\-effective electrons, we look forward to learning what you would uniquely bring to Arcadia!
**What we're looking for:** 
 We are seeking an experienced Senior Product Manager to join our Product team in the U.S. Reporting to the Senior Director of Product for Arcadia's Enterprise Platform, this role will focus on migrating complex customer workflows and data from a legacy platform to our flagship platform, working closely with enterprise customers to ensure they have consistent and clear communication about migration processes, and eventually transitioning to contributing to new features within the flagship platform that streamline complex commercial bill pay and energy procurement processes.
 The successful candidate will be responsible for creating and executing the product roadmap and leading initiatives from conception to launch by connecting user needs, technological capabilities, and business goals. This person should have a proven track record of working with large, complex enterprise customers and handling product migrations. The ideal candidate is a self\-starter and a systems thinker who enjoys breaking down complex problems into smaller, iterative steps. They will collaborate frequently with engineering, design, data entry, data science, and cross\-functional teams like customer success and operations to ensure product success.
**What you'll do:** 
* Dive deep into the intricacies and complexities of an older software system such that you become an expert within the company and can call out pitfalls involved in migrating away from the legacy system to Arcadia’s flagship product.
* Create and own the product roadmap for your charter, aligning it with the overall business and product strategy to help build and scale Arcadia's energy data products.
* Define, prioritize, and build product initiatives and features that enable the seamless transition of customers from legacy products onto Arcadia’s newer platform, including the refinement and adaption of legacy features.
* Help customers migrate their data and workflows from legacy platforms onto Arcadia’s newer platform
* Coordinate closely with other product, engineering, and data teams to integrate features closely with Arcadia’s internal data systems and pipelines.
* Work with other teams and operations to embed AI pipelines/capabilities into tools to eliminate manual processes and improve data observability
* Write clear and detailed product requirements that are easily understood by both technical and non\-technical audiences.
* Collaborate and coordinate for dependencies with engineering, operations, and data science to deliver products on time.
* Regularly checking with cross\-functional team stakeholders to gather requirements or address pain points that can be solved by your squad
* Constantly monitor and provide updates on the progress of initiatives to all relevant stakeholders and the leadership team.
* Champion the use of AI tools (e.g., Gemini, Cursor) to drive productivity improvements within your team.
**What will help you succeed:** 
**Must\-haves:** 
* A Bachelor's or Master's degree in engineering or business management from a top university.
* 6\+ years of overall experience in software product management, with at least 4\+ years of direct, hands\-on PM experience in a SaaS or data/platform product company.
* Previous experience working directly alongside critical customers to understand their pain points and co\-develop solutions with them.
* Experience working with big data systems, including the complexities involved with ambiguity in data quality and rules around data governance.
* Strong expertise with internal tools and systems within a medium to large enterprise, including building complex systems around automation.
* Proven ability to break down complex problems into incremental product solutions.
* Demonstrated experience aligning with and influencing cross\-functional teams and diverse stakeholders.
* Strong organizational and project management skills.
* Experience working with globally distributed teams across multiple time zones.
* A growth mindset and comfort with ambiguity.
* Experience working in a regulated vertical (e.g., energy, finance, telecom, or healthcare).
**Benefits:** 
* "Remote first" culture \- work anywhere in the US as long as you have a reliable internet connection
* Flexible PTO \- no accrued hours and no limit on the number of vacation days exempt employees can take each year
* 12 annual company\-wide holidays
* 10 days sick leave
* Up to 4 weeks bereavement leave
* 2 volunteer days off
* 2 professional development days off
* 12 weeks paid parental leave for
 *all* 
 parents
* 80\-95% employer cost coverage for medical, dental, and vision benefits for employees and dependents
* A supportive engineering culture that values diversity, empathy, teamwork, trust, and efficiency
**Eliminating carbon footprints, eliminating carbon copies.** 
 Here at Arcadia, we cultivate diversity, celebrate individuality, and believe unique perspectives are key to our collective success in creating a clean energy future. Arcadia is committed to equal employment opportunities regardless of race, color, religion, gender, sexual orientation, gender identity or expression, national origin, age, disability, genetic information, protected veteran status, or any status protected by applicable federal, state, or local law. Please note that we are unable to offer visa sponsorship for this position at this time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Target Annual Compensation Range for this role will be $127,500 to $228,000\. There will also be a competitive benefits and equity component to the package. The exact compensation at which this job is filled will be determined by the skills, experience, and location of the qualified candidate. Please note that we are unable to offer visa sponsorship for this position at this time
 Thank you</t>
        </is>
      </c>
    </row>
    <row r="34">
      <c r="A34" t="inlineStr">
        <is>
          <t>li-4362498507</t>
        </is>
      </c>
      <c r="B34" t="inlineStr">
        <is>
          <t>Senior Product Manager - SeekrFlow</t>
        </is>
      </c>
      <c r="C34" t="inlineStr">
        <is>
          <t>Seekr</t>
        </is>
      </c>
      <c r="D34" t="inlineStr">
        <is>
          <t>linkedin</t>
        </is>
      </c>
      <c r="E34">
        <f>HYPERLINK("https://www.linkedin.com/jobs/view/4362498507", "https://www.linkedin.com/jobs/view/4362498507")</f>
        <v/>
      </c>
      <c r="F34" t="inlineStr"/>
      <c r="G34" t="inlineStr">
        <is>
          <t>Vienna, VA</t>
        </is>
      </c>
      <c r="H34" t="inlineStr"/>
      <c r="I34" t="inlineStr">
        <is>
          <t>Location: Austin, TX
**About The Opportunity**
 We’re looking for a Product Manager with a strong understanding of artificial intelligence (AI) and language models (LLMs) to help drive the evolution of our SeekrFlow platform. This role requires technical depth in AI, a knack for user\-centric design, and an ability to balance strategic vision with day\-to\-day execution. If you’re skilled at translating complex AI/ML capabilities into intuitive product experiences for a wide range of users, we’d love to talk to you.
**Key Responsibilities**
* Define and own product roadmaps for various SeekrFlow features, ensuring alignment with company objectives and market needs.
* Develop a deep understanding of user personas (both technical and non\-technical) to inform feature prioritization, user experience improvements, and product messaging.
* Collaborate closely with cross\-functional teams—AI/ML experts, engineers, designers, and UX researchers—to ensure product decisions are data\-driven and technically sound.
* Stay informed on the latest trends in AI, LLMs, and ML best practices, translating breakthroughs in research into actionable product opportunities.
* Gather and analyze feedback from customers, partners, and internal stakeholders, using insights to iterate on product features and refine user journeys.
* Communicate product updates and strategic plans to both technical and non\-technical audiences, ensuring clarity on objectives, timelines, and deliverables.
* Drive stakeholder alignment by setting clear priorities, facilitating discussions, and resolving conflicts to keep projects on track.
* Track and measure product performance through analytics and KPIs, identifying opportunities to optimize usage and grow adoption.
**Qualifications**
* 5\-7 years of product management experience, with a focus on platform or infrastructure products (experience with AI/ML and developer tools is highly desirable).
* Strong familiarity with language models (LLMs), AI/ML concepts, and the product life cycle for AI\-driven features.
* Analytical mindset, with the ability to interpret complex data sets and translate them into actionable product insights.
* Excellent communication and presentation skills, comfortable discussing technical details with engineers as well as distilling high\-level value propositions for business stakeholders.
* Proven track record of successfully launching or iterating on digital products in fast\-paced, agile environments.
* Experience managing cross\-functional teams and driving alignment toward shared objectives.
* Bachelor’s degree in a relevant field (e.g., Computer Science, Engineering, Business) or equivalent practical experience. Advanced degrees are a plus but not mandatory.
**What’s In It For You**
* A crucial role in shaping the future of AI development, offering significant impact within Seekr and the broader tech ecosystem.
* The opportunity to work on cutting\-edge technologies and engage with top\-tier AI/ML talent.
* Competitive compensation, including a comprehensive benefits package with health, dental, and vision insurance, retirement plans, and much more.
* Investment in your professional growth, with opportunities for training, certifications, and development.
* A culture that values innovation, collaboration, and the drive to create groundbreaking solutions.
 Seekr is dedicated to diversity and inclusion, welcoming applicants from all backgrounds. If you're eager to drive innovation in AI development and have the skills to lead our AIaaS platform to new heights, we want to hear from you. Join us and contribute to a trusted, transparent digital future.
 The base salary range for this full\-time position is $150,000\-$250,000, plus bonus, equity, and benefits. All salary ranges are determined by role, level, experience, and location.
**About The Company**
 Seekr is a leader in explainable and trustworthy artificial intelligence designed to power mission\-critical decisions in enterprises, government, and regulated industries. SeekrFlow™, our end\-to\-end AI platform, provides secure, auditable AI solutions tailored to sectors where transparency, accuracy, and compliance are paramount. Available across cloud, on\-premises, and edge environments, SeekrFlow reduces bias, strengthens data integrity, and simplifies model oversight so organizations can rely on trusted AI decisions in high\-stakes settings that impact society’s most sensitive and vital systems. Trusted by leading enterprises and government agencies, we partner with defense, finance, telecom, and critical infrastructure leaders to enable AI solutions that drive real\-world results with unmatched transparency and control.We are a team of strategic thinkers and problem\-solvers tackling the toughest challenges facing critical infrastructure and global enterprises through best\-in\-class AI models and customer deployment.Our team operates with unwavering commitment to our core values and mission:
* We are driven by outcomes—our customers' success is what we strive for every day.
* We believe trust is earned, which is why we build explainability and transparency into the entire AI lifecycle.
* We take our responsibility to deliver secure AI seriously.
* We believe innovation drives progress—we are building the technologies that power the systems our society depends on.
**Company Benefits**
* Working with a talented and collaborative team to solve the toughest AI challenges through innovation.
* Competitive salary
* Company investment in training, certifications, and your professional development
* Company Bonus Plan
* Employee Equity Program
* 401k Retirement plan with matching
* Medical, Dental and Vision Insurance for you and your family
* Life Insurance / Disability
* Unlimited PTO
* 13 Paid Holidays
* Employee Assistance Program</t>
        </is>
      </c>
    </row>
    <row r="35">
      <c r="A35" t="inlineStr">
        <is>
          <t>li-4353450214</t>
        </is>
      </c>
      <c r="B35" t="inlineStr">
        <is>
          <t>Principal Product Manager (Founding) — Nivalto (Stealth) | AI Governance OS &amp; Agent Orchestration Platform</t>
        </is>
      </c>
      <c r="C35" t="inlineStr">
        <is>
          <t>Nivalto</t>
        </is>
      </c>
      <c r="D35" t="inlineStr">
        <is>
          <t>linkedin</t>
        </is>
      </c>
      <c r="E35">
        <f>HYPERLINK("https://www.linkedin.com/jobs/view/4353450214", "https://www.linkedin.com/jobs/view/4353450214")</f>
        <v/>
      </c>
      <c r="F35" t="inlineStr"/>
      <c r="G35" t="inlineStr"/>
      <c r="H35" t="inlineStr"/>
      <c r="I35" t="inlineStr">
        <is>
          <t>**Principal Product Manager (Founding)** 
 — Nivalto (Stealth) \|
 **AI Governance OS** 
 \&amp;
 **Agent Orchestration Platform** 
**Location:** 
**Remote First** 
 (San Franciso Bay Area Candidates Only)
**Compensation:** 
**Equity\-first (Pre\-Seed)** 
 → Post\-Seed Salary
 **$190K–$230K** 
 \+
 **20–25%** 
 Performance Bonus
**Equity Range:** 
**0\.75%–1\.25%** 
 (
 **4\-year vest** 
 with
 **1\-year cliff** 
 ,
 **milestone top\-ups** 
 )
**Reports To:** 
**VP Product** 
**Stage:** 
**Pre\-Seed → Seed** 
 (
 **Fundraising Q1 2026** 
 )
**Seniority:** 
**Principal / Founding\-Level IC** 
 (clear path to
 **Director of Product** 
 )
**Time Commitment:** 
**Fractional (10–15 hrs/week)** 
 pre\-seed (equity\-based) → Post\-Seed
 **full\-time** 
**About Nivalto** 
 Nivalto (stealth) is building
 **AURA** 
 , a
 **luxury AI operating system** 
 for
 **ultra\-high\-net\-worth (UHNW)** 
 families and their advisors. Built on
 **privacy\-first AI orchestration** 
 and
 **trust\-by\-design** 
 , AURA helps
 **Principals, Spouses, Heirs, and Advisors** 
 manage
 **assets, relationships, and decisions** 
 across generations.
 Beyond wealth, Nivalto is developing the critical infrastructure powering the emerging AI agent economy—a $400B\+ market opportunity by 2030\. We're solving the hardest challenges enterprises face when deploying AI agents at scale in regulated environments, including
 **how those agents are allowed to move money** 
 .
 Our platform unifies governance and controlled execution through:
* **Open Protocol** 
 : industry\-standard protocol for
 **governed agent infrastructure** 
 (positioned for
 **standardization** 
 )
* **Cloud Platform** 
 : for enterprise deployment and management
* **Trusted Runtime \&amp; Edge Architecture** 
 : secure, high\-performance
 **execution environments** 
 for governed workflows
* **AI Payments Fabric** 
 :
 **policy\-aware** 
 transaction controls for AI\-driven workflows (
 **included** 
 , not the center)
* **Legacy Core (AURA Fabric)** 
 : integration layer for
 **mission\-critical systems**
**Why This Role Is Unique** 
**Ground\-Floor Category Creation** 
 You’re not iterating on an existing product—you’re helping define a new category:
 **AI Governance \+ Control Plane** 
 infrastructure for
 **agentic systems** 
 .
**Founder\-Level Ownership** 
 This isn’t a feature PM role. You’ll own a
 **core product pillar end\-to\-end** 
 —from
 **discovery** 
 to
 **prototyping** 
 to
 **MVP** 
 to
 **pilot readiness** 
 —and you’ll help shape
 **the story** 
 that investors and buyers will judge.
**Deep Tech, Real Proof** 
 Your work turns “governance” from slides into
 **shippable primitives** 
 :
 **policy → enforcement → evidence** 
 .
**Role Overview** 
 You will be a founding
 **Principal Product Manager** 
 responsible for turning Nivalto’s
 **governance spine** 
 and
 **agent orchestration stack** 
 into
 **pilot\-ready product surfaces** 
 (UX \+ APIs \+ evidence outputs).
**What You’ll Own (Seed Round Focus)** 
**AI Governance Protocol \&amp; Cloud Platform** 
* Define product requirements for the
 **governance control plane** 
 :
 **policy definition** 
 ,
 **role/permission models** 
 ,
 **decision records** 
 ,
 **obligations** 
 ,
 **evidence** 
 , and
 **audit exports**
* Build the
 **operator experience** 
 for governed agents: what admins/security/compliance can
 **approve** 
 ,
 **override** 
 ,
 **replay** 
 , and
 **export**
* Define the
 **promotion path** 
 with
 **gated evidence bundles** 
 at each step
* Package a
 **pilot\-ready offering** 
 : what’s included, what’s required, what’s deferred to GA
**AURA Agent Operating System** 
* Ensure AURA workflows demonstrate governance in action:
 **Permissions** 
 ,
 **Prompt Engine orchestration** 
 , and
 **secure collaboration**
* Own the “
 **trust outputs** 
 ” for pilots:
 **what we can prove** 
 ,
 **what evidence we generate** 
 , and
 **how we explain it**
**AI Payments Fabric** 
* Shape requirements for
 **governed transaction intents** 
 :
 **limits** 
 ,
 **approvals** 
 ,
 **policy checks** 
 ,
 **evidence capture** 
 , and
 **reconciliation hooks**
* Ensure the same
 **policy → enforcement → evidence** 
 chain holds for payment\-adjacent workflows without becoming a payments\-only PM role
**What You’ll Do** 
**Product Strategy** 
* Own a
 **seed\-stage roadmap** 
 for your pillar aligned to
 **fundraising milestones** 
 and
 **design\-partner pilots**
* Make
 **build vs. buy vs. partner** 
 decisions for foundational pieces (policy authoring, evidence stores, audit export formats, observability)
* Convert protocol concepts into
 **product primitives** 
 customers can adopt quickly
**Product Execution (Ship)** 
* Develop
 **prototypes** 
 , write
 **implementation\-ready PRDs/spec packs** 
 :
 **scope** 
 ,
 **non\-goals** 
 ,
 **acceptance criteria** 
 ,
 **test scenarios** 
 , and
 **rollout plan**
* Develop
 **prototypes, lead experiments and iterate product value** 
 continuously
* Drive weekly execution cadence:
 **prioritization** 
 ,
 **edge\-case resolution** 
 ,
 **scope control** 
 , and
 **unblocking decisions**
* Define and ship
 **MVPs that are small, credible, and instrumented**
**Customer Discovery \&amp; Validation** 
* Run discovery with
 **CIO/CISO/AI governance** 
 ,
 **compliance** 
 , and
 **platform leaders** 
 to validate the
 **minimum governance baseline** 
 required for pilots
* Translate procurement reality into product requirements:
 **audit exports** 
 ,
 **incident response** 
 ,
 **vendor oversight** 
 ,
 **evidence completeness** 
 , and
 **operator controls**
* For AURA: discovery with
 **family offices** 
 ,
 **advisors** 
 , and
 **private banks** 
 to validate high\-trust workflows
**Cross\-Functional Leadership** 
* Partner with
 **engineering** 
 ,
 **design** 
 , and the
 **CEO** 
 to keep scope coherent and execution\-forward
* Produce buyer\-facing and investor\-facing artifacts that explain:
 **what we enforce** 
 ,
 **what we log** 
 , and
 **what we can prove**
**Evals \&amp; Quality (Agent \+ Governance Systems)** 
* Define and maintain an
 **Evaluation Plan** 
 for each agent workflow:
 **success metrics** 
 ,
 **failure modes** 
 ,
 **red\-team cases** 
 , and
 **acceptance thresholds** 
 before pilot launch.
* Build a lightweight
 **Conformance Suite** 
 of test prompts \+ tool\-call scenarios that runs on every release (e.g.,
 **policy adherence** 
 ,
 **PII redaction** 
 ,
 **approval\-chain correctness** 
 ,
 **no\-loosen bounds** 
 ,
 **evidence completeness** 
 ).
* Specify
 **golden datasets** 
 and
 **golden traces** 
 (expected “policy → enforcement → evidence” outputs) and use them to detect regressions across model/tool changes.
* Establish
 **quality gates** 
 for agent workflow promotions: minimum pass\-rates, required evidence artifacts, and escalation rules when evals fail.
* Partner with engineering to instrument
 **online eval signals** 
 in pilots (e.g., override rate, denial reasons, incident frequency, replay discrepancies) and convert learnings into updated tests and controls.
**Required Qualifications** 
**Product Leadership** 
* **8\+ years** 
 product management (must be
 **Principal\-level IC** 
 capable)
* Proven
 **0→1 execution** 
 : concept → shipped MVP → customer validation
* Experience shipping
 **B2B platforms** 
 /
 **control\-plane products** 
 for technical buyers
* Exceptional written communication:
 **PRDs** 
 ,
 **decision docs** 
 ,
 **API\-first thinking**
**Domain Expertise (Governance / Platform\-first)** 
 You should be strong in at least one:
* **Governance / Security / Policy Platforms** 
 : identity/authorization, policy engines, audit logging, compliance tooling, operator UX
* **AI/ML Platform Products** 
 : LLM workflows, agent systems, guardrails (approvals/redaction/evidence), developer tooling
**Technical Depth (Required)** 
* Ability to read APIs, reason about system boundaries, and write
 **implementation\-ready requirements**
* Comfort with
 **state machines** 
 ,
 **enforcement boundaries** 
 , and
 **evidence/receipts** 
 concepts
* Familiarity with
 **hashing/signing** 
 concepts is a plus
* Payments familiarity is a
 **bonus** 
 , not required
**Education** 
* Bachelor’s degree (CS/Engineering/Business/Policy) or equivalent experience
* MBA is a preferred
**Highly Valued Experience** 
**Governance / Evidence Systems** 
* Built
 **auditability\-first** 
 systems: receipts/logging, replayability, evidence bundling, export patterns
* Built
 **pilot assurance** 
 materials and procurement\-ready artifacts
* Experience shaping
 **incident response** 
 \+
 **third\-party/vendor oversight** 
 programs into usable product requirements
**AI/Agentic Systems** 
* Built agentic workflows that perform real tool actions with guardrails
* Turned “AI safety” into concrete product requirements and operational controls
**Platform \&amp; Ecosystem** 
* Shipped developer platforms:
 **SDKs** 
 ,
 **APIs** 
 ,
 **docs** 
 , onboarding flows, reference implementations
* Experience with open standards or open\-source ecosystems is a plus
**Payments (Optional / Bonus)** 
* Experience with approvals/limits/reconciliation in spend or treasury systems (helpful but not required)
**Apply** 
 Send your LinkedIn/CV and a cover letter to
 **careers@nivalto.com** 
 with subject:
 **“Principal Product Manager (Founding)”** 
 Work authorization: Open to US and international; relocation/visa considered for exceptional candidates.
 EEO \&amp; Confidentiality: We’re an equal opportunity employer. Some technical details are shared only post\-NDA due to stealth</t>
        </is>
      </c>
    </row>
    <row r="36">
      <c r="A36" t="inlineStr">
        <is>
          <t>li-4362931791</t>
        </is>
      </c>
      <c r="B36" t="inlineStr">
        <is>
          <t>Senior Product Manager</t>
        </is>
      </c>
      <c r="C36" t="inlineStr">
        <is>
          <t>BusPatrol</t>
        </is>
      </c>
      <c r="D36" t="inlineStr">
        <is>
          <t>linkedin</t>
        </is>
      </c>
      <c r="E36">
        <f>HYPERLINK("https://www.linkedin.com/jobs/view/4362931791", "https://www.linkedin.com/jobs/view/4362931791")</f>
        <v/>
      </c>
      <c r="F36">
        <f>HYPERLINK("https://jobs.ashbyhq.com/buspatrol/4ae4d22d-f2be-40b2-ae67-80e49366c259/application?utm_source=aL4xxrV3pb&amp;urlHash=JLM7", "https://jobs.ashbyhq.com/buspatrol/4ae4d22d-f2be-40b2-ae67-80e49366c259/application?utm_source=aL4xxrV3pb&amp;urlHash=JLM7")</f>
        <v/>
      </c>
      <c r="G36" t="inlineStr">
        <is>
          <t>Austin, TX</t>
        </is>
      </c>
      <c r="H36" t="inlineStr"/>
      <c r="I36" t="inlineStr">
        <is>
          <t>As a Sr Product Manager at BusPatrol, you will lead the development and enhancement of software products that contribute to school bus transportation safety and efficiency. The person we’re seeking is collaborative, adaptable, and driven to ensure success for the development team that they are working with. This includes leading brainstorming sessions, ensuring the team has a clear understanding of the work in the pipeline and the impact that it is looking to drive, the ability to clear blockers, and a strong ability to tailor a message to the audience.
 BusPatrol is committed to being a product\-driven company that uses data and user research to better understand our customers’ needs. Our product department is focused on ensuring we are solving for the root cause of an issue rather than the symptoms so that we build products that truly serve our users.
**The Team:**
 The team you will be working with is focused on increasing ease of use for both internal and external users of our AlertBus software. AlertBus is used by internal users, law enforcement, courts, our partners, and citizens. Through understanding the experience of our users, we aim to improve AlertBus by:
* Increasing ease to view video evidence and make online payments
* Lessen time on task for internal team users
* Enhancing the experience of scheduling court dockets and getting evidence to court
**Responsibilities:**
* You avoid recommending a solution right away and instead seek to understand the root of the issue. You can guide discussions ensuring focus remains on the root problem.
* Communicate across various departments in a targeted and concise way. You understand technical discussion as well as you do strategic objectives and can connect how they tie together. You can take a technical problem and explain it to a business stakeholder to get what is needed to proceed.
* You are comfortable identifying success metrics and how they roll up to our KPIs. You know how to obtain baseline data, can work with the data team to identify when new data is needed, and can track success metrics to understand the outcome of an experiment.
* Prioritize features and user stories based on business value, technical feasibility, and customer impact.
* Partner closely with your Product Manager to ensure alignment on upcoming priorities and communicate any issues or potential issues right away.
* Be self\-directed – you understand the expectations of you in your day\-to\-day and can execute and provide the team with direction.
* Work with internal user groups for a deeper understanding of their processes, challenges, and requirements.
* Work closely with development teams, product designers, and other cross\-functional teams to ensure product roadmap execution.
* Facilitate communication between stakeholders and development teams to address questions, provide clarifications, and resolve issues.
* Own the creation of user stories in collaboration with the team and ensuring that there is a healthy backlog.
* Leads Agile/Scrum ceremonies, including sprint planning, backlog grooming, and sprint reviews.
* Monitor project timelines and ensure on\-time delivery of high\-quality products.
**Qualifications:**
* Bachelor's degree in computer science, information technology, a related field, or equivalent work experience.
* 4\+ years' experience in software product development.
* Growth mindset: you are eager to run experiments and learn and do not assume that you have all the answers.
* Comfortable with ambiguity, developing clear and concise roadmaps that outline specific, measurable steps towards achieving the desired outcome.
* Experience using data to make decisions.
* Familiarity and experience with Agile practices and Scrum ceremonies.
**Preferred Experience:**
* Experience in the transportation or education technology industry is a plus.
* Experience working in a product\-driven software company.
* Software development experience is a plus.
* Experience writing user stories and requirements.
 Compensation Range: $190K \- $200K</t>
        </is>
      </c>
    </row>
    <row r="37">
      <c r="A37" t="inlineStr">
        <is>
          <t>li-4359146175</t>
        </is>
      </c>
      <c r="B37" t="inlineStr">
        <is>
          <t>Senior Product Manager</t>
        </is>
      </c>
      <c r="C37" t="inlineStr">
        <is>
          <t>RingCentral</t>
        </is>
      </c>
      <c r="D37" t="inlineStr">
        <is>
          <t>linkedin</t>
        </is>
      </c>
      <c r="E37">
        <f>HYPERLINK("https://www.linkedin.com/jobs/view/4359146175", "https://www.linkedin.com/jobs/view/4359146175")</f>
        <v/>
      </c>
      <c r="F37" t="inlineStr"/>
      <c r="G37" t="inlineStr">
        <is>
          <t>Belmont, CA</t>
        </is>
      </c>
      <c r="H37" t="inlineStr"/>
      <c r="I37" t="inlineStr">
        <is>
          <t>**Say hello to opportunities.**
 It’s not everyday that you consider starting a new career. We’re RingCentral, and we’re happy that someone as talented as you is considering this role. First, a little about us, we’re a $2 Billion annual revenue company with double digit Annual Recurring Revenue (ARR) and a $93 Billion market opportunity in UCaaS, Contact Center and AI\-powered adjacencies. We invest more than $250 million annually to ensure our AI\-enabled technology and platforms meet or exceed the needs of our customers.
 RingSense AI is our proprietary AI solution. It’s designed to fit the business needs of our customers, orchestrated to be accurate and precise, and built on the same open platform principles we apply to our core software solutions.
 We’re looking for a strategic and technically savvy Senior Product Manager to lead the development of cutting\-edge conversational assistant experiences and the underlying AI agent platform that powers them. This role blends deep expertise in conversational UX with system\-level thinking around agent orchestration, platform abstractions, and scalable learning. You'll be at the forefront of shaping human\-AI interactions across multiple modalities, while building the foundations that enable rapid experimentation and deployment at scale.
 What You’ll Do
 Conversational Assistant Experience
* Define intelligent agent behaviors, grounded in state\-of\-the\-art NLU/NLP, LLMs, memory, reasoning, and dialog orchestration components.
* Design modular interfaces for agent creation, prompt engineering, tool/skill chaining, and behavioral tuning.
* Optimize dialog experiences across voice and digital channels, focusing on flow design, turn\-taking, tone, accessibility, and recovery strategies. Apply principles of zero\-shot/few\-shot prompting, grounding, and task delegation to build contextually aware and capable assistants.
 AI Platform Development
* Build scalable, reusable frameworks for agent development, configuration, and lifecycle management across diverse enterprise and consumer use cases.
* Define abstractions for workflows, policies, and roles, balancing power\-user flexibility with no\-code/low\-code usability.
* Architect extensible ecosystems through SDKs, APIs, connectors, and plugin marketplaces.
 Data\-Driven Decision Making
* Leverage interaction data, AI performance metrics, and behavioral analytics to inform product iterations.
* Partner with design and research teams to gather qualitative feedback and validate hypotheses through A/B testing and experimentation.
* Drive continuous optimization of conversation quality, agent accuracy, and user satisfaction.
 Lifecycle \&amp; Governance
* Structure the end\-to\-end agent lifecycle: creation → deployment → monitoring → continuous learning → versioning.
* Define permission models, update workflows, rollback procedures, and audit trails to ensure safe, scalable operations.
 Continuous Learning \&amp; Knowledge Modeling
* Design systems that learn and improve over time through human\-in\-the\-loop feedback and supervision.
* Collaborate with AI/ML and Knowledge Engineering teams to build semantic frameworks using taxonomy, ontology, and structured labeling.
* Align product development with scalable evaluation and reinforcement mechanisms.
****What We’re Looking For****
* Bachelor's degree in Computer Science, Computer Engineering or related field and equivalent practical experience.
* 4\-5 technical product management experience, preferably with AI, ML, or conversational technologies.
* Deep understanding of LLMs, NLP pipelines, dialog systems, and agent architectures.
* Strong grasp of conversational UX principles and experience designing natural, intuitive interactions.
* Proven track record of building platforms or frameworks with a developer or system\-level audience.
* Data fluency: ability to analyze metrics, define KPIs, and translate insights into action.
* Excellent communication, collaboration, and stakeholder management skills.
 Bonus: experience in building knowledge graphs, working with ontologies, or designing feedback\-driven learning systems
**What we offer:**
* Comprehensive medical, dental, vision, disability, life insurance
* Health Savings Account (HSA), Flexible Spending Account (FSAs)
* 401K match and ESPP
* Paid time off and paid sick leave
* Paid parental and pregnancy leave
* Family\-forming benefits (IVF, Preservation, Adoption etc.)
* Emergency backup care (Child/Adult/Pets)
* Employee Assistance Program (EAP) with counseling sessions available 24/7
* Free legal services that provide legal advice, document creation and estate planning
* Employee bonus referral program
* Student loan refinancing assistance
* Employee perks and discounts program
 RingCentral’s Product Management team works closely with our customers to define the real\-world collaboration challenges people face, and help develop groundbreaking solutions to solve them. Together, we drive strategy and roadmaps to delight our current customers and win new market share. We care deeply about customer experience, understand that great products should solve real\-world problems, and believe that saying “no” is sometimes just as important as adding new features.
 RingCentral’s work culture is the backbone of our success. And don’t just take our word for it: we are recognized as a Best Place to Work by Glassdoor, the Top Work Culture by Comparably and hold local BPTW awards in every major location. Bottom line: We are committed to hiring and retaining great people because we know you power our success.
**About RingCentral**
 RingCentral, Inc. (NYSE: RNG) is a leading provider of business cloud communications and contact center solutions based on its powerful Message Video Phone™  (MVP™) global platform. More flexible and cost effective than legacy on\-premises PBX and video conferencing systems that it replaces, RingCentral® empowers modern mobile and distributed workforces to communicate, collaborate, and connect via any mode, any device, and any location. RingCentral is headquartered in Belmont, California, and has offices around the world.
 RingCentral is an equal opportunity employer that truly values diversity. We do not discriminate on the basis of race, religion, color, national origin, gender, sexual orientation, age, marital status, veteran status, or disability status. We are committed to providing reasonable accommodations for individuals with disabilities during our application and interview process. If you require such accommodations, please click on the following link to learn more about how we can assist you.
 If you are hired in Belmont, CA, the compensation range for this position is between $142,800 and $204,000 for full\-time employees, in addition to eligibility for variable pay, equity, and benefits. Benefits may include, but are not limited to, health and wellness, 401k, ESPP, vacation, parental leave, and more! The salary may vary depending on your location, skills, and experience.</t>
        </is>
      </c>
    </row>
    <row r="38">
      <c r="A38" t="inlineStr">
        <is>
          <t>li-4359146697</t>
        </is>
      </c>
      <c r="B38" t="inlineStr">
        <is>
          <t>Senior Product Manager, GMPT - API and Ecosystems</t>
        </is>
      </c>
      <c r="C38" t="inlineStr">
        <is>
          <t>TikTok</t>
        </is>
      </c>
      <c r="D38" t="inlineStr">
        <is>
          <t>linkedin</t>
        </is>
      </c>
      <c r="E38">
        <f>HYPERLINK("https://www.linkedin.com/jobs/view/4359146697", "https://www.linkedin.com/jobs/view/4359146697")</f>
        <v/>
      </c>
      <c r="F38" t="inlineStr"/>
      <c r="G38" t="inlineStr">
        <is>
          <t>San Jose, CA</t>
        </is>
      </c>
      <c r="H38" t="inlineStr"/>
      <c r="I38" t="inlineStr">
        <is>
          <t>**Responsibilities**
 About the team
 The API Product Team facilitates partners, advertisers, and developers in buying Ads on TikTok at scale. We collaborate with developers to define, build, and launch features that address key pain points and leverage partners' unique capabilities during the ads buying process.
 We are currently innovating to redefine the marketing experience and how third\-party companies interact with advertisers. This is a high\-visibility role that lays the foundation for future developer collaboration. The role entails working with cross\-functional stakeholders to set and align the strategic direction of the product.
 Responsibilities:
 \- Lead product development and execution for their product by collaborating with various stakeholders across the organization.
 \- Collaborate with Product Marketing and Partner Management teams to clearly understand customer pain points.
 \- Work closely with engineering and design teams to deliver high\-quality products from concept to launch.
 \- Write Product Specifications to clearly define requirements, make thoughtful product decisions to solve customer problems, make trade\-off decisions, and communicate effectively.
 \- Define success metrics and closely collaborate with the Data Science team to analyze product success.
**Qualifications**
 Minimum Qualifications:
 \- BA/BS degree
 \- 3\+ years of experience as a Product Manager, managing full product cycles, integrating customer feedback, and driving prioritization. (Note: this refers to product management experience, not total work experience.)
 \- Experience in solving ambiguous problems and executing complex projects by aligning leadership.
 \- Experience in the advertising tech industry.
 \- Strong internal and external communication skills
 \- Analytical and data/result\-driven. Understand shifting priorities in a fast\-paced environment.
 Preferred Qualifications:
 \- Experience with API integrations and platform development.
 \- Familiarity with TikTok's advertising ecosystem.
 \- Previous experience working in a startup or fast\-growing environment.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$414000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39">
      <c r="A39" t="inlineStr">
        <is>
          <t>li-4359190207</t>
        </is>
      </c>
      <c r="B39" t="inlineStr">
        <is>
          <t>Senior Product Manager - Apple Cloud Infrastructure</t>
        </is>
      </c>
      <c r="C39" t="inlineStr">
        <is>
          <t>Apple</t>
        </is>
      </c>
      <c r="D39" t="inlineStr">
        <is>
          <t>linkedin</t>
        </is>
      </c>
      <c r="E39">
        <f>HYPERLINK("https://www.linkedin.com/jobs/view/4359190207", "https://www.linkedin.com/jobs/view/4359190207")</f>
        <v/>
      </c>
      <c r="F39" t="inlineStr"/>
      <c r="G39" t="inlineStr">
        <is>
          <t>Seattle, WA</t>
        </is>
      </c>
      <c r="H39" t="inlineStr"/>
      <c r="I39" t="inlineStr">
        <is>
          <t>**Summary**
 Imagine what you could do here. At Apple, great ideas have a way of becoming great products, services, and customer experiences very quickly. Bring passion and dedication to your job and there's no telling what you could accomplish. We are building out a multi\-cloud platform that will power Apple's key services ranging from Music, TV\+, Sports, and AI/ML offerings. Apple's Cloud infrastructure has core platform services and managed services required for public cloud development, deployment and wide\-scale adoption. We are seeking experienced Product Managers to work closely with internal customer teams across Apple to understand product needs, and collaborate with engineering teams to drive the product roadmap for a secure, scalable and automated cloud platform. The ideal candidate has a proven understanding of public cloud platforms with experience in one or more domains including cloud computing, AI/ML infrastructure, data platforms, storage, cloud security and networking concepts. The successful candidate should have experience working with public cloud technologies in a large enterprise environment.
**Description**
 We are building a multi\-cloud platform that powers every service at Apple and enables us to delight consumers around the world. We are looking for technical product managers who understand cloud services, data and AI platforms, and are passionate about working with engineering teams to build scalable cloud technologies and working closely with customers to co\-develop solutions. We are looking for self\-starters, go\-getters, and strategic problem solvers!
**Minimum Qualifications**
 At least 10\+ years product management experience in enterprise products, preferably cloud\-based.nBachelor's degree in Computer Science, Electrical Engineering, Math or related field. Master's degree preferred. nExperience building product roadmaps from conception to launch, driving the product vision, defining go\-to\-market strategy, and leading design discussions.nWorking knowledge of public cloud technologies (AWS/GCP/others) and awareness of current service offerings.
**Preferred Qualifications**
 Strong technical understanding of infrastructure services and / or cloud technologies.nAble to identify and explain challenges to both technical and non\-technical personnel.nExperience communicating engineering technical challenges that may affect business timelines.nStrong verbal and written communicator with the ability to influence and build consensus in a collaborative way.nComfortable dealing with challenging priorities spread across multiple customers.
**Pay \&amp; Benefits**
 At Apple, base pay is one part of our total compensation package and is determined within a range. This provides the opportunity to progress as you grow and develop within a role. The base pay range for this role is between $163,300 and $290,100,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0">
      <c r="A40" t="inlineStr">
        <is>
          <t>li-4353481092</t>
        </is>
      </c>
      <c r="B40" t="inlineStr">
        <is>
          <t>Principal Product Manager, Capital Platform</t>
        </is>
      </c>
      <c r="C40" t="inlineStr">
        <is>
          <t>Upstart</t>
        </is>
      </c>
      <c r="D40" t="inlineStr">
        <is>
          <t>linkedin</t>
        </is>
      </c>
      <c r="E40">
        <f>HYPERLINK("https://www.linkedin.com/jobs/view/4353481092", "https://www.linkedin.com/jobs/view/4353481092")</f>
        <v/>
      </c>
      <c r="F40" t="inlineStr"/>
      <c r="G40" t="inlineStr"/>
      <c r="H40" t="inlineStr"/>
      <c r="I40"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Upstart’s Capital Platform team builds the systems that enable capital to flow through Upstart’s marketplace reliably, transparently, and at scale. The team owns the core platform capabilities used by banks, credit unions, and institutional investors to onboard, configure lending programs, execute originations and loan sales, and monitor portfolio performance.
 Operating at the intersection of product, engineering, capital markets, finance, and compliance, the Capital Platform team focuses on building enterprise\-grade, configurable, and reusable infrastructure that supports a growing and increasingly diverse set of capital partners across products.
 This team is responsible for foundational platform capabilities including partner integrations, capital execution workflows, and capital insights and reporting — with an increasing emphasis on white\-label and embedded capital solutions that allow partners to leverage Upstart’s technology within their own ecosystems.
**As a Principal Product Manager, Capital Platform,** 
 you will be a senior, hands\-on individual contributor owning strategy and execution for one of Upstart’s most complex and high\-impact capital platform problem spaces.
 This role is well suited for a Staff\+ IC who thrives in ambiguity, enjoys building enterprise\-grade platforms from first principles, and wants to shape how lenders and investors integrate with Upstart at scale. You will lead multi\-quarter initiatives that cut across product, engineering, finance, and compliance, and deliver durable, extensible systems that serve both current and future capital partners.
 A key focus area for this role is the development and platformization of white\-label and embedded capital solutions for enterprise partners. These solutions enable banks, credit unions, and investors to originate, fund, and manage loans using Upstart’s capital infrastructure while maintaining configurability, compliance, and operational rigor. Depending on business needs and background, this role may also be scoped to other core capital platform problem spaces.
 Depending on business needs and your background, you will own one or more of the following Capital Platform problem spaces:
* White Label \&amp; Embedded Capital Products: Define and launch enterprise\-grade, configurable white\-label capital solutions that allow partners to originate, fund, and manage loans using Upstart’s capital infrastructure. This includes zero\-to\-one product development, platformization of capabilities, and designing primitives that can scale across partners without bespoke implementations.
* Capital Partner Integrations \&amp; Execution: Own the core workflows that onboard lenders and investors, execute originations and loan sales, and integrate with external systems and third\-party providers. Focus on scalability, reliability, and operational rigor across high\-volume, business\-critical flows.
* Capital Insights \&amp; Reporting Infrastructure: Lead the evolution of reporting systems, data pipelines, and customer\-facing analytics that provide transparency, oversight, and trust for capital partners. Balance correctness, auditability, and usability in regulated, high\-reliability environments.
**How You’ll Make An Impact**
* Own the strategy, roadmap, and execution for a major Capital Platform problem space with material business impact
* Lead multi\-quarter, cross\-team initiatives that require deep systems thinking and operate under significant ambiguity
* Design scalable, configurable platform capabilities that serve a diverse set of capital partners without fragmentation or bespoke delivery
* Partner deeply with engineering to define product architecture, tradeoffs, sequencing, and long\-term evolution of capital platform systems
* Influence adjacent platform and vertical teams to ensure capital partner needs are consistently met across products
* Use data, customer insight, and domain knowledge to make high\-conviction product decisions and prioritize effectively
* Deliver durable, enterprise\-grade solutions that meet reliability, compliance, and operational requirements
**Minimum Qualifications**
* 7\+ years of product management experience, or equivalent demonstrated scope and impact owning complex, multi\-quarter initiatives
* Demonstrated experience leading initiatives at a Principal / Staff\-level individual contributor scope
* Proven track record designing and shipping platforms or shared systems, not just standalone features
* Experience working with complex B2B or B2B2C workflows (e.g., onboarding, configuration, payments, compliance, reporting)
* Ability to operate effectively in regulated, high\-reliability environments
* Strong technical fluency and experience partnering closely with engineering on architecture and system design tradeoffs
* Ability to drive alignment and execution across multiple teams and stakeholders without formal authority
* Bachelor’s degree or equivalent practical experience in a technical, analytical, or business\-related field
**Preferred Qualifications**
* Experience building enterprise\-grade platforms or infrastructure products, particularly in financial services, fintech, or regulated domains
* Experience with zero\-to\-one product development, including defining problem spaces, validating solutions, and scaling initial implementations
* Familiarity with capital markets, lending, or financial operations workflows
* Experience building or evolving data platforms, reporting systems, or analytics products
* Background working in high\-growth or scaling technology companies
* Prior collaboration with machine learning, data science, or advanced analytics teams
**Position location** 
 This role is available in the following locations: Remote
**Time zone requirements** 
 The team operates on the East/West coast time zones.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**What you'll love:**
* Competitive Compensation (base \+ bonus \&amp; equity)
* Comprehensive medical, dental, and vision coverage with Health Savings Account contributions from Upstart
* Generous 401(k) plan with Upstart matching $2 for every $1 contributed, up to $15,000 per year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$187,900—$260,000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41">
      <c r="A41" t="inlineStr">
        <is>
          <t>li-4357698099</t>
        </is>
      </c>
      <c r="B41" t="inlineStr">
        <is>
          <t>Sr. Product Owner</t>
        </is>
      </c>
      <c r="C41" t="inlineStr">
        <is>
          <t>University of South Florida Libraries</t>
        </is>
      </c>
      <c r="D41" t="inlineStr">
        <is>
          <t>linkedin</t>
        </is>
      </c>
      <c r="E41">
        <f>HYPERLINK("https://www.linkedin.com/jobs/view/4357698099", "https://www.linkedin.com/jobs/view/4357698099")</f>
        <v/>
      </c>
      <c r="F41">
        <f>HYPERLINK("https://fa-ewkd-saasfaprod1.fa.ocs.oraclecloud.com/hcmUI/CandidateExperience/en/sites/USF/job/42364/?mode=location&amp;urlHash=Q6GZ", "https://fa-ewkd-saasfaprod1.fa.ocs.oraclecloud.com/hcmUI/CandidateExperience/en/sites/USF/job/42364/?mode=location&amp;urlHash=Q6GZ")</f>
        <v/>
      </c>
      <c r="G41" t="inlineStr">
        <is>
          <t>Tampa, FL</t>
        </is>
      </c>
      <c r="H41" t="inlineStr"/>
      <c r="I41" t="inlineStr">
        <is>
          <t>Tampa, FL, United States
 Trending
* Job Identification 42364
* Job Category Technology
* Posting Date 01/05/2026, 04:15 PM
* Apply Before 01/19/2026, 04:15 PM
* Degree Level Bachelor's Degree
* Locations 4202 East Fowler Avenue, Tampa, FL, 33620, US
* Hiring Salary $103,394
* Essential Personnel No
**Job Description**
**ORGANIZATIONAL SUMMARY** 
 :
 Located in the vibrant and diverse Tampa Bay region of Florida’s gulf coast, the University of South Florida (USF) is a Preeminent State Research University with campuses in Tampa, St. Petersburg and Sarasota\-Manatee. Rated as one of the top places to live in the U.S., Tampa Bay offers a high quality of life, year\-round sunshine, and easy access to top\-rated entertainment. USF is one of the nation’s largest public universities, serving more than 50,000 students with an annual budget of $1\.8 billon. Over the past five years, USF has been the fastest\-rising university in the nation, public or private, on the U.S. News and World Report's list of best universities, which it ranks as the 44th best public university in America.
 USF is proud to be an innovating partner within the Tampa Bay region, listed by
 **Forbes** 
 as the top emerging tech city in the country.
**USF Information Technology (USF IT) provides technology services and support for the University of South Florida. The IT team, led by the Vice President and CIO, provides the following services: Administrative Services, Client Support, Communication Services, Teaching and Learning, Analytics and Reporting, Mobile and Web Services, Consulting Services, Cybersecurity Service and Research Technologies. For more information, please visit** 
 : Information Technology \| University of South Florida (usf.edu)
**Additional Info For Applicants**
**The selected candidate must have current work authorization in the United States. This position is not eligible for Visa Sponsorship.**
**USF offers GREAT BENEFITS to full time employees!!**
* Medical Insurance
* Dental Insurance
* Vision Insurance
* Paid Vacation Days
* Paid Sick Days
* 11 Paid Holidays
* Various Retirement Options, including 401K employer match
* Tuition Assistance (available for yourself, spouse, partner or dependent)
 For more information about your total compensation package and other USF benefits, please visit: Work at USF
**Responsibilities**
**Primary Job Duties:**
* 30% Customer / Stakeholder Relations:
 Provides strategic consultation and participates in quality reviews and provides feedback sessions. Advises on options, risks, costs versus benefits, and impacts on end\-user
 products and services, business processes and system priorities. Create reports and communications to both Stakeholders and Senior Management. Devises and evaluates plans that integrate system components across existing and new businesses. Set and articulate clear product vision aligned to the overall strategy for the product. Negotiate and mediate problems with stakeholders.
* 30% Project Management and Product Backlog:
 Lead complex, major or highly visible tasks in support of multiple projects that require multiple areas of expertise and that may span a broad range of applications. Analyze and interpret complex enterprise\-wide problems or processes, identify and understand requirements, and develop alternate solutions while educating senior leaders as to their solution. Establish strategic goals with a long\-term view and builds a shared vision with others. Use formal methodologies to forecast trends and define innovative strategic choices in response to the potential implications of multiple integrated options. Use MoSCoW, Story Mapping, Kano Analysis and other prioritization methods while considering the value of the feature including impact on the individual, team and organization,
 story cost, estimated time to implement, impact on other stories, risk and opportunity costs when prioritizing. Create Business Model/ Product Canvas, Product Roadmap, and Product Launch Strategy. Conduct SWOT and competitive analysis Guide Product Owners in the use of appropriate requirements gathering methods. Prioritize urgent customer requests with the team to negotiate inclusion in current sprint and adjustments to other planned work as needed.
* 10% Review/Testing:
 Write and approve Acceptance Criteria.
 Provide final acceptance of the User Story.
 Create and validate prototypes.
* 10% Agile Project Management:
 Understand and keep abreast of Scrum and other Agile methodologies. Apply methodologies and tools as needed to ensure an effective, and transparent agile project. Partner with the Scrum Master who is the owner of the Scrum process, to ensure continuous improvement on project tasks.
* 15% Mentorship:
 Mentors and guides Product Owners. Review and monitors the Project Management of the Product Owner and identify areas of improvement. Gradually allow more autonomy on Projects to Product Owner as their experience and skills increase.
* 5% Performs other duties as assigned.
**Qualifications**
**Minimum Education \&amp; Experience**
 Bachelor’s degree Business, Engineering, Computer Science or IT related field and three years of IT or Project Management experience OR seven years of IT or Project Management experience, or a combination of relevant experience and education.
**Industry Knowledge**
 Certifications \- Certified Product Owner
 Degree Equivalency Clause: Four years of direct experience for a bachelor’s degree.
* Senate Bill 1310\- The Florida Senate (https://www.flsenate.gov/Session/Bill/2023/1310\) is conditional upon meeting all employment eligibility requirements in the U.S.
* SB 1310: Substitution of Work Experience for Postsecondary Education Requirements
* A public employer may include a postsecondary degree as a baseline requirement only as an alternative to the number of years of direct experience required, not to exceed:
* (a) Two years of direct experience for an associate degree;
* (b) Four years of direct experience for a bachelor’s degree;
* (c) Six years of direct experience for a master’s degree;
* (d) Seven years of direct experience for a professional degree; or
* (e) Nine years of direct experience for a doctoral degree
* Related work experience may not substitute for any required licensure, certification, or registration required for the position of employment as established by the public employer and indicated in the advertised description of the position of employment.
* Minimum Qualifications that require a high school diploma are exempt from SB 1310\.
**About Us**
**Working at USF**
 With approximately 16,000 employees, the University of South Florida is one of the largest employers in the Tampa Bay area. We are dedicated to cultivating a talented, engaged and driven workforce that strives to be bold. Employees excel in USF‘s rich academic environment, which fosters their development and advancement. In 2025, Forbes recognized USF as one of Florida’s best large employers, ranked No. 1 among the state’s 12 public universities. Our first\-class benefits package includes medical, dental and life insurance plans, retirement plan options, employee and dependent tuition programs, generous leave, and hundreds of employee perks and discounts.
**About USF**
 The University of South Florida is a top\-ranked research university serving approximately 50,000 students from across the globe at campuses in Tampa, St. Petersburg, Sarasota\-Manatee and USF Health. USF is recognized by U.S. News \&amp; World Report as a top 50 public university and the best value in Florida. U.S. News also ranks the USF Health Morsani College of Medicine as the No. 1 medical school in Florida and in the highest tier nationwide. USF is a member of the Association of American Universities (AAU), a group that includes only the top 3% of universities in the U.S. With an all\-time high of $738 million in research funding in 2024 and as a top 20 public university for producing U.S. patents, USF uses innovation to transform lives and shape a better future. The university generates an annual economic impact of more than $6 billion. USF’s Division I athletics teams compete in the American Athletic Conference. Learn more at www.usf.edu.
**Compliance and Federal Notices**
*This position may be subject to a Level 1 or Level 2 criminal background check.*
**Applicants Have Rights Under Federal Employment Laws**
 The University of South Florida is an equal opportunity employer that does not discriminate against any employee or applicant for employment based on any characteristic protected by law. The University maintains programs for protected veterans and individuals with disabilities in accordance with all applicable federal and state laws.
 Family and Medical Leave Act (FMLA)
 Applicants for USF employment are entitled to request reasonable accommodation(s) in the application process. A request is to be made at least five (5\) working days prior to the time the accommodation(s) is needed. Visit the Central Human Resources ADA Accommodations webpage for more information on requesting an accommodation during the application/interview process.
**Equal Employment Opportunity**
 The University of South Florida is an equal opportunity employer that does not discriminate against any employee or applicant for employment based on any characteristic protected by law. The University maintains affirmative action programs for protected veterans and individuals with disabilities in accordance with all applicable federal and state laws. This job description does not constitute an employment contract.
 Similar Jobs</t>
        </is>
      </c>
    </row>
    <row r="42">
      <c r="A42" t="inlineStr">
        <is>
          <t>li-4362803841</t>
        </is>
      </c>
      <c r="B42" t="inlineStr">
        <is>
          <t>Product Manager, Commerce Upgrade and Churn</t>
        </is>
      </c>
      <c r="C42" t="inlineStr">
        <is>
          <t>NBCUniversal</t>
        </is>
      </c>
      <c r="D42" t="inlineStr">
        <is>
          <t>linkedin</t>
        </is>
      </c>
      <c r="E42">
        <f>HYPERLINK("https://www.linkedin.com/jobs/view/4362803841", "https://www.linkedin.com/jobs/view/4362803841")</f>
        <v/>
      </c>
      <c r="F42" t="inlineStr"/>
      <c r="G42" t="inlineStr">
        <is>
          <t>New York, NY</t>
        </is>
      </c>
      <c r="H42" t="inlineStr"/>
      <c r="I42"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Our Media Group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**About NBC Universal and Peacock:**
 On the streaming team at NBC Universal, you’ll find more than a job. You’ll find a fast\-paced, high\-flying team of unique birds that want to be at the epicenter of technology, sports, news, tv, movies and more. Our team works hard to connect people to what they love, each other and the world around them by creating shared experiences through culture\-defining entertainment.
 We are seeking to forge the next frontier of streaming through creativity, teamwork, and talent. We are a large organization that collaborates effectively because speed is critical. We challenge ourselves and the industry by being customer\-centric, data\-driven creatures of innovation. And we do it all in a culture of respect. We embrace authenticity and inspire people to thrive. We recognize the power of difference and are committed to championing diversity and inclusivity for all.
 The Commerce Product team in specific oversees subscription management features for the company’s Media Group portfolio that includes Peacock in the United States as well as NOW, Sky Showtime, and Showmax in international markets. Combined, we serve more than 100 million users in 70 global markets. Our 100\+ person organization manages back\-end billing and payments systems as well as the front\-end journeys that enable them. It includes design, engineering, data, and product. The stakeholder groups outside of our team include strategic growth, marketing, viewing/content, customer care, and more.
**About the Role:**
 As a Product Manager on the Commerce “Upgrade and Churn” Product team, you will conceive, define, design, develop, test, and launch experiences that support business goals toward increasing subscription revenue and preventing voluntary churn. You will do this by creating upgrade journeys for users across web, mobile devices, and TV platforms that are transparent and elegant. To do this, you will work with engineering, data, partnerships, design, research, and more. As a Product Manager, you will be at the center of all of these teams, inspiring innovation, motivating best\-in\-class solutions, and driving alignment all along the way through execution.
**Reports to: Sr. Director, Product Management, Commerce Upgrade and Churn**
**Responsibilities:**
* Helping to develop a roadmap of impactful products, features, and optimizations that prioritize customer value, business growth, and strategic opportunities.
* Monitoring performance of core upgrade journeys, developing a deep knowledge of how existing flows technically work as well as behavioral patterns for how users move between subscription products.
* Collaborating with Design and Engineering teams to evaluate solution approaches, assess technical feasibility, and ensure alignment on building the most effective and fitting product outcomes.
* Identifying and leading new feature development initiatives to drive subscription profitability goals; being able to effectively communicate your ideas to different audiences and influence them to understand your vision.
* Active, ongoing experimentation on production experiences, continually a/b testing to fine\-tune our product journeys and learn.
* Working with Legal to understand compliance requirements and propose product solutions that meet the needs.
* Operational work related to pricing and copy edit updates across your owned surfaces.
* Effectively and consistently communicate your work and priorities to your manager, working peers, and stakeholders.
**Qualifications**
**Essential Skills \&amp; Attributes**
* You are an experienced product owner with a proven track record of end\-to\-end ownership and production of user\-facing journeys.
* You use experimentation tools, technologies, established best practices, and your own experience\-based methods.
* You can defend and vigorously pursue ideas based on quantitative and qualitative insights, acting in staunch support of what is best for the user.
* You identify the most impactful concepts and push them through a rigorous course of critical evaluation, execution, implementation, experimentation, and success.
* You feel most at home in a fast\-paced, iterative, and collaborative environment.
* You are a fast and eager learner willing to take on new challenges and explore ambiguous problems.
* You have strong communication skills, including the ability to quickly establish rapport with stakeholders and distill complex messages into simple language both verbally and in writing.
**Experience Requirements:**
* Minimum 3 years in product management, owning front\-end user journeys.
* Experience developing and shipping products for the web, mobile apps, smart TVs, connected TV devices – tvOS, Fire TV, Roku, etc.
* Expertise in product experimentation— design, analytics, A/B testing, user testing, and market research.
* Comfort working with team members across UX design, data, engineering, and stakeholder groups.
* Proficiency with tools such as Jira, Confluence, AirTable, Figma, Optimizely, and MS suite applications.
* A deep understanding and interest in the streaming industry, its major players, trends, and challenges.
 Hybrid: This position has been designated as hybrid, which currently requires contributing from the office a minimum of three days per week. Beginning January 5, 2026, hybrid employees will be required to work from the office a minimum of four days per week. The Company reserves the right to change in\-office requirements at any time.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$120,000 \- $160,000
 ***(bonus and long\-term incentive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43">
      <c r="A43" t="inlineStr">
        <is>
          <t>li-4362756391</t>
        </is>
      </c>
      <c r="B43" t="inlineStr">
        <is>
          <t>Product Manager, Intelligent Systems</t>
        </is>
      </c>
      <c r="C43" t="inlineStr">
        <is>
          <t>Textron GSE</t>
        </is>
      </c>
      <c r="D43" t="inlineStr">
        <is>
          <t>linkedin</t>
        </is>
      </c>
      <c r="E43">
        <f>HYPERLINK("https://www.linkedin.com/jobs/view/4362756391", "https://www.linkedin.com/jobs/view/4362756391")</f>
        <v/>
      </c>
      <c r="F43" t="inlineStr"/>
      <c r="G43" t="inlineStr">
        <is>
          <t>Augusta, GA</t>
        </is>
      </c>
      <c r="H43" t="inlineStr"/>
      <c r="I43" t="inlineStr">
        <is>
          <t>Product Manager, Intelligent Systems(
**Job Number**
 338841\)
**Description**
 Textron Specialized Vehicles Inc. is a leading global manufacturer of golf cars, utility and personal transportation vehicles, professional turf\-care equipment, and ground support equipment. Textron Specialized Vehicles markets products under several different brands. Its vehicles are found in environments ranging from golf courses to factories, airports to planned communities, and theme parks to hunting preserves.
**Responsibilities**
* Develop and communicate a clear roadmap for integrating intelligent systems such as AI\-driven technologies and autonomous features into Pace Technology’s fleet management platform.
* Lead development of intelligent features such as voice\-enabled assistance, predictive analytics, AI\-powered reporting, and conversational interfaces for golfers and operators.
* Oversee design and implementation of autonomous vehicle capabilities tailored for golf environments.
* Conduct in\-depth analysis of customer needs and emerging trends in AI, autonomy and connected vehicles, while developing a deep understanding of the customer experience to identify gaps and generate innovate ideas that grow market share and enhance fleet management.
* Collaborate with engineering, UX, data science, and operations teams to deliver innovative solutions that enhance golfer experience and course efficiency.
* Evaluate and manage partnerships with technology providers, software vendors, and cloud service platforms.
* Define KPIs for adoption, engagement, and operational efficiency, track and report on product success.
* Drive product launches by working with the marketing team, executives, and other product management team members.
* Act as a general manager for the product area, driving end\-to\-end results and profitability while developing pricing and positioning strategies and presenting new products to customers, prospects, peers, and leadership.
**Qualifications**
 Qualifications:
 Education: Bachelor’s degree in marketing, engineering, computer science or related field required.
 Years of Experience: 6 or more years’ experience required.
 Software Knowledge: Possess strong knowledge of AI/ML concepts, autonomous systems, IoT connectivity, and software\-defined vehicle architecture.
 EEO Statement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Recruiting Company: Textron Specialized Vehicles
 Primary Location
 : US\-Georgia\-Augusta
 Job Field
 : Information Technology
 Schedule
 : Full\-time
 Job Level
 : Individual Contributor
 Shift
 : First Shift
 Job Posting
 : 01/15/2026, 1:22:34 PM</t>
        </is>
      </c>
    </row>
    <row r="44">
      <c r="A44" t="inlineStr">
        <is>
          <t>li-4359128398</t>
        </is>
      </c>
      <c r="B44" t="inlineStr">
        <is>
          <t>Senior Product Manager, Apple Ads Privacy</t>
        </is>
      </c>
      <c r="C44" t="inlineStr">
        <is>
          <t>Apple</t>
        </is>
      </c>
      <c r="D44" t="inlineStr">
        <is>
          <t>linkedin</t>
        </is>
      </c>
      <c r="E44">
        <f>HYPERLINK("https://www.linkedin.com/jobs/view/4359128398", "https://www.linkedin.com/jobs/view/4359128398")</f>
        <v/>
      </c>
      <c r="F44">
        <f>HYPERLINK("https://jobs.apple.com/en-us/details/200627720&amp;urlHash=CcRw", "https://jobs.apple.com/en-us/details/200627720&amp;urlHash=CcRw")</f>
        <v/>
      </c>
      <c r="G44" t="inlineStr">
        <is>
          <t>Cupertino, CA</t>
        </is>
      </c>
      <c r="H44" t="inlineStr"/>
      <c r="I44" t="inlineStr">
        <is>
          <t>**Summary**
 At Apple, we focus deeply on our customers’ experience. Apple Ads brings this same approach to advertising, helping people find exactly what they’re looking for and helping advertisers grow their businesses.nnOur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everyone.nnShape the Future of Privacy\-Preserving Advertising at ApplennApple delivers great features and great privacy to our users. Apple Ads teams design and ship innovative features within our products to continue to strengthen privacy and deliver a great user experience. Changing user expectations, evolving regulations, and growing industry and public scrutiny are driving a fundamental shift—creating both challenges and opportunities for product innovation.nnAs a senior Product Leader, you will define strategy and drive privacy\-preserving ads innovation across capabilities such as on\-device decisioning and data use for Attribution, Measurement, and Targeting. In addition, you will align execution with business, advertiser, user, and regulatory goals. You will be responsible for defining and driving roadmap in close partnership with Ads engineering, privacy engineering, legal, data science and GTM teams. As a thought leader, you will also collaborate across Apple to shape and communicate vision, ensure alignment and drive impact. Your leadership will be instrumental in defining how we anticipate and respond to ecosystem shifts—driving outcomes that protect user and advertiser trust while sustaining platform growth.
**Description**
* Lead strategy and roadmap: Drive high\-impact initiatives at the intersection of privacy and advertising. Define product vision, develop execution plans, and partner with leadership to align solutions with evolving user, regulatory, and business expectations.nn\- Cross functional Leadership: Collaborate closely with Privacy, Engineering, Data Science and Legal teams and other teams across Apple to design and implement privacy\-preserving features.nn\- Own Product Development: Define and maintain roadmap, establish KPIs, set clear priorities, and drive execution across different Ads capabilities such as On\-device Marketplace, data use for Attribution, Measurement, and Targeting. nn\- Data Driven Decision Making: Use data to uncover insights, shape product opportunities, and evaluate impact.nn\- Drive Feature execution: Translate strategy into clear requirements and workflows. Partner with engineering to deliver solutions efficiently.nn\- Collaborate for Success: Partner closely with engineers and execute efficiently, while synthesizing insights from research, customer feedback, platform performance, and sales input to inform strategic priorities.nn\- Business Alignment: Work with cross\-functional partners to ensure roadmaps align with broader business goals and deliver great user experiences.
**Minimum Qualifications**
 8\+ years of technical product management experience, including deep expertise in privacy, ads and on\-device ML systems.nnProven ability to design and deliver privacy\-preserving solutions such as federated learning, differential privacy, or anonymization techniques (k\-anonymity, l\-diversity, ID de\-linking).nnFluent in data\-driven decision\-making, with strong SQL proficiency and experience interpreting large\-scale data to inform strategy.nnSkilled in cross\-functional leadership, able to influence without authority and drive impact across engineering, legal, and business teams.nnA strategic, purposeful thinker passionate about building products that respect users while enabling responsible business growth.nnOutstanding written and verbal communication skills. Ability to clearly articulate product vision, product strategy and requirements to engineers and internal business partners.nnAbility to build durable relationships, influence without authority, sell concepts internally, and actively drive decision\-making across organizations.nnSelf\-motivated, thrives in a fast\-paced environment with a high degree of ownership and accountability, and able to work efficiently to make continued progress on multiple priorities.nnBachelor’s degree in Computer Science, Electrical Engineering, Computer Engineering, or a related technical field.
**Preferred Qualifications**
 Past experience with design and implementation of privacy initiatives to deliver best\-in\-class privacy practices.nn Strong background in On\-device machine learning.
**Pay \&amp; Benefits**
 At Apple, base pay is one part of our total compensation package and is determined within a range. This provides the opportunity to progress as you grow and develop within a role. The base pay range for this role is between $212,000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5">
      <c r="A45" t="inlineStr">
        <is>
          <t>li-4357649340</t>
        </is>
      </c>
      <c r="B45" t="inlineStr">
        <is>
          <t>Technical Product Owner - AI Products</t>
        </is>
      </c>
      <c r="C45" t="inlineStr">
        <is>
          <t>EchoStar Corporation</t>
        </is>
      </c>
      <c r="D45" t="inlineStr">
        <is>
          <t>linkedin</t>
        </is>
      </c>
      <c r="E45">
        <f>HYPERLINK("https://www.linkedin.com/jobs/view/4357649340", "https://www.linkedin.com/jobs/view/4357649340")</f>
        <v/>
      </c>
      <c r="F45" t="inlineStr"/>
      <c r="G45" t="inlineStr">
        <is>
          <t>Denver, CO</t>
        </is>
      </c>
      <c r="H45" t="inlineStr"/>
      <c r="I45"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Technology teams challenge the status quo and reimagine capabilities across industries. Whether through research and development, technology innovation or solution engineering, our team members play a vital role in connecting consumers with the products and platforms of tomorrow.
**Job Duties And Responsibilities**
**Candidates must be willing to participate in at least one in\-person interview, which may include a live whiteboarding or technical assessment session.**
**Key Responsibilities**
* Define and communicate AI product vision, roadmap, and business requirements through close stakeholder collaboration with the AI Office
* Own and prioritize the product backlog based on value, goals, capacity, and ROI, emphasizing paired data scientist/engineer work
* Manage the AI initiative pipeline, balancing near\-term delivery with long\-term strategy and early production integration
* Write, decompose, and accept Epics as the primary unit of value; partner with the team to create high\-quality User Stories
* Drive delivery outcomes by monitoring product performance, using data insights to improve deployment speed, maintainability, and quality
* Manage stakeholder expectations and budgets by balancing priorities with feasibility, advocating collaborative development to maximize value
**Skills, Experience And Requirements**
**Education and Experience:**
* Bachelor’s degree in computer science, Information Systems, or a related field
* Advanced degree (Master’s or higher) in computer science, Information Systems, or a related field preferred
* 4\+ years in product management, focusing on data\-driven/AI/ML solutions, ideally in agile
* 3\+ years of industry experience building machine learning and deep learning based software applications
* Certification in agile methodologies such as Certified Scrum Product Owner (CSPO) preferred
**Skills And Qualifications**
* Strong understanding of agile/scrum, including paired programming principles
* Proven ability to manage stakeholders and communicate effectively with technical and business teams
* Experience managing product backlogs and delivering value via prioritized, paired development
* Ability to make data\-driven decisions and analyze performance metrics, including code quality/deployment efficiency
* Experience with cloud stack (AWS, GCP or Azure)
* Experience with AI/ML, Generative AI and Agentic AI awareness
 Visa sponsorship not available for this role
**Salary Ranges**
 Compensation: $83,160\.00/Year \- $118,800\.00/Year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46">
      <c r="A46" t="inlineStr">
        <is>
          <t>li-4353500798</t>
        </is>
      </c>
      <c r="B46" t="inlineStr">
        <is>
          <t>Senior Product Owner</t>
        </is>
      </c>
      <c r="C46" t="inlineStr">
        <is>
          <t>Rose International</t>
        </is>
      </c>
      <c r="D46" t="inlineStr">
        <is>
          <t>linkedin</t>
        </is>
      </c>
      <c r="E46">
        <f>HYPERLINK("https://www.linkedin.com/jobs/view/4353500798", "https://www.linkedin.com/jobs/view/4353500798")</f>
        <v/>
      </c>
      <c r="F46">
        <f>HYPERLINK("https://www.roseint.com/Jobs/Senior-Product-Manager-TX-Dallas-Rose-International-Job-495649.html?RD=L&amp;urlHash=mUg_", "https://www.roseint.com/Jobs/Senior-Product-Manager-TX-Dallas-Rose-International-Job-495649.html?RD=L&amp;urlHash=mUg_")</f>
        <v/>
      </c>
      <c r="G46" t="inlineStr">
        <is>
          <t>Dallas, TX</t>
        </is>
      </c>
      <c r="H46" t="inlineStr"/>
      <c r="I46" t="inlineStr">
        <is>
          <t>Date Posted: 01/15/2026
 Hiring Organization: Rose International
 Position Number: 495649
 Industry: Telecommunications
 Job Title: Senior Product Owner
 Job Location: Dallas, TX, USA, 75202
 Work Model: Onsite
 Shift: Standard business hours.
 Employment Type: Temporary
 FT/PT: Full\-Time
 Estimated Duration (In months): 13
 Min Hourly Rate($): 65\.00
 Max Hourly Rate($): 72\.00
 Must Have Skills/Attributes: Product Development, Product Owner, SDLC
 Experience Desired: Product Owner/Technical Product Manager in B2C digital/e\-commerce front\-end experience (5\+ yrs); Experience as software engineer, working through SDLC (8\+ yrs); Experience working with UX teams (8\+ yrs); Strong understanding of VOC, Data insights and biased for action (8\+ yrs)
 Preferred Education: Bachelor’s Degree
**Job Description**
 \*\*\*Only qualified Technical Scrum Product Owner candidates located near Dallas, TX, will be considered due to the position requiring an onsite presence. \*\*\*
**Required Skills, Abilities, \&amp; Experience**
* A Technical Scrum Product Manager with B2C digital/e\-commerce front\-end experience is required
* Strong partnership and influence with UX teams is required.
* Expertise in the middle and lower acquisition funnel
* Strong understanding of VOC, Data insights, and bias for action
* Excellent storyteller, expert in understanding customer value “WHY” and coming up with “WHAT” \&amp; partnering on “HOW” and “WHEN”
* Experience as a software engineer, working through SDLC.
* At least 5 years of experience as a Product Owner, and an engineering background is preferred.
**Role**
 Seeking a Technical Product Manager with Digital front\-end experience to help transform the web acquisition experience for the Client
**Responsibilities**
* This role serves as the voice of the customer, partnering with UX teams to ensure a consistent, high\-quality user experience throughout the product lifecycle \&amp; working with the scrum team and Guide product development by defining and communicating detailed software product requirements, user stories, and acceptance criteria.
* This person typically partners with cross\-functional teams through functional requirements gathering, implementation and validation through to initial launch or lifecycle of a service, Defines functional and nonfunctional requirements for the scrum team to execute on, Manages product development including product requirements gathering and definition, project planning, project management, budgeting, financial acumen, test design and execution, long term tactical roadmap and release management and planning and is always aligned with peer PM’s and other stakeholders.
**Benefits**
 For information and details on employment benefits offered with this position, please visit here. Should you have any questions/concerns, please contact our HR Department via our secure website.
**California Pay Equity**
 For information and details on pay equity laws in California, please visit the State of California Department of Industrial Relations' website here.
**Rose International is an Equal Opportunity Employer. All qualified applicants will receive consideration for employment without regard to race, color, religion, age, sex, sexual orientation, gender (expression or identity), national origin, arrest and conviction records, disability, veteran status or any other characteristic protected by law. Positions located in San Francisco and Los Angeles, California will be administered in accordance with their respective Fair Chance Ordinances.**
**If you need assistance in completing this application, or during any phase of the application, interview, hiring, or employment process, whether due to a disability or otherwise, please contact our HR Department.**
**Rose International has an official agreement (ID \#132522\), effective June 30, 2008, with the U.S. Department of Homeland Security, U.S. Citizenship and Immigration Services, Employment Verification Program (E\-Verify). (Posting required by OCGA 13/10\-91\.).**</t>
        </is>
      </c>
    </row>
    <row r="47">
      <c r="A47" t="inlineStr">
        <is>
          <t>li-4359058542</t>
        </is>
      </c>
      <c r="B47" t="inlineStr">
        <is>
          <t>Product Manager - Recruiting Technology</t>
        </is>
      </c>
      <c r="C47" t="inlineStr">
        <is>
          <t>Apple</t>
        </is>
      </c>
      <c r="D47" t="inlineStr">
        <is>
          <t>linkedin</t>
        </is>
      </c>
      <c r="E47">
        <f>HYPERLINK("https://www.linkedin.com/jobs/view/4359058542", "https://www.linkedin.com/jobs/view/4359058542")</f>
        <v/>
      </c>
      <c r="F47">
        <f>HYPERLINK("https://jobs.apple.com/en-us/details/200619906&amp;urlHash=6rwq", "https://jobs.apple.com/en-us/details/200619906&amp;urlHash=6rwq")</f>
        <v/>
      </c>
      <c r="G47" t="inlineStr">
        <is>
          <t>Austin, TX</t>
        </is>
      </c>
      <c r="H47" t="inlineStr"/>
      <c r="I47" t="inlineStr">
        <is>
          <t>**Summary**
 At Apple, we believe our most important resource—our soul—is our people. We’re looking for a passionate Product Manager to help shape the future of the technology that brings extraordinary people to Apple. This role will partner with business and engineering teams to design, build, and continuously improve tools that power how we attract, evaluate, and hire talent.
**Description**
 The ideal candidate brings a mix of product management expertise, recruiting technology domain knowledge, and strong cross\-functional collaboration skills. You’ll work at the intersection of product strategy, engineering, recruiting operations, and compliance to deliver scalable, user\-friendly solutions.
**Minimum Qualifications**
 5\+ years of HR technology product management experience, including hands\-on delivery with engineering teams.nExperience in an in\-house recruiting product or process role designing and implementing cross\-system recruiting processes from design through delivery, including ongoing support and continuous improvement.nStrong ability to analyze and manage cross\-functional dependencies (business, technical and legal/regulatory).nTrack record of driving clarity in ambiguous situations and enabling quick, informed tradeoff decisions.nDemonstrated ability to influence without authority, build consensus, and drive decisions across diverse teams and leadership levels.nSkilled at listening to stakeholders and translating requests into solutions that solve the underlying business problems.nExcellent communication and presentation skills with varied stakeholders (executives, recruiters, hiring managers, engineering, operations, legal, privacy, etc.).n
**Preferred Qualifications**
 A self\-starter with a deep sense of user empathy and an innate drive to solve complex problems and craft extraordinary user experiences.nFamiliarity with recruiting compliance requirements and the creativity to solution within regulatory boundaries.
**Pay \&amp; Benefits**
 At Apple, base pay is one part of our total compensation package and is determined within a range. This provides the opportunity to progress as you grow and develop within a role. The base pay range for this role is between $175,300 and $263,900,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8">
      <c r="A48" t="inlineStr">
        <is>
          <t>li-4357668549</t>
        </is>
      </c>
      <c r="B48" t="inlineStr">
        <is>
          <t>Clinical Product Manager - Health</t>
        </is>
      </c>
      <c r="C48" t="inlineStr">
        <is>
          <t>Apple</t>
        </is>
      </c>
      <c r="D48" t="inlineStr">
        <is>
          <t>linkedin</t>
        </is>
      </c>
      <c r="E48">
        <f>HYPERLINK("https://www.linkedin.com/jobs/view/4357668549", "https://www.linkedin.com/jobs/view/4357668549")</f>
        <v/>
      </c>
      <c r="F48" t="inlineStr"/>
      <c r="G48" t="inlineStr">
        <is>
          <t>California, United States</t>
        </is>
      </c>
      <c r="H48" t="inlineStr"/>
      <c r="I48" t="inlineStr">
        <is>
          <t>**Summary**
 Our ever\-evolving suite of health and wellness products are helping our users live more active, healthier lives. Be ready to make something great when you come here. Dynamic, inspiring people and innovative, industry\-defining technologies are the norm at Apple. The people who work here have reinvented and defined entire industries with our products and services. The same dedication to innovation also applies to our approach to health \- strengthening our commitment to leave the world better than we found it.nnAs part of the Clinical Products team, Apple is looking for a Clinical Product Manager to serve as a strategic leader — guiding the end\-to\-end development of health products, in partnership with key cross\-functional partners across Apple.
**Description**
 The ideal candidate has shown success in leading the development of excellent digital consumer features that leverage innovative technologies, and demonstrates an avid dedication for driving positive change to health care. In this role, you will:
**Minimum Qualifications**
 Bachelor’s degree, preferably in engineering, science, business or equivalent fieldn10\+ years of experience building digital consumer products, with at least 5 years of experience in Product ManagementnConsistent track record of defining successful feature concepts and driving product development from concept to launchnA keen eye for building user experiences that are delightful while delivering impactnTakes initiative, exhibits a high level of accountability, and makes sound decisions under uncertainty nStellar interpersonal skills, with the ability to influence and build consensus at all levelsnA polished communicator with strong executive presencenExcellent prioritization and time management skills, with the willingness and ability to flex between strategic thinking and tactical execution throughout the day
**Preferred Qualifications**
 12\+ years of product development experience in the health care space, preferably in regulated medical devices and/or digital health productsn2\+ years serving as the lead Product Manager in a multi\-PM organizationnFamiliarity with machine learning, algorithm development, and the application of generative AI in product experiencesnExperience collaborating with hardware teams to define or refine sensing technologies
**Pay \&amp; Benefits**
 At Apple, base pay is one part of our total compensation package and is determined within a range. This provides the opportunity to progress as you grow and develop within a role. The base pay range for this role is between $203,300 and $305,600,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9">
      <c r="A49" t="inlineStr">
        <is>
          <t>li-4362921892</t>
        </is>
      </c>
      <c r="B49" t="inlineStr">
        <is>
          <t>Senior Technical Product Manager</t>
        </is>
      </c>
      <c r="C49" t="inlineStr">
        <is>
          <t>Warner Bros. Games</t>
        </is>
      </c>
      <c r="D49" t="inlineStr">
        <is>
          <t>linkedin</t>
        </is>
      </c>
      <c r="E49">
        <f>HYPERLINK("https://www.linkedin.com/jobs/view/4362921892", "https://www.linkedin.com/jobs/view/4362921892")</f>
        <v/>
      </c>
      <c r="F49" t="inlineStr"/>
      <c r="G49" t="inlineStr">
        <is>
          <t>Needham, MA</t>
        </is>
      </c>
      <c r="H49" t="inlineStr"/>
      <c r="I49"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WB Games is a leader in the games industry across all game platforms and mobile devices. Our diverse and inclusive workforce creates and brings to life the most beloved characters, franchises, heroes, and wizards in the world. We are fans of what we make and proud of what we do. We have studios and offices across the globe.
**Your New Role** 
 WB Games is looking for a Senior Technical Product Manager to join their Analytics team. This role will lead the vision, development, and adoption of analytics solutions that empower marketing teams to make data\-driven decisions for game launches, live operations, and player engagement. The Senior Technical Product Manager will own the roadmap for marketing measurement products and champion data\-driven strategies across the organization.
**Your Role Responsibilities** 
* Define and execute the product strategy for marketing measurement and analytics solutions, including dashboards, attribution models, player segmentation, and media mix modeling (MMM) tailored for gaming.
* Lead go\-to\-market planning and product launches for new measurement tools and features.
* Translate marketing needs into actionable plans for development teams to build scalable data\-driven solutions.
* Work with analysts to onboard new data sets and unlock insights into player behavior, campaign performance, and monetization.
* Conduct market and competitive analysis to identify trends, opportunities, and threats in the gaming ad ecosystem.
* Act as a thought leader and serve as a sought\-after resource for data strategy, experiment planning, campaign execution, and measurement. Advise marketing teams on interpreting data, applying statistical models, and optimizing campaigns for user acquisition, retention, and engagement.
* Centralize and disseminate insights to enable broader understanding and historical benchmarking of marketing effectiveness.
* Track and report on key performance indicators (KPIs), providing regular updates to senior leadership on campaign ROI and player engagement.
**Qualifications \&amp; Experience** 
* 10\+ years in product management, business intelligence, or analytics within gaming or a closely related industry.
* Deep expertise in marketing measurement, attribution, and performance optimization for games.
* Strong background in data analysis, statistical modeling, and marketing science.
* Experience collaborating with cross\-functional teams (engineering, analytics, marketing, game development).
* Excellent communication skills; able to bridge business and technical teams.
* Proven ability to deliver innovative solutions and drive adoption across teams.
* Experience with modern data stacks and BI tools is a plus.
* Bachelor’s degree in marketing, business, computer science, or related field; Master’s preferred.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$106,400\.00 \- $197,600\.00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50">
      <c r="A50" t="inlineStr">
        <is>
          <t>li-4362469570</t>
        </is>
      </c>
      <c r="B50" t="inlineStr">
        <is>
          <t>Lead Product Owner (VCO)</t>
        </is>
      </c>
      <c r="C50" t="inlineStr">
        <is>
          <t>Marathon Petroleum Corporation</t>
        </is>
      </c>
      <c r="D50" t="inlineStr">
        <is>
          <t>linkedin</t>
        </is>
      </c>
      <c r="E50">
        <f>HYPERLINK("https://www.linkedin.com/jobs/view/4362469570", "https://www.linkedin.com/jobs/view/4362469570")</f>
        <v/>
      </c>
      <c r="F50" t="inlineStr"/>
      <c r="G50" t="inlineStr"/>
      <c r="H50" t="inlineStr"/>
      <c r="I50" t="inlineStr">
        <is>
          <t>**An exciting career awaits you**
 At MPC, we’re committed to being a great place to work – one that welcomes new ideas, encourages diverse perspectives, develops our people, and fosters a collaborative team environment.
 Position Summary
 The Refining Value Chain Optimization (VCO) Lead Product Owner works closely with business analysts, developers, product managers, operations subject matter experts, third\-party integrators and other stakeholders to drive best\-in\-class operations and value chain performance across MPC’s refining locations. Manages lifecycle of internally developed and commercial software, including tooling, definition, design, planning, development, prototyping and testing. Acts as a liaison between IT and business leaders to develop a product roadmap. Applies design thinking techniques (e.g. user stories, prototyping) to define product features. Maintains the VCO team’s backlog and directs work to ensure a robust, sustainable and supported portfolio of applications across the enterprise. Will work with internal and external partners to select and customize technology products and/or services.
 Key Responsibilities
* Responsible for continuous delivery of value to the customer through compelling and empowering customer experiences, accountable for a complex/ critical product, or multiple related products (within a product family/portfolio).
* Has accountability for leading the development of product roadmaps, prioritizing feature releases, and aligning them with business objectives. Drives cross\-functional collaboration to gather insights, prioritize initiatives, and plan releases effectively.
* Collaborates closely with Agile teams, stakeholders, and business representatives to proactively identify and address challenges that arise during product development, ensuring successful execution of the product strategy.
* Engages senior cross\-functional leaders and proactively addresses and resolves issues, fostering effective communication, and promoting alignment between business and operations teams, UX design, product, engineering, analytics, and customer support teams.
* Organizes stakeholder priorities and works with teams in order to align needs with resources ensuring cadence with customer value, business value, and strategic fit. Consults with the team during planning and grooming sessions and signs off on solutions.
* Prioritizes product backlog, processes, and release plan (for multiple features for a complex or higher profile product) and plans the coordination of interdependencies with scrum team, across other lines of business.
* Works with other teams, ensures team is aligned around similar goals and objectives / cross\-team prioritization. Carries out ongoing analysis of product capability themes in order to support product direction.
* Delivers product innovation, definition, deliverables planning (roadmap), and design of entirely new products to deliver against team and company goals.
* Interprets and communicates product development builds on cross\-departmental knowledge and puts the customer at the heart of all product changes.
* Identifies common client pain points and opportunities and defines right solutions to address; captures stakeholder concerns and implements refinements; serves as the voice of the client, bringing that perspective back to internal stakeholders; serves as an Agile product develop champion across department and/or company.
 Education and Experience
* Bachelor’s Degree in Information Systems or equivalent work experience.
* Product Owner certification required; Product Management certification preferred.
* Previous refining or industry experience preferred.
* Previous experience leading projects as a member of an enterprise Program preferred.
* Previous experience leading large scale vendor engagements, including RFI/RFP selection preferred.
* 7\+ years of relevant product owner experience required.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7\+ years of relevant experience
 As an energy industry leader, our career opportunities fuel personal and professional growth.
 Location:
 Findlay, Ohio
 Job Requisition ID:
 00020035
 Pay Min/Max:
 $119,900\.00 \- $179,800\.00 Salary
 Grade:
 12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51">
      <c r="A51" t="inlineStr">
        <is>
          <t>li-4362726822</t>
        </is>
      </c>
      <c r="B51" t="inlineStr">
        <is>
          <t>Lead Product Owner (VCO)</t>
        </is>
      </c>
      <c r="C51" t="inlineStr">
        <is>
          <t>Marathon Petroleum Corporation</t>
        </is>
      </c>
      <c r="D51" t="inlineStr">
        <is>
          <t>linkedin</t>
        </is>
      </c>
      <c r="E51">
        <f>HYPERLINK("https://www.linkedin.com/jobs/view/4362726822", "https://www.linkedin.com/jobs/view/4362726822")</f>
        <v/>
      </c>
      <c r="F51" t="inlineStr"/>
      <c r="G51" t="inlineStr">
        <is>
          <t>Mandan, ND</t>
        </is>
      </c>
      <c r="H51" t="inlineStr"/>
      <c r="I51" t="inlineStr">
        <is>
          <t>**An exciting career awaits you**
 At MPC, we’re committed to being a great place to work – one that welcomes new ideas, encourages diverse perspectives, develops our people, and fosters a collaborative team environment.
 Position Summary
 The Refining Value Chain Optimization (VCO) Lead Product Owner works closely with business analysts, developers, product managers, operations subject matter experts, third\-party integrators and other stakeholders to drive best\-in\-class operations and value chain performance across MPC’s refining locations. Manages lifecycle of internally developed and commercial software, including tooling, definition, design, planning, development, prototyping and testing. Acts as a liaison between IT and business leaders to develop a product roadmap. Applies design thinking techniques (e.g. user stories, prototyping) to define product features. Maintains the VCO team’s backlog and directs work to ensure a robust, sustainable and supported portfolio of applications across the enterprise. Will work with internal and external partners to select and customize technology products and/or services.
 Key Responsibilities
* Responsible for continuous delivery of value to the customer through compelling and empowering customer experiences, accountable for a complex/ critical product, or multiple related products (within a product family/portfolio).
* Has accountability for leading the development of product roadmaps, prioritizing feature releases, and aligning them with business objectives. Drives cross\-functional collaboration to gather insights, prioritize initiatives, and plan releases effectively.
* Collaborates closely with Agile teams, stakeholders, and business representatives to proactively identify and address challenges that arise during product development, ensuring successful execution of the product strategy.
* Engages senior cross\-functional leaders and proactively addresses and resolves issues, fostering effective communication, and promoting alignment between business and operations teams, UX design, product, engineering, analytics, and customer support teams.
* Organizes stakeholder priorities and works with teams in order to align needs with resources ensuring cadence with customer value, business value, and strategic fit. Consults with the team during planning and grooming sessions and signs off on solutions.
* Prioritizes product backlog, processes, and release plan (for multiple features for a complex or higher profile product) and plans the coordination of interdependencies with scrum team, across other lines of business.
* Works with other teams, ensures team is aligned around similar goals and objectives / cross\-team prioritization. Carries out ongoing analysis of product capability themes in order to support product direction.
* Delivers product innovation, definition, deliverables planning (roadmap), and design of entirely new products to deliver against team and company goals.
* Interprets and communicates product development builds on cross\-departmental knowledge and puts the customer at the heart of all product changes.
* Identifies common client pain points and opportunities and defines right solutions to address; captures stakeholder concerns and implements refinements; serves as the voice of the client, bringing that perspective back to internal stakeholders; serves as an Agile product develop champion across department and/or company.
 Education and Experience
* Bachelor’s Degree in Information Systems or equivalent work experience.
* Product Owner certification required; Product Management certification preferred.
* Previous refining or industry experience preferred.
* Previous experience leading projects as a member of an enterprise Program preferred.
* Previous experience leading large scale vendor engagements, including RFI/RFP selection preferred.
* 7\+ years of relevant product owner experience required.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7\+ years of relevant experience
 As an energy industry leader, our career opportunities fuel personal and professional growth.
 Location:
 Findlay, Ohio
 Job Requisition ID:
 00020035
 Pay Min/Max:
 $119,900\.00 \- $179,800\.00 Salary
 Grade:
 12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52">
      <c r="A52" t="inlineStr">
        <is>
          <t>li-4330601007</t>
        </is>
      </c>
      <c r="B52" t="inlineStr">
        <is>
          <t>Senior Product Owner, Business Intelligence Center</t>
        </is>
      </c>
      <c r="C52" t="inlineStr">
        <is>
          <t>Confidential</t>
        </is>
      </c>
      <c r="D52" t="inlineStr">
        <is>
          <t>linkedin</t>
        </is>
      </c>
      <c r="E52">
        <f>HYPERLINK("https://www.linkedin.com/jobs/view/4330601007", "https://www.linkedin.com/jobs/view/4330601007")</f>
        <v/>
      </c>
      <c r="F52" t="inlineStr"/>
      <c r="G52" t="inlineStr">
        <is>
          <t>Houston, TX</t>
        </is>
      </c>
      <c r="H52" t="inlineStr"/>
      <c r="I52" t="inlineStr">
        <is>
          <t>**Position Overview** 
 The
 **Senior Product Owner, Business Intelligence Center** 
 will be responsible for driving the development and continuous improvement of our business intelligence (BI) products and platforms. This individual will work closely with stakeholders across IT, data science, analytics, and business teams to define and prioritize product features that deliver actionable insights and enable data\-driven decision\-making. You will manage the full product lifecycle from concept to delivery, ensuring that BI solutions meet business objectives and add significant value to the organization.
**Key Responsibilities** 
* **Product Strategy \&amp; Vision**
* Define and execute the product strategy for BI tools, reporting solutions, and analytics platforms in line with company goals.
* Act as the primary liaison between business stakeholders and the BI development team, ensuring alignment with business needs and objectives.
* Champion the BI product roadmap, maintaining a clear vision of short\-term and long\-term initiatives.
* **Stakeholder Engagement \&amp; Requirements Gathering**
* Work closely with business leaders, data scientists, and IT teams to understand requirements and pain points.
* Translate complex business requirements into detailed user stories, acceptance criteria, and technical specifications for BI solutions.
* Prioritize features and enhancements based on business value, feasibility, and impact.
* **Product Development \&amp; Delivery**
* Lead cross\-functional teams in the development and delivery of BI products, including data dashboards, reporting tools, and predictive analytics solutions.
* Collaborate with data engineers and BI developers to design and implement scalable, robust, and user\-friendly BI platforms.
* Oversee the full product lifecycle, from ideation and design to implementation and continuous optimization.
* **Performance \&amp; Continuous Improvement**
* Monitor product performance and user adoption to identify areas for improvement and refinement.
* Actively seek user feedback and perform regular evaluations to ensure BI solutions meet business needs and deliver optimal value.
* Develop and maintain product KPIs to assess the success of BI initiatives and their impact on the business.
* **Team Leadership \&amp; Mentorship**
* Provide guidance and leadership to junior product owners and team members within the BI domain.
* Foster a collaborative and innovative work environment, promoting knowledge sharing and best practices.
**Qualifications** 
* **Education** 
 :
* Bachelor’s degree in Computer Science, Data Science, Business Administration, or a related field. A Master’s degree is a plus.
* **Experience** 
 :
* 5\+ years of experience as a Product Owner or Product Manager, preferably in the Business Intelligence, Analytics, or Data domains.
* Proven track record of successfully managing BI tools, dashboards, and reporting platforms.
* Experience with BI platforms such as Power BI, Tableau, Qlik, or similar.
* Strong background in data management, data governance, and business analytics.
* **Skills** 
 :
* Excellent communication and stakeholder management skills, with the ability to translate complex technical concepts into business\-friendly language.
* Strong analytical mindset, with the ability to make data\-driven decisions and prioritize product features based on business value.
* Expertise in Agile/Scrum methodologies and experience working in cross\-functional teams.
* Understanding of data architecture, data modeling, and data visualization principles.
* Knowledge of SQL, data warehousing, and ETL processes is a plus.
* **Attributes** 
 :
* Strategic thinker with a focus on delivering high\-impact business solutions.
* Proactive, results\-oriented, and able to thrive in a fast\-paced environment.
* Excellent problem\-solving skills and attention to detail.
* Ability to build strong relationships with both technical and non\-technical stakeholders.
**What We Offer** 
* Competitive salary and benefits package
* Opportunities for career advancement and professional development
* A collaborative, fast\-paced, and innovative work environment
* The chance to work with cutting\-edge BI technologies and shape the future of data analytics in a global distribution company</t>
        </is>
      </c>
    </row>
    <row r="53">
      <c r="A53" t="inlineStr">
        <is>
          <t>li-4359171482</t>
        </is>
      </c>
      <c r="B53" t="inlineStr">
        <is>
          <t>Operations Product Development - Product Manager</t>
        </is>
      </c>
      <c r="C53" t="inlineStr">
        <is>
          <t>Apple</t>
        </is>
      </c>
      <c r="D53" t="inlineStr">
        <is>
          <t>linkedin</t>
        </is>
      </c>
      <c r="E53">
        <f>HYPERLINK("https://www.linkedin.com/jobs/view/4359171482", "https://www.linkedin.com/jobs/view/4359171482")</f>
        <v/>
      </c>
      <c r="F53">
        <f>HYPERLINK("https://jobs.apple.com/en-us/details/200635351&amp;urlHash=GnTP", "https://jobs.apple.com/en-us/details/200635351&amp;urlHash=GnTP")</f>
        <v/>
      </c>
      <c r="G53" t="inlineStr">
        <is>
          <t>Cupertino, CA</t>
        </is>
      </c>
      <c r="H53" t="inlineStr"/>
      <c r="I53" t="inlineStr">
        <is>
          <t>**Summary**
 Imagine what you could do here. At Apple, great ideas have a way of becoming great products, services, and customer experiences very quickly. Work at the forefront of innovation and bring new products and services to life.
**Description**
 As an Operations Product Development (OPD) Product Manager you will engage with the Apple Engineering, Product Design, Operations, Procurement, Marketing, and Planning teams to shape product and roadmap definition as an advocate for cost u0026 supply chain, while enabling feature\-rich, best\-in\-class hardware products. nnIn this role you will help guide the Operations/Procurement teams to influence upcoming product features u0026 roadmaps, identify and address gaps to success, and serve as a “one stop shop” to advise the broader organization on all things cost and supply chain.nnThis position requires very strong interpersonal and relationship building skills with the ability to effectively influence peers and management, as well as a solid understanding of consumer electronics architecture, supply chains, and manufacturing cost structures. Ideal candidates will have a natural curiosity about how things work and why.
**Minimum Qualifications**
 7\+ years of relevant experience in Operations, Manufacturing, Sourcing, Supply Chain or related areanBS/BA in Engineering, Business, Supply Chain or a related field
**Preferred Qualifications**
 Exceptional interpersonal u0026 communication skillsnSelf\-starter with strong sense of ownershipnAbility to resolve ambiguity through a creative yet data\-centric approach to program management/decision makingnStrong analytical skills and ability to maintain attention to detail within big picture thinkingnExperience managing multiple projects with competing priorities
**Pay \&amp; Benefits**
 At Apple, base pay is one part of our total compensation package and is determined within a range. This provides the opportunity to progress as you grow and develop within a role. The base pay range for this role is between $157,200 and $236,700,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54">
      <c r="A54" t="inlineStr">
        <is>
          <t>li-4357698988</t>
        </is>
      </c>
      <c r="B54" t="inlineStr">
        <is>
          <t>Staff Product Manager, Health &amp; Education</t>
        </is>
      </c>
      <c r="C54" t="inlineStr">
        <is>
          <t>Babylist</t>
        </is>
      </c>
      <c r="D54" t="inlineStr">
        <is>
          <t>linkedin</t>
        </is>
      </c>
      <c r="E54">
        <f>HYPERLINK("https://www.linkedin.com/jobs/view/4357698988", "https://www.linkedin.com/jobs/view/4357698988")</f>
        <v/>
      </c>
      <c r="F54" t="inlineStr"/>
      <c r="G54" t="inlineStr"/>
      <c r="H54" t="inlineStr"/>
      <c r="I54" t="inlineStr">
        <is>
          <t>**Who We Are** 
 Babylist is the leading registry, e\-commerce, and content platform for growing families. More than 9 million people shop with Babylist every year, making it the go\-to destination for seamless purchasing, trusted guidance, and expert product recommendations for new parents and the people who love them. What began as a universal registry has grown into a full ecosystem for new parents, including the Babylist Shop, Babylist Health, and a flagship showroom in Los Angeles. Hundreds of brands in baby and beyond partner with Babylist to engage meaningfully with families during one of life’s most important transitions. With over $1 billion in annual GMV, and more than $500 million in 2024 revenue, Babylist is reshaping the $320 billion baby product industry. We’re helping parents feel confident, connected, and cared for at every step. As we build the generational brand in baby, our mission remains simple: to connect growing families with everything they need to thrive.To learn more, visit
 www.babylist.com
 .
**Our Ways of Working** 
 Babylist thrives as a remote\-first company, with HQ team members located across the U.S. and Canada. We meet in person twice a year—once as a company and once by department to strengthen the relationships that power our work. We show up consistently, stay purpose\-driven, leverage AI to amplify our impact, and achieve results—together, from anywhere.
**What the Role Is** 
 As the Staff Product Manager, Health \&amp; Education, you’ll lead the end\-to\-end experience of how Babylist provides guidance to users and how users discover and access valuable offerings including breast pumps, webinars, and 1\-1 consultations. You will drive adoption of the rapidly growing Babylist Health business, while also leading the transformation of our in\-app guidance from long\-form written guides to more dynamic, multi\-modal, video\-forward content.
 You’ll own a highly cross\-functional space that spans product, content, and education. That means shaping how your products are introduced during registry setup, integrating offerings seamlessly into the broader registry experience, and growing revenue from these important strategic programs. You’ll work closely with the General Manager of Babylist Health, the VP of Brand \&amp; Media, and the Director of Programming to grow their businesses and bring new ideas to life.
 This role requires a unique blend of consumer product thinking, entrepreneurial energy, and content strategy. You’ll translate user needs into digital experiences, lead ambiguous zero\-to\-one product discovery, and design experiments that improve both conversion and user value. We are looking for someone who has shipped consumer\-facing products at content\-forward companies and knows what it takes to build delightful, measurable experiences from scratch. You work will also necessitate driving transformation of an engrained and established function at Babylist, experience leading through organizational and operational change will be valued.
**Who You Are** 
* 8\+ years of product management experience, with a proven track record building consumer\-facing products (B2C) that deliver measurable business and user impact
* Deep experience with content\-forward platforms—you've partnered with editorial, design, and engineering to ship educational, interactive, or video\-first features
* Experience in a highly regulated field and/or familiarity with HIPAA compliance a plus
* Strong cross\-functional collaborator who has worked closely with Engineering, Design, Operations, and Content teams in past roles
* Skilled at both zero\-to\-one and one\-to\-scale product development. Able to shape a vision, define MVPs, and make fast, insight\-driven decisions in highly ambiguous environments. And also able to double down on successful products to drive growth.
* Excels in fast\-moving, high\-ownership environments, especially where not all roles or resourcing are in place from day one
* Thrives in scale\-up environments where processes are still being built and speed matters
* You're comfortable and enthusiastic about working in an AI\-forward environment where AI tools are part of daily operations. You embrace technology to enhance your work while keeping people at the center.
**How You Will Make An Impact** 
* Own the Babylist Health pre\-purchase experience, ensuring the health journey is deeply integrated into the registry and product discovery flow
* Increase health attach rates by improving how and when users engage with medical products like breast pumps or lactation consulting
* Rethink the Guides experience helping Babylist transform its content into a more modern and dynamic experience
* Lead product experiences for educational programming including webinars and podcasts related to registry creation and health, create thoughtful app tie\-ins to content experiences
* Collaborate closely with cross\-functional partners across Engineering, Design, Health Ops, Support, and Content to launch impactful features
* Champion the user experience, ensuring that everything we build serves real family needs, especially around lactation, birth, and postpartum education
**Why You Will Love Working At Babylist** 
**Our Culture** 
* We work with focus and intention, then step away to recharge
* We believe in exceptional management and invest in tools and opportunities to connect with colleagues
* We build products that positively impact millions of people's lives
* AI is intentionally embedded in how we work, create, and scale—supporting innovation and impact
**Growth \&amp; Development** 
* Competitive pay and meaningful opportunities for career advancement
* We believe technology and data can solve hard problems
* We're committed to career progression and performance\-based advancement
**Compensation \&amp; Benefits** 
* Competitive salary with equity and bonus opportunities
* Company\-paid medical, dental, and vision insurance
* Retirement savings plan with company matching and flexible spending accounts
* Generous paid parental leave and PTO
* Remote work stipend to set up your office
* Perks for physical, mental, and emotional health, parenting, childcare, and financial planning
**About Compensation** 
 We use a market\-based approach to compensation. The starting salary range for this role is:
**US: $192,352 to $230,740 USD** 
 Your starting salary will be based on your location, experience, and qualifications, with increases over time tied to performance, role growth, and internal pay equity.
**Important Notices** 
**Interview Process \&amp; Consent** 
 Babylist uses AI to record and transcribe all interviews for evaluation purposes in accordance with CCPA and GDPR. By participating in an interview, you consent to this recording and transcription.
**Interview Integrity** 
 During the interview process, we're evaluating your individual problem\-solving skills, creativity, and approach to challenges. While AI tools like ChatGPT, Claude, and Cursor are part of your daily toolkit once you join Babylist, all interviews, assessments, and take\-home assignments must be completed independently.
 You may not use AI tools, third\-party services, coaching platforms, or content\-farming services during any part of the interview process unless we explicitly permit it. We will clearly communicate when AI tools are allowed for specific assessments.
 Any indication of third\-party assistance or AI\-generated responses will result in immediate disqualification. We may also verify educational credentials through third\-party sources—providing false or misleading information will result in removal from consideration.
**Official Communication** 
 All communication will come only from the Babylist Talent Team via an @babylist.com email address. We will never request payment, bank information, or personal financial details. Be cautious of fraudulent outreach via non\-company email addresses, messaging platforms (e.g., WhatsApp, Telegram), or unsolicited phone calls. Verify legitimate opportunities on our careers page.
**SMS Consent** 
 You may opt in to receive text message updates about your application or interviews. Opting out will not affect your application status—communication will continue via email or phone. Message and data rates may apply. Reply STOP to unsubscribe or HELP for assistance. See our Privacy Policy for more information.</t>
        </is>
      </c>
    </row>
    <row r="55">
      <c r="A55" t="inlineStr">
        <is>
          <t>li-4362831879</t>
        </is>
      </c>
      <c r="B55" t="inlineStr">
        <is>
          <t>Lead Product Owner (VCO)</t>
        </is>
      </c>
      <c r="C55" t="inlineStr">
        <is>
          <t>Marathon Petroleum Corporation</t>
        </is>
      </c>
      <c r="D55" t="inlineStr">
        <is>
          <t>linkedin</t>
        </is>
      </c>
      <c r="E55">
        <f>HYPERLINK("https://www.linkedin.com/jobs/view/4362831879", "https://www.linkedin.com/jobs/view/4362831879")</f>
        <v/>
      </c>
      <c r="F55" t="inlineStr"/>
      <c r="G55" t="inlineStr">
        <is>
          <t>Canton, OH</t>
        </is>
      </c>
      <c r="H55" t="inlineStr"/>
      <c r="I55" t="inlineStr">
        <is>
          <t>**An exciting career awaits you**
 At MPC, we’re committed to being a great place to work – one that welcomes new ideas, encourages diverse perspectives, develops our people, and fosters a collaborative team environment.
 Position Summary
 The Refining Value Chain Optimization (VCO) Lead Product Owner works closely with business analysts, developers, product managers, operations subject matter experts, third\-party integrators and other stakeholders to drive best\-in\-class operations and value chain performance across MPC’s refining locations. Manages lifecycle of internally developed and commercial software, including tooling, definition, design, planning, development, prototyping and testing. Acts as a liaison between IT and business leaders to develop a product roadmap. Applies design thinking techniques (e.g. user stories, prototyping) to define product features. Maintains the VCO team’s backlog and directs work to ensure a robust, sustainable and supported portfolio of applications across the enterprise. Will work with internal and external partners to select and customize technology products and/or services.
 Key Responsibilities
* Responsible for continuous delivery of value to the customer through compelling and empowering customer experiences, accountable for a complex/ critical product, or multiple related products (within a product family/portfolio).
* Has accountability for leading the development of product roadmaps, prioritizing feature releases, and aligning them with business objectives. Drives cross\-functional collaboration to gather insights, prioritize initiatives, and plan releases effectively.
* Collaborates closely with Agile teams, stakeholders, and business representatives to proactively identify and address challenges that arise during product development, ensuring successful execution of the product strategy.
* Engages senior cross\-functional leaders and proactively addresses and resolves issues, fostering effective communication, and promoting alignment between business and operations teams, UX design, product, engineering, analytics, and customer support teams.
* Organizes stakeholder priorities and works with teams in order to align needs with resources ensuring cadence with customer value, business value, and strategic fit. Consults with the team during planning and grooming sessions and signs off on solutions.
* Prioritizes product backlog, processes, and release plan (for multiple features for a complex or higher profile product) and plans the coordination of interdependencies with scrum team, across other lines of business.
* Works with other teams, ensures team is aligned around similar goals and objectives / cross\-team prioritization. Carries out ongoing analysis of product capability themes in order to support product direction.
* Delivers product innovation, definition, deliverables planning (roadmap), and design of entirely new products to deliver against team and company goals.
* Interprets and communicates product development builds on cross\-departmental knowledge and puts the customer at the heart of all product changes.
* Identifies common client pain points and opportunities and defines right solutions to address; captures stakeholder concerns and implements refinements; serves as the voice of the client, bringing that perspective back to internal stakeholders; serves as an Agile product develop champion across department and/or company.
 Education and Experience
* Bachelor’s Degree in Information Systems or equivalent work experience.
* Product Owner certification required; Product Management certification preferred.
* Previous refining or industry experience preferred.
* Previous experience leading projects as a member of an enterprise Program preferred.
* Previous experience leading large scale vendor engagements, including RFI/RFP selection preferred.
* 7\+ years of relevant product owner experience required.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7\+ years of relevant experience
 As an energy industry leader, our career opportunities fuel personal and professional growth.
 Location:
 Findlay, Ohio
 Job Requisition ID:
 00020035
 Pay Min/Max:
 $119,900\.00 \- $179,800\.00 Salary
 Grade:
 12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56">
      <c r="A56" t="inlineStr">
        <is>
          <t>li-4362803613</t>
        </is>
      </c>
      <c r="B56" t="inlineStr">
        <is>
          <t>Principal Product Manager - MAI Business Commerce</t>
        </is>
      </c>
      <c r="C56" t="inlineStr">
        <is>
          <t>Microsoft</t>
        </is>
      </c>
      <c r="D56" t="inlineStr">
        <is>
          <t>linkedin</t>
        </is>
      </c>
      <c r="E56">
        <f>HYPERLINK("https://www.linkedin.com/jobs/view/4362803613", "https://www.linkedin.com/jobs/view/4362803613")</f>
        <v/>
      </c>
      <c r="F56">
        <f>HYPERLINK("https://apply.careers.microsoft.com/careers/job/1970393556641495?utm_source=linkedin&amp;domain=microsoft.com&amp;src=LinkedIn&amp;urlHash=DJh2", "https://apply.careers.microsoft.com/careers/job/1970393556641495?utm_source=linkedin&amp;domain=microsoft.com&amp;src=LinkedIn&amp;urlHash=DJh2")</f>
        <v/>
      </c>
      <c r="G56" t="inlineStr">
        <is>
          <t>Mountain View, CA</t>
        </is>
      </c>
      <c r="H56" t="inlineStr"/>
      <c r="I56" t="inlineStr">
        <is>
          <t>**Overview**
 Microsoft AI is a customer\-first organization building AI powered products in service of our customer’s business goals. The world is changing rapidly during this AI platform shift and we need Product Managers who can live in the future and bring back clarity to the present to guide our work.
 As a
 **Principal Product Manager \- MAI Business Commerce** 
 , you will build businesses experiences that help businesses reach their customers and people get things done with businesses in AI\-native surfaces. This role requires consistent knowledge and deep awareness of the emerging AI industry to develop new products as we have the freedom and flexibility to use innovative technology in service of our customer.
 We work within Microsoft AI (MAI), an organization responsible for Copilot, Bing, Edge, MSN, and other AI\-first products. The organization has all the ingredients needed for success with Product, Engineering, Research, and Go To Market functions partnering as peers with shared goals. This enables close collaboration and rapid decision making.
 One of the reasons Microsoft AI consistently brings innovative products to market is because of the collaborative work we do in Product Management. We work closely with talented engineers, designers, marketers, creatives, customers, partners, and go\-to\-market teams to design and develop products tailored for our customer’s benefit. We run lean, obsess about users, and make decisions based on evidence. We ship regularly, so your work will have real and immediate impact. It’s a time of huge change in the AI landscape, and this role will put you right in the heart of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Drive building world\-class AI applications that will delight consumers and deliver business results.
* Own a product area and be responsible for understanding user needs and behaviors, defining product requirements, managing end\-to\-end product development, launches and iterations.
* Find a path to get things done despite roadblocks to get your work into the hands of users quickly and iteratively.
* Enjoy working in a fast\-paced, customer\-first, product development cycle.
* Translate business goals into strategy, user experience and technical requirements in close collaboration with Applied Science, Data Science, Engineering, UX and Product Marketing/Sales teams.
* Define goals and performance indicators, set up and oversee experiments, measure success with data and research.
* Embody our Culture and Values.
**Qualifications**
**Required Qualifications:**
* Bachelor's Degree AND 10\+ years experience in product/service/program management or software development
+ OR equivalent experience.
**Preferred Qualifications**
* 2\+ years experience leading cross functional product teams across advertising, privacy, search, conversational AI, or generative AI
* 5\+ years experience delivering products that include full Search and/or Advertising technology stack
* 5\+ years experience with data analytics and experimentation tools with working knowledge of SQL and coding skills (Python, Javascript).
* 7\+ years of experience building Ads products.
* 5\+ years of building AI consumer products.
* 5\+ years of experience in monetization products and B2B.
* Ability to work in a fast\-paced environment, manage multiple priorities, and adapt to changing requirements and deadlines.
* Proven ability to collaborate and contribute to a positive, inclusive work environment, fostering knowledge sharing and growth within the team.
 \#MicrosoftAI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7">
      <c r="A57" t="inlineStr">
        <is>
          <t>li-4349410180</t>
        </is>
      </c>
      <c r="B57" t="inlineStr">
        <is>
          <t>Group Product Manager - Consumer Experience (Remote)</t>
        </is>
      </c>
      <c r="C57" t="inlineStr">
        <is>
          <t>Progressive Leasing</t>
        </is>
      </c>
      <c r="D57" t="inlineStr">
        <is>
          <t>linkedin</t>
        </is>
      </c>
      <c r="E57">
        <f>HYPERLINK("https://www.linkedin.com/jobs/view/4349410180", "https://www.linkedin.com/jobs/view/4349410180")</f>
        <v/>
      </c>
      <c r="F57">
        <f>HYPERLINK("https://progleasing.wd5.myworkdayjobs.com/ProgLeasingCareers/job/Texas/Group-Product-Manager\u002d\u002d-Consumer-Experience\u002d\u002dRemote-_JR101322?source=LinkedIn&amp;urlHash=DpDT", "https://progleasing.wd5.myworkdayjobs.com/ProgLeasingCareers/job/Texas/Group-Product-Manager\u002d\u002d-Consumer-Experience\u002d\u002dRemote-_JR101322?source=LinkedIn&amp;urlHash=DpDT")</f>
        <v/>
      </c>
      <c r="G57" t="inlineStr">
        <is>
          <t>Texas, United States</t>
        </is>
      </c>
      <c r="H57" t="inlineStr"/>
      <c r="I57" t="inlineStr">
        <is>
          <t>**Progressive Leasing** 
 is a leading provider of in\-store and e\-commerce lease\-to\-own solutions. As an almost 20\+ year old FinTech company that has gone from start\-up to industry leader, we know how to innovate, simplify, and value all people. We are a company founded on our grit and we are constantly looking to the future. As an ever\-evolving group of entrepreneurs and technologists, we strive to do the right thing period in all aspects of our work. We are a subsidiary of PROG Holdings (NYSE: PRG), an exciting FinTech holding company, with three business segments including Progressive, Vive Financial, and Four, a Buy Now Pay Later (BNPL) platform.
 We are currently hiring a
 **Group Product Manager – Consumer Experience** 
 to help grow our company and ensure our mission is achieved!
*This role is a work from home position and can be performed remotely anywhere in the continental US or in our corporate office in Utah.*
*Employee Value Proposition (EVP)
 **:** 
 PROG is dedicated to providing people with opportunity; opportunity for inclusive collaboration, opportunity for innovation, and opportunity for development.*
**WE ARE:** 
 Prog Tech embodies the modernity and transformational vision that is core to our business evolution. As passionate and hungry technical experts, we join together on the mission of progressing through technology. We believe in taking pride in our engineering, in the relentless pursuit of daily progress, and to bring others with you in your march to the future. We continuously experiment, fail fast, and constantly deliver.
**YOU ARE:** 
 Responsible for working closely with multiple stakeholders to understand retailer/consumer needs, create our product vision and then execute. The role will also require effective communication of objectives, timing, and obstacles. Presenting to internal and external audiences will also be expected.
**Your Day\-to\-day**
* Manage and direct a team of 3\-6 direct reports that own portions of the consumer experience journey.
* Provide strategic leadership oversight for consumer experience products.
* Partner with Director of Design to define creative briefs, provide feedback on design concepts, and define research opportunities and help analyze and inform the results.
* Partner with sales, marketing, implementation functions, and retail experience to drive roadmap alignment.
* Work closely with engineering, design, and analytics teams to define requirements, solve technical challenges, and iterate quickly.
* Stay ahead of technical fintech trends, particularly around consumers unmet needs
* Have a healthy respect for managing tech debt, constantly looking for opportunities to unify, simplify and scale towards a unified consumer journey.
* Work closely with sales to understand retailer requirements for consumer facing experiences.
* Participate in planning and development work, in collaboration with product development teams, to ensure timely delivery of market leading solutions
* Approach Buy vs Build decisions carefully across customer acquisition, apply, decisioning, and purchasing – ensuring we focus on our IP and our ability to remain agile as we scale
* Represent the product function in product roadmap sessions with senior leadership and strategic retailers.
* Analyze performance of product features
**You’ll Bring**
* 5\+ years’ experience working for or with US retailers in consumer experience Product Roles
* 5\+ years of experience in product leadership of financial services/Fintechs
* 3\+ years of experience managing Commerce Tools platforms/components
* Familiarity working with vendor resources and internal, global resources.
* Exceptional skills in executive presentations, work collaboration, understanding of business challenges
* Strong business acumen: demonstrated experience with retail business and technical integrations
* Passion for leading strategy development and ability to move from high\-level strategy to execution
* Exceptional communicator with proven ability to write and present effectively to a variety of audiences
* High\-integrity ambition to relentlessly pursue the best possible product and service
* Demonstrated ability to self\-motivate, self\-direct, and be flexible within a fast\-paced environment
* Degree in Computer Science, Information Systems, Business or related field required
**WE OFFER:**
*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58">
      <c r="A58" t="inlineStr">
        <is>
          <t>li-4362831878</t>
        </is>
      </c>
      <c r="B58" t="inlineStr">
        <is>
          <t>Lead Product Owner (VCO)</t>
        </is>
      </c>
      <c r="C58" t="inlineStr">
        <is>
          <t>Marathon Petroleum Corporation</t>
        </is>
      </c>
      <c r="D58" t="inlineStr">
        <is>
          <t>linkedin</t>
        </is>
      </c>
      <c r="E58">
        <f>HYPERLINK("https://www.linkedin.com/jobs/view/4362831878", "https://www.linkedin.com/jobs/view/4362831878")</f>
        <v/>
      </c>
      <c r="F58">
        <f>HYPERLINK("https://mpc.wd1.myworkdayjobs.com/en-US/MPCCareers/job/Findlay-Ohio/Lead-Product-Owner\u002d\u002dVCO-_00020035?source=LinkedIn&amp;urlHash=1Ci7", "https://mpc.wd1.myworkdayjobs.com/en-US/MPCCareers/job/Findlay-Ohio/Lead-Product-Owner\u002d\u002dVCO-_00020035?source=LinkedIn&amp;urlHash=1Ci7")</f>
        <v/>
      </c>
      <c r="G58" t="inlineStr">
        <is>
          <t>Salt Lake City, UT</t>
        </is>
      </c>
      <c r="H58" t="inlineStr"/>
      <c r="I58" t="inlineStr">
        <is>
          <t>**An exciting career awaits you**
 At MPC, we’re committed to being a great place to work – one that welcomes new ideas, encourages diverse perspectives, develops our people, and fosters a collaborative team environment.
 Position Summary
 The Refining Value Chain Optimization (VCO) Lead Product Owner works closely with business analysts, developers, product managers, operations subject matter experts, third\-party integrators and other stakeholders to drive best\-in\-class operations and value chain performance across MPC’s refining locations. Manages lifecycle of internally developed and commercial software, including tooling, definition, design, planning, development, prototyping and testing. Acts as a liaison between IT and business leaders to develop a product roadmap. Applies design thinking techniques (e.g. user stories, prototyping) to define product features. Maintains the VCO team’s backlog and directs work to ensure a robust, sustainable and supported portfolio of applications across the enterprise. Will work with internal and external partners to select and customize technology products and/or services.
 Key Responsibilities
* Responsible for continuous delivery of value to the customer through compelling and empowering customer experiences, accountable for a complex/ critical product, or multiple related products (within a product family/portfolio).
* Has accountability for leading the development of product roadmaps, prioritizing feature releases, and aligning them with business objectives. Drives cross\-functional collaboration to gather insights, prioritize initiatives, and plan releases effectively.
* Collaborates closely with Agile teams, stakeholders, and business representatives to proactively identify and address challenges that arise during product development, ensuring successful execution of the product strategy.
* Engages senior cross\-functional leaders and proactively addresses and resolves issues, fostering effective communication, and promoting alignment between business and operations teams, UX design, product, engineering, analytics, and customer support teams.
* Organizes stakeholder priorities and works with teams in order to align needs with resources ensuring cadence with customer value, business value, and strategic fit. Consults with the team during planning and grooming sessions and signs off on solutions.
* Prioritizes product backlog, processes, and release plan (for multiple features for a complex or higher profile product) and plans the coordination of interdependencies with scrum team, across other lines of business.
* Works with other teams, ensures team is aligned around similar goals and objectives / cross\-team prioritization. Carries out ongoing analysis of product capability themes in order to support product direction.
* Delivers product innovation, definition, deliverables planning (roadmap), and design of entirely new products to deliver against team and company goals.
* Interprets and communicates product development builds on cross\-departmental knowledge and puts the customer at the heart of all product changes.
* Identifies common client pain points and opportunities and defines right solutions to address; captures stakeholder concerns and implements refinements; serves as the voice of the client, bringing that perspective back to internal stakeholders; serves as an Agile product develop champion across department and/or company.
 Education and Experience
* Bachelor’s Degree in Information Systems or equivalent work experience.
* Product Owner certification required; Product Management certification preferred.
* Previous refining or industry experience preferred.
* Previous experience leading projects as a member of an enterprise Program preferred.
* Previous experience leading large scale vendor engagements, including RFI/RFP selection preferred.
* 7\+ years of relevant product owner experience required.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7\+ years of relevant experience
 As an energy industry leader, our career opportunities fuel personal and professional growth.
 Location:
 Findlay, Ohio
 Job Requisition ID:
 00020035
 Pay Min/Max:
 $119,900\.00 \- $179,800\.00 Salary
 Grade:
 12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59">
      <c r="A59" t="inlineStr">
        <is>
          <t>li-4362497064</t>
        </is>
      </c>
      <c r="B59" t="inlineStr">
        <is>
          <t>Lead Product Owner (VCO)</t>
        </is>
      </c>
      <c r="C59" t="inlineStr">
        <is>
          <t>Marathon Petroleum Corporation</t>
        </is>
      </c>
      <c r="D59" t="inlineStr">
        <is>
          <t>linkedin</t>
        </is>
      </c>
      <c r="E59">
        <f>HYPERLINK("https://www.linkedin.com/jobs/view/4362497064", "https://www.linkedin.com/jobs/view/4362497064")</f>
        <v/>
      </c>
      <c r="F59">
        <f>HYPERLINK("https://mpc.wd1.myworkdayjobs.com/en-US/MPCCareers/job/Findlay-Ohio/Lead-Product-Owner\u002d\u002dVCO-_00020035?source=LinkedIn&amp;urlHash=1Ci7", "https://mpc.wd1.myworkdayjobs.com/en-US/MPCCareers/job/Findlay-Ohio/Lead-Product-Owner\u002d\u002dVCO-_00020035?source=LinkedIn&amp;urlHash=1Ci7")</f>
        <v/>
      </c>
      <c r="G59" t="inlineStr">
        <is>
          <t>Garyville, LA</t>
        </is>
      </c>
      <c r="H59" t="inlineStr"/>
      <c r="I59" t="inlineStr">
        <is>
          <t>**An exciting career awaits you**
 At MPC, we’re committed to being a great place to work – one that welcomes new ideas, encourages diverse perspectives, develops our people, and fosters a collaborative team environment.
 Position Summary
 The Refining Value Chain Optimization (VCO) Lead Product Owner works closely with business analysts, developers, product managers, operations subject matter experts, third\-party integrators and other stakeholders to drive best\-in\-class operations and value chain performance across MPC’s refining locations. Manages lifecycle of internally developed and commercial software, including tooling, definition, design, planning, development, prototyping and testing. Acts as a liaison between IT and business leaders to develop a product roadmap. Applies design thinking techniques (e.g. user stories, prototyping) to define product features. Maintains the VCO team’s backlog and directs work to ensure a robust, sustainable and supported portfolio of applications across the enterprise. Will work with internal and external partners to select and customize technology products and/or services.
 Key Responsibilities
* Responsible for continuous delivery of value to the customer through compelling and empowering customer experiences, accountable for a complex/ critical product, or multiple related products (within a product family/portfolio).
* Has accountability for leading the development of product roadmaps, prioritizing feature releases, and aligning them with business objectives. Drives cross\-functional collaboration to gather insights, prioritize initiatives, and plan releases effectively.
* Collaborates closely with Agile teams, stakeholders, and business representatives to proactively identify and address challenges that arise during product development, ensuring successful execution of the product strategy.
* Engages senior cross\-functional leaders and proactively addresses and resolves issues, fostering effective communication, and promoting alignment between business and operations teams, UX design, product, engineering, analytics, and customer support teams.
* Organizes stakeholder priorities and works with teams in order to align needs with resources ensuring cadence with customer value, business value, and strategic fit. Consults with the team during planning and grooming sessions and signs off on solutions.
* Prioritizes product backlog, processes, and release plan (for multiple features for a complex or higher profile product) and plans the coordination of interdependencies with scrum team, across other lines of business.
* Works with other teams, ensures team is aligned around similar goals and objectives / cross\-team prioritization. Carries out ongoing analysis of product capability themes in order to support product direction.
* Delivers product innovation, definition, deliverables planning (roadmap), and design of entirely new products to deliver against team and company goals.
* Interprets and communicates product development builds on cross\-departmental knowledge and puts the customer at the heart of all product changes.
* Identifies common client pain points and opportunities and defines right solutions to address; captures stakeholder concerns and implements refinements; serves as the voice of the client, bringing that perspective back to internal stakeholders; serves as an Agile product develop champion across department and/or company.
 Education and Experience
* Bachelor’s Degree in Information Systems or equivalent work experience.
* Product Owner certification required; Product Management certification preferred.
* Previous refining or industry experience preferred.
* Previous experience leading projects as a member of an enterprise Program preferred.
* Previous experience leading large scale vendor engagements, including RFI/RFP selection preferred.
* 7\+ years of relevant product owner experience required.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7\+ years of relevant experience
 As an energy industry leader, our career opportunities fuel personal and professional growth.
 Location:
 Findlay, Ohio
 Job Requisition ID:
 00020035
 Pay Min/Max:
 $119,900\.00 \- $179,800\.00 Salary
 Grade:
 12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60">
      <c r="A60" t="inlineStr">
        <is>
          <t>li-4362744789</t>
        </is>
      </c>
      <c r="B60" t="inlineStr">
        <is>
          <t>Lead Product Owner (VCO)</t>
        </is>
      </c>
      <c r="C60" t="inlineStr">
        <is>
          <t>Marathon Petroleum Corporation</t>
        </is>
      </c>
      <c r="D60" t="inlineStr">
        <is>
          <t>linkedin</t>
        </is>
      </c>
      <c r="E60">
        <f>HYPERLINK("https://www.linkedin.com/jobs/view/4362744789", "https://www.linkedin.com/jobs/view/4362744789")</f>
        <v/>
      </c>
      <c r="F60" t="inlineStr"/>
      <c r="G60" t="inlineStr">
        <is>
          <t>Catlettsburg, KY</t>
        </is>
      </c>
      <c r="H60" t="inlineStr"/>
      <c r="I60" t="inlineStr">
        <is>
          <t>**An exciting career awaits you**
 At MPC, we’re committed to being a great place to work – one that welcomes new ideas, encourages diverse perspectives, develops our people, and fosters a collaborative team environment.
 Position Summary
 The Refining Value Chain Optimization (VCO) Lead Product Owner works closely with business analysts, developers, product managers, operations subject matter experts, third\-party integrators and other stakeholders to drive best\-in\-class operations and value chain performance across MPC’s refining locations. Manages lifecycle of internally developed and commercial software, including tooling, definition, design, planning, development, prototyping and testing. Acts as a liaison between IT and business leaders to develop a product roadmap. Applies design thinking techniques (e.g. user stories, prototyping) to define product features. Maintains the VCO team’s backlog and directs work to ensure a robust, sustainable and supported portfolio of applications across the enterprise. Will work with internal and external partners to select and customize technology products and/or services.
 Key Responsibilities
* Responsible for continuous delivery of value to the customer through compelling and empowering customer experiences, accountable for a complex/ critical product, or multiple related products (within a product family/portfolio).
* Has accountability for leading the development of product roadmaps, prioritizing feature releases, and aligning them with business objectives. Drives cross\-functional collaboration to gather insights, prioritize initiatives, and plan releases effectively.
* Collaborates closely with Agile teams, stakeholders, and business representatives to proactively identify and address challenges that arise during product development, ensuring successful execution of the product strategy.
* Engages senior cross\-functional leaders and proactively addresses and resolves issues, fostering effective communication, and promoting alignment between business and operations teams, UX design, product, engineering, analytics, and customer support teams.
* Organizes stakeholder priorities and works with teams in order to align needs with resources ensuring cadence with customer value, business value, and strategic fit. Consults with the team during planning and grooming sessions and signs off on solutions.
* Prioritizes product backlog, processes, and release plan (for multiple features for a complex or higher profile product) and plans the coordination of interdependencies with scrum team, across other lines of business.
* Works with other teams, ensures team is aligned around similar goals and objectives / cross\-team prioritization. Carries out ongoing analysis of product capability themes in order to support product direction.
* Delivers product innovation, definition, deliverables planning (roadmap), and design of entirely new products to deliver against team and company goals.
* Interprets and communicates product development builds on cross\-departmental knowledge and puts the customer at the heart of all product changes.
* Identifies common client pain points and opportunities and defines right solutions to address; captures stakeholder concerns and implements refinements; serves as the voice of the client, bringing that perspective back to internal stakeholders; serves as an Agile product develop champion across department and/or company.
 Education and Experience
* Bachelor’s Degree in Information Systems or equivalent work experience.
* Product Owner certification required; Product Management certification preferred.
* Previous refining or industry experience preferred.
* Previous experience leading projects as a member of an enterprise Program preferred.
* Previous experience leading large scale vendor engagements, including RFI/RFP selection preferred.
* 7\+ years of relevant product owner experience required.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7\+ years of relevant experience
 As an energy industry leader, our career opportunities fuel personal and professional growth.
 Location:
 Findlay, Ohio
 Job Requisition ID:
 00020035
 Pay Min/Max:
 $119,900\.00 \- $179,800\.00 Salary
 Grade:
 12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61">
      <c r="A61" t="inlineStr">
        <is>
          <t>li-4359018550</t>
        </is>
      </c>
      <c r="B61" t="inlineStr">
        <is>
          <t>Senior Manager, Data Product Manager</t>
        </is>
      </c>
      <c r="C61" t="inlineStr">
        <is>
          <t>Visa</t>
        </is>
      </c>
      <c r="D61" t="inlineStr">
        <is>
          <t>linkedin</t>
        </is>
      </c>
      <c r="E61">
        <f>HYPERLINK("https://www.linkedin.com/jobs/view/4359018550", "https://www.linkedin.com/jobs/view/4359018550")</f>
        <v/>
      </c>
      <c r="F61">
        <f>HYPERLINK("https://jobs.smartrecruiters.com/Visa/744000103780969-senior-manager-data-product-manager?source=LinkedIn&amp;urlHash=xtaa", "https://jobs.smartrecruiters.com/Visa/744000103780969-senior-manager-data-product-manager?source=LinkedIn&amp;urlHash=xtaa")</f>
        <v/>
      </c>
      <c r="G61" t="inlineStr">
        <is>
          <t>Austin, TX</t>
        </is>
      </c>
      <c r="H61" t="inlineStr"/>
      <c r="I61"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Senior Manager, Data Product Manager role responsible for defining product strategy, direction, and outcomes for cross\-domain initiatives within the Finance Data Platform. This role owns the product development lifecycle for platform\-level data products from concept and prioritization through delivery and adoption while working in close partnership with Domain Data Product leaders, Data Architecture \&amp; Modeling, Data Governance, Engineering, and Program/Project Management.
 This role establishes the engagement model for how Finance partners with the Finance Data Platform and ensures product clarity, technical alignment, and AI\-readiness across all initiatives.
 Key Responsibilities:
 Product Strategy \&amp; Product Development Lifecycle:
* Own and drive the end\-to\-end Product Development Lifecycle (PDLC) for Finance Data Platform initiatives: discovery, definition, build, validation, and adoption.
* Define product vision, value propositions, success metrics, and phased roadmaps for cross\-domain data products.
* Clearly articulate product scope, user stories, and acceptance criteria that reflect Finance business outcomes and technical standards.
* Drive product strategy aligned to Finance priorities, platform maturity, and AI enablement goals.
 Engagement Model Ownership:
* Define and operationalize the engagement model for how Finance teams interact with the Finance Data Platform (intake, prioritization, delivery, and adoption).
* Serve as the primary point of coordination for cross\-domain Finance initiatives that span Revenue, Expense, Deals, FP\&amp;A, Controllership, Tax, and Treasury.
* Ensure Finance stakeholders understand what the platform delivers, how to engage, and what standards apply.
 Partnership with Program / Project Management:
* Partner closely with Program and Project Managers by providing:
* clear product priorities and sequencing
* well\-defined scope and acceptance criteria
* dependency context and decision clarity
* Participate in planning and alignment forums to ensure shared understanding of product intent.
* Support program updates with product context and outcome\-based narratives.
 This role does not manage delivery tracking or tooling but ensures delivery teams have strong product direction.
 Director\-Level \&amp; Cross\-Domain Coordination:
* Work across Domain Data Product Directors to align shared initiatives and resolve cross\-domain dependencies.
* Partner with the Director – Finance Data Architecture \&amp; Modeling to ensure semantic consistency, canonical models, and interoperability.
* Collaborate with the Director – Finance Data Governance to ensure all products meet governance, quality, and certification standards.
 Technical Product Leadership:
* Engage deeply in technical design discussions and validate feasibility of product requirements.
* Bring strong hands\-on understanding of:
* Spark SQL
* Hadoop ecosystems (Hive, HDFS, Spark)
* Databricks (Delta Lake, Unity Catalog)
* Snowflake (performance optimization, data sharing)
* Ensure products are designed for scale, performance, auditability, and downstream analytics (Tableau, Power BI).
 AI Enablement \&amp; Advanced Analytics:
* Drive AI\-readiness of Finance data products through strong feature definition and data quality standards.
* Leverage prior experience enabling AI/ML in products using tools such as:
* Databricks MLflow
* Databricks Feature Store
* AWS SageMaker
* Snowflake Cortex
* OpenAI / Azure OpenAI
* Vector databases (e.g., Pinecone, FAISS)
* Partner with Architecture and Governance leaders to ensure explainability, lineage, and responsible AI usage.
* Translate AI capabilities into tangible Finance use cases (forecasting, anomaly detection, insights automation).
 Executive Communication \&amp; Product Storytelling:
* Develop and deliver executive\-ready presentations articulating:
* product strategy
* tradeoffs and sequencing
* progress and outcomes
* AI enablement value
* Influence senior Finance and Technology leaders through clear, structured storytelling.
* Represent the Finance Data Platform in leadership forums with confidence and clarity.
 This is a hybrid position. Expectation of days in office will be confirmed by your hiring manager.
**Qualifications**
 Basic Qualifications:
 5 or more years of relevant work experience with a Bachelors Degree or at least 2 years of work experience with an Advanced degree (e.g. Masters, MBA, JD, MD) or 0 years of work experience with a PhD
 Preferred Qualifications:
 6 or more years of work experience with a Bachelors Degree or 4 or more years of relevant experience with an Advanced Degree (e.g. Masters, MBA, JD, MD) or up to 3 years of relevant experience with a PhD
 Experience:
 8\-12\+ years in Data Product Management, Data Platform, or Finance Analytics roles.
 Proven success operating as an individual driving cross\-functional initiatives.
 Demonstrated ownership of product development lifecycles for data or platform products.
 Technical Skills:
 Strong hands\-on expertise with Spark SQL.
 Experience with Hadoop, Databricks, and Snowflake in enterprise environments.
 Solid understanding of cloud data architectures (AWS preferred).
 Familiarity with BI and analytics tooling (Tableau, Power BI).
 AI \&amp; Advanced Analytics:
 Hands\-on or product\-level experience enabling AI/ML features in data products.
 Familiarity with modern AI/ML platforms and GenAI tools as listed above.
 Leadership \&amp; Communication:
 Exceptional presentation and communication skills.
 Ability to drive product strategy and alignment at Director and VP levels.
 Strong decision\-making, prioritization, and influence skills.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$116,300 to $186,000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62">
      <c r="A62" t="inlineStr">
        <is>
          <t>li-4353501171</t>
        </is>
      </c>
      <c r="B62" t="inlineStr">
        <is>
          <t>Principal Product Manager (Customer Data Platform)</t>
        </is>
      </c>
      <c r="C62" t="inlineStr">
        <is>
          <t>Altana</t>
        </is>
      </c>
      <c r="D62" t="inlineStr">
        <is>
          <t>linkedin</t>
        </is>
      </c>
      <c r="E62">
        <f>HYPERLINK("https://www.linkedin.com/jobs/view/4353501171", "https://www.linkedin.com/jobs/view/4353501171")</f>
        <v/>
      </c>
      <c r="F62">
        <f>HYPERLINK("https://job-boards.greenhouse.io/altanaai/jobs/7568502003&amp;urlHash=TYy0", "https://job-boards.greenhouse.io/altanaai/jobs/7568502003&amp;urlHash=TYy0")</f>
        <v/>
      </c>
      <c r="G62" t="inlineStr">
        <is>
          <t>Boston, MA</t>
        </is>
      </c>
      <c r="H62" t="inlineStr"/>
      <c r="I62" t="inlineStr">
        <is>
          <t>Altana is the network for trusted trade. Our AI\-powered product network empowers governments and businesses to build a more resilient and secure global economy while keeping trade flowing.
 The Role: Principal Product Manager, Customer Data Platform
 As the Principal Product Manager for Customer Data Platform, you will be the owner defining strategy/product vision through feature definition and roadmap prioritization. You’ll work closely with marketing and finance teams for positioning, naming, GTM/adoption, and financial metrics. We are looking for an experienced product leader who is passionate about deeply understanding ambiguous customer problems, with demonstrated success working with engineering to deliver solutions, and translating them into disruptive, successful products that delight customers. As a Principal Product Manager with a focus on Customer Data Platform, you are defining the link between our customers' core enterprise systems and the Altana product network.
 Your mission is to
 **accelerate our customers' time\-to\-value** 
 . You will deeply understand customer IT, data, and security needs to architect and build robust, scalable data integrations that solve their most pressing supply chain challenges. For many customers, their supply chain data is trapped in silos—messy ERP records, fragmented PLM files, or disparate spreadsheets. Your mission is to lower the barrier to entry for everyone. You will build the "pipes" and the "intelligence" that allow any organization—from a small specialized manufacturer to a global logistics giant—to onboard their data to Altana and see immediate value.
 You will own the end\-to\-end data journey: from the moment a user hits "Connect" or "Upload," through the complex machinery of entity resolution, to the creation of a clean, unified view of their supply chain, collaborating with their suppliers, logistics providers, and regulatory agencies.
 What You'll Do
 As a key technical partner for the customer, your responsibilities will fall into three primary areas:
 Universal Connectivity
* The Integration Strategy: Define and execute the roadmap for getting data into Altana. You will own the suite of ingestion methods: high\-volume REST APIs for tech\-forward clients, native connectors for major ERPs (SAP, Oracle, Microsoft Dynamics), and simple, robust flat\-file importers for smaller suppliers.
* Partner Ecosystem: Identify the most critical systems our customers use and lead the development of "One\-Click" integrations that remove the need for custom engineering work.
* Streaming \&amp; Real\-Time: Move us beyond static snapshots. Architect pipelines that support continuous data synchronization, ensuring the customer’s view of their supply chain is always current.
 Intelligent Onboarding \&amp; Data Harmonization
* Self\-Service Mapping: Build intuitive, low\-code tools that allow non\-technical users to map their internal data fields (e.g., "Vendor\_ID") to Altana’s canonical schema. Make the onboarding process "wizard\-driven" rather than service\-driven.
* Automated Entity Resolution: Work with our AI teams to productize our matching logic. When a customer uploads a messy supplier list, your product should automatically clean, standardize, and resolve those rows against global entities.
* Data Quality Feedback: Create a transparent feedback loop. If a customer uploads bad data (broken formatting, missing fields), the system should instantly tell them what went wrong and how to fix it, without needing a support ticket.
 Scalability \&amp; Security
* Tiered Experience: Design an experience that works for the "long tail." A small supplier should be able to onboard in minutes via self\-service, while a large enterprise needs robust controls for massive data volume and complex permissioning.
* Trust \&amp; Governance: Ensure that our ingestion infrastructure meets the highest standards of security. You will define how we handle encryption, data residency, and access controls during the ingestion process, ensuring customers feel safe using their most sensitive supply chain data with Altana.
 Who You Are
* Integration \&amp; Data Product Expert: You have 7\+ years of Product Management experience, ideally with a deep understanding of integration between data platforms. You know how to move data from Point A to Point B, you know how to clean it up when it gets there, and know how to design platforms as a data steward.
* UX\-Centric Technicality: You understand the "plumbing" (APIs, EDI, ETL/ELT, JSON), but you are obsessed with the user experience. You hate clunky integration projects and strive to make data onboarding feel like magic.
* Enterprise \&amp; SMB Fluency: You can earn trust with a CIO at a Fortune 500 company by speaking their language (governance and security), but you also have empathy for the Operations Manager at a mid\-sized firm who just wants to upload a CSV and get to work.
* Problem Solver: You’re resilient to real\-world data challenges and the messiness of real\-world data. You understand that "Master Data Management" is hard, and you enjoy building tools to simplify it.
* Builder: You don’t just write requirements; you define system interfaces of the solution alongside engineering. You have the courage to roll up your sleeves and define API specs and data schemas, especially as it relates to the user experience.
***This role can be based in any of our US Altana hub locations, with hybrid work flexibility: Brooklyn, NY, Washington, DC, Boston, MA, or San Francisco, CA***
**US Salary Range And Benefits**
**$200,000 \- $255,000 USD**
**Benefits**
 The salary range, to the extent specified for this role, is a good faith statement of the minimum and maximum levels of the annual based salary for the position. The base salary offered to a successful candidate will depend on a wide range of compensation factors, including, but not limited to, work experience, education and/or training, critical skills, and/or business considerations. Competitive equity grants are included in the majority of full time offers; and are considered part of Altana's total compensation package. Altana also offers either a discretionary bonus or a variable compensation plan depending on the role. Additionally, Altana offers top\-tier benefits for full\-time employees, including:
* Flexible Time Off: Altana operates with a Flexible Time Oﬀ (FTO) policy that gives you agency over your own time oﬀ so you can maximize your work\-life balance.
* Parental Leave: We oﬀer industry leading Paid Parental Leave (PPL), providing 14 weeks of leave for non\-birthing, adoptive, and foster parents and up to 26 weeks of leave for birthing parents, all paid at 100% of your base salary.
* Health Benefits: We have a full suite of medical, vision, and dental benefits with generous employer contributions, designed to give you flexibility and choice for your individual health situation. Our high deductible health plan is 100% employer paid for employees and supplemented with an employer contribution to your Health Savings Account (HSA). There is also a Flexible Spending Account (FSA) option.
* Supplemental Benefits: Altana provides life, short\- and long\-term disability, and AD\&amp;D insurance coverage, all at no cost to you, so you know that you and your loved ones are covered in case of an emergency.
* 401(k) Savings: Save for and invest in your future using our Guideline 401(k) retirement savings program.
* Commuter Benefits: Save money on your commute by setting aside pre\-tax funds for public transit or parking!
* Wellness: Because we value mental and emotional health, every Altana employee has access to a free premium subscription to Calm, the \#1 app for meditation, sleep, and mindfulness.
* Pet Insurance: Pets are family too! Keep them healthy with Wishbone insurance and / or our Total Pet vet service and telehealth discount plan.
* Employee Assistance Program: Free access to confidential personal support.
* Dependent Care FSA: You will have access to a Dependent Care FSA, which allows you to set aside pre\-tax funds for childcare expenses
 The recruiter assigned to this role can share more information about the specific compensation and benefit details associated with this role during the hiring process.
**Our Values**
 Our values are the core beliefs that shape who we are, what we stand for, and how we behave.They form the foundation of Altana’s culture and integrity and guide how we hire, design, build, and connect with each other and our customers.
* Trust: Our customers and partners entrust us with missions of the highest importance. We honor that by keeping our word, meeting commitments, and ensuring every action we take reinforces confidence in us. We rely on each other to deliver, to speak openly, and to hold ourselves accountable.
* Resilience: In a world of uncertainty and complexity, our work must withstand challenges, evolve with conditions, and ensure reliability over time. Resilience is both how we operate and what we deliver. It’s how we respond when things don’t go to plan –– we adapt, we support each other, and we keep moving forward.
* Stewardship: We are stewards of every mission we touch. Because our work impacts lives and futures, we hold ourselves accountable to delivering mission impact and never compromising. Our responsibility extends beyond individual projects to the broader system of global trade. We believe that stewardship starts from within so that we can bring focus, creativity, and excellence to our work. Each of us is personally responsible for fostering a workplace where people can thrive. And we are stewards of the greater good of the company. By holding ourselves and each other accountable, we build a culture of innovation and collective success that reflects the scale of our mission.
* Courage: Courage is what unlocks the seemingly impossible for our customers. It’s the core value that drives us make bold moves and take on big, complicated network problems—the ones others avoid. We know success isn't guaranteed, but we have the audacious vision to believe a solution is possible and to build it. Courage fuels our growth mindset. It means embracing challenges that make us stronger, and it’s demonstrated by how we approach hard conversations and complex projects.
 At Altana, we believe that a diverse workforce enables greater creativity, performance, and adaptability. We’re proud to be an equal opportunity employer and welcome you to join us as you are. Our employment opportunities and decisions are based on business needs and individual qualifications, without regard to race, color, religious creed, national origin, ancestry, age, physical or mental disability, medical condition, marital status, sexual orientation, gender identity or expression, genetic information, family care or medical leave status, military or veteran status, or any other characteristic protected by the laws or regulations in the areas in which we operate. We prohibit discrimination and harassment of any type, in any situation.
*Offers related to employment at Altana will come from an Altana.ai email address. We will never ask for payment as part of the interview or onboarding process.*</t>
        </is>
      </c>
    </row>
    <row r="63">
      <c r="A63" t="inlineStr">
        <is>
          <t>li-4359108546</t>
        </is>
      </c>
      <c r="B63" t="inlineStr">
        <is>
          <t>AIML - Annotation Program Manager, Data Operations</t>
        </is>
      </c>
      <c r="C63" t="inlineStr">
        <is>
          <t>Apple</t>
        </is>
      </c>
      <c r="D63" t="inlineStr">
        <is>
          <t>linkedin</t>
        </is>
      </c>
      <c r="E63">
        <f>HYPERLINK("https://www.linkedin.com/jobs/view/4359108546", "https://www.linkedin.com/jobs/view/4359108546")</f>
        <v/>
      </c>
      <c r="F63">
        <f>HYPERLINK("https://jobs.apple.com/en-us/details/200594550&amp;urlHash=COSR", "https://jobs.apple.com/en-us/details/200594550&amp;urlHash=COSR")</f>
        <v/>
      </c>
      <c r="G63" t="inlineStr">
        <is>
          <t>New York, NY</t>
        </is>
      </c>
      <c r="H63" t="inlineStr"/>
      <c r="I63" t="inlineStr">
        <is>
          <t>**Summary**
 Behind every groundbreaking AI innovation at Apple is a foundation of high\-quality annotated data. We're looking for an Annotations Program Manager to play a critical role in ensuring the quality and efficiency of this vital process. In this role, you will engage with teams across Apple’s ecosystem with the ultimate goal of delivering high\-quality annotated data that enables AI advancements across the company. You will be responsible for capturing initial requirements, following through on all program commitments from our cross\-functional operations and engineering teams, and maintaining the customer relationship. You will need to understand the strategic goals of your customers to help prioritize operations tasks and coordinate with capacity planning for operational resources. Imagine being at the heart of Apple's AI revolution, ensuring that our machine learning models are trained with the highest quality data. As an Annotation Program Manager, you'll be the vital link between our innovative teams and the data they need to create the next generation of Apple products and features.
**Description**
 Are you passionate about the intersection of technology and human understanding? Do you thrive in collaborative environments where your communication skills and technical expertise can make a real difference? nnAs an Annotations Program Manager, you'll be at the core of our AIML development process. You'll collaborate with cross\-functional teams to define annotation requirements, manage operational projects from prototype to scale, and ensure customer satisfaction by delivering high\-quality data. Your work will directly contribute to the success of the next generation of Apple products and features. This role offers a unique opportunity to gain deep expertise in the rapidly evolving field of AIML, working alongside some of the brightest minds in the industry.
**Minimum Qualifications**
 10\+ years of experience managing complex, cross\-functional programs across global teams, with a proven track record of delivering results.nProven ability to communicate complex technical concepts clearly and concisely to both technical and non\-technical audiences.nAbility to understand and consolidate multiple points of view into an influential recommendation to move projects forward.nExceptional communication and interpersonal skills, with the ability to build rapport and influence stakeholders at all levels.nA relentless focus on delivering results and exceeding expectations, taking full ownership of your projects from start to finish.nA strategic problem\-solver with a passion for continuous improvement and a knack for identifying and resolving bottlenecks.nSelf\-motivated and proactive, with the ability to thrive in a fast\-paced, ambiguous environment.
**Preferred Qualifications**
 Experience with data annotation tools and workflows, and a strong understanding of machine learning concepts and methodologies.
**Pay \&amp; Benefits**
 At Apple, base pay is one part of our total compensation package and is determined within a range. This provides the opportunity to progress as you grow and develop within a role. The base pay range for this role is between $163,300 and $245,800,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64">
      <c r="A64" t="inlineStr">
        <is>
          <t>li-4362842728</t>
        </is>
      </c>
      <c r="B64" t="inlineStr">
        <is>
          <t>Principal Product Manager, Consumer Copilot- Productivity</t>
        </is>
      </c>
      <c r="C64" t="inlineStr">
        <is>
          <t>Microsoft</t>
        </is>
      </c>
      <c r="D64" t="inlineStr">
        <is>
          <t>linkedin</t>
        </is>
      </c>
      <c r="E64">
        <f>HYPERLINK("https://www.linkedin.com/jobs/view/4362842728", "https://www.linkedin.com/jobs/view/4362842728")</f>
        <v/>
      </c>
      <c r="F64" t="inlineStr"/>
      <c r="G64" t="inlineStr">
        <is>
          <t>Redmond, WA</t>
        </is>
      </c>
      <c r="H64" t="inlineStr"/>
      <c r="I64" t="inlineStr">
        <is>
          <t>**Overview**
 At Microsoft AI, our mission is to make Microsoft Copilot the best AI for hundreds of millions of consumers and prosumers who rely on Microsoft’s productivity suite. We are dedicated to defining and iterating on model capabilities, response quality, and user experience for productivity use cases—leveraging Microsoft’s knowledge graph and our robust product ecosystem to deliver seamless, intuitive, and high\-quality workflows across Word, Excel, PowerPoint, OneDrive, Outlook, and OneNote.
 You’ll champion consumer\-first design principles while thoughtfully balancing the needs of prosumers, freelancers, students, and small\-business owners.
 A key part of this role is ensuring capabilities and UX coherence with
 **Microsoft’s productivity suite** 
 offering driving familiarity and easy adoption in the workplace. By translating insights from consumer and prosumer users into roadmaps that scale to business users, you’ll help create a clear, connected offering that empowers everyone to achieve more. You’ll work on consumer
 **Copilot with a Productivity Lense.**
 Join a small, fast\-moving team where your work will have real and immediate impact. We obsess about users, make evidence\-based decisions, and ship regularly. If you’re passionate about building products that define the AI era and thrive in a collaborative, high\-growth environment, this is your opportunity to shape the future of
 **productivity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Create 0 to 1 products that transform cutting\-edge AI capabilities into world\-class applications of LLM.
* Contribute to the product vision and roadmap for Microsoft Copilot (consumer/prosumer product) that enable Productivity and M365 workflows in Microsoft Copilot
* Be responsible for understanding user needs and behaviors, defining product requirements, managing end to end product development, launches and iterations.
* Partner with design, engineering, and data science to deliver delightful, high\-utility features.
* Establish metrics and evaluations for model responses, capabilities, and user behaviors. Establish clear goals, design experiments, and measure success through data analysis and research insights.
* Advocate for cross\-platform consistency (desktop, mobile, web) that meets the diverse needs of our users.
* Find paths to get things done despite roadblocks to get your work into the hands of users quickly and iteratively.
* Embody our Culture and Values.
**Qualifications**
**Required Qualifications:** 
* Bachelor's Degree AND 8\+ years experience in product management or software development OR equivalent experience.
**Preferred Qualifications:** 
* Bachelor's Degree AND 10\+ years experience in product or software development OR equivalent experience.
* Experience as a startup founder is a plus.
* Demonstrated success building productivity products. Experience integrating with Microsoft’s suite of products is not required but is a helpful plus.
* Proven track record as a product manager with firsthand experience prompting, evaluating and deploying LLM applications into production.
* Track record of creating design\-driven consumer products from concept to launch and finding product market fit.
* Demonstrated success building consumer products that leverage Machine Learning or Large Language Models (LLMs).
* Have experience in working side\-by\-side with AI researchers and engineers.
* Experienced in concurrently driving multiple high stakes, time sensitive projects that span teams and time zones.
* Ability to work in a fast\-paced environment and adapt to changing requirements and deadlines.
* Demonstrate a proactive attitude and enthusiasm for exploring new methods and technologies.
* Visionary but pragmatic. You can develop a vision and also lay out clear steps to get there.
* Working knowledge of SQL and coding skills (Python, JavaScript) is a plus.
 \#copilot \#MicrosoftAI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5">
      <c r="A65" t="inlineStr">
        <is>
          <t>li-4357648608</t>
        </is>
      </c>
      <c r="B65" t="inlineStr">
        <is>
          <t>ML Data Program Manager</t>
        </is>
      </c>
      <c r="C65" t="inlineStr">
        <is>
          <t>Apple</t>
        </is>
      </c>
      <c r="D65" t="inlineStr">
        <is>
          <t>linkedin</t>
        </is>
      </c>
      <c r="E65">
        <f>HYPERLINK("https://www.linkedin.com/jobs/view/4357648608", "https://www.linkedin.com/jobs/view/4357648608")</f>
        <v/>
      </c>
      <c r="F65" t="inlineStr"/>
      <c r="G65" t="inlineStr">
        <is>
          <t>Cupertino, CA</t>
        </is>
      </c>
      <c r="H65" t="inlineStr"/>
      <c r="I65" t="inlineStr">
        <is>
          <t>**Summary**
 Would you like to contribute to generative AI and transform how people interact with AI technologies? Do you believe Machine Learning and AI can change the world? We truly believe it can! We are the Machine Learning Operations Data Team, part of Intelligent System Experience (ISE) group within the software engineering organization at Apple. We are responsible for building high\-quality ML datasets at scale, used to train ML models that power AI\-centric features for many Apple products (iPhone, iPad, Mac, Apple Watch, and even AirPods). Such features as Apple Intelligence, face recognition of your loved ones in your Photos app, and input experiences (e.g., autocorrect, next\-word prediction, handwriting recognition) are all features our team has supported.nnWe are looking for a talented individual to drive Data Programs supporting ML features, in close collaboration with our Ru0026D partners, and to run the corresponding data projects end\-to\-end (collection u0026 annotation). We invite you to join us at this exciting time! Grow fast and positively impact multiple critical features on your first day at Apple!
**Description**
 Our MLO Data team focuses on data acquisition, data synthesis, data science, annotation, and data QA. Each year, we power dozens of features and work closely with ML teams across the Software Organization. Apple's commitment to deliver incredible experiences to a global and diverse set of users in full respect of their privacy leads our team to explore innovative ways of collecting and annotating data. nnThis role is responsible for overseeing the end\-to\-end process for our Ru0026D partners machine learning data needs; from conceptualization to completion, and ensuring that the data delivered to Ru0026D meets Apple's rigorous quality standards.
**Minimum Qualifications**
 Bachelors degree in computer science or related field; or equivalent practical experience.n5 years of experience with program/project management.
**Preferred Qualifications**
 Exhibits excellent program/project management, communication, interpersonal, analytical, and organizational skillsnA talent for creating ML datasets focusing on end\-to\-end user experience by foreseeing issues, handling edge cases, and removing bias while ensuring inclusion and fairnessnProficient in problem\-solving and critical thinking, with a focus on innovation and continuous improvement nScripting skills (Python) to automate tasks, compute metrics and explore use of workflows combining ML and human inputsnSelf\-starter, able to handle ambiguity, identify risks, troubleshoot, and find the right people and tools to get the job donenCapacity to multitask and manage multiple projects in parallel while meeting deadlines, and maintaining clear and effective communication with stakeholders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66">
      <c r="A66" t="inlineStr">
        <is>
          <t>li-4359018535</t>
        </is>
      </c>
      <c r="B66" t="inlineStr">
        <is>
          <t>Global Product Manager - Fremont, CA or Portland, OR</t>
        </is>
      </c>
      <c r="C66" t="inlineStr">
        <is>
          <t>BASF Environmental Catalyst and Metal Solutions</t>
        </is>
      </c>
      <c r="D66" t="inlineStr">
        <is>
          <t>linkedin</t>
        </is>
      </c>
      <c r="E66">
        <f>HYPERLINK("https://www.linkedin.com/jobs/view/4359018535", "https://www.linkedin.com/jobs/view/4359018535")</f>
        <v/>
      </c>
      <c r="F66" t="inlineStr"/>
      <c r="G66" t="inlineStr">
        <is>
          <t>Fremont, CA</t>
        </is>
      </c>
      <c r="H66" t="inlineStr"/>
      <c r="I66" t="inlineStr">
        <is>
          <t>Leveraging its deep expertise as the global leader in catalysis and precious metals, BASF Environmental Catalyst and Metal Solutions (ECMS) serves customers in many industries including automotive, aerospace, indoor air quality, semiconductors and hydrogen economy, and provides full loop services with its precious metals trading and recycling offering. With a focus on circular solutions and sustainability, ECMS is committed to helping our customers create a cleaner, more sustainable world. Protecting our elements of life is our purpose and this inspires us to ever\-new solutions.
 ECMS operates globally in 15 countries with approximately 20 production sites and over 4,000 employees.
**As the Global Product Manager, Temperature Sensing (TS) you will LEAD by……….**
 Focusing on driving revenue growth and profitability margin expansion primarily by collaborating with different functions such as Sales, Application Technology, Product Development, Manufacturing, Operations, Controlling through partnership to (1\) gain profitable market share, (2\) develop and implement pricing strategies, (3\) develop new products that meets customer needs and enables us to capture additional value, (4\) end\-to\-end profit and operational analysis for optimal business performance for PGM (Platinum Group Metal products) and non\-PGM elements of our business, etc.
 Success is measured by effective business management of the existing line, and development and implementation of a profitable growth strategies in all regions globally focusing on external and internal measures.
 The incumbent is a key member of the TS leadership team, and partners with members to develop and implement the overall business plan.
 In this role you will manage the key business flows:
**Margin Management**
* Responsible for the margin management of the TS portfolio globally
* Ownership of pricing and pricing process
* Initiates activities to reduce costs from the system, including overall end\-to\-end PGM (Platinum Group Metals) and non\-PGM activities
* Customer bids
* Cost and complexity optimization of the TS portfolio by optimizing end\-to\-end activities
**Portfolio Management**
* Responsible for product portfolio strategy per market segments
* Monitors competitive landscape; identifies business opportunities, risks, and unmet needs
* Supports product development and product launch activities
* Coordinates growth projects cross\-business functions and within ECMS.
* Actively participates and decides on product related topics on supply chain, planning, quality, regulatory, product allocation, etc.
* Value chain optimization and capital projects
**Contract Management**
* Partners with Sales for 3rd party agreements
* Partners with Technology Manager to optimize tollers and / or suppliers
**Forecast and short\-term budget process**
* Business financial forecasting in collaboration with Sales, Controlling, Operations, etc.
* Responsible to develop the short\-term plan
**Your elements for success……**
* BA/BS required: a degree in Engineering, or extensive experience in relevant raw materials and markets. MBA Preferred
* Minimum 6 years’ experience in sales, marketing, product management, procurement.
* Demonstrated analytical, organizational, reporting and communication skills plus business acumen are required.
* Knowledge of pricing, business planning, budgeting and forecasting methodology is required.
* Experienced in working in complex, interdisciplinary and cross\-functional teams with ability to build organizational alignment cross\-functionally through collaboration and trust
* Proven track record of achieving short\-term financial results while developing and implementing long\-term measures
* Understanding of PGMs, and/or semiconductor/industrial glass is a plus but not needed
* Must be willing and able to travel 20% of the time, including internationally
**You @ BASF ECMS**
 At BASF ECMS you get more than just compensation, Medical \&amp; Dental. Our total offer includes a wide range of elements you need to be your best in every stage of your life.
* Flexible Work Arrangements whenever possible
* Retirement Benefits with company contributions
* Competitive Medical and Dental Plan Options
* Disability and Life Insurance Programs
* Wellness Programs
* Maternity/Paternity Leave, Infertility \&amp; Adoption reimbursement
* Mentoring \&amp; Development Programs
* Employee Discounts
* Pet insurance
**What are you waiting for? Click Apply now to BELONG@BASF!!**
 BASF ECMS takes security \&amp; data privacy very seriously. We will never request financial information of any kind via email, private text message or direct message on any social medial platform or job board. Furthermore, we will never send a candidate a check for equipment or request any type of payment during the job application process. If you have experienced any of the above, please contact HR4U.US@basf\-catalystsmetals.com to report fraud. BASF is committed to pay transparency practices. The competitive Pay Range for this role is $115k\-$135k annually. Actual pay will be determine based on education, certifications, experience, and other job\-related factor permitted by law.
**All qualified applicants will receive consideration for employment without regard to race, color, religion, sex, sexual orientation, gender identity, national origin, disability, veteran status.**</t>
        </is>
      </c>
    </row>
    <row r="67">
      <c r="A67" t="inlineStr">
        <is>
          <t>li-4362892707</t>
        </is>
      </c>
      <c r="B67" t="inlineStr">
        <is>
          <t>Product Manager, Business Services</t>
        </is>
      </c>
      <c r="C67" t="inlineStr">
        <is>
          <t>Brookfield Renewable U.S.</t>
        </is>
      </c>
      <c r="D67" t="inlineStr">
        <is>
          <t>linkedin</t>
        </is>
      </c>
      <c r="E67">
        <f>HYPERLINK("https://www.linkedin.com/jobs/view/4362892707", "https://www.linkedin.com/jobs/view/4362892707")</f>
        <v/>
      </c>
      <c r="F67">
        <f>HYPERLINK("https://recruiting.ultipro.com/BRO5000/JobBoard/e1435ed8-dbc2-47e9-92c0-0753720e6d4a/OpportunityDetail?opportunityId=326d1701-27f7-461e-a69a-6a47641279af&amp;source=LinkedIn&amp;urlHash=9RqK", "https://recruiting.ultipro.com/BRO5000/JobBoard/e1435ed8-dbc2-47e9-92c0-0753720e6d4a/OpportunityDetail?opportunityId=326d1701-27f7-461e-a69a-6a47641279af&amp;source=LinkedIn&amp;urlHash=9RqK")</f>
        <v/>
      </c>
      <c r="G67" t="inlineStr">
        <is>
          <t>New York, NY</t>
        </is>
      </c>
      <c r="H67" t="inlineStr"/>
      <c r="I67" t="inlineStr">
        <is>
          <t>Reporting to the Director of Program Management, the Product Manager – Business Services will join a team of high performing and collaborative professionals, working closely together on the development and execution of Brookfield Renewable’s growth strategies in North America. The Product Manager role will be responsible for identifying and supporting of a variety of process improvements and revenue enhancement initiatives with business groups. They will need to work with teams across internal business units to diligence opportunities, develop business cases and complete projects in parallel to ensuring that the value drivers in the business cases are realized.
 The Product Manager has accountability for identifying ways to drive additional value from the platforms which includes strategy development and the implementation of the solution and support model. This position will work closely with internal customers and external vendors to ensure the platforms are satisfying the business’ needs; this could include day\-to\-day support, developing and managing product roadmaps and enhancements, and managing third party providers relevant to products in scope.
**Responsibilities**
* Own the lifecycle of assigned business applications (Salesforce, Sirion Labs), ensuring product health, vendor management, and stakeholder satisfaction.
* Provide a supporting role for Workday by partnering with business stakeholders to identify improvement opportunities and coordinate with the application owner for delivery.
* Adapt to evolving priorities, taking on new responsibilities as business needs shift.
* Identify opportunities for optimization and innovation, driving cost savings, efficiency, and business transformation.
* Partner with business and IT stakeholders to define requirements, outcomes, and ensure technology supports current and future digital transformation initiatives.
* Work with leadership to prioritize initiatives and develop business cases to justify projects.
* Lead multiple projects in parallel, managing scope, schedule, and budget while ensuring business outcomes are achieved.
* Must be self\-driven and lead through influence with the ability to simplify complex problems, advocate for solutions, and speak their opinion.
* Promote the adoption of AI tools across the organization by promoting awareness, engagement, and practical usage.
* Collaborate with other product managers and technology owners to assess where and how AI capabilities should be leveraged across business platforms, ensuring alignment with product goals and technical feasibility.
**Requirements**
* University degree in Business Administration, Computer Science, or Engineering
* Experience leading medium to large projects, possessing a well\-rounded technical background.
* Experience with Salesforce (CRM), Sirion (CLM), Workday (HRIS) or similar enterprise solutions is preferred.
* Experience with AWS tools, Databricks, Power BI, Alteryx, and Tableau is a plus.
* Experience or certification in Lean Six Sigma, Agile, or PMP is a plus.
* Excellent interpersonal, organizational, written, and oral communication and presentation skills, with proven experience writing and delivering presentations
* Highly collaborative, flexible, and team\-oriented</t>
        </is>
      </c>
    </row>
    <row r="68">
      <c r="A68" t="inlineStr">
        <is>
          <t>li-4362792354</t>
        </is>
      </c>
      <c r="B68" t="inlineStr">
        <is>
          <t>Technical Product Manager (Manufacturing Test)</t>
        </is>
      </c>
      <c r="C68" t="inlineStr">
        <is>
          <t>Synopsys Inc</t>
        </is>
      </c>
      <c r="D68" t="inlineStr">
        <is>
          <t>linkedin</t>
        </is>
      </c>
      <c r="E68">
        <f>HYPERLINK("https://www.linkedin.com/jobs/view/4362792354", "https://www.linkedin.com/jobs/view/4362792354")</f>
        <v/>
      </c>
      <c r="F68">
        <f>HYPERLINK("https://careers.synopsys.com/job/-/-/44408/90597897936&amp;urlHash=DwZI", "https://careers.synopsys.com/job/-/-/44408/90597897936&amp;urlHash=DwZI")</f>
        <v/>
      </c>
      <c r="G68" t="inlineStr">
        <is>
          <t>Sunnyvale, CA</t>
        </is>
      </c>
      <c r="H68" t="inlineStr"/>
      <c r="I68" t="inlineStr">
        <is>
          <t>We Are:
 At Synopsys, we drive the innovations that shape the way we live and connect. Our technology is central to the Era of Pervasive Intelligence, from self\-driving cars to learning machines. We lead in chip design, verification, and IP integration, empowering the creation of high\-performance silicon chips and software content. Join us to transform the future through continuous technological innovation.
 You Are:
 You are a visionary and strategic thinker with a passion for technology and a drive to make a lasting impact in the semiconductor industry. You thrive in dynamic, collaborative environments and are motivated by the challenge of solving complex problems that define the future of intelligent systems. With a deep understanding of customer workflows and technical requirements, you excel at translating market needs into actionable product strategies. You are a bridge builder—connecting cross\-functional teams, customers, and stakeholders to deliver innovative solutions that address real\-world challenges.
 Your experience in product management is complemented by a keen ability to analyze competitive landscapes, identify market opportunities, and position products for success. You possess exceptional communication skills, allowing you to convey technical concepts to diverse audiences and inspire teams to achieve ambitious goals. You are comfortable owning the development of product requirements, driving cross\-team collaboration, and presenting at major industry forums. Your technical acumen is matched by your commitment to continuous learning and professional growth. Above all, you believe that the best products are built through empathy, inclusiveness, and a relentless pursuit of excellence.
 What You’ll Be Doing:
* Serve as the domain expertin design\-for\-test (DFT), deeply understanding customer workflows and how theyimpactSynopsys’ product offerings.
* Own the development ofSolutionRequirements Documents (SRDs) based onusecase\-driven requirements, collaborating withcustomers,Product Engineers (PEs)and R\&amp;D to define feature specifications and delivery timelines.
* Work with Product Managers (PMs) to define release content plans, prioritizecritical case tasks and conduct release readiness reviews.
* Develop and deliver product\-specific Field Application Engineer (FAE)usecase training in partnership with PEs.
* Conduct technical win/loss analysis, competitive analysis, and position Synopsys products to address market challenges.
* Drive “Teacher Customer” engagements, acting as the interface between Field AEs and R\&amp;D for pre\-GA customer interactions.
* Createcompellingtechnical collateral, including blogs, demos, and whitepapers, toshowcaseproduct capabilities.
* Lead content development and presentations for your products atcustomerTechnical Review Meetings (TRMs) alongside PE and FAEs.
 The Impact You Will Have:
* Shape the direction of Synopsys’ product portfolio by aligning solutions with evolving customer needs and industry trends.
* Accelerate time\-to\-market forinnovative product features that enable customers to solve complex design and verification challenges.
* Enable cross\-functional teams to deliver best\-in\-class solutions through clear requirements, robust training, and effective release planning.
* Drive competitive differentiation for Synopsys products byleveragingmarket intelligence and technical positioning.
* Enhance customer satisfaction and adoption through targeted engagement and support of “Teacher Customers.”
* Amplify Synopsys’ thought leadership through impactful technical content and industry presentations.
* Strengthen Synopsys’ reputation as a trusted partner in the semiconductor ecosystem.
 What You’ll Need:
* Proven experience in technical leadership inDesign\-for\-Test (DFT)domaininsemiconductorindustry.
* Strong understanding of Design\-for\-Test (DFT) in both logictest(e.g.TestMAXproduct family)and memory test\&amp; repair(e.g.SynopsysStar Memory System).
* Expertise intechnical competitive analysis and product positioning strategies.
* Experience in developing technical training, collateral, and customer engagement programs.
* Ability to synthesize market intelligence and translate it into actionable product plans.
 Who You Are:
* Strategic thinker with strong analytical skills and attention to detail.
* Excellent communicator, adept at conveying complex technical concepts to diverse audiences.
* Collaborative leader who thrives in cross\-functional, multicultural teams.
* Customer\-focused and empathetic, with a passion for delivering value and building lasting relationships.
* Adaptable, resourceful, and resilient in fast\-paced environments.
* Proactive problem solver and continuous learner, eager to stay ahead of industry advancements.
 The Team You’ll Be A Part Of:
 You will join a high\-impact product management team at Synopsys, working closely with Product Managers, Product Engineers, R\&amp;D, and Field Application Engineers. Our team is dedicated to driving innovation, shaping product strategy, and delivering solutions that empower global leaders in the semiconductor industry. Together, we foster an inclusive, collaborative environment where diverse perspectives fuel creativity and excellence.</t>
        </is>
      </c>
    </row>
    <row r="69">
      <c r="A69" t="inlineStr">
        <is>
          <t>li-4350325565</t>
        </is>
      </c>
      <c r="B69" t="inlineStr">
        <is>
          <t>Product Manager III (Sr. PM) Medical Computing</t>
        </is>
      </c>
      <c r="C69" t="inlineStr">
        <is>
          <t>TEGUAR</t>
        </is>
      </c>
      <c r="D69" t="inlineStr">
        <is>
          <t>linkedin</t>
        </is>
      </c>
      <c r="E69">
        <f>HYPERLINK("https://www.linkedin.com/jobs/view/4350325565", "https://www.linkedin.com/jobs/view/4350325565")</f>
        <v/>
      </c>
      <c r="F69" t="inlineStr"/>
      <c r="G69" t="inlineStr">
        <is>
          <t>Charlotte, NC</t>
        </is>
      </c>
      <c r="H69" t="inlineStr"/>
      <c r="I69" t="inlineStr">
        <is>
          <t>Teguar is a leading provider of cutting\-edge industrial and medical computer solutions that are specifically designed to provide reliable performance in the most demanding environments and applications. Founded in 2010, we are a fast\-growing Inc 5000 company focused on product excellence, outstanding service, and a high\-performing team.
 We are seeking an experienced Product Manager to lead our fastest \- growing Medical market segment. This role will drive the adoption of Teguar's advanced computing hardware in cutting\-edge medical applications.
**SUMMARY:** 
 As the Product Manager, you will own the strategy, roadmap, and commercial outcomes for Teguar's medical portfolio (e.g, medical AIOs/panel PCs,/box PCs/monitors). You'll lead OEM/ODM programs end\-to\-end, influence global vendors/CMs, and launch differentiated products that win in regulated healthcare settings.
**What you'll do..** 
**Own the business:** 
 Set vision and multi\-year roadmap; write and review product requirements (MRD/PRD); make vs buy vs. ODM decisions; define pricing/ASP and GM guardrails; manage EOL and migration plans.
**Ship great products:** 
 Lead cross\-functional teams through development phases to launch on time, on cost, and to quality; de\-risk supply with alternate BOMs; drive sustaining and quality fixes.
**Win the market:** 
 Position against competitors; create value propositions, messaging, and enablement with Marketing; build TEI/business cases for key accounts; support Sales/SE on strategic deals.
**Influence the ecosystem:** 
 Develop vendors/partners; negotiate roadmaps and customizations; secure favorable lead times, MOQs, and NRE terms. Represent Teguar at key customer meetings, international trade shows, and industry events.
**Measure outcomes:** 
 Hit line revenue and GM% targets; improve win rate and deal velocity; increase attach rate on services (imaging, BIOS, accessories).
**Team empowerment:** 
 Be the knowledge resource to Product Specialists and Application Engineers, development their product expertise to effectively support sales and customers.
**QUALIFICATIONS:** 
* Bachelor's Degree from four\-year college or university and 6\+ years' experience in
 **B2B hardware product management (industrial/medical/embedded preferred), with multiple launches in OEM/ODM contexts** 
 ; OR a minimum 9 years of experience in lieu of education, OR an equivalent combination of education and experience.
 REQUIREMENTS:
* Experience in the medical industry or direct knowledge of medical electrical safety testing (IEC 60601\-1\-2 and 60601\-1\-2 (EMC). Bonus: ISO 14971, ISO 13485, IEC 62304, FDA 510(k)/EU MDR.
* Hands\-on experience with computers and subsystems (display/touch, wireless, I/O, CPU, storage, memory) and comfort in lab/bench validation discussions.
* Direct experience leading and launching new technical products in a B2B market.
* Proven vendor/CM engagement across time zones; excellent executive and customer communication.
* Knowledge of some of the latest technology used in computers such as display \&amp; touchscreen technology, wireless, common input/outputs, CPU, Storage, Memory
* A true passion for learning about and leveraging new technology
* Prior experience mentoring Product Specialists/Apps Engineers and leading without direct reports.</t>
        </is>
      </c>
    </row>
    <row r="70">
      <c r="A70" t="inlineStr">
        <is>
          <t>li-4353471638</t>
        </is>
      </c>
      <c r="B70" t="inlineStr">
        <is>
          <t>Principal Product Manager (Customer Data Platform)</t>
        </is>
      </c>
      <c r="C70" t="inlineStr">
        <is>
          <t>Altana</t>
        </is>
      </c>
      <c r="D70" t="inlineStr">
        <is>
          <t>linkedin</t>
        </is>
      </c>
      <c r="E70">
        <f>HYPERLINK("https://www.linkedin.com/jobs/view/4353471638", "https://www.linkedin.com/jobs/view/4353471638")</f>
        <v/>
      </c>
      <c r="F70" t="inlineStr"/>
      <c r="G70" t="inlineStr">
        <is>
          <t>Washington, DC</t>
        </is>
      </c>
      <c r="H70" t="inlineStr"/>
      <c r="I70" t="inlineStr">
        <is>
          <t>Altana is the network for trusted trade. Our AI\-powered product network empowers governments and businesses to build a more resilient and secure global economy while keeping trade flowing.
 The Role: Principal Product Manager, Customer Data Platform
 As the Principal Product Manager for Customer Data Platform, you will be the owner defining strategy/product vision through feature definition and roadmap prioritization. You’ll work closely with marketing and finance teams for positioning, naming, GTM/adoption, and financial metrics. We are looking for an experienced product leader who is passionate about deeply understanding ambiguous customer problems, with demonstrated success working with engineering to deliver solutions, and translating them into disruptive, successful products that delight customers. As a Principal Product Manager with a focus on Customer Data Platform, you are defining the link between our customers' core enterprise systems and the Altana product network.
 Your mission is to
 **accelerate our customers' time\-to\-value** 
 . You will deeply understand customer IT, data, and security needs to architect and build robust, scalable data integrations that solve their most pressing supply chain challenges. For many customers, their supply chain data is trapped in silos—messy ERP records, fragmented PLM files, or disparate spreadsheets. Your mission is to lower the barrier to entry for everyone. You will build the "pipes" and the "intelligence" that allow any organization—from a small specialized manufacturer to a global logistics giant—to onboard their data to Altana and see immediate value.
 You will own the end\-to\-end data journey: from the moment a user hits "Connect" or "Upload," through the complex machinery of entity resolution, to the creation of a clean, unified view of their supply chain, collaborating with their suppliers, logistics providers, and regulatory agencies.
 What You'll Do
 As a key technical partner for the customer, your responsibilities will fall into three primary areas:
 Universal Connectivity
* The Integration Strategy: Define and execute the roadmap for getting data into Altana. You will own the suite of ingestion methods: high\-volume REST APIs for tech\-forward clients, native connectors for major ERPs (SAP, Oracle, Microsoft Dynamics), and simple, robust flat\-file importers for smaller suppliers.
* Partner Ecosystem: Identify the most critical systems our customers use and lead the development of "One\-Click" integrations that remove the need for custom engineering work.
* Streaming \&amp; Real\-Time: Move us beyond static snapshots. Architect pipelines that support continuous data synchronization, ensuring the customer’s view of their supply chain is always current.
 Intelligent Onboarding \&amp; Data Harmonization
* Self\-Service Mapping: Build intuitive, low\-code tools that allow non\-technical users to map their internal data fields (e.g., "Vendor\_ID") to Altana’s canonical schema. Make the onboarding process "wizard\-driven" rather than service\-driven.
* Automated Entity Resolution: Work with our AI teams to productize our matching logic. When a customer uploads a messy supplier list, your product should automatically clean, standardize, and resolve those rows against global entities.
* Data Quality Feedback: Create a transparent feedback loop. If a customer uploads bad data (broken formatting, missing fields), the system should instantly tell them what went wrong and how to fix it, without needing a support ticket.
 Scalability \&amp; Security
* Tiered Experience: Design an experience that works for the "long tail." A small supplier should be able to onboard in minutes via self\-service, while a large enterprise needs robust controls for massive data volume and complex permissioning.
* Trust \&amp; Governance: Ensure that our ingestion infrastructure meets the highest standards of security. You will define how we handle encryption, data residency, and access controls during the ingestion process, ensuring customers feel safe using their most sensitive supply chain data with Altana.
 Who You Are
* Integration \&amp; Data Product Expert: You have 7\+ years of Product Management experience, ideally with a deep understanding of integration between data platforms. You know how to move data from Point A to Point B, you know how to clean it up when it gets there, and know how to design platforms as a data steward.
* UX\-Centric Technicality: You understand the "plumbing" (APIs, EDI, ETL/ELT, JSON), but you are obsessed with the user experience. You hate clunky integration projects and strive to make data onboarding feel like magic.
* Enterprise \&amp; SMB Fluency: You can earn trust with a CIO at a Fortune 500 company by speaking their language (governance and security), but you also have empathy for the Operations Manager at a mid\-sized firm who just wants to upload a CSV and get to work.
* Problem Solver: You’re resilient to real\-world data challenges and the messiness of real\-world data. You understand that "Master Data Management" is hard, and you enjoy building tools to simplify it.
* Builder: You don’t just write requirements; you define system interfaces of the solution alongside engineering. You have the courage to roll up your sleeves and define API specs and data schemas, especially as it relates to the user experience.
***This role can be based in any of our US Altana hub locations, with hybrid work flexibility: Brooklyn, NY, Washington, DC, Boston, MA, or San Francisco, CA***
**US Salary Range And Benefits**
**$200,000 \- $255,000 USD**
**Benefits**
 The salary range, to the extent specified for this role, is a good faith statement of the minimum and maximum levels of the annual based salary for the position. The base salary offered to a successful candidate will depend on a wide range of compensation factors, including, but not limited to, work experience, education and/or training, critical skills, and/or business considerations. Competitive equity grants are included in the majority of full time offers; and are considered part of Altana's total compensation package. Altana also offers either a discretionary bonus or a variable compensation plan depending on the role. Additionally, Altana offers top\-tier benefits for full\-time employees, including:
* Flexible Time Off: Altana operates with a Flexible Time Oﬀ (FTO) policy that gives you agency over your own time oﬀ so you can maximize your work\-life balance.
* Parental Leave: We oﬀer industry leading Paid Parental Leave (PPL), providing 14 weeks of leave for non\-birthing, adoptive, and foster parents and up to 26 weeks of leave for birthing parents, all paid at 100% of your base salary.
* Health Benefits: We have a full suite of medical, vision, and dental benefits with generous employer contributions, designed to give you flexibility and choice for your individual health situation. Our high deductible health plan is 100% employer paid for employees and supplemented with an employer contribution to your Health Savings Account (HSA). There is also a Flexible Spending Account (FSA) option.
* Supplemental Benefits: Altana provides life, short\- and long\-term disability, and AD\&amp;D insurance coverage, all at no cost to you, so you know that you and your loved ones are covered in case of an emergency.
* 401(k) Savings: Save for and invest in your future using our Guideline 401(k) retirement savings program.
* Commuter Benefits: Save money on your commute by setting aside pre\-tax funds for public transit or parking!
* Wellness: Because we value mental and emotional health, every Altana employee has access to a free premium subscription to Calm, the \#1 app for meditation, sleep, and mindfulness.
* Pet Insurance: Pets are family too! Keep them healthy with Wishbone insurance and / or our Total Pet vet service and telehealth discount plan.
* Employee Assistance Program: Free access to confidential personal support.
* Dependent Care FSA: You will have access to a Dependent Care FSA, which allows you to set aside pre\-tax funds for childcare expenses
 The recruiter assigned to this role can share more information about the specific compensation and benefit details associated with this role during the hiring process.
**Our Values**
 Our values are the core beliefs that shape who we are, what we stand for, and how we behave.They form the foundation of Altana’s culture and integrity and guide how we hire, design, build, and connect with each other and our customers.
* Trust: Our customers and partners entrust us with missions of the highest importance. We honor that by keeping our word, meeting commitments, and ensuring every action we take reinforces confidence in us. We rely on each other to deliver, to speak openly, and to hold ourselves accountable.
* Resilience: In a world of uncertainty and complexity, our work must withstand challenges, evolve with conditions, and ensure reliability over time. Resilience is both how we operate and what we deliver. It’s how we respond when things don’t go to plan –– we adapt, we support each other, and we keep moving forward.
* Stewardship: We are stewards of every mission we touch. Because our work impacts lives and futures, we hold ourselves accountable to delivering mission impact and never compromising. Our responsibility extends beyond individual projects to the broader system of global trade. We believe that stewardship starts from within so that we can bring focus, creativity, and excellence to our work. Each of us is personally responsible for fostering a workplace where people can thrive. And we are stewards of the greater good of the company. By holding ourselves and each other accountable, we build a culture of innovation and collective success that reflects the scale of our mission.
* Courage: Courage is what unlocks the seemingly impossible for our customers. It’s the core value that drives us make bold moves and take on big, complicated network problems—the ones others avoid. We know success isn't guaranteed, but we have the audacious vision to believe a solution is possible and to build it. Courage fuels our growth mindset. It means embracing challenges that make us stronger, and it’s demonstrated by how we approach hard conversations and complex projects.
 At Altana, we believe that a diverse workforce enables greater creativity, performance, and adaptability. We’re proud to be an equal opportunity employer and welcome you to join us as you are. Our employment opportunities and decisions are based on business needs and individual qualifications, without regard to race, color, religious creed, national origin, ancestry, age, physical or mental disability, medical condition, marital status, sexual orientation, gender identity or expression, genetic information, family care or medical leave status, military or veteran status, or any other characteristic protected by the laws or regulations in the areas in which we operate. We prohibit discrimination and harassment of any type, in any situation.
*Offers related to employment at Altana will come from an Altana.ai email address. We will never ask for payment as part of the interview or onboarding process.*</t>
        </is>
      </c>
    </row>
    <row r="71">
      <c r="A71" t="inlineStr">
        <is>
          <t>li-4359018673</t>
        </is>
      </c>
      <c r="B71" t="inlineStr">
        <is>
          <t>Engineering Program Manager, Siri User Experience</t>
        </is>
      </c>
      <c r="C71" t="inlineStr">
        <is>
          <t>Apple</t>
        </is>
      </c>
      <c r="D71" t="inlineStr">
        <is>
          <t>linkedin</t>
        </is>
      </c>
      <c r="E71">
        <f>HYPERLINK("https://www.linkedin.com/jobs/view/4359018673", "https://www.linkedin.com/jobs/view/4359018673")</f>
        <v/>
      </c>
      <c r="F71">
        <f>HYPERLINK("https://jobs.apple.com/en-us/details/200612170&amp;urlHash=UjBH", "https://jobs.apple.com/en-us/details/200612170&amp;urlHash=UjBH")</f>
        <v/>
      </c>
      <c r="G71" t="inlineStr">
        <is>
          <t>Cupertino, CA</t>
        </is>
      </c>
      <c r="H71" t="inlineStr"/>
      <c r="I71" t="inlineStr">
        <is>
          <t>**Summary**
 Apple Intelligence has a profound impact on our customers globally, and a new Siri plays a pivotal role in enhancing the overall experience. Collaborating closely with our development teams, Siri User Experience drives and influences the user experience for Siri across all devices within the ecosystem. We empower all devices to function seamlessly and efficiently, enabling users to request services effortlessly. Join our team and contribute to the development of Apple Intelligence across the entire Siri ecosystem.nnWe are seeking a highly skilled Engineering Program Manager with a proven track record of developing and maintaining complex software platforms, tools, and processes that deliver innovative, end\-to\-end experiences that cater to customer satisfaction. The Siri User Experience team collaborates with hardware and software partners to deliver groundbreaking Siri experiences across all platforms. We are seeking self\-motivated individuals who possess the ability to get results within highly cross\-functional teams.
**Description**
 You will drive programs and/or projects, including leading feature definition, system architecture, timelines, milestones, and risk management to ensure an on\-time delivery of features. This includes collaborating with multiple partner organizations and various disciplines such as Design, Engineering, and QA to deliver highly integrated experiences.n nCommunication is essential. Providing clear, timely, concise, and objective communication, including regular program status updates, critical issues and mitigations, changes in plans, risks, and requests for action, will be necessary for success. As an EPM on the team, you are in a critical role in bringing together engineering, design, and other teams to ensure that the right discussions and decisions are made to build a great product.
**Minimum Qualifications**
 Program Experience: At least 6\-8 years of experience in project or program management, leading cross\-functional software engineering teams in large organizations to deliver consumer\-facing technology products. Candidates should be comfortable structuring new programs and leading multiple work streams independently.nTechnical Proficiency: Solid understanding of system architecture, design trade\-offs with thorough understanding of testing, build and release processes for complex software. Should have Bachelors or equivalent experience in Computer Science or a related fieldnStrong Leadership: Proven ability to lead, influence, and resolve conflicts within large, complex teams. Must demonstrate analytical thinking, problem\-solving skills, and a product mentality.nEffective Communication: Excellent written and verbal communication skills, including presentation, negotiation, and the ability to communicate abstract ideas clearly.
**Preferred Qualifications**
 Experience working with voice assistant technologynExperience in delivering user\-facing software features and driving full\-stack development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72">
      <c r="A72" t="inlineStr">
        <is>
          <t>li-4353571359</t>
        </is>
      </c>
      <c r="B72" t="inlineStr">
        <is>
          <t>Program Manager</t>
        </is>
      </c>
      <c r="C72" t="inlineStr">
        <is>
          <t>SoTalent</t>
        </is>
      </c>
      <c r="D72" t="inlineStr">
        <is>
          <t>linkedin</t>
        </is>
      </c>
      <c r="E72">
        <f>HYPERLINK("https://www.linkedin.com/jobs/view/4353571359", "https://www.linkedin.com/jobs/view/4353571359")</f>
        <v/>
      </c>
      <c r="F72" t="inlineStr"/>
      <c r="G72" t="inlineStr">
        <is>
          <t>California, United States</t>
        </is>
      </c>
      <c r="H72" t="inlineStr"/>
      <c r="I72" t="inlineStr">
        <is>
          <t>**Job Title : Program Manager** 
**Location : Oakland; Fresno; Rocklin; San Luis Obispo; Santa Rosa, California, United States** 
**Type : Full Type** 
 Our client, a leading organization in the energy and utilities sector, is seeking a Program Manager to drive large\-scale, cross\-functional initiatives that shape the future of electric operations. This strategic role requires a proven leader capable of managing complex projects, influencing key stakeholders, and delivering measurable impact across the organization.
 The role is hybrid working from your remote office and assigned work location, in\-person, as business needs require. The work location is flexible and will be determined between the hiring leaders and the successful candidate.
**Key Responsibilities:** 
* Serve as a recognized expert in the field, representing the organization in industry and regulatory discussions related to electric operations and innovation.
* Lead the end\-to\-end execution of major cross\-functional initiatives, ensuring alignment with business goals and regulatory requirements.
* Mentor and coach project managers and junior staff, fostering a culture of continuous learning and operational excellence.
* Anticipate challenges and design innovative, data\-driven solutions to complex technical and strategic problems.
* Collaborate with senior leadership to define program objectives, establish performance metrics, and align initiatives with corporate priorities.
* Coordinate with multiple internal teams and external partners to achieve program milestones and strategic outcomes.
* Facilitate workshops and strategic planning sessions, driving consensus, storytelling, and actionable insights to support enterprise\-wide initiatives.
* Provide thought leadership and guidance to industry peers and decision\-makers to shape regulatory policies and market strategies.
**Required Qualifications:** 
* Bachelor’s degree or equivalent combination of education and experience.
* 8 years of experience managing large\-scale, strategic, or technical programs within complex organizations.
**Preferred Qualifications:** 
* Master’s degree in Business, Engineering, or a related field.
* Project Management Professional (PMP) certification.
* Demonstrated expertise in the energy, utilities, or infrastructure industries.
* Proven ability to lead high\-impact projects involving cross\-functional collaboration.
* Strong business acumen with the ability to develop strategic recommendations and influence senior stakeholders.
* Excellent communication, negotiation, and conflict resolution skills with a track record of diplomatic leadership.</t>
        </is>
      </c>
    </row>
    <row r="73">
      <c r="A73" t="inlineStr">
        <is>
          <t>li-4357659102</t>
        </is>
      </c>
      <c r="B73" t="inlineStr">
        <is>
          <t>Salesforce Product Manager</t>
        </is>
      </c>
      <c r="C73" t="inlineStr">
        <is>
          <t>Acrisure</t>
        </is>
      </c>
      <c r="D73" t="inlineStr">
        <is>
          <t>linkedin</t>
        </is>
      </c>
      <c r="E73">
        <f>HYPERLINK("https://www.linkedin.com/jobs/view/4357659102", "https://www.linkedin.com/jobs/view/4357659102")</f>
        <v/>
      </c>
      <c r="F73" t="inlineStr"/>
      <c r="G73" t="inlineStr">
        <is>
          <t>Oklahoma City, OK</t>
        </is>
      </c>
      <c r="H73" t="inlineStr"/>
      <c r="I73" t="inlineStr">
        <is>
          <t>**About Auris**
 Auris is the payroll and HR partner built for small and medium\-sized businesses who can’t afford to get it wrong. Trusted by over 50,000 businesses nationwide, Auris pairs easy\-to\-use technology with real human services to give leaders the confidence that every detail is done right \- so they can focus on growing their team and their business. Acquired by Acrisure in 2025, Auris formerly Heartland Payroll is accelerating its vision to deliver seamless human\-centered technology to help small businesses thrive.
**Summary Of This Role**
 We are seeking a Product Manager to own and evolve our Salesforce platform as a core business product. This role is responsible for defining the vision, roadmap, and execution of Salesforce capabilities that support Sales, Marketing, Customer Success, and Revenue Operations.
 The Product Manager will act as the voice of the business, translating stakeholder needs into scalable Salesforce solutions, prioritizing initiatives, and ensuring Salesforce delivers measurable business value.
**What You’ll Do**
* Own Salesforce as a core business product, including vision, roadmap, and backlog
* Partner with Sales, Customer Service, RevOps, and Finance to understand business needs and translate them into Salesforce solutions
* Define, prioritize, and deliver Salesforce enhancements that improve revenue performance, operational efficiency, and user experience
* Work closely with Salesforce Administrators, Developers, and external partners to drive delivery from discovery through release
* Lead backlog grooming, sprint planning, and release management
* Ensure data quality, security, scalability, and overall platform health
* Drive adoption of Salesforce features through clear communication, change management, and enablement
* Measure success using KPIs such as user adoption, pipeline velocity, conversion rates, and system reliability
* Continuously identify opportunities for automation, simplification, and optimization across Salesforce workflows
**What Are We Looking for in this Role?**
* Proven experience owning or managing Salesforce or CRM platforms in a product, systems, or business\-facing role
* Strong understanding of sales, marketing, and customer lifecycle processes
* Ability to translate business problems into clear requirements, user stories, and prioritized roadmaps
* Experience balancing competing stakeholder needs and making data\-driven prioritization decisions
* Comfortable working in Agile or iterative delivery environments
* Strong communication skills with the ability to influence across technical and non\-technical teams
* A strategic mindset combined with hands\-on execution
**What are our Desired Skills and Capabilities?**
* Experience with Salesforce products such as Sales Cloud, Service Cloud, CPQ, or related tools
* Knowledge of Salesforce configuration, automation, and integration best practices (e.g., Flow, objects, APIs)
* Salesforce certifications (Administrator, Advanced Administrator, or Product Owner) are a plus
* Strong analytical skills and experience using data to inform decisions and measure impact
* Familiarity with change management, user training, and enablement strategies
* Ability to think in scalable systems and long\-term platform architecture
* Collaborative, proactive, and solution\-oriented approach
**What We Offer**
* Competitive compensation
* Comprehensive benefits package
* Collaborative, mission\-driven culture with high visibility and impact
**Candidates should be comfortable with an on\-site presence to support collaboration, team leadership, and cross\-functional partnership.**
**Why Join Us:**
 At Acrisure, we’re building more than a business, we’re building a community where people can grow, thrive, and make an impact. Our benefits are designed to support every dimension of your life, from your health and finances to your family and future.
 Making a lasting impact on the communities it serves, Acrisure has pledged more than $22 million through its partnerships with Corewell Health Helen DeVos Children's Hospital in Grand Rapids, Michigan, UPMC Children's Hospital in Pittsburgh, Pennsylvania and Blythedale Children's Hospital in Valhalla, New York.
**Employee Benefits**
 We also offer our employees a comprehensive suite of benefits and perks, including:
* Physical Wellness: Comprehensive medical insurance, dental insurance, and vision insurance; life and disability insurance; fertility benefits; wellness resources; and paid sick time.
* Mental Wellness: Generous paid time off and holidays; Employee Assistance Program (EAP); and a complimentary Calm app subscription.
* Financial Wellness: Immediate vesting in a 401(k) plan; Health Savings Account (HSA) and Flexible Spending Account (FSA) options; commuter benefits; and employee discount programs.
* Family Care: Paid maternity leave and paid paternity leave (including for adoptive parents); legal plan options; and pet insurance coverage.
* … and so much more!
*This list is not exhaustive of all available benefits. Eligibility and waiting periods may apply to certain offerings. Benefits may vary based on subsidiary entity and geographic location.*
**Acrisure is an Equal Opportunity Employer.** 
 We consider qualified applicants without regard to race, color, religion, sex, national origin, disability, or protected veteran status. Applicants may request reasonable accommodation by contacting
 *leaves@acrisure.com* 
 .
**California Residents:** 
 Learn more about our privacy practices for applicants by visiting the Acrisure California Applicant Privacy Policy.
**Recruitment Fraud:** 
 Please visit here to learn more about our Recruitment Fraud Notice.
**Welcome, your new opportunity awaits you.**</t>
        </is>
      </c>
    </row>
    <row r="74">
      <c r="A74" t="inlineStr">
        <is>
          <t>li-4353640493</t>
        </is>
      </c>
      <c r="B74" t="inlineStr">
        <is>
          <t>Principal Product Manager - Performance Solutions Delivery Architecture</t>
        </is>
      </c>
      <c r="C74" t="inlineStr">
        <is>
          <t>FactSet</t>
        </is>
      </c>
      <c r="D74" t="inlineStr">
        <is>
          <t>linkedin</t>
        </is>
      </c>
      <c r="E74">
        <f>HYPERLINK("https://www.linkedin.com/jobs/view/4353640493", "https://www.linkedin.com/jobs/view/4353640493")</f>
        <v/>
      </c>
      <c r="F74">
        <f>HYPERLINK("https://factset.wd108.myworkdayjobs.com/FactSetCareers/job/Norwalk-CT-USA/Principal-Product-Manager\u002d\u002d-Performance-Solutions-Delivery-Architecture_R30960?source=LinkedIn&amp;urlHash=9iYz", "https://factset.wd108.myworkdayjobs.com/FactSetCareers/job/Norwalk-CT-USA/Principal-Product-Manager\u002d\u002d-Performance-Solutions-Delivery-Architecture_R30960?source=LinkedIn&amp;urlHash=9iYz")</f>
        <v/>
      </c>
      <c r="G74" t="inlineStr"/>
      <c r="H74" t="inlineStr"/>
      <c r="I74"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and New York City is $136,000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75">
      <c r="A75" t="inlineStr">
        <is>
          <t>li-4362900839</t>
        </is>
      </c>
      <c r="B75" t="inlineStr">
        <is>
          <t>Technology - Product Manager - Digital 4</t>
        </is>
      </c>
      <c r="C75" t="inlineStr">
        <is>
          <t>Apex Systems</t>
        </is>
      </c>
      <c r="D75" t="inlineStr">
        <is>
          <t>linkedin</t>
        </is>
      </c>
      <c r="E75">
        <f>HYPERLINK("https://www.linkedin.com/jobs/view/4362900839", "https://www.linkedin.com/jobs/view/4362900839")</f>
        <v/>
      </c>
      <c r="F75" t="inlineStr"/>
      <c r="G75" t="inlineStr">
        <is>
          <t>Beaverton, OR</t>
        </is>
      </c>
      <c r="H75" t="inlineStr"/>
      <c r="I75" t="inlineStr">
        <is>
          <t>**Job\#: 3018157**
**Job Description:**
**Title / Position:** 
 Product Manager
**Pay Rate:** 
 $64/HR
**Location:** 
 Beaverton, OR
**Who We Are Looking For**
 ! We're looking for candidates with a technical background who have experience as a Product Manager with reporting and analytics\-based products. Candidates should enjoy crafting and selling a vision, gathering requirements from customers, creating and managing a roadmap, and working with the Analytics/Engineering team to break down and prioritize the work. We're looking for someone with a proven track record demonstrating measurable business impact, who can understand and influence technology decisions, and someone who can thrive in ambiguous situations while being a true team player. We value a culture that is academic, intellectually curious, fun, open, and diverse.
**What You Will Work On**
 You will drive the strategy, roadmap, and priorities for our Consumer Product and Innovation Reporting/Analytics team, helping drive performance management metrics and enterprise reporting in areas such as Product Development and Materials Development. You will gather requirements from cross\-functional partners. You will define and prioritize stories that allow us to build world\-class solutions. You will work closely with analytics and engineering teams to deliver on program and sprint objectives and commitments. You will build assets that sell the vision, enable others, and build excitement.
**What You Bring**
* Bachelor’s degree (B.S.) in computer science, mathematics, statistics, economics, engineering, or any combination of equivalent education, experience, and training.
* 6\+ year of experience in leading reporting and analytics solutions
* Comprehensive understanding of Agile methodologies and principles and how they’re applied in workplace culture
* Demonstrated experience in leading teams of data analysts, engineers, and scrum masters in the delivery of analytics products.
* Relevant experience in data warehousing, dimensional modeling and the ability to bring standard methodologies with regard to data management, ETL, API integrations, and data governance
* Proven ability to respond to and prioritize changing business demands effectively
* Experience demonstrating interpersonal, presentation, and communication skills in communicating progress on near term and mid\-term plans to users and partners
* Expertise in best design and implementation practices in data visualization tools such as Tableau, IBM Cognos, PowerBI or QlikView
* Solid understanding of various database management systems as well as proficiency in working with large data sets.
* Experience with cloud environments such as Microsoft Azure, Google Cloud, and AWS.
* In\-depth knowledge of the relationship between business process and data products.
* Demonstrated complex critical thinking and ability to creatively solve problems with measurable business impact
* Experience addressing current and future customer needs through innovative solutions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76">
      <c r="A76" t="inlineStr">
        <is>
          <t>li-4357608599</t>
        </is>
      </c>
      <c r="B76" t="inlineStr">
        <is>
          <t>Engineering Program Manager, iCloud Efficiency - Apple Services Engineering</t>
        </is>
      </c>
      <c r="C76" t="inlineStr">
        <is>
          <t>Apple</t>
        </is>
      </c>
      <c r="D76" t="inlineStr">
        <is>
          <t>linkedin</t>
        </is>
      </c>
      <c r="E76">
        <f>HYPERLINK("https://www.linkedin.com/jobs/view/4357608599", "https://www.linkedin.com/jobs/view/4357608599")</f>
        <v/>
      </c>
      <c r="F76" t="inlineStr"/>
      <c r="G76" t="inlineStr">
        <is>
          <t>Seattle, WA</t>
        </is>
      </c>
      <c r="H76" t="inlineStr"/>
      <c r="I76" t="inlineStr">
        <is>
          <t>**Summary**
 Apple is seeking an engineering program manager to lead the critical programs for the iDEE (iCloud Data u0026 Efficiency Engineering) portfolio as part of the Apple Services Engineering (ASE) organization. We are looking for passionate, motivated individuals that want to contribute to the extraordinary services and products we offer at Apple.nYour work will focus on services, features, reliability, availability, scalability, and security while also defining and implementing standard processes that improve our operational efficiency. You will partner with teams whose mission is to build, maintain, and improve the platform and product layer of Apple’s most critical cloud services. Autonomously lead multiple projects and tracks of works of varying scale and complexity with cross\-functional and geographically dispersed development teams with only consultative direction from leadership.
**Description**
 Contains strong analytical and communication skills in order to lead business requirements across all levels of the organization. Ensure clarity and establish expectations for services requested while developing and executing processes, frameworks, metrics, project plans, defining scope, schedule, deliverables and resources. You will prioritize team activities and drive resolution of issues across all areas of the projects and programs while communicating strategic direction, status and issues to teams, leadership updates and regular partner alignment discussions. You will advise and carry out risk assessment and mitigation plans as needed. Execution is critical so you can drive maturity in programs while continuously working to improve the software development lifecycle process within the org. You must have a successful track record of being a great partner as you will represent the iDEE teams with other internal and external organizations within Apple.
**Minimum Qualifications**
 5\+ years of technical project and/or program management experience.nExperienced with software u0026 server delivery, reliability, privacy and other workflows as part of Software Delivery Lifecycle (SDLC).nCollaborative engagement and technical empathy for engineersnExperience as a project lead, able to focus and simplify, balancing the details with goals, priorities, and trade\-offs in mindnShown ability to meet deadlines and schedule constraints; working effectively with and influence multiple collaborators across a highly\-matrixed, multi\-functional organizationnAbility to filter and distill relevant information for the right audience with strong presentation skills both in person and in multi\-location meetingsnProven record in defining processes, key metrics and executing on themnLeadership and conflict resolution skillsnOutstanding written and verbal communication skillsnAble to think critically and creatively, identify risks and drive the execution across multiple teams to remediate themnSound technical foundation and highly motivated self starter. n
**Preferred Qualifications**
 Familiarity with data engineering and science projectsnExperience in software program or project management in the areas of operational and/or business insightsnProjects or programs related to operational efficiencies and cost savings n
**Pay \&amp; Benefits**
 At Apple, base pay is one part of our total compensation package and is determined within a range. This provides the opportunity to progress as you grow and develop within a role. The base pay range for this role is between $163,300 and $245,800,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77">
      <c r="A77" t="inlineStr">
        <is>
          <t>li-4359171225</t>
        </is>
      </c>
      <c r="B77" t="inlineStr">
        <is>
          <t>Operations Program Manager, iPhone</t>
        </is>
      </c>
      <c r="C77" t="inlineStr">
        <is>
          <t>Apple</t>
        </is>
      </c>
      <c r="D77" t="inlineStr">
        <is>
          <t>linkedin</t>
        </is>
      </c>
      <c r="E77">
        <f>HYPERLINK("https://www.linkedin.com/jobs/view/4359171225", "https://www.linkedin.com/jobs/view/4359171225")</f>
        <v/>
      </c>
      <c r="F77" t="inlineStr"/>
      <c r="G77" t="inlineStr">
        <is>
          <t>Cupertino, CA</t>
        </is>
      </c>
      <c r="H77" t="inlineStr"/>
      <c r="I77" t="inlineStr">
        <is>
          <t>**Summary**
 Imagine what you could do here. At Apple, new ideas have a way of becoming extraordinary products, services, and customer experiences very quickly. Bring passion and dedication to your job and there's no telling what you could accomplish. The people here at Apple don’t just build products — they craft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**Description**
 The Operations Program Manager (OPM) launches products on time, with high quality and maximum customer availability. OPMs are pivotal to the dynamic development and launch of Apple’s products. A successful NPI is a leader and facilitator; is dynamic, driven, organized and detail oriented; excels in program/ project management; communicates with ease at all levels; thrives in an ambiguous environment and is adept at facilitating actions and resolving conflicts. Furthermore, we lead within worldwide Operations and collaborate with the core product development team and other functional organizations within Apple. nnKEY RESPONSIBILITIES: n\- Drive ramp readiness with engineering, operations and OEM teams. n\- Plan capacity and lead factory equipment budget. n\- Handle component readiness to ensure part availability, quality and cost. n\- Communicate requirements and schedules to facilitate technical readiness with supply chain teams. n\- Influence product manufacturability, testability, and supply chain responsiveness in pursuit of low cost and flexibility while stewarding quality. n\- Leading all communications, upward and downward through the organization; raising key issues and options for resolution with executive teams.n\- Travel 20\-25%
**Minimum Qualifications**
 5\+ years of experience in manufacturing, process engineering or product development.nBachelors in engineering field.
**Preferred Qualifications**
 Results oriented and keen attention to detail.nStrong interpersonal skills and ability to present to management.nTechnical expertise and prior OEM management experience.nExperience with AI/ML, Machine Learning, LLM, robotic process automation, or quantum computing is preferred.nMasters or MBA are considered a plus.
**Pay \&amp; Benefits**
 At Apple, base pay is one part of our total compensation package and is determined within a range. This provides the opportunity to progress as you grow and develop within a role. The base pay range for this role is between $128,400 and $236,700,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78">
      <c r="A78" t="inlineStr">
        <is>
          <t>li-4362920386</t>
        </is>
      </c>
      <c r="B78" t="inlineStr">
        <is>
          <t>Product Manager - LoB Enablement</t>
        </is>
      </c>
      <c r="C78" t="inlineStr">
        <is>
          <t>Capital One</t>
        </is>
      </c>
      <c r="D78" t="inlineStr">
        <is>
          <t>linkedin</t>
        </is>
      </c>
      <c r="E78">
        <f>HYPERLINK("https://www.linkedin.com/jobs/view/4362920386", "https://www.linkedin.com/jobs/view/4362920386")</f>
        <v/>
      </c>
      <c r="F78">
        <f>HYPERLINK("https://dsp.prng.co/rPg8Rnb&amp;urlHash=TxJc", "https://dsp.prng.co/rPg8Rnb&amp;urlHash=TxJc")</f>
        <v/>
      </c>
      <c r="G78" t="inlineStr">
        <is>
          <t>Richmond, VA</t>
        </is>
      </c>
      <c r="H78" t="inlineStr"/>
      <c r="I78" t="inlineStr">
        <is>
          <t>**Manager, Product Management (PXDP50\)**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We are seeking strategic and dynamic product managers to lead finance transformation initiatives and drive the product evolution for our financial products. These roles will focus on rolling product led thinking in finance, streamlining operation and implementing innovative solutions that improves efficiency and business performance for our finance organization. You will collaborate with cross functional teams including finance, engineering and data to deliver impactful product improvement and strategic initiatives.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$149,800 \- $171,000 for Manager, Product Management
 Cambridge, MA: $164,800 \- $188,100 for Manager, Product Management
 McLean, VA: $164,800 \- $188,100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9">
      <c r="A79" t="inlineStr">
        <is>
          <t>li-4353650476</t>
        </is>
      </c>
      <c r="B79" t="inlineStr">
        <is>
          <t>Principal Product Manager - Performance Solutions Delivery Architecture</t>
        </is>
      </c>
      <c r="C79" t="inlineStr">
        <is>
          <t>FactSet</t>
        </is>
      </c>
      <c r="D79" t="inlineStr">
        <is>
          <t>linkedin</t>
        </is>
      </c>
      <c r="E79">
        <f>HYPERLINK("https://www.linkedin.com/jobs/view/4353650476", "https://www.linkedin.com/jobs/view/4353650476")</f>
        <v/>
      </c>
      <c r="F79" t="inlineStr"/>
      <c r="G79" t="inlineStr">
        <is>
          <t>New Jersey, United States</t>
        </is>
      </c>
      <c r="H79" t="inlineStr"/>
      <c r="I79"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and New York City is $136,000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80">
      <c r="A80" t="inlineStr">
        <is>
          <t>li-4353550527</t>
        </is>
      </c>
      <c r="B80" t="inlineStr">
        <is>
          <t>Principal Product Manager - Performance Solutions Delivery Architecture</t>
        </is>
      </c>
      <c r="C80" t="inlineStr">
        <is>
          <t>FactSet</t>
        </is>
      </c>
      <c r="D80" t="inlineStr">
        <is>
          <t>linkedin</t>
        </is>
      </c>
      <c r="E80">
        <f>HYPERLINK("https://www.linkedin.com/jobs/view/4353550527", "https://www.linkedin.com/jobs/view/4353550527")</f>
        <v/>
      </c>
      <c r="F80" t="inlineStr"/>
      <c r="G80" t="inlineStr">
        <is>
          <t>Missouri, United States</t>
        </is>
      </c>
      <c r="H80" t="inlineStr"/>
      <c r="I80"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and New York City is $136,000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81">
      <c r="A81" t="inlineStr">
        <is>
          <t>li-4353620458</t>
        </is>
      </c>
      <c r="B81" t="inlineStr">
        <is>
          <t>Principal Product Manager - Performance Solutions Delivery Architecture</t>
        </is>
      </c>
      <c r="C81" t="inlineStr">
        <is>
          <t>FactSet</t>
        </is>
      </c>
      <c r="D81" t="inlineStr">
        <is>
          <t>linkedin</t>
        </is>
      </c>
      <c r="E81">
        <f>HYPERLINK("https://www.linkedin.com/jobs/view/4353620458", "https://www.linkedin.com/jobs/view/4353620458")</f>
        <v/>
      </c>
      <c r="F81" t="inlineStr"/>
      <c r="G81" t="inlineStr">
        <is>
          <t>Utah, United States</t>
        </is>
      </c>
      <c r="H81" t="inlineStr"/>
      <c r="I81"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and New York City is $136,000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82">
      <c r="A82" t="inlineStr">
        <is>
          <t>li-4353550526</t>
        </is>
      </c>
      <c r="B82" t="inlineStr">
        <is>
          <t>Principal Product Manager - Performance Solutions Delivery Architecture</t>
        </is>
      </c>
      <c r="C82" t="inlineStr">
        <is>
          <t>FactSet</t>
        </is>
      </c>
      <c r="D82" t="inlineStr">
        <is>
          <t>linkedin</t>
        </is>
      </c>
      <c r="E82">
        <f>HYPERLINK("https://www.linkedin.com/jobs/view/4353550526", "https://www.linkedin.com/jobs/view/4353550526")</f>
        <v/>
      </c>
      <c r="F82" t="inlineStr"/>
      <c r="G82" t="inlineStr">
        <is>
          <t>Chicago, IL</t>
        </is>
      </c>
      <c r="H82" t="inlineStr"/>
      <c r="I82"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and New York City is $136,000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83">
      <c r="A83" t="inlineStr">
        <is>
          <t>li-4357698564</t>
        </is>
      </c>
      <c r="B83" t="inlineStr">
        <is>
          <t>SIP Engineering Program Manager, Apple Watch</t>
        </is>
      </c>
      <c r="C83" t="inlineStr">
        <is>
          <t>Apple</t>
        </is>
      </c>
      <c r="D83" t="inlineStr">
        <is>
          <t>linkedin</t>
        </is>
      </c>
      <c r="E83">
        <f>HYPERLINK("https://www.linkedin.com/jobs/view/4357698564", "https://www.linkedin.com/jobs/view/4357698564")</f>
        <v/>
      </c>
      <c r="F83" t="inlineStr"/>
      <c r="G83" t="inlineStr">
        <is>
          <t>Cupertino, CA</t>
        </is>
      </c>
      <c r="H83" t="inlineStr"/>
      <c r="I83" t="inlineStr">
        <is>
          <t>**Summary**
 Watch SIP (System In Package) EPM is responsible leading a broad cross\-functional team in developing Watch projects, leveraging a strong technical background to effectively manage and communicate cross\-functional issues and risks. This role is providing a unique opportunity to combine deep technical expertise with program management skills and executives exposure.n
**Description**
 Manage the planning and execution of product prototype builds, leading a cross\-functional team of electrical, software, and mechanical engineers. nnSet and communicate clear objectives for the build schedule, serving as the primary point of contact for the program with Contract Manufacturer (CM) partners.nnLead multi\-functional engineering team meetings to discuss design scope, set timelines, and ensure timely completion. You’ll understand the complexities of system integration and collaborate with teams to facilitate feedback through the internal design review process.nnMaintain good communication and provide multiple levels of status to individual contributors and executive management.
**Minimum Qualifications**
 BS Engineering degree requiredn4\-8\+ years of project management experience nExperience and familiarity with consumer electronic industryn
**Preferred Qualifications**
 Strong technical background in EE or ME. Masters in Engineering is a plusn4\+ years of project management experience with experience in working with CM partnersnDetailed knowledge of product development cycles u0026 strong understanding of manufacturing processesnExperienced in setting up project schedules and work breakdown structuresnAbility to filter and distill relevant information for the right audiencenExcellent communication, presentation, organizational and leadership skillsnHighly disciplined in workflow, process, and staying organized on priority tasksnSuperior attention to detail with a strong commitment to rigor and excellence.nAbility to manage complex build matrices and build planning through complex schedulesnSelf motivated and proactive with creative and critical thinking capabilitiesnUnderstands and deals well with rapid development cycles and constant change; remains flexible and calm in the face of uncertaintynAbility to travel internationally to support builds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84">
      <c r="A84" t="inlineStr">
        <is>
          <t>li-4353590468</t>
        </is>
      </c>
      <c r="B84" t="inlineStr">
        <is>
          <t>Principal Product Manager - Performance Solutions Delivery Architecture</t>
        </is>
      </c>
      <c r="C84" t="inlineStr">
        <is>
          <t>FactSet</t>
        </is>
      </c>
      <c r="D84" t="inlineStr">
        <is>
          <t>linkedin</t>
        </is>
      </c>
      <c r="E84">
        <f>HYPERLINK("https://www.linkedin.com/jobs/view/4353590468", "https://www.linkedin.com/jobs/view/4353590468")</f>
        <v/>
      </c>
      <c r="F84" t="inlineStr"/>
      <c r="G84" t="inlineStr">
        <is>
          <t>Vermont, United States</t>
        </is>
      </c>
      <c r="H84" t="inlineStr"/>
      <c r="I84"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and New York City is $136,000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85">
      <c r="A85" t="inlineStr">
        <is>
          <t>li-4359181112</t>
        </is>
      </c>
      <c r="B85" t="inlineStr">
        <is>
          <t>Materials Program Manager</t>
        </is>
      </c>
      <c r="C85" t="inlineStr">
        <is>
          <t>Apple</t>
        </is>
      </c>
      <c r="D85" t="inlineStr">
        <is>
          <t>linkedin</t>
        </is>
      </c>
      <c r="E85">
        <f>HYPERLINK("https://www.linkedin.com/jobs/view/4359181112", "https://www.linkedin.com/jobs/view/4359181112")</f>
        <v/>
      </c>
      <c r="F85">
        <f>HYPERLINK("https://jobs.apple.com/en-us/details/200637270&amp;urlHash=0s9e", "https://jobs.apple.com/en-us/details/200637270&amp;urlHash=0s9e")</f>
        <v/>
      </c>
      <c r="G85" t="inlineStr">
        <is>
          <t>Austin, TX</t>
        </is>
      </c>
      <c r="H85" t="inlineStr"/>
      <c r="I85" t="inlineStr">
        <is>
          <t>**Summary**
 Imagine what you could do here. World Class operational excellence is a cornerstone of Apple's ability to consistently surprise and delight our customers. The WW Materials Program Manager plays a critical role in ensuring operational success for the Procurement organization. In this role, you will be responsible for materials readiness, availability, and visibility. This is a strategic supply chain role, interacting with our Contract Manufacturers (CMs) and internal core teams, encompassing critical component planning, allocation direction, supply flexibility modeling, and materials liability management. Do you have a passion for complex supply chain operations? We hope you will consider joining our team.
**Description**
 Do you enjoy seeing products come to life? The MPM will manage the CTB (
**Minimum Qualifications**
 4\+ years of relevant experience in Operations, Manufacturing, Sourcing,Supply Chain or related area nBS/BA in Engineering,Business, Supply Chain or a related field
**Preferred Qualifications**
 Ability to problem\-solve and influence others through relationships and data.nAdvanced modeling and predictive analytical skills;
**Pay \&amp; Benefits**
 At Apple, base pay is one part of our total compensation package and is determined within a range. This provides the opportunity to progress as you grow and develop within a role. The base pay range for this role is between $128,400 and $236,700,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86">
      <c r="A86" t="inlineStr">
        <is>
          <t>li-4353490510</t>
        </is>
      </c>
      <c r="B86" t="inlineStr">
        <is>
          <t>Principal Product Manager - Performance Solutions Delivery Architecture</t>
        </is>
      </c>
      <c r="C86" t="inlineStr">
        <is>
          <t>FactSet</t>
        </is>
      </c>
      <c r="D86" t="inlineStr">
        <is>
          <t>linkedin</t>
        </is>
      </c>
      <c r="E86">
        <f>HYPERLINK("https://www.linkedin.com/jobs/view/4353490510", "https://www.linkedin.com/jobs/view/4353490510")</f>
        <v/>
      </c>
      <c r="F86">
        <f>HYPERLINK("https://factset.wd108.myworkdayjobs.com/FactSetCareers/job/Norwalk-CT-USA/Principal-Product-Manager\u002d\u002d-Performance-Solutions-Delivery-Architecture_R30960?source=LinkedIn&amp;urlHash=9iYz", "https://factset.wd108.myworkdayjobs.com/FactSetCareers/job/Norwalk-CT-USA/Principal-Product-Manager\u002d\u002d-Performance-Solutions-Delivery-Architecture_R30960?source=LinkedIn&amp;urlHash=9iYz")</f>
        <v/>
      </c>
      <c r="G86" t="inlineStr">
        <is>
          <t>New Hampshire, United States</t>
        </is>
      </c>
      <c r="H86" t="inlineStr"/>
      <c r="I86"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and New York City is $136,000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87">
      <c r="A87" t="inlineStr">
        <is>
          <t>li-4359128428</t>
        </is>
      </c>
      <c r="B87" t="inlineStr">
        <is>
          <t>AIML - Sr Engineering Program Manager, Health AI</t>
        </is>
      </c>
      <c r="C87" t="inlineStr">
        <is>
          <t>Apple</t>
        </is>
      </c>
      <c r="D87" t="inlineStr">
        <is>
          <t>linkedin</t>
        </is>
      </c>
      <c r="E87">
        <f>HYPERLINK("https://www.linkedin.com/jobs/view/4359128428", "https://www.linkedin.com/jobs/view/4359128428")</f>
        <v/>
      </c>
      <c r="F87">
        <f>HYPERLINK("https://jobs.apple.com/en-us/details/200632188&amp;urlHash=qL9w", "https://jobs.apple.com/en-us/details/200632188&amp;urlHash=qL9w")</f>
        <v/>
      </c>
      <c r="G87" t="inlineStr">
        <is>
          <t>Cupertino, CA</t>
        </is>
      </c>
      <c r="H87" t="inlineStr"/>
      <c r="I87"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nnDo you love taking on challenges that create a positive impact? Are you passionate about empowering many ground\-breaking intelligent experiences to be made? We’re looking for people like you! As part of Apple’s AI and Machine Learning org, you will be developing new ML\-powered Health features and capabilities for users. This role will drive the platform used to build Health features as well as building and improving new features and products to make people healthier.
**Description**
 You will program manage AI/ML Health platform and features.
**Minimum Qualifications**
 10\+ years of experience in project or program management with prior experience in machine learningnDeep Health domain expertise in AI based health solutions nExcellent program management skills including program structuring and managing multiple work streams interdependently with the capability to work across a large number of teams to enforce process and efficient outcomes in a data\-driven environmentnStrong product and technical orientation and ability to maintain sight of user experience during feature development nStrong analytical skills and obsession for data, solid understanding of metrics measuring machine learning models and overall system qualitynDemonstrated data\-driven decision\-making skills, including experience leading metrics\-driven projects or programs.nStrong verbal and written communication skills, including ability to independently draft and present deliverables, recommendationsnDemonstrated ability to drive decisions, resolve conflicts, and influence outcomes without direct authoritynBS, MS or PhD in a quantitative field (Statistics, Computer Science, etc.) or equivalent experience
**Preferred Qualifications**
 Prior PM or engineering experience in shipping products driven by machine\-learned systems to worldwide usersnBS, MS or PhD in a quantitative field (Statistics, Computer Science, etc.) or equivalent experience
**Pay \&amp; Benefits**
 At Apple, base pay is one part of our total compensation package and is determined within a range. This provides the opportunity to progress as you grow and develop within a role. The base pay range for this role is between $203,300 and $305,600,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88">
      <c r="A88" t="inlineStr">
        <is>
          <t>li-4357688468</t>
        </is>
      </c>
      <c r="B88" t="inlineStr">
        <is>
          <t>Engineering Program Manager, Data Center Operations</t>
        </is>
      </c>
      <c r="C88" t="inlineStr">
        <is>
          <t>Apple</t>
        </is>
      </c>
      <c r="D88" t="inlineStr">
        <is>
          <t>linkedin</t>
        </is>
      </c>
      <c r="E88">
        <f>HYPERLINK("https://www.linkedin.com/jobs/view/4357688468", "https://www.linkedin.com/jobs/view/4357688468")</f>
        <v/>
      </c>
      <c r="F88" t="inlineStr"/>
      <c r="G88" t="inlineStr">
        <is>
          <t>Prineville, OR</t>
        </is>
      </c>
      <c r="H88" t="inlineStr"/>
      <c r="I88" t="inlineStr">
        <is>
          <t>**Summary**
 Imagine a place where your ideas don't just take root, they blossom into phenomenal products, services, and customer experiences that redefine industries. At Apple, we are a vibrant community of innovators, united by a shared belief in creating the extraordinary. Here, your unique perspective and unwavering dedication will fuel groundbreaking advancements, transforming bold visions into tangible realities that touch millions of lives worldwide. This is where passion meets purpose, and together, we redefine what's possible.nnWe are seeking a highly motivated Engineering Program Manager (EPM) to join Apple’s Data Center Program Management team. In this critical role, you will stand at the dynamic cross\-section of execution and strategy, orchestrating the impactful programs that drive the very foundation of Apple's global services. You will be instrumental in unifying efforts across the entire lifecycle of our data center operations – from initial design and construction to planning, deployment, and continuous operational excellence.nnJoin Apple, and help us leave the world better than we found it!
**Description**
 In this role, you will be driving both tactical and strategic solutions to complex problems within data center operations, leading multiple projects simultaneously while balancing priorities in a fast\-paced environment. Success hinges on your sound judgment, analytical prowess, and ability to influence partners across all levels.
**Minimum Qualifications**
 6\+ years in program leadership, encompassing at least 3 years specifically dedicated to driving programs within data center operations or similar critical infrastructure environmentsnnBachelor’s degree in Engineering, Computer Science, or a related field; OR, equivalent job\-related experience.
**Preferred Qualifications**
 Proven track record to deliver strategic programs in complex, environments, managing competing priorities, resolving conflicts, and leading cross\-functional teams through influence to achieve consensus.nnDrive programs from inception to completion, including scope definition, scheduling, risk mitigation, and stakeholder communication.nnExceptional analytical and problem\-solving skills, able to translate complex data into actionable insights and clear recommendations for executives.nnExpert written and verbal communication skills, with an emphasis on clarity, directness, and listening to build alignment and consensus across diverse teams.nnDeep understanding of operational excellence, with a track record of delivering robust, scalable solutions in fast\-paced, high\-tech environments.nn Functional knowledge of networking services and protocols
**Pay \&amp; Benefits**
 u003cpu003eApple accepts applications to this posting on an ongoing basis.u003c/pu003e</t>
        </is>
      </c>
    </row>
    <row r="89">
      <c r="A89" t="inlineStr">
        <is>
          <t>li-4362469859</t>
        </is>
      </c>
      <c r="B89" t="inlineStr">
        <is>
          <t>Senior Technical Program Manager, Dash</t>
        </is>
      </c>
      <c r="C89" t="inlineStr">
        <is>
          <t>Swooped</t>
        </is>
      </c>
      <c r="D89" t="inlineStr">
        <is>
          <t>linkedin</t>
        </is>
      </c>
      <c r="E89">
        <f>HYPERLINK("https://www.linkedin.com/jobs/view/4362469859", "https://www.linkedin.com/jobs/view/4362469859")</f>
        <v/>
      </c>
      <c r="F89" t="inlineStr"/>
      <c r="G89" t="inlineStr"/>
      <c r="H89" t="inlineStr"/>
      <c r="I89" t="inlineStr">
        <is>
          <t>**About The Role** 
 Our client is seeking an exceptional
 **Technical Program Manager (TPM)** 
 to join the team. As part of the Dash Engineering Team, this role will lead engineering\-wide programs for some of the highest priority initiatives within the company. This individual will collaborate with cross\-functional teams to define and execute on clear roadmaps, drive alignment with product and company priorities, and own the end\-to\-end execution of their programs. The ideal candidate will be deeply technical, detail\-oriented, and able to use their influence to drive results for their team with a sense of urgency and ownership.
**Key Responsibilities** 
* **Program Leadership** 
 : Drive the development, alignment, and execution of various strategic engineering initiatives, defining clear roadmaps and ensuring successful delivery across cross\-functional teams. This includes managing ambitious timelines, proactively identifying and mitigating risks, and leading the successful execution of complex, cross\-functional engineering programs.
* **Stakeholder Management** 
 : Cultivate strong relationships with stakeholders at all levels to foster alignment and drive collective success.
* **Technical Excellence** 
 : Apply deep technical expertise and domain aptitude to drive innovative solutions across various engineering programs.
* **Exceptional Communication** 
 : Expertly communicate progress across all levels of the organization, and be able to regularly communicate and present to executive leadership on behalf of the team.
* **Leading Through Influence** 
 : Collaborate effectively with cross\-functional partners across Engineering, Product Management, Design, and Marketing to successfully influence decisions and drive results. Utilize technical acumen and operational excellence to help the team achieve ambitious OKRs.
**Required Qualifications** 
* 8\+ years of Technical Program Management experience in a related industry
* Bachelor’s degree in Computer Science, Engineering, or equivalent years of work experience
* Strong technical experience in building distributed systems, platforms, and products at scale
* Solid technical aptitude with an ability to understand technical architectures and speak to system design, reliability, and scalability challenges, and design tradeoffs
* Excellent written and verbal communication skills, comfortable presenting in large groups and handling high\-pressure communication with senior management
* Experience managing large, cross\-functional programs with technical depth and expert program management skills
* Experience with 0→1 initiatives and bringing new products to the market
* Must have a thorough understanding of the software development lifecycle
* Detail\-oriented, with the ability to thrive in a fast\-paced environment with ambitious priorities
**Preferred Qualifications** 
* Experience with building infrastructure platforms, search systems, and AI/ML products
* Expertise in program management tools and software (e.g., Jira, Airtable, Asana, etc.)
**Compensation** 
 US Zone 2 $166,000—$224,600 USD
 US Zone 3 $147,600—$199,600 USD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90">
      <c r="A90" t="inlineStr">
        <is>
          <t>li-4357688686</t>
        </is>
      </c>
      <c r="B90" t="inlineStr">
        <is>
          <t>Display Module Engineering Program Manager</t>
        </is>
      </c>
      <c r="C90" t="inlineStr">
        <is>
          <t>Apple</t>
        </is>
      </c>
      <c r="D90" t="inlineStr">
        <is>
          <t>linkedin</t>
        </is>
      </c>
      <c r="E90">
        <f>HYPERLINK("https://www.linkedin.com/jobs/view/4357688686", "https://www.linkedin.com/jobs/view/4357688686")</f>
        <v/>
      </c>
      <c r="F90" t="inlineStr"/>
      <c r="G90" t="inlineStr">
        <is>
          <t>Cupertino, CA</t>
        </is>
      </c>
      <c r="H90" t="inlineStr"/>
      <c r="I90" t="inlineStr">
        <is>
          <t>**Summary**
 Apple is looking for a world\-class Engineering Program Manager to join our Display team. Display Module Engineering Program Managers (EPMs) must be fearless and effective cross\-functional leaders. Our team plays a key part in providing Apple customers with the best user\-experience in the industry by defining the strategy for and driving the development and deployment of next\-generation display technologies! Are you ready to join our Display EPM team in shaping solutions the world doesn't know of yet?
**Description**
 We own critical program decisions, coordinate cross\-functional priorities, and proactively chart the path forward through complex technical and operational challenges. This role demands both technical aptitude and growing judgment across multiple domains, including mechanical, electrical, optical, operations and manufacturing.
**Minimum Qualifications**
 BS in ME/EE/IE degree or equivalent and 3\+ years of relevant industry experiencenAbility to travel internationally
**Preferred Qualifications**
 MS in ME/EE/IE degree or equivalentnKnowledge of display design and processnExperience in consumer electronicsnExperience working with international suppliers and manufacturersnA working understanding of high volume manufacturing processesnExcellent communication and organizational skillsnGreat leadership and project management skills while remaining flexible and calm in the face of uncertainty and ambiguitynAbility to filter and distill relevant information for the right audiencenSelf\-motivated and proactive with demonstrated creative and critical thinking capabilitiesnBe able to fit well with a team, understand capabilities and priorities while fostering a collaborative environment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91">
      <c r="A91" t="inlineStr">
        <is>
          <t>li-4353540180</t>
        </is>
      </c>
      <c r="B91" t="inlineStr">
        <is>
          <t>Senior Program Manager- Enterprise Applications</t>
        </is>
      </c>
      <c r="C91" t="inlineStr">
        <is>
          <t>SOLTECH</t>
        </is>
      </c>
      <c r="D91" t="inlineStr">
        <is>
          <t>linkedin</t>
        </is>
      </c>
      <c r="E91">
        <f>HYPERLINK("https://www.linkedin.com/jobs/view/4353540180", "https://www.linkedin.com/jobs/view/4353540180")</f>
        <v/>
      </c>
      <c r="F91" t="inlineStr"/>
      <c r="G91" t="inlineStr">
        <is>
          <t>Duluth, GA</t>
        </is>
      </c>
      <c r="H91" t="inlineStr"/>
      <c r="I91" t="inlineStr">
        <is>
          <t>**Description** 
 Our client is seeking a highly experienced, results\-driven Senior Program Manager to join their PMO team with a strong focus on Enterprise Applications. In this critical leadership role, you will oversee the successful delivery of multiple complex initiatives across the enterprise application landscape. You’ll partner closely with Product Owners, business stakeholders, and technical teams to drive application enhancements, upgrades, and new solution implementations that align with strategic business objectives.
 This is a hybrid position with 3 days on site in Duluth, Georgia and occasional travel to Tallassee, Alabama.
**Key Responsibilities** 
**Strategic Program Leadership** 
* Develop, manage, and execute comprehensive program plans for enterprise application initiatives
* Ensure alignment with organizational strategy, goals, and priorities
**End\-to\-End Project Management** 
* **Initiation:** 
 Define and authorize projects, establish charters, and identify key stakeholders
* **Planning:** 
 Create detailed project plans, scope documents, schedules, and budgets
* **Execution:** 
 Lead cross\-functional teams, coordinate resources, and ensure timely task completion
* Track progress, manage variances, implement corrective actions, formalize project acceptance, document lessons learned, and transition deliverables to operations
**Requirements Management** 
* Partner with Product Owners and business leaders to document current and future\-state requirements for enhancements, upgrades, and new enterprise application implementations
**ERP Implementation Leadership** 
* Lead or contribute to large\-scale ERP implementations, with deep involvement across all project phases
* Drive and manage associated change management initiatives
**Budget \&amp; Resource Management** 
* Manage program and project budgets, monitor expenditures, and optimize resource allocation to meet financial targets
**Stakeholder Engagement \&amp; Communication** 
* Build strong relationships with stakeholders at all levels, including senior directors and executives
* Serve as a trusted advisor and escalation point
**Reporting \&amp; Executive Presentation** 
* Deliver clear, concise status reports and presentations that communicate progress, risks, dependencies, and mitigation strategies
**Project Tracking \&amp; Metrics** 
* Establish and maintain project tracking frameworks and KPIs
* Analyze performance metrics and identify continuous improvement opportunities
**Change Management** 
* Champion best practices in change management, proactively addressing resistance and supporting smooth application rollouts
**Process Improvement \&amp; Documentation** 
* Lead initiatives to improve business processes and application workflows
* Contribute to process documentation, standardization, and optimization efforts
**Jira \&amp; Agile Enablement** 
* Utilize advanced Jira expertise to manage backlogs, track tasks, and support Agile or hybrid delivery models
**Proactive Problem Solving** 
* Demonstrate a self\-starter mindset with the ability to anticipate risks, resolve issues proactively, and operate with minimal supervision
**Qualifications** 
* Bachelor’s degree in Business Administration, Project Management, Supply Chain, Computer Science, or a related field
* 10\+ years of progressive program and project management experience, with a strong emphasis on enterprise applications
* Proven success managing large, complex initiatives, preferably within a fast\-paced manufacturing environment
* Demonstrated track record of successful SAP ERP implementations
* Exceptional written, verbal, and executive\-level presentation skills
* Strong leadership, team development, and conflict resolution capabilities
* Extensive experience with Jira and project management tools such as Microsoft Project
* Solid understanding of manufacturing processes and supply chain operations
* Deep knowledge of change management principles and enterprise\-wide transformations
* Proven ability to develop detailed project plans, manage budgets, and track delivery performance
* Experience working in organizations with best\-in\-class business processes is highly desirable
**Preferred Qualifications** 
* Master’s degree (MBA, Project Management, or related field)
* Six Sigma certification (Green Belt or Black Belt)
**About SOLTECH** 
 SOLTECH is a leading national technology company based in Atlanta, driven by a steadfast commitment to integrity, strong company values, and customer centricity. For nearly 30 years, we’ve been part of the thriving technology community and have earned honors such as The Atlanta Journal\-Constitution’s Top Workplace and the Best \&amp; Brightest Companies To Work For In The Nation.
 Our exceptional team of engineers, designers, and strategists delivers custom software applications, technology consulting, AI and data engineering solutions, and IT staffing services that help organizations solve complex challenges nationwide.
 Join us on our quest to make the world a better place by bringing to life innovative software solutions that make our lives easier, safer, healthier, and more productive.
 If you’re an IT professional seeking your next career opportunity, we’d love to match your expertise with a role where you can thrive. Learn more at https://soltech.net/working\-for\-soltech/.
 SOLTECH believes in the dignity of every individual and practices equal employment opportunity as a core principle. We consider all applicants without regard to race, color, age, sex, sexual orientation, gender identity, religion, marital status, national origin, disability, or veteran status.</t>
        </is>
      </c>
    </row>
    <row r="92">
      <c r="A92" t="inlineStr">
        <is>
          <t>li-4353621166</t>
        </is>
      </c>
      <c r="B92" t="inlineStr">
        <is>
          <t>Operations Product Owner, Retirement Distributions Platform</t>
        </is>
      </c>
      <c r="C92" t="inlineStr">
        <is>
          <t>Charles Schwab</t>
        </is>
      </c>
      <c r="D92" t="inlineStr">
        <is>
          <t>linkedin</t>
        </is>
      </c>
      <c r="E92">
        <f>HYPERLINK("https://www.linkedin.com/jobs/view/4353621166", "https://www.linkedin.com/jobs/view/4353621166")</f>
        <v/>
      </c>
      <c r="F92" t="inlineStr"/>
      <c r="G92" t="inlineStr">
        <is>
          <t>Westlake, TX</t>
        </is>
      </c>
      <c r="H92" t="inlineStr"/>
      <c r="I92"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Applicants must be currently authorized to work in the United States on a full\-time basis without employer sponsorship.
 Charles Schwab Client, Offer \&amp; Securities Platform and Data Management is responsible for delivering innovative, best\-in\-class data and infrastructure solutions for client account and trading capabilities. Transformation is at the forefront of our business, and Transformation is more than a moment of change—it’s a sustained commitment to evolving how we think, operate, and deliver impact. To support our ongoing vision for Transformational Change, we are introducing a new product management function for the Retirements Distributions Platform, which is a new platform that will be a key participant in the upcoming Retirements Distribution Transformation. The focus will be to enhance both our client’s and operation partner’s experiences.
 The Senior Product Manager will play a key role in the strategy, design, development and execution of Retirement Distribution Transformation. This role will partner across the organization to design, deliver and continuously enhance a comprehensive experience for Retirement Distributions.
 This position requires strong cross\-functional collaboration, influencing skills and the ability to navigate a dynamic regulatory and market environment. The ideal candidate will combine deep expertise in retirement with strategic vision and operational excellence.
**Brief Description Of The Role**
 The role of the Product Manager is a pivotal one that is expected to be aware of clients’ needs and the fundamentals of software solutions. You will be responsible for prioritizing a multitude of requests, which regularly exceed our development capacity. You will participate in design conversations and maintain documentation for future reference. You will also be responsible for communicating status on multiple workstreams to stakeholders. Experience in steering design conversations and translating strategic vision into actionable platform requirements is vital, as you will be responsible for aligning cross\-functional teams around the platform’s design objectives.
**Core Responsibilities**
* Partner with the Portfolio Project Management Office and coordinate across horizontal and vertical tracks to drive a timely delivery
* Influence experience design: Shape the operational and end\-client interactions with retirement distributions, creating intuitive and compliant solutions
* Drive performance and insights: Establish key metrics, analyze data, and provide actionable insights to senior leadership for decision\-making
* Serve as subject matter expert: Act as an internal authority on Retirement Distributions
 What you have
**Required**
* 5\+ years of experience as a product owner
* Experience in performing independent research of complex business and technology processes
* Experience designing a new platform with the aim of proposing platform level requirements
* Familiarity with platform architecture or technical design principles
**Preferred**
* Prior experience using Jira and Confluence
* Proficient in PowerPoint
 In addition to the salary range, this role is also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93">
      <c r="A93" t="inlineStr">
        <is>
          <t>li-4353641174</t>
        </is>
      </c>
      <c r="B93" t="inlineStr">
        <is>
          <t>Program Manager Strategy</t>
        </is>
      </c>
      <c r="C93" t="inlineStr">
        <is>
          <t>Monogram Health</t>
        </is>
      </c>
      <c r="D93" t="inlineStr">
        <is>
          <t>linkedin</t>
        </is>
      </c>
      <c r="E93">
        <f>HYPERLINK("https://www.linkedin.com/jobs/view/4353641174", "https://www.linkedin.com/jobs/view/4353641174")</f>
        <v/>
      </c>
      <c r="F93">
        <f>HYPERLINK("https://recruiting2.ultipro.com/MON1026MONOH/JobBoard/bcaf2db0-50c8-4e2f-9d65-e8e00c882a25/OpportunityDetail?opportunityId=d8cf1f48-597f-4987-af10-56245965db40&amp;source=LinkedIn&amp;urlHash=R7rV", "https://recruiting2.ultipro.com/MON1026MONOH/JobBoard/bcaf2db0-50c8-4e2f-9d65-e8e00c882a25/OpportunityDetail?opportunityId=d8cf1f48-597f-4987-af10-56245965db40&amp;source=LinkedIn&amp;urlHash=R7rV")</f>
        <v/>
      </c>
      <c r="G93" t="inlineStr"/>
      <c r="H93" t="inlineStr"/>
      <c r="I93" t="inlineStr">
        <is>
          <t>**Position:** 
***Program Manager Strategy***
 Monogram Health is seeking a highly skilled and data\-savvy Program Manager to join our team. The Program Manager will play a key role in analyzing operational performance, identifying areas of improvement, and launch new processes and enhancements to optimize clinical program performance. This role will focus on supporting strategic clinical growth areas within our comprehensive polychronic care model. This role combines operational excellence, data\-driven decision making, and cross\-functional collaboration to ensure consistent adoption and performance across strategic clinical programs. The ideal candidate will have worked recently in a healthcare startup with experience in operations/program management or professional services environment (consulting, investment banking, investment management, etc.).
**Responsibilities**
* Collaborate with program leaders to analyze current processes and develop and implement new workflows and initiatives in an effort to streamline operations.
* Develop and maintain Salesforce dashboards and reporting tools to monitor operational performance and clinical KPIs
* Use data to drive continuous improvement, adjust workflows, and proactively identify potential issues
* Serve as a go\-to resource for specialty clinicians for operational issues, workflows, and productivity questions.
* Provide project management support for larger initiatives, including creating project plans and tracking milestones, timelines, progress, and action items to ensure timely and successful completion
* Create and maintain program playbooks, toolkits, best practices, job aids, and business documentation to support scaling and operational consistency.
* Own and manage recurring process audits, ensuring adherence to protocols, timely completion, and accurate submission of results; analyze findings to inform continuous improvement
* Coordinate and track progress for in\-house clinician education programs, including specialty program onboarding, to include schedule coordination, checklist management, and act as a concierge throughout the onboarding process.
* Develop program performance reporting and present performance metrics in regular meetings with organizational leaders to align programmatic expectations and outcomes
* Develop executive\-level PowerPoint presentations for various stakeholders to communicate new initiatives, project status, program performance, e, helping to drive transparency and alignment on key projects and performance.
**Position Requirements**
* Bachelor’s degree in business, healthcare administration or related field.
* Graduate degree in relevant course of study (e.g., MBA) strongly preferred.
* 3\+ years of healthcare strategy, product development, program operations, management consulting, or M\&amp;A experience.
* Experience in startup environments or growth stage companies strongly preferred; in lieu of specific company stage experience, track record of launching new strategic initiatives within larger corporate environments.
* Strong proficiency in Salesforce, PowerBI, and Excel
* Experience mapping workflows in Visio or similar tools
* Detail oriented with excellent analytical and problem\-solving skills
* Ability to work independently and collaboratively with cross\-functional teams
* Flexibility and ability to thrive in a fast\-paced, high growth environment
* Project management skills
* Self\-starter and an independent, critical thinker with ability to perform detailed data analysis and recommend actions and processes based on those analyses
* Excellent verbal communication and interpersonal skills both in person and on the phone; track record of successfully delivering recommendations and building rapport at an executive level.
* Analytical and data\-driven mindset
**Benefits**
* Comprehensive Benefits \- Medical, dental, and vision insurance, employee assistance program, employer\-paid and voluntary life insurance, disability insurance, plus health and flexible spending accounts
* Financial \&amp; Retirement Support – Competitive compensation, 401k with employer match, and financial wellness resources
* Time Off \&amp; Leave – Paid holidays, flexible vacation time/PSSL, and paid parental leave
* Wellness \&amp; Growth – Work life assistance resources, physical wellness perks, mental health support, employee referral program, and BenefitHub for employee discounts
**About Monogram Health**
 Monogram Health is a leading multispecialty provider of in\-home, evidence\-based care for the most complex of patients who have multiple chronic conditions. Monogram health takes a comprehensive and personalized approach to a person’s health, treating not only a disease, but all of the chronic conditions that are present \- such as diabetes, hypertension, chronic kidney disease, heart failure, depression, COPD, and other metabolic disorders.
 Monogram Health employs a robust clinical team, leveraging specialists across multiple disciplines including nephrology, cardiology, endocrinology, pulmonology, behavioral health, and palliative care to diagnose and treat health issues; review and prescribe medication; provide guidance, education, and counselling on a patient’s healthcare options; as well as assist with daily needs such as access to food, eating healthy, transportation, financial assistance, and more. Monogram Health is available 24 hours a day, 7 days a week, and on holidays, to support and treat patients in their home.
 Monogram Health’s personalized and innovative treatment model is proven to dramatically improve patient outcomes and quality of life while reducing medical costs across the health care continuum.</t>
        </is>
      </c>
    </row>
    <row r="94">
      <c r="A94" t="inlineStr">
        <is>
          <t>li-4352307554</t>
        </is>
      </c>
      <c r="B94" t="inlineStr">
        <is>
          <t>Technical Product Manager - Cloud Products &amp; Patterns</t>
        </is>
      </c>
      <c r="C94" t="inlineStr">
        <is>
          <t>Jobs via eFinancialCareers</t>
        </is>
      </c>
      <c r="D94" t="inlineStr">
        <is>
          <t>linkedin</t>
        </is>
      </c>
      <c r="E94">
        <f>HYPERLINK("https://www.linkedin.com/jobs/view/4352307554", "https://www.linkedin.com/jobs/view/4352307554")</f>
        <v/>
      </c>
      <c r="F94" t="inlineStr"/>
      <c r="G94" t="inlineStr">
        <is>
          <t>Charlotte, NC</t>
        </is>
      </c>
      <c r="H94" t="inlineStr"/>
      <c r="I94" t="inlineStr">
        <is>
          <t>**ABOUT US:**
 LSEG (London Stock Exchange Group) is more than a diversified global financial markets infrastructure and data business. We are dedicated, open\-access partners with a dedication to excellence in delivering the services our customers expect from us. With extensive experience, deep knowledge and worldwide presence across financial markets, we enable businesses and economies around the world to fund innovation, manage risk and create jobs. It's how we've contributed to supporting the financial stability and growth of communities and economies globally for more than 300 years. Through a comprehensive suite of trusted financial market infrastructure services \- and our open\-access model \- we provide the flexibility, stability and trust that enable our customers to pursue their ambitions with confidence and clarity.
 LSEG is headquartered in the United Kingdom, with significant operations in 70 countries across EMEA, North America, Latin America and Asia Pacific. We employ 25,000 people globally, more than half located in Asia Pacific. LSEG's ticker symbol is LSEG.
**OUR PEOPLE:**
 People are at the heart of what we do and drive the success of our business. Our culture of connecting, creating opportunity and delivering excellence shape how we think, how we do things and how we help our people fulfil their potential. We embrace diversity and actively seek to attract individuals with unique backgrounds and perspectives. We break down barriers and encourage teamwork, enabling innovation and rapid development of solutions that make a difference. Our workplace generates an enriching and rewarding experience for our people and customers alike. Our vision is to build an inclusive culture in which everyone feels encouraged to fulfil their potential.
 We know that real personal growth cannot be achieved by simply climbing a career ladder \- which is why we encourage and enable a wealth of avenues and interesting opportunities for everyone to broaden and deepen their skills and expertise. As a global organisation spanning 70 countries and one rooted in a culture of growth, opportunity, diversity and innovation, LSEG is a place where everyone can grow, develop and fulfil your potential with meaningful careers!!
**ROLE SUMMARY:**
 As the
 **Technical Product Manager** 
 you will join our Cloud Products \&amp; Patterns team here at LSEG. You will play a pivotal role in defining, owning, and evolving a suite of Azure\-based infrastructure patterns delivered as Infrastructure\-as\-Code (IaC) using Terraform, to help accelerate application migrations to Azure. These patterns are tailored to meet our business and user requirements, enabling scalable, secure, and efficient cloud adoption across the enterprise.
 You will lead the product lifecycle\-from discovery to delivery\-of Azure Cloud Products and Infrastructure Patterns for use within LSEG, ensuring alignment with business needs and seamless integration into CI/CD pipelines to support application migrations to Azure.
**WHAT YOU'LL BE DOING:**
* Product Ownership \&amp; Strategy
+ Define and maintain the product roadmap for Azure Cloud Products \&amp; Infrastructure Patterns.
+ Lead feature discovery and define functional and non\-functional requirements.
+ Drive adoption of patterns through the Cloud Product Framework (CPF), a business framework for delivering infrastructure patterns through collecting user requirements
* Delivery \&amp; Implementation
+ Oversee the design, implementation, and lifecycle of reusable infrastructure patterns.
+ Ensure patterns are production\-ready, secure, and aligned with LSEG enterprise standards.
+ Support LSEG application teams in migrating workloads to Azure using these patterns.
* Governance \&amp; Standards
+ Contribute to the definition of policies, controls, and standards for infrastructure patterns and to enable cloud product consumption.
+ Ensure pattern compliance with internal governance and security requirements.
* Technical Leadership
+ Provide hands\-on expertise in Azure services, Terraform, and CI/CD practices.
+ Resolve engineering, coding, security, and architectural challenges.
+ Lead PoCs, evaluate tools, and provide recommendations.
* Enablement \&amp; Community
+ Create and maintain a library of reusable infrastructure patterns, templates and modules.
+ Deliver training, documentation, and mentoring to development teams.
+ Promote adoption, self\-service and reusability across the organization.
**What You'll Deliver**
* A well\-defined and maintained roadmap for Azure Cloud Products \&amp; Infrastructure Patterns.
* Standardized templates and scripts for IaC and CI/CD orchestration.
* A scalable service catalog of Azure cloud products and infrastructure patterns \- customised for use in LSEG.
* Educational materials and enablement sessions for internal teams.
* A consistent, compliant, and developer\-friendly pattern adoption experience.
**WHAT YOU'LL BRING:**
* Proven experience in product management or technical leadership roles in cloud infrastructure.
* Deep understanding of Azure architecture, services, and governance.
* Hands\-on experience with Terraform (or similar IaC tools) and CI/CD pipelines.
* Familiarity with Agile methodologies (Scrum, Kanban).
* Strong analytical and problem\-solving skills.
* Excellent communication and stakeholder management abilities.
**Preferred Qualifications**
* Azure Solutions Architect certification (or equivalent).
* Experience with multi\-cloud environments.
* Background in enterprise\-scale cloud migrations.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row r="95">
      <c r="A95" t="inlineStr">
        <is>
          <t>li-4362745541</t>
        </is>
      </c>
      <c r="B95" t="inlineStr">
        <is>
          <t>Sr. Product Manager - LoB Enablement</t>
        </is>
      </c>
      <c r="C95" t="inlineStr">
        <is>
          <t>Capital One</t>
        </is>
      </c>
      <c r="D95" t="inlineStr">
        <is>
          <t>linkedin</t>
        </is>
      </c>
      <c r="E95">
        <f>HYPERLINK("https://www.linkedin.com/jobs/view/4362745541", "https://www.linkedin.com/jobs/view/4362745541")</f>
        <v/>
      </c>
      <c r="F95" t="inlineStr"/>
      <c r="G95" t="inlineStr">
        <is>
          <t>Cambridge, MA</t>
        </is>
      </c>
      <c r="H95" t="inlineStr"/>
      <c r="I95" t="inlineStr">
        <is>
          <t>**Senior Manager, Product Management (PXDP55\)**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We are strategic and dynamic product managers to lead finance transformation initiatives and drive the product evolution for our financial products. These roles will focus on rolling product led thinking in finance, streamlining operation and implementing innovative solutions that improves efficiency and business performance for our finance organization. You will collaborate with cross functional teams including finance, engineering and data to deliver impactful product improvement and strategic initiatives.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$182,500 \- $208,300 for Sr. Mgr, Product Management
 Cambridge, MA: $200,700 \- $229,100 for Sr. Mgr, Product Management
 McLean, VA: $200,700 \- $229,100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6">
      <c r="A96" t="inlineStr">
        <is>
          <t>li-4357668835</t>
        </is>
      </c>
      <c r="B96" t="inlineStr">
        <is>
          <t>New Product Operations Program Manager, Mac</t>
        </is>
      </c>
      <c r="C96" t="inlineStr">
        <is>
          <t>Apple</t>
        </is>
      </c>
      <c r="D96" t="inlineStr">
        <is>
          <t>linkedin</t>
        </is>
      </c>
      <c r="E96">
        <f>HYPERLINK("https://www.linkedin.com/jobs/view/4357668835", "https://www.linkedin.com/jobs/view/4357668835")</f>
        <v/>
      </c>
      <c r="F96">
        <f>HYPERLINK("https://jobs.apple.com/en-us/details/200640327&amp;urlHash=um3q", "https://jobs.apple.com/en-us/details/200640327&amp;urlHash=um3q")</f>
        <v/>
      </c>
      <c r="G96" t="inlineStr">
        <is>
          <t>Austin, TX</t>
        </is>
      </c>
      <c r="H96" t="inlineStr"/>
      <c r="I96" t="inlineStr">
        <is>
          <t>**Summary**
 Imagine what you could do here. At Apple, new ideas have a way of becoming extraordinary products, services, and customer experiences very quickly. Bring passion and dedication to your job and there's no telling what you could accomplish. nnThe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**Description**
 The Mac NPI PM organization role will lead the team within WW Operations and be the primary operations interface to the core product development team and other functional organizations within Apple. As the owner of the product, the NPI PM will ensure the successful launch products towards meeting it’s stated cost, quality, schedule, availability and customer experience goals. nnThe NPI PM is responsible for all facets of the project launch which includes: n \-Leading ramp availability for all product modules with Materials, Quality, Engineering and other internal and external teams. n\-Ensuring security, materials, equipment, fixtures, staffing, training, documentation plans are in place at our partners. n\-Drives responsive supply chains that optimize lowest costs, operational flexibility and high quality. n\-Assesses, analyzes, consolidates, and communicates risk and status clearly and succinctly to management, calling out key issues and presenting options for resolution to the cross\-functional executive team through the new product reviews and other executive forums. n\-Provides links from the Ops u0026 Engineering Teams to the Factory teams from various development builds through new product introduction, including product hand\-off to Sustaining Operations Management. n \-Ability to travel internationally up to 20\-25%
**Minimum Qualifications**
 8\+ years experience in manufacturing, process engineering or product developmentnBS degree in engineering field
**Preferred Qualifications**
 Experience working with off\-shore manufacturers and traveling to manufacturing sitesnStrong interpersonal skills and ability to present to managementnExtraordinary ability to build relationshipsnClear, consistent communicationnUse data to drive decisions and be willing to take actionnEnthusiastic and motivatednHigh level of detail while running several work\-streamsnTechnical expertise and prior OEM management experiencenMaster's degree or MBA a plus
**Pay \&amp; Benefits**
 u003cpu003eApple accepts applications to this posting on an ongoing basis.u003c/pu003e</t>
        </is>
      </c>
    </row>
    <row r="97">
      <c r="A97" t="inlineStr">
        <is>
          <t>li-4355198637</t>
        </is>
      </c>
      <c r="B97" t="inlineStr">
        <is>
          <t>Engineering Program Manager, Audio</t>
        </is>
      </c>
      <c r="C97" t="inlineStr">
        <is>
          <t>Apple</t>
        </is>
      </c>
      <c r="D97" t="inlineStr">
        <is>
          <t>linkedin</t>
        </is>
      </c>
      <c r="E97">
        <f>HYPERLINK("https://www.linkedin.com/jobs/view/4355198637", "https://www.linkedin.com/jobs/view/4355198637")</f>
        <v/>
      </c>
      <c r="F97" t="inlineStr"/>
      <c r="G97" t="inlineStr">
        <is>
          <t>Cupertino, CA</t>
        </is>
      </c>
      <c r="H97" t="inlineStr"/>
      <c r="I97" t="inlineStr">
        <is>
          <t>**Summary**
 Why Apple? Advanced audio technology is at the heart of Apple’s products. The Audio and Media Technologies (AMT) team is looking for an Engineering Project Manager to help lead software work in this area. You’ll be responsible for defining and running project plans that move several teams from idea through shipping amazing new features and products. AMT provides the software foundation for Audio across all of Apple's innovative products, from iPhone, iPad, Mac and Apple Watch, to Apple TV, AirPods, Beats, and Vision Pro. As a key link between developers and our hardware, AMT drives Apple’s audio playback, processing and recording experiences through several APIs, including CoreAudio.
**Description**
 You'll build and maintain implementation plans for all audio team commitments across multiple operating systems and hardware products. This will involve maintaining a multi\-year roadmap of commitments from and requests of the audio teams. Additional responsibilities include:nn\- Define communication between the audio and engineering partnersn\- Drive cross\-functional software implementation for audio accessoriesn\- Communicate project progress to all cross\-functional stakeholders
**Minimum Qualifications**
 5\+ years of Project / Program Management experience in a high\-tech environmentn5\+ years of experience delivering customer\-facing software features or projects from concept through deliverynProven leadership on major, cross\-functional software projectsnBS/MS (EE/CS/CE) or equivalent
**Preferred Qualifications**
 Excellent written and verbal presentation skillsnA track record of quickly understanding technical concepts in a wide range of fieldsnDemonstrated ability to provide succinct, accurate executive summaries of project status and complicated engineering situations.nExperience with software development in consumer media platforms: mobile, media players, IPTV.nStrong technical proficiency in audio, video, graphics or machine learning (AIML).nExperience with audio technologies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98">
      <c r="A98" t="inlineStr">
        <is>
          <t>li-4359078424</t>
        </is>
      </c>
      <c r="B98" t="inlineStr">
        <is>
          <t>AIML - Sr Engineering Program Manager, Search and Answer Relevance</t>
        </is>
      </c>
      <c r="C98" t="inlineStr">
        <is>
          <t>Apple</t>
        </is>
      </c>
      <c r="D98" t="inlineStr">
        <is>
          <t>linkedin</t>
        </is>
      </c>
      <c r="E98">
        <f>HYPERLINK("https://www.linkedin.com/jobs/view/4359078424", "https://www.linkedin.com/jobs/view/4359078424")</f>
        <v/>
      </c>
      <c r="F98" t="inlineStr"/>
      <c r="G98" t="inlineStr">
        <is>
          <t>Cupertino, CA</t>
        </is>
      </c>
      <c r="H98" t="inlineStr"/>
      <c r="I98"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something.nnWe’re looking for a Senior Program Manager with a strong track record of delivering search products and world knowledge answering features using innovative technologies upon an aggressive timeline. The program manager will lead a large cross functional project to help improve Apple’s over 1 billion customers experience. The role will work with world level deep learning and AI engineers applying groundbreaking AI technologies including Large Language Models to enable exciting new user experiences and continue improving quality for shipped features.
**Description**
* Drive consensus across multiple groups with varying opinions u0026 needs. Influence entire teams around a common purpose and drive conference on the plan of executionnn\- Create and manage project schedules with clear dependencies, critical path and systematic methodology to communicate statusnn\- Proactively identify and manage risks, close gaps and and re\- plan as needednn\- Keep teams on critical path with efforts to minimize distractionsnn\- Provide clear, timely and objective communication, including regular program status updates and one\-off reviews as needed to executive teamnn\- Keep an eye on any potential gaps across dependency teams and proactively promote regular communications on common source of truthnn\- Proactive and regular insurance of alignments across all stake holder teams when new factors arisenn\- Lead measurements to help team understand and measure success, including quality, usage scale and other key KPIsnn\- Advocate for user and company values when leading team to convergence on key open questionsnn\- Lead early feedback collection from internal dogfooding during feature convergence, drive team to address feedback in feature iterationsnn\- Advocate for quality and user experience, using both quantitative and qualitative datann\- Reflect on how the team operates, proactively propose and implement new ways to enable more effective processes u0026 delivery of results
**Minimum Qualifications**
 8\+ years of experience in driving large scale program building machine learning powered products.nExcellent program management skills including program structuring and managing multiple work streams interdependentlynSelf\-motivated and proactive, with demonstrated creative and critical thinking capabilities required to forge a path to successnStrong ability to communicate abstract ideas clearly, manage comprehensive yet succinct project status update to all levels of audience, both verbally and in written formsnBachelors or Master’s degree in Computer Science, or related field and equivalent experience
**Preferred Qualifications**
 8\+ years experience in delivery search and generative answer quality improvements is a plusnStrong ability to deal with ambiguities, drive disambiguation and clarities, shepherd multiple teams to meet aggressive timelinenExperience orchestrating the delivery of multiple significant client/server software products requiring large organizations (100\+) across teams to executenStrategic and results driven mindset focusing on driving what mattersnStrong leadership skills, including conflict resolution, negotiation, courage to take risks when needednStrong adaptability and agility in making adjustments to project strategy and plan with evolving situationsnStrong problem\-solving skills with attention to detailsnSolid knowledge of technical system architecture and systems design tradeoffs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99">
      <c r="A99" t="inlineStr">
        <is>
          <t>li-4362794293</t>
        </is>
      </c>
      <c r="B99" t="inlineStr">
        <is>
          <t>Project Director / Program Manager (NDTAC)</t>
        </is>
      </c>
      <c r="C99" t="inlineStr">
        <is>
          <t>BeVera Solutions</t>
        </is>
      </c>
      <c r="D99" t="inlineStr">
        <is>
          <t>linkedin</t>
        </is>
      </c>
      <c r="E99">
        <f>HYPERLINK("https://www.linkedin.com/jobs/view/4362794293", "https://www.linkedin.com/jobs/view/4362794293")</f>
        <v/>
      </c>
      <c r="F99" t="inlineStr"/>
      <c r="G99" t="inlineStr">
        <is>
          <t>Riverdale, GA</t>
        </is>
      </c>
      <c r="H99" t="inlineStr"/>
      <c r="I99" t="inlineStr">
        <is>
          <t>**Description**
**About BeVera Solutions, LLC**
 BeVera Solutions, LLC is a rapidly growing public health and professional services company that provides innovative solutions to federal and state agencies. Our team supports mission\-critical programs through expertise in program management, communications, acquisition, data analytics, and public health initiatives. Our mission is to deliver impactful solutions that advance public health, improve operations, and empower communities.
 Recognized as one of
 *Atlanta’s Best Places to Work (2024 \&amp; 2025\)* 
 by the
 *Atlanta Business Chronicle* 
 , BeVera fosters a culture of integrity, excellence, and collaboration.
**Job Description**
 BeVera Solutions seeks a highly motivated and experienced Project Director / Program Manager.
 The
 **Project Director / Program Manager (PM)** 
 provides overall leadership, strategic direction, and management for the
 **National Technical Assistance Center (NDTAC)** 
 contract supporting the U.S. Department of Education (ED). The Project Director serves as the
 **Key Personnel lead** 
 , with full responsibility for contract performance, technical quality, fiscal oversight, staff leadership, and stakeholder engagement.
 This role ensures that all technical assistance (TA) services, deliverables, and reporting requirements are executed in compliance with federal regulations and aligned with ED priorities, statutory requirements under Title I, Part D of the Elementary and Secondary Education Act (ESEA), and best practices in education and youth services.
**NOTICE – CONTINGENT POSITION:** 
 ?This role is part of a pre\-award candidate search for an upcoming federal government contract
 **.**
**Requirements**
**Key Responsibilities:**
**Program Leadership \&amp; Strategic Direction**
* Provide overall leadership and strategic direction for all NDTAC activities, ensuring alignment with ED goals, contract objectives, and national priorities.
* Serve as the primary authority for program planning, execution, and decision\-making across all workstreams.
* Establish annual and multi\-year work plans, milestones, and performance goals in collaboration with ED.
* Lead continuous improvement efforts to enhance the quality, relevance, and impact of technical assistance services.
**Contract \&amp; Project Management**
* Serve as the primary Point of Contact (POC) with the U.S. Department of Education, including the Contracting Officer’s Representative (COR) and Project Officer.
* Ensure full compliance with contract terms, deliverables, timelines, and performance standards.
* Oversee budget planning, labor management, and cost controls to ensure efficient use of federal funds.
* Approve staffing plans, level of effort allocations, subcontractor engagement, and major resource decisions.
* Identify and manage program risks, issues, and corrective actions to maintain contract performance.
**Technical Assistance Oversight \&amp; Quality Assurance**
* Oversee the design, delivery, and evaluation of high\-quality technical assistance to State Educational Agencies (SEAs), local education agencies, and programs serving neglected or delinquent children and youth.
* Ensure TA products (e.g., toolkits, guidance documents, webinars, trainings, briefs, and online resources) are evidence\-based, accessible, and aligned with statutory and regulatory requirements.
* Provide final review and approval of major TA deliverables and reports prior to submission to ED.
* Ensure all materials meet federal standards, including Section 508 accessibility and data privacy requirements.
**Staff Leadership \&amp; Team Management**
* Provide executive leadership and supervision for project staff, consultants, and subcontractors.
* Delegate responsibilities to the Deputy Project Director/Deputy PM and other senior staff while maintaining overall accountability.
* Oversee hiring, onboarding, performance management, and professional development for project personnel.
* Foster a collaborative, inclusive, and high\-performing team culture across geographically dispersed staff.
**Stakeholder Engagement \&amp; Representation**
* Represent NDTAC in interactions with ED leadership, federal partners, national organizations, and external stakeholders.
* Lead high\-level briefings, presentations, and discussions with ED and partner organizations.
* Cultivate and maintain strong relationships with national, state, and local partners supporting education services for neglected or delinquent youth.
* Ensure consistent, transparent, and timely communication with all stakeholders.
**Monitoring, Reporting \&amp; Compliance**
* Oversee data collection, performance measurement, and evaluation activities required under the contract.
* Ensure timely preparation and submission of all required reports, including quarterly, annual, and ad hoc reports to ED.
* Ensure compliance with all applicable federal regulations, policies, and guidance related to data security, confidentiality, and records management.
* Maintain readiness for audits, monitoring visits, and performance reviews conducted by ED or other federal entities.
**Required Qualifications**
* Master’s degree in education, public policy, social sciences, public administration, or a related field.
* Minimum 10–15 years of progressively responsible experience managing federally funded education, technical assistance, or human services programs.
* Demonstrated experience serving as a Project Director, Program Manager, or Key Personnel on federal contracts or cooperative agreements.
* Extensive experience working with the U.S. Department of Education or comparable federal agencies.
* Experience with technical assistance or education policy initiatives.
* Strong leadership, strategic planning, and decision\-making capabilities.
* Exceptional written and verbal communication skills, including experience leading federal briefings and authoring formal reports.
* PMP or similar certification a plus.
* Excellent written and verbal communication skills, attention to detail, and project management abilities.
* Proficiency with Microsoft 365 tools and project management platforms.
* Candidates must be highly organized.
**Preferred Qualifications**
* Deep expertise in Title I, Part D and education programs for neglected or delinquent children and youth.
* Prior leadership of a national technical assistance center or large\-scale TA initiative.
* Experience managing multi\-million\-dollar federal budgets and distributed project teams.
* PMP or equivalent project management certification.
* Experience with federal evaluation frameworks, performance metrics, and continuous improvement models.
**Additional** 
**information**
 All information will be kept confidential according to EEO guidelines.
**Equal Employment Opportunity Statement**
 BeVera Solutions is an Equal Opportunity Employer. Employment decisions are made solely on the basis of merit, qualifications, and business needs. We prohibit discrimination against any applicant or employee based on race, color, religion, sex, national origin, age, United States military veteran status, ancestry, marital status, family structure, medical condition (including genetic information), disability, or any other status protected under applicable federal, state, or local law, provided the essential functions of the job can be performed with or without reasonable accommodation.
 BeVera complies with all applicable federal, state, and local equal employment opportunity laws and maintains a strictly merit\-based hiring process consistent with current federal contracting requirements.</t>
        </is>
      </c>
    </row>
    <row r="100">
      <c r="A100" t="inlineStr">
        <is>
          <t>li-4359163502</t>
        </is>
      </c>
      <c r="B100" t="inlineStr">
        <is>
          <t>Engineering Program Manager - Software Developer Productivity - CoreOS</t>
        </is>
      </c>
      <c r="C100" t="inlineStr">
        <is>
          <t>Apple</t>
        </is>
      </c>
      <c r="D100" t="inlineStr">
        <is>
          <t>linkedin</t>
        </is>
      </c>
      <c r="E100">
        <f>HYPERLINK("https://www.linkedin.com/jobs/view/4359163502", "https://www.linkedin.com/jobs/view/4359163502")</f>
        <v/>
      </c>
      <c r="F100" t="inlineStr"/>
      <c r="G100" t="inlineStr">
        <is>
          <t>California, United States</t>
        </is>
      </c>
      <c r="H100" t="inlineStr"/>
      <c r="I100" t="inlineStr">
        <is>
          <t>**Summary**
 Why Apple? Imagine what you could do here. At Apple, new insights have a way of becoming phenomenal products, services, and customer experiences very quickly. Bring passion and dedication to your job and there's no telling what you could accomplish. nnThe Software Developer Productivity team is looking for an experienced program manager to join the Core OS Platform Services and Operations EPM team. This is an opportunity to drive key software initiatives as a partner specifically with the Operations and Workflow Engineering groups within the Platform Services organization. We are looking for an experienced Software Engineering Program Manager to lead highly cross\-functional technology efforts designing, building, optimizing, and shipping software in all phases of development from pre\-silicon simulation, to sample bring\-up, to already\-shipping systems. nnThis role requires an energetic and motivated individual with strong communication, organization, and technical skills who works well in a fast\-paced dynamic environment. The ideal candidate will be self\-motivated and also have a desire to learn, develop, and build on technical expertise during product development. Our environment cultivates product innovation, rapid product iteration, and a liberating amount of autonomy.
**Description**
 We are looking for someone to drive, own, and improve the quality and efficiency of Core OS software operations. In this role you will be the central hub bringing together different teams from SW Engineering, Quality, Development Operations, and Build and Test platform organizations, with the goal of improving the operational effectiveness of the organization.nu003cliu003eCreating and maintaining detailed project plans, schedule, and status documentation for our Ops and Workflow initiatives.nu003cliu003eBringing together and collaborating with large cross\-functional stakeholder groups. nu003cliu003eServing as a liaison to communicate information regarding requirements, changes, milestones reached, and other pertinent information.nu003cliu003ePresent and communicate new feature initiatives, top issues, risks, and critical achievements to executive leadership. nu003cliu003eDriving focus to critical path deliverables and track execution of dependencies. nu003cliu003eCoordinating complex and highly dependent groups of changes through our build and integration systems.nu003cliu003eActing as a liason with the Build EPM team around software program deadlines and milestonesnu003cliu003eProactively identifying risks to software delivery, developing mitigation strategies, and facilitating resolutions.
**Minimum Qualifications**
 At least 5 years of experience in program or project management in software developmentnKnowledge of software engineering standard methodologies and related dependenciesnFamiliar with components of Computer Architecture and Operating SystemsnExcellent spoken and written communication with the ability to tailor communication style to multiple audiencesnOrganization and multi\-tasking skills with great attention to detail
**Preferred Qualifications**
 Strong leadership skills including ability to build trusting relationships and influence othersnBuild and Release Engineering / Release Management nProject Management experience in software development life cyclenUnderstanding software build pipelines, merging, test systems and methods, and the delivery of codeContinuous Integration and Continuous DeliverynDevOps Lifecycle Improvement InitiativesnDeveloper Productivity nAnalytics (splunk/Tableau preferred)nKnowledge of operating system internals architecture skills and experience: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01">
      <c r="A101" t="inlineStr">
        <is>
          <t>li-4362783316</t>
        </is>
      </c>
      <c r="B101" t="inlineStr">
        <is>
          <t>Senior Product Manager, Delivery Pipelines</t>
        </is>
      </c>
      <c r="C101" t="inlineStr">
        <is>
          <t>Capital One</t>
        </is>
      </c>
      <c r="D101" t="inlineStr">
        <is>
          <t>linkedin</t>
        </is>
      </c>
      <c r="E101">
        <f>HYPERLINK("https://www.linkedin.com/jobs/view/4362783316", "https://www.linkedin.com/jobs/view/4362783316")</f>
        <v/>
      </c>
      <c r="F101" t="inlineStr"/>
      <c r="G101" t="inlineStr">
        <is>
          <t>Chicago, IL</t>
        </is>
      </c>
      <c r="H101" t="inlineStr"/>
      <c r="I101" t="inlineStr">
        <is>
          <t>Capital One is a high\-tech company, a scientific laboratory, and a nationally recognized brand all in one reaching tens of millions of consumers. We are a passionate and entrepreneurial team embracing bold ideas, fostering collaboration and delivering great experiences for our customers. Delivery Experience (DE) is at the heart of our approach. Delivery Experience delivers enterprise capabilities and a common developer experience enabling Capital One to thrive in the cloud. To scale our efforts in this space, we are building a world class CI/CD platform for deploying applications to the cloud that run critical business functions like mobile and online experiences for Capital One customers. This CI/CD platform is the common developer experience for the 1,800 software development teams at Capital One. The platform enables us to continue thriving in the cloud in a safe and well\-managed way by standardizing best practices and automating compliance and security requirements.
 As a Product Manager on the Developer Experience Product team, you will design and deliver best\-in\-class managed solutions that improve the quality of life of our software delivery teams while maintaining the highest quality and security standards. You will work with stakeholders at every level to identify and resolve pain points for software development teams throughout the software delivery life cycle. This team is focused on building a software delivery platform that is intuitive, reliable, automated, secure, adaptable, and fast. We’re passionate about building platform software for the next generation of developers at Capital One.
 In this role, you will advocate for the needs of the customer while building our platform roadmap. You will ensure that the capabilities we deliver achieve the intended business outcomes. You will be responsible for shaping multi\-year strategies and partnering with tech teams to deliver platform features. As an ideal candidate for this role, you are passionate about technology, you deeply understand how developers work, and genuinely and thoroughly empathize with internal and external customer needs. You are comfortable in conversation with engineering teams as well as stakeholders ranging from data scientists to senior leaders.
****As part of the CI/CD Product Team, you will:****
* Execute product management best practices in pursuit of an improved experience for Capital One engineers when they use our application deployment infrastructure.
* Drive execution of product strategies for cloud\-native software deployment technologies based on Infrastructure as Code (IaC).
* Develop vision and strategy based on industry research and grounded on a foundation of solving problems for our customers.
* As we evolve our pipeline, lead evaluation of third party solutions for fit, including, but not limited to: meeting our requirements, compatibility with our systems, and compliance with our security needs.
* Advocate for the product perspective in cross\-functional collaborations among stakeholders including cybersecurity, risk, compliance, supplier management, engineering, and our lines of business.
* Develop and maintain your product's roadmap to realize positive outcomes for our customers and help the delivery experience team achieve our key results.
* Oversee the end\-to\-end product lifecycle, from ideation and requirements gathering through launch and operation by defining, updating, and monitoring metrics and enhancing the system to improve those metrics.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 Experience working with Developer Tooling or Platform Engineering organizations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$182,500 \- $208,300 for Sr. Mgr, Product Management
 McLean, VA: $200,700 \- $229,100 for Sr. Mgr, Product Management
 New York, NY: $219,000 \- $249,900 for Sr. Mgr, Product Management
 Plano, TX: $182,500 \- $208,300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2">
      <c r="A102" t="inlineStr">
        <is>
          <t>li-4362773464</t>
        </is>
      </c>
      <c r="B102" t="inlineStr">
        <is>
          <t>Senior Product Manager, Delivery Pipelines</t>
        </is>
      </c>
      <c r="C102" t="inlineStr">
        <is>
          <t>Capital One</t>
        </is>
      </c>
      <c r="D102" t="inlineStr">
        <is>
          <t>linkedin</t>
        </is>
      </c>
      <c r="E102">
        <f>HYPERLINK("https://www.linkedin.com/jobs/view/4362773464", "https://www.linkedin.com/jobs/view/4362773464")</f>
        <v/>
      </c>
      <c r="F102">
        <f>HYPERLINK("https://dsp.prng.co/Ndfq6lb&amp;urlHash=BzG4", "https://dsp.prng.co/Ndfq6lb&amp;urlHash=BzG4")</f>
        <v/>
      </c>
      <c r="G102" t="inlineStr">
        <is>
          <t>Plano, TX</t>
        </is>
      </c>
      <c r="H102" t="inlineStr"/>
      <c r="I102" t="inlineStr">
        <is>
          <t>Capital One is a high\-tech company, a scientific laboratory, and a nationally recognized brand all in one reaching tens of millions of consumers. We are a passionate and entrepreneurial team embracing bold ideas, fostering collaboration and delivering great experiences for our customers. Delivery Experience (DE) is at the heart of our approach. Delivery Experience delivers enterprise capabilities and a common developer experience enabling Capital One to thrive in the cloud. To scale our efforts in this space, we are building a world class CI/CD platform for deploying applications to the cloud that run critical business functions like mobile and online experiences for Capital One customers. This CI/CD platform is the common developer experience for the 1,800 software development teams at Capital One. The platform enables us to continue thriving in the cloud in a safe and well\-managed way by standardizing best practices and automating compliance and security requirements.
 As a Product Manager on the Developer Experience Product team, you will design and deliver best\-in\-class managed solutions that improve the quality of life of our software delivery teams while maintaining the highest quality and security standards. You will work with stakeholders at every level to identify and resolve pain points for software development teams throughout the software delivery life cycle. This team is focused on building a software delivery platform that is intuitive, reliable, automated, secure, adaptable, and fast. We’re passionate about building platform software for the next generation of developers at Capital One.
 In this role, you will advocate for the needs of the customer while building our platform roadmap. You will ensure that the capabilities we deliver achieve the intended business outcomes. You will be responsible for shaping multi\-year strategies and partnering with tech teams to deliver platform features. As an ideal candidate for this role, you are passionate about technology, you deeply understand how developers work, and genuinely and thoroughly empathize with internal and external customer needs. You are comfortable in conversation with engineering teams as well as stakeholders ranging from data scientists to senior leaders.
****As part of the CI/CD Product Team, you will:****
* Execute product management best practices in pursuit of an improved experience for Capital One engineers when they use our application deployment infrastructure.
* Drive execution of product strategies for cloud\-native software deployment technologies based on Infrastructure as Code (IaC).
* Develop vision and strategy based on industry research and grounded on a foundation of solving problems for our customers.
* As we evolve our pipeline, lead evaluation of third party solutions for fit, including, but not limited to: meeting our requirements, compatibility with our systems, and compliance with our security needs.
* Advocate for the product perspective in cross\-functional collaborations among stakeholders including cybersecurity, risk, compliance, supplier management, engineering, and our lines of business.
* Develop and maintain your product's roadmap to realize positive outcomes for our customers and help the delivery experience team achieve our key results.
* Oversee the end\-to\-end product lifecycle, from ideation and requirements gathering through launch and operation by defining, updating, and monitoring metrics and enhancing the system to improve those metrics.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 Experience working with Developer Tooling or Platform Engineering organizations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$182,500 \- $208,300 for Sr. Mgr, Product Management
 McLean, VA: $200,700 \- $229,100 for Sr. Mgr, Product Management
 New York, NY: $219,000 \- $249,900 for Sr. Mgr, Product Management
 Plano, TX: $182,500 \- $208,300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3">
      <c r="A103" t="inlineStr">
        <is>
          <t>li-4357638617</t>
        </is>
      </c>
      <c r="B103" t="inlineStr">
        <is>
          <t>Senior Program Manager, WorldWide Logistics Business Process Re-Engineering (BPR)</t>
        </is>
      </c>
      <c r="C103" t="inlineStr">
        <is>
          <t>Apple</t>
        </is>
      </c>
      <c r="D103" t="inlineStr">
        <is>
          <t>linkedin</t>
        </is>
      </c>
      <c r="E103">
        <f>HYPERLINK("https://www.linkedin.com/jobs/view/4357638617", "https://www.linkedin.com/jobs/view/4357638617")</f>
        <v/>
      </c>
      <c r="F103" t="inlineStr"/>
      <c r="G103" t="inlineStr">
        <is>
          <t>Sunnyvale, CA</t>
        </is>
      </c>
      <c r="H103" t="inlineStr"/>
      <c r="I103" t="inlineStr">
        <is>
          <t>**Summary**
 Imagine what you could do here. At Apple, great ideas have a way of becoming greatnproducts, services, and customer experiences very quickly. Bring passion and dedication tonyour job and there's no telling what you could accomplish.nAs a Senior Program Manager within the Worldwide Business Process Engineeringnorganization, you will work with a globally dispersed cross\-functional team to conduct rootncause and alternatives analysis to add new supply chain capability, drive processnoptimization, increased scale u0026 efficiency, and minimize cost.nYou will prepare appropriate documentation including current state, value streamnmapping, scenario u0026 sensitivity testing, financial analysis, and business case development.nYou will oversee all aspects of project information including timelines, budgets, resourcenallocation, scope and definition, and provide oversight of a global portfolio of projects.n
**Description**
 You will have the ability to find opportunities and lead business process re\-engineeringnefforts. You will also be responsible for leading medium to large size, global cross\-nfunctional projects, build and roll\-out innovative technology and business process solutionsnthat increase efficiencies, improve customer satisfaction, build customer loyalty, and drivenrevenue.nThis position requires you to work with senior management and global teams tondefine processes and system roadmaps and drive improvements of the organization. Thisneffort is directly linked to our commercial strategy and needs to be forward\-looking.nThis may include:n
* Understanding future strategies and directions to anticipate needsn
* Building Internal and external expertise driving best practice and innovationn
* Situation analysis and audit of current organization / process / data and systemsn
* Gap analysis of As\-Is vs. To\-Ben
* Proposing and driving new solutions that may be implemented WW or addressingnlocal processesn
* Develop metrics such as customer satisfaction, user acceptance, business impact, e.g.nApply analytical skills to help rationalize and inspire change.nnEssential Duties and Responsibilities:n1\. Gather and synthesize detailed, global business requirements and designnspecifications.n2\. Assess current processes. Develop and implement future business processes.n3\. Serve as liaison to Operation teams to develop technology systems solutionsn(requirements, user testing, etc.) to support WW SOS initiatives.n4\. Partners with key cross\-functional partners to solicit customer and associate feedbacknto identify initiative improvement opportunities for implementationn5\. Act as a liaison between the business teams and ISu0026T (Information Systems andnTechnology) to ensure that the business requirements are complete and met by thenproposed technology solutions.n6\. Drive the design, development, implementation and management of solutions fornCustomers.n7\. Work with business leads to define and manage business process and technologynroadmaps in support of long\-term divisional strategies.n8\. Implement new ideas effectively within the Apple culture. Influence decisions andnchange management through collaboration, leadership, and a customer\-focusednapproach.n9\. Provide functional subject matter expertise.n10\. Manage complex projects to major milestones. Develop project justification proposals,nbusiness cases and return on investment estimates; obtain executive approval andnfunding.n11\. Develop and maintain key project governance documentation to ensure the propernamount of structure is applied to enable project success.n12\. Facilitate project related testing, roll\-out, and post\-mortem work.n13\. Provide timely updates and elevate critical risks to project, management, and seniornexecutive teams.
**Minimum Qualifications**
 Bachelors degree required in Supply Chain, Business, Computer Science, or related field. n8\+ years broad supply chain management exposure with expertise in a specific area to includenlogistics, fulfillment, transportation, global trade compliance, procurement or supplynchain operationsnExperience driving supply chain process improvement / Kaizen, quality Six Sigma, andnLean effortsnExperience planning, managing, and delivering medium (6\-8 month) to large (8\-n12\+month) projects, including Brainstorming and requirements gathering. nProficient knowledge of systems implementation and development life cycles, including business process flow diagramming.nLiteracy with process modeling tools, MS Excel, and basic project planning tools
**Preferred Qualifications**
 MBA is desirednProficient at leading multiple efforts simultaneously in a global companynProven ability to handle complexity, deadlines, and meet cost constraintsnExcellent verbal and written communication skills across project and management teamsnAbility to lead and enhance project team effectivenessnn
**Pay \&amp; Benefits**
 At Apple, base pay is one part of our total compensation package and is determined within a range. This provides the opportunity to progress as you grow and develop within a role. The base pay range for this role is between $175,300 and $263,900,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04">
      <c r="A104" t="inlineStr">
        <is>
          <t>li-4361666809</t>
        </is>
      </c>
      <c r="B104" t="inlineStr">
        <is>
          <t>Program Manager</t>
        </is>
      </c>
      <c r="C104" t="inlineStr">
        <is>
          <t>OMAYGAH LLC</t>
        </is>
      </c>
      <c r="D104" t="inlineStr">
        <is>
          <t>linkedin</t>
        </is>
      </c>
      <c r="E104">
        <f>HYPERLINK("https://www.linkedin.com/jobs/view/4361666809", "https://www.linkedin.com/jobs/view/4361666809")</f>
        <v/>
      </c>
      <c r="F104" t="inlineStr"/>
      <c r="G104" t="inlineStr">
        <is>
          <t>Springfield, VA</t>
        </is>
      </c>
      <c r="H104" t="inlineStr"/>
      <c r="I104" t="inlineStr">
        <is>
          <t>**Must have:** 
* Must be a US Citizen and must have the ability to obtain and maintain a Top Secret security clearance.
* Three (3\) years of experience in program management or business analysis, or a four\-year degree in relevant concentration
* Perform day\-to\-day management of product backlog, including sprint planning and tracking using Agile and Scrum practices and methodologies as implemented in written policies, directives, and desktop procedures
* Work with both the application product manager and product stakeholders to develop, prioritize, and manage backlog items
* Conduct routine sprint planning and tracking meetings in small teams consisting of some or all the following individuals: the developer or developers assigned to an application, the product manager for the application, and the Manager, Enterprise Applications.
* Conduct sprint review meetings to gather feedback from team members and demonstrate completed work based on documented requirements
* Document and track risks to sprint accomplishment, highlighting them to staff when appropriate
* Coordinate and facilitate Planning Increment (PI) planning meetings to identify and refine documented requirements for upcoming increments
* Coordinate and execute backlog refinement meetings to develop long\-term and strategic objectives, ensuring that end user requirements will be satisfied in future years of the contract
* Manage and propose enhancements to 08Y\-EA written policies, directives, and desktop procedures for implementation of Agile practices and methodologies</t>
        </is>
      </c>
    </row>
    <row r="105">
      <c r="A105" t="inlineStr">
        <is>
          <t>li-4353590832</t>
        </is>
      </c>
      <c r="B105" t="inlineStr">
        <is>
          <t>Program Manager, AWS Fintech BizOps , AWS Fintech Biz Operations</t>
        </is>
      </c>
      <c r="C105" t="inlineStr">
        <is>
          <t>myGwork - LGBTQ+ Business Community</t>
        </is>
      </c>
      <c r="D105" t="inlineStr">
        <is>
          <t>linkedin</t>
        </is>
      </c>
      <c r="E105">
        <f>HYPERLINK("https://www.linkedin.com/jobs/view/4353590832", "https://www.linkedin.com/jobs/view/4353590832")</f>
        <v/>
      </c>
      <c r="F105" t="inlineStr"/>
      <c r="G105" t="inlineStr">
        <is>
          <t>Seattle, WA</t>
        </is>
      </c>
      <c r="H105" t="inlineStr"/>
      <c r="I105" t="inlineStr">
        <is>
          <t>**This job is with Amazon, an inclusive employer and a member of myGwork – the largest global platform for the LGBTQ\+ business community. Please do not contact the recruiter directly.**
**Description**
 Do you thrive in a fast\-paced, goal\-focused environment? Are you excited by ambiguity and the opportunity to build something new?
 AWS Fintech is looking for an exceptionally bright and self\-motivated Program Manager to join AWS Fintech Business Operations, a fast\-paced, agile team chartered to drive and scale internal programs as the organization grows and evolves. You will support a global team of engineers, product managers, designers, and analysts in the areas of business planning and reporting, internal events, employee campaigns and communications, and people operations.
 You will be a trusted partner across the business, collaborating with both technical and non\-technical stakeholders to improve upon current processes and tools. You will have the ability to think strategically, act effectively, and display strong analytical and critical thinking skills. You will also be tasked with cross\-functional project teams, and must demonstrate exceptional organizational skills and attention to detail.
 You must be able to thrive and succeed in an entrepreneurial environment, and not be hindered by ambiguity or competing priorities. This means you are not only able to develop and drive global initiatives and KPIs, but can also roll up your sleeves, dig in, and get the job done. Maturity, high judgment, ability to influence, analytical talent, and leadership are essential to success in this role.
 Key job responsibilities
* Identify and execute internal process and program opportunities across a global team; partner with AWS Fintech leadership and cross\-functional teams to drive change management and adoption
* Define and track success metrics for key programs; assess the health and benefit of programs in order to make decisions on what to grow, evolve, or discontinue
* Gather and analyze customer feedback, requests, and suggestions; provide valuable insights to leadership team for improvements \- must be excel proficient
* Own key internal communications channels \+ platforms. Develop and execute org\-wide communication plans to inform and inspire employee base
 A day in the life
 You will work on a small team that's at the heart of AWS Fintech \- one day you might be leading a QBR, the next day, you could be planning for an org\-wide event like our annual Hackathon or Summit, or developing a new strategy to drive employee retention and engagement. This role is what you make it \- the more you can learn \&amp; be curious about our business and are able to dive deep into our processes and products, you will find that there are many ways to have an impact here!
**About The Team**
 At AWS Fintech, we build and operate systems that provide management and financial reporting for AWS. Our vision is to create a comprehensive finance data platform for AWS that automates repetitive data management operations, enabling finance users to focus on what matters most: telling a story with data and making informed business decisions.
**Basic Qualifications**
* 5\+ years of program or project management experience
* Experience using data and metrics to determine and drive improvements
* Experience owning program strategy, end to end delivery, and communicating results to senior leadership
**Preferred Qualifications**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WA, Seattle \- 115,600\.00 \- 160,000\.00 USD annually]]\&gt;</t>
        </is>
      </c>
    </row>
    <row r="106">
      <c r="A106" t="inlineStr">
        <is>
          <t>li-4359008253</t>
        </is>
      </c>
      <c r="B106" t="inlineStr">
        <is>
          <t>Engineering Program Manager, Cloud Compute, Apple Services Engineering</t>
        </is>
      </c>
      <c r="C106" t="inlineStr">
        <is>
          <t>Apple</t>
        </is>
      </c>
      <c r="D106" t="inlineStr">
        <is>
          <t>linkedin</t>
        </is>
      </c>
      <c r="E106">
        <f>HYPERLINK("https://www.linkedin.com/jobs/view/4359008253", "https://www.linkedin.com/jobs/view/4359008253")</f>
        <v/>
      </c>
      <c r="F106">
        <f>HYPERLINK("https://jobs.apple.com/en-us/details/200635005&amp;urlHash=Wt6N", "https://jobs.apple.com/en-us/details/200635005&amp;urlHash=Wt6N")</f>
        <v/>
      </c>
      <c r="G106" t="inlineStr">
        <is>
          <t>Seattle, WA</t>
        </is>
      </c>
      <c r="H106" t="inlineStr"/>
      <c r="I106" t="inlineStr">
        <is>
          <t>**Summary**
 The Apple Services Engineering team is one of the most exciting examples of Apple’s long\-held passion for combining art and technology. These are the people who power the App Store, Apple TV, Apple Music, Apple Podcasts, and Apple Books. And they do it on a massive scale, meeting Apple’s high expectations with high performance to deliver a huge variety of entertainment in over 35 languages to more than 150 countries. Our Program Managers partner with engineers who build secure, end\-to\-end solutions. Thanks to Apple’s unique integration of hardware, software, and services, engineers and Program Managers partner to get behind a single unified vision. That vision always includes a deep commitment to strengthening Apple’s privacy policy, one of Apple’s core values. Although services are a bigger part of Apple’s business than ever before, these teams remain small, nimble, and cross\-functional, offering greater exposure to the array of opportunities here.
**Description**
 Apple Cloud Infrastructure team, as part of the Apple Services Engineering team, is seeking an extraordinary engineering program manager (EPM) that can help our compute team deliver innovative product solutions that will shape the future of large scale infrastructure at Apple.nnWe are building and supporting critical infrastructural systems and frameworks which provide and support services like Elastic compute, Container solutions like Kubernetes for Apple Cloud Infrastructure, which is the platform upon which many iCloud applications and other backend systems at Apple are built; they have huge scale. We're a fast paced organization with ambitious goals, a large user base, and the autonomy to build the future of Compute and Storage infrastructure for all of Apple. Teams across Apple rely on us for Compute and Storage infrastructure that help them build services that scale globally, are highly available, and
**Minimum Qualifications**
 5\+ years experience in software development project management in compute Infrastructure domains.nExperience managing Cloud and Infrastructure programs. nPast experience with deployments to AWS / Kubernetes platforms.nExperience managing Cloud and Infrastructure projects. nAgile project experience with evidence and able to demonstrate knowledge.nExperience at prioritizing features and technical road maps.nProficiency and experience in delivering large scale infrastructure projects.nBA/BS degree in Computer Science, Computer Engineering, or related degree or related professional experience n
**Preferred Qualifications**
 Exceptional organizational, project management, and technical acumen.nPrior engineering, infrastructure experience is a plus.nPast experience with containers/storage would be a plus.nSCRUM background and/or played the role of a Scrum Master is plus.nSelf\-motivated and proactive with demonstrated creative and critical thinking capabilities.nStrong analytical, troubleshooting, and problem\-solving skills.nStrong verbal and written communication skills to represent at all levels of the organization.nAbility to manage multiple simultaneous end to end infrastructure, technical projects and stakeholder community comprising of various engineering teams and their partnersnExperience at end to end project delivery; building roadmaps through to operational sustainability.nStrong facilitation skills (requirements sessions, design meetings, progress and status meetings).
**Pay \&amp; Benefits**
 At Apple, base pay is one part of our total compensation package and is determined within a range. This provides the opportunity to progress as you grow and develop within a role. The base pay range for this role is between $163,300 and $290,100,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07">
      <c r="A107" t="inlineStr">
        <is>
          <t>li-4357669392</t>
        </is>
      </c>
      <c r="B107" t="inlineStr">
        <is>
          <t>Senior Program Manager, Business Analytics - 518086</t>
        </is>
      </c>
      <c r="C107" t="inlineStr">
        <is>
          <t>Tennessee Valley Authority</t>
        </is>
      </c>
      <c r="D107" t="inlineStr">
        <is>
          <t>linkedin</t>
        </is>
      </c>
      <c r="E107">
        <f>HYPERLINK("https://www.linkedin.com/jobs/view/4357669392", "https://www.linkedin.com/jobs/view/4357669392")</f>
        <v/>
      </c>
      <c r="F107">
        <f>HYPERLINK("https://tvacareers.ttcportals.com/jobs/17225656-senior-program-manager-business-analytics-518086&amp;urlHash=nJ3c", "https://tvacareers.ttcportals.com/jobs/17225656-senior-program-manager-business-analytics-518086&amp;urlHash=nJ3c")</f>
        <v/>
      </c>
      <c r="G107" t="inlineStr">
        <is>
          <t>Chattanooga, TN</t>
        </is>
      </c>
      <c r="H107" t="inlineStr"/>
      <c r="I107" t="inlineStr">
        <is>
          <t>**External \- Posting Description**
**Senior Program Manager, Business Analytics \- 518086**
**Organization: Finance**
**Department: Business Analytics**
**Work Location:** 
**Chattanooga, Tennessee**
**Relocation: Relocation benefits are offered for this position and will be aligned with federal travel regulations.**
**Posting Open: 01/15/2026**
**Posting Close: 01/21/2026 at 11:59 PM EST**
**Salary: Competitive**
**The ideal candidate would have combined experience with strong leadership, business acumen, and advanced technical skills in Power BI, Tableau, or similar visualization platforms; SQL, relational databases, and data modeling; and Python or R for analytics and automation. L** 
**eading complex analytics initiatives that drive strategic business outcomes, turns data into actionable insights, drives cross\-functional initiatives, and delivers measurable business impact is highly preferred.**
**Position Purpose**
 This position functions as a technical subject matter expert of the team. Provides support and leadership in the design, automation, development and implementation of analytical models, tools and analysis for TVA. Supports the development and implementation of models to aid in project and business valuations or similar projects. Leads analysis, projects and special studies that will be used to inform business decisions and strategies to achieve long\-term performance goals. The position is responsible for supporting other analysts in building sophisticated analytical tools enabling the organization to elevate its value as a financial steward and financial advisor for TVA.
**Principal Accountabilities**
 Senior technical subject matter expert with the following responsibilities:
* Conduct data analysis to solve business problems through the use of statistical and/or machine learning models
* Deliver impactful analysis based on robust economic, financial, and statistical analysis
* Illustrate key business trends through effective data interpretation and visualization
* Supports projects to increase the sophistication of models, applications and analysis approaches used across the organization
* Supports and leads efforts to leverage data visualization applications and/or software coding to build sophisticated financial analysis tools and models
* Interprets financial and quantitative analysis approaches to ensure that they are sound in order to support optimal business decisions are made to maximize value.
* Interprets output of analysis performed by other staff members to support business decisions, optimization activities, and financial and planning strategies.
* Leads and/or supports the development of models to perform predictive analytics leveraging historic benchmarking, financial and operational data.
* Lends technical and analytical expertise across the organization
* Advise and fulfil ad\-hoc requests for data and analysis to support senior management
* Supports cross\-functional projects using advanced data modeling and analysis techniques to discover insights that will guide strategic decisions and uncover optimization opportunities
* Supports projects focused on accelerating process automation across
* Supports key tracks of TVA’s digital transformation across multiple work streams.
* Supports cross\-organizational projects focused on strengthening technical acumen of the enterprise.
* Provides advice/technical review of more complex analysis/evaluations.
* Performs other functions to ensure goals and objectives are met such as maintenance of assigned procedures/processes.
* Serves as a key interface/liaison across business units and with other strategic business units across the enterprise.
**Minimum Requirements**
**Education** 
 — Bachelor’s degree in statistics, computer science, finance, accounting, business analytics, data science, economics, engineering, or related field. Advanced degrees are preferred (MS, Ph.D).
**Experience** 
 — 7\+ years of related experience, with prior management experience preferred. Incumbent should have a broad understanding of financial analysis, the utility industry, and the complexity of TVA organizations as a utility, government, and regulatory\-controlled agency. The incumbent should have a sound understanding of predictive modeling, performance analysis and performance reporting, quantitative analysis techniques.
**Certification/License, etc** 
 —
**Knowledge/Skills/Abilities** 
 — Must have a good knowledge of theories \&amp; applications in areas of power system economic, generation \&amp; transmission characteristics, economic dispatch, \&amp; bulk power marketing practices. Must have experience in system and models at an enterprise level and be able to translate results into meaningful communication. Must be able to communicate effectively, both written and orally, in order to educate and build consensus company wide. Candidate may be required to obtain and maintain a security clearance based on position/access requirements and essential job functions.
**Equal Employment Opportunity**
 TVA is an Equal Opportunity employer and complies with all applicable laws and regulations regarding equal employment opportunities. Any applicant or employee who believes s/he has a discrimination claim (including harassment or retaliation) must contact TVA’s Equal Opportunity Compliance office within 45 calendar days of the event or action s/he believes to constitute discrimination, harassment, or retaliation.
**Drug\-Free Workplace**
 All TVA Non\-Nuclear employees are covered by TVA's Federal Drug\-Free Workplace Program Plan, in accordance with Executive Order 12564, Public Law 100\-71 and the Mandatory Guidelines for Federal Workplace Drug Testing. Information regarding the Drug Free Workplace Program can be found at www.samhsa.gov/workplace . TVA Non\-Nuclear employees in Testing Designated Positions, including those performing safety\-sensitive duties are also subject to random drug testing. TVA Nuclear employees are subject to random alcohol and drug tests in accordance with 10 CFR Part 26 as mandated by the Nuclear Regulatory Commission (NRC).
**How To Claim Vet Preference**
 If you are requesting to be considered as a preference\-eligible veteran as outlined in the application process, you must submit your military documents before the posting close date indicated above. Be sure to include all supporting documentation: Form DD214 (member 2 or member 4 copy), a Veterans Disability Rating Letter from the VA (if applicable), and a completed form TVA 3595\. If you will not get your DD214 until you are separated or retired, you can request a Statement of Service through your military personnel office. The Statement of Service must list your dates of military service, character of service, expected date of separation and any service\-connected disability rating that you have been awarded from your branch of military service. Please submit your military documents each time you apply for a position.
**How To Submit Documentation**
* Upload documents in Step 7 of the application process.
* Email documents to \[email protected]
 More information about preference eligibility and a link to form TVA 3595, can be found at https://www.tva.gov/Careers/Claiming\-Veteran\-Preference . If you have a question about preference eligibility, please email \[email protected] .</t>
        </is>
      </c>
    </row>
    <row r="108">
      <c r="A108" t="inlineStr">
        <is>
          <t>li-4362920191</t>
        </is>
      </c>
      <c r="B108" t="inlineStr">
        <is>
          <t>Program Manager</t>
        </is>
      </c>
      <c r="C108" t="inlineStr">
        <is>
          <t>Base-2 Solutions</t>
        </is>
      </c>
      <c r="D108" t="inlineStr">
        <is>
          <t>linkedin</t>
        </is>
      </c>
      <c r="E108">
        <f>HYPERLINK("https://www.linkedin.com/jobs/view/4362920191", "https://www.linkedin.com/jobs/view/4362920191")</f>
        <v/>
      </c>
      <c r="F108" t="inlineStr"/>
      <c r="G108" t="inlineStr">
        <is>
          <t>Virginia, United States</t>
        </is>
      </c>
      <c r="H108" t="inlineStr"/>
      <c r="I108" t="inlineStr">
        <is>
          <t>**Required Security Clearance**
**Top Secret/SCI, Top Secret/SCI with CI Polygraph**
**City**
 State/Territory:
**Virginia**
**Travel**
**None**
**Potential For Teleworking**
**No**
**Schedule**
**Full Time**
**DoD 8570 IAT Requirement**
**None**
**DoD 8570 IAM Requirement**
**None**
**DoD 8570 IASAE Requirement**
**None**
**DoD CSSP Requirement**
**None**
**Last Updated**
**1/14/26 8:30 PM**
**Requisition ID**
**739206**
 US Citizenship Required?:
**Yes**
**Pay Range**
 Work Type:
**Hybrid (On\-Site and Remote)**
**Referral Eligibility**
**Eligible**
**Job Description**
 Base\-2 Solutions is seeking a senior
 **Program Manager (PM)** 
 to lead execution of the SIA\-3 IDIQ, supporting DIA and the broader Defense Intelligence Enterprise. The PM will have full authority and accountability for performance, cost, schedule, quality, and risk across multiple global task orders supporting CYD and mission partners.
**Key Responsibilities**
* Serve as the single accountable PM for SIA\-3 task orders, ensuring disciplined execution across CONUS and OCONUS missions
* Provide executive\-level interface with DIA leadership, Contracting Officers, and mission stakeholders
* Oversee Task Order Managers aligned to Mission Technical Areas (MTAs) and regional mission sets
* Ensure analytic quality and tradecraft compliance (ICD 203/206, DIA Reviewer Guide) in coordination with Quality \&amp; Tradecraft Leads
* Manage program risk, issues, and change control to prevent mission impact
* Oversee cost, performance, and CDRL reporting using DCAA\-compliant systems
* Lead workforce planning, surge support, and continuity of operations
**Required Qualifications**
* PMP certification (required)
* 10\+ years of program management experience supporting DoD or IC customers
* Demonstrated experience managing large, complex IDIQ or multi\-task\-order programs
* Strong understanding of DIA, IC analytic missions, and enterprise coordination
* Proven ability to manage cleared analytic and technical workforces at scale
**Preferred**
* Prior DIA or SIA\-3 experience
* Experience supporting CYD, CCMDs, or Service Intelligence Centers
**Pay \&amp; Benefit Highlights**
**Compensation**
* Above market fixed salary or hourly pay.
* Up to $10,000 bonus for each referral.
* Additional bonuses for exceptional performance, assisting with business development and company growth.
**Health**
* 100% paid premiums for health insurance. Choose from over 5 gold\-level medical plans from CareFirst, Kaiser and UnitedHealthcare. Choose from PPO, POS. HMO, and HSA\-compatible.
* HSA and FSA options.
* 100% paid premiums for dental insurance.
* 100% paid premiums for vision insurance.
**Income Protection**
* 100% paid premiums for short\-term disability.
* 100% paid premiums for long\-term disability.
* 100% paid premiums for accidental death \&amp; dismemberment.
* 100% paid premiums for life insurance with a $200,000 max benefit.
**Retirement**
* 8% company contribution to 401k with immediate vesting.
* 401k pre\-tax and Roth options.
**Leave**
* Up to 20 days of flexible paid time off (PTO).
* 11 days of paid floating holidays.
**Work\-Life Balance**
* Flexible work schedules including flex time and compressed work period.
* Remote work including partial or fully remote (contract and project\-dependent).
 View our detailed Pay \&amp; Benefits
**Equal Opportunity Employer**
 Base\-2 Solutions is an Equal Opportunity Employer. All qualified applicants will receive consideration for employment without regard to race, color, religion, sex, sexual orientation, gender identity, national origin, disability, or status as a protected veteran.</t>
        </is>
      </c>
    </row>
    <row r="109">
      <c r="A109" t="inlineStr">
        <is>
          <t>li-4323926277</t>
        </is>
      </c>
      <c r="B109" t="inlineStr">
        <is>
          <t>Program Manager</t>
        </is>
      </c>
      <c r="C109" t="inlineStr">
        <is>
          <t>Acro Service Corp</t>
        </is>
      </c>
      <c r="D109" t="inlineStr">
        <is>
          <t>linkedin</t>
        </is>
      </c>
      <c r="E109">
        <f>HYPERLINK("https://www.linkedin.com/jobs/view/4323926277", "https://www.linkedin.com/jobs/view/4323926277")</f>
        <v/>
      </c>
      <c r="F109" t="inlineStr"/>
      <c r="G109" t="inlineStr"/>
      <c r="H109" t="inlineStr"/>
      <c r="I109" t="inlineStr">
        <is>
          <t>**SUMMARY** 
 The
 **MSP Program Manager** 
 is responsible for leading and managing the Program Management Office, comprised of Program Coordinator(s), Staffing Specialists, and other personnel as required to ensure successful program operation. The PMO is the primary contact for all operational aspects of the program with the customer. and ensures the program is compliant with all contractual and other legal requirements, including achievement of all applicable service level agreements. The PMO works directly with client users as needed to assist them in obtaining temporary personnel through the program, resolving issues, providing guidance, information and reports, and participating in client meetings. The PMO is also responsible for managing the performance of the associate vendor network (with assistance from the Acro Supplier Relationship Manager) to maximize supplier performance and ensure compliance with program policies and processes.
**DUTIES \&amp; RESPONSIBILITIES** 
* Facilitate the timely fulfillment of all client requisitions for talent.
* Assist client using managers in the accurate and complete preparation of the requisition, as needed.
* Clarify the job duties and qualifications with client using managers if unclear to ensure fully qualified candidates are identified and submitted by the supplier network.
* Facilitate virtual meetings with client using managers and the suppliers to enable firsthand transfer of job qualifications and duties, as needed, particularly for hard\-to\-find skillsets.
* Act as first primary/main point of contact for all issues regarding the program and as the liaison between the client and Acro regarding day to day operation of the program.
* Ensure high levels of customer satisfaction with Acro and the program. Be highly responsive to client needs and requests. Engage Acro corporate support resources as needed to resolve issues in a timely manner.
* Identify and surface opportunities within the client organization for program expansion into new locations, labor categories, services, etc., that will increase spend through the program and/or additional revenue and business opportunities for Acro.
* Participate in quarterly associate vendor evaluation meetings, manage spot audits of associate vendor compliance, and other duties as assigned.
* Prepare for and lead quarterly business review meetings with client stakeholders.
* Ensure the program meets or exceeds all program SLA requirements. Manage the reporting of monthly SLA and KBI achievement. Initiate corrective actions as needed if program improvement opportunities are identified.
* Ensure timely and effective identification, response and resolution of all program issues including contract employee issues, time capture and approval issues, conduct regular meetings and training, co\-employment and risk mitigation awareness.
* Ensure that PMO tasks and responsibilities are effectively distributed among the PMO team members and that tasks and assignments are clearly understood and completed in a professional and timely manner including but not limited to:
* Ensure the accuracy and completeness of the data entered into XRM for all personnel requisitions.
* Ensure the quality of candidates presented to the client through the system.
* Ensure that all required pre hire and new hire paperwork and actions required by the associate vendor network are completed in a timely manner and are in compliance with the program guidelines.
* Coordinate with Acro Supplier Relations Manager to assure that program suppliers are motivated to provide the highest quality applicants in a timely manner and at a competitive rate and are properly trained in the XRM System, and maintain communication with the associate vendor network regarding the program, overall performance and other subjects as required
* Full\-desk coverage for various duties and responsibilities of the PMO team as required. Tasks include, but are not limited to:
* Work within Vendor Management Systems (VMS), including Acro’s own XRM System, reviewing customer requisitions, supplier submitted resumes and onboarding documents to ensure compliance.
* Train and assist using managers on all aspects of the VMS, including how to create a requisition, review submittals (resumes), schedule interviews and select a candidate for an assignment.
* Train and assist suppliers on all aspects of the VMS, including how to submit resumes, respond to interview requests, download worker time and other standard staffing/recruitment operating procedures.
**REQUIRED
 QUALIFICATIONS** 
***Education***
* Bachelors degree in Business Administration, Human Resources, or other related field.
***Experience***
* At least eight (8\) years’ experience in a client facing role in the staffing industry with at least five (5\) years as a program manager of an MSP.
* Experience in the Information Technology MSP space
***Skills***
* Proficiency in the use of Microsoft Word and Microsoft Excel and PowerPoint.
* Ability to effectively develop good relationships with associate vendors, customers, employees, and managers.
* Ability to communicate with all levels of employee’s and client staff and handle all aspects of a large customer base.
* Ability to respond effectively to employees, customers, and the associate vendor network with excellent customer service skills to produce positive outcomes.
* Superior written and verbal communication skills.
* Must have an understanding of the candidate recruitment process and resume evaluation for IT job postings.
* Ability to create reports for client review.
* Ability to multi\-task and prioritize work, and delegate as appropriate, and manage to completion.
***DESIRED*
 QUALIFICATIONS** 
***Experience***
* Prior experience working as a recruiter for temporary labor in technical, professional and/or light industrial sectors.
* Prior experience in a sales or sales support role.
**PHYSICAL DEMANDS** 
* Frequently sits, walks, and stands.
* May be required to occasionally lift up to 15 pounds.
**WORK ENVIRONMENT** 
* Working from a home office is acceptable, but it is expected that the Program Manager will meet in person with local clients in the LA area as often as business needs dictate.
*Acro values diversity in our workforce and is an Affirmative Action \&amp; Equal Opportunity Employer. Acro is also committed to hiring veterans and offers sponsorship opportunities.*</t>
        </is>
      </c>
    </row>
    <row r="110">
      <c r="A110" t="inlineStr">
        <is>
          <t>li-4359128376</t>
        </is>
      </c>
      <c r="B110" t="inlineStr">
        <is>
          <t>SoC Silicon Debug Engineering Program Manager</t>
        </is>
      </c>
      <c r="C110" t="inlineStr">
        <is>
          <t>Apple</t>
        </is>
      </c>
      <c r="D110" t="inlineStr">
        <is>
          <t>linkedin</t>
        </is>
      </c>
      <c r="E110">
        <f>HYPERLINK("https://www.linkedin.com/jobs/view/4359128376", "https://www.linkedin.com/jobs/view/4359128376")</f>
        <v/>
      </c>
      <c r="F110" t="inlineStr"/>
      <c r="G110" t="inlineStr">
        <is>
          <t>Austin, TX</t>
        </is>
      </c>
      <c r="H110" t="inlineStr"/>
      <c r="I110" t="inlineStr">
        <is>
          <t>**Summary**
 Do you want to use your engineering background to make a huge impact? Can you influence, connect, get results, and communicate optimally? Come to Apple and work within a dynamic team to deliver innovative silicon technologies that enable the world’s best products for our customers. This is an excellent opportunity to engage in groundbreaking technologies and contribute to new Apple products year after year. nnBe at the center of the action on new silicon product development for Apple's groundbreaking SoC's! Apple seeks a Silicon Engineering Program Manager (EPM) within the Silicon Engineering Group (SEG) Engineering organization to join an expert program management team driving silicon program schedules and resolving technical issues that enable timely silicon delivery. You will help lead and drive programs involving silicon debug, bring\-up and validation for pioneering technology used in next generation Apple products. Not only will you help bring our innovative processors to market, but also influence future designs from lessons learned. This position will collaborate with multi\-functional teams to resolve silicon issues blocking product development starting with initial silicon bring up through production release and beyond.
**Description**
 In this high profile role you will be responsible for the following:nn\- Work on a EPM team responsible for driving technical issue resolution to enable timely silicon to meet daring product schedulesnn\- Drive internal program process to guarantee high quality silicon executionnn\- Interface and drive silicon issues across multi\-functional teams: Design, Verification, Validation, Technology, System Hardware and Softwarenn\- Focus silicon team and multi\-functional teams on meeting near term work and unblocking technical issues by pulling together the right multi\-functional technical expert(s) to resolve issues with data based decision\-makingnn\- Drive technical sessions with cross\-functional teams to supervise u0026 follow up issues/escalationsnn\- Focused issue reporting, bug tracking, and communication of program risks u0026 status
**Minimum Qualifications**
 SOC / VLSI Chip Design, Post Silicon Validation or Product Engineering experiencennPost\-silicon debug experiencennRelevant technical program management, technical leadership or vendor management experiencennBS and 3\+ years relevant proven experience
**Preferred Qualifications**
 Top level SoC architecture and associated IPs knowledgennExperience with ARM architecture and leading silicon projects from concept to productionnnPossess extraordinary leadership skills and ability to encourage and influence team members with a dedication to see the big picturennProven track record of managing sophisticated, multifaceted schedules, driving improvements and lessons learned into organizational and team processes and methodologies nnWorking knowledge of software development processes and methodologiesnnCurrent knowledge of pre\-si modeling platforms (FPGA, simulation, emulation)nnAbility to build effective working relationships across multi\-functional partners, engineers and managementnnExcellent spoken and written communication skills with the ability to tailor communication style to multiple audiencesnnStrong multi\-tasking and real\-time crisis leadership skillsnnAbility to understand and extract action plans from sophisticated technical discussions and translate into succinct messaging for multifunctional and executive status reporting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11">
      <c r="A111" t="inlineStr">
        <is>
          <t>li-4362794431</t>
        </is>
      </c>
      <c r="B111" t="inlineStr">
        <is>
          <t>Program Manager III- Technology Office</t>
        </is>
      </c>
      <c r="C111" t="inlineStr">
        <is>
          <t>PNC</t>
        </is>
      </c>
      <c r="D111" t="inlineStr">
        <is>
          <t>linkedin</t>
        </is>
      </c>
      <c r="E111">
        <f>HYPERLINK("https://www.linkedin.com/jobs/view/4362794431", "https://www.linkedin.com/jobs/view/4362794431")</f>
        <v/>
      </c>
      <c r="F111" t="inlineStr"/>
      <c r="G111" t="inlineStr">
        <is>
          <t>Pittsburgh, PA</t>
        </is>
      </c>
      <c r="H111" t="inlineStr"/>
      <c r="I111" t="inlineStr">
        <is>
          <t>R209097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Program Manager III within PNC's Technology organization, you will be based in Pittsburgh, PA, Cleveland, OH, Phoenix, AZ or Dallas, TX. This position is primarily based in a location within PNC’s footprint.
 \*\*\*PNC will not provide sponsorship for employment visas or participate in STEM OPT for this position.\*\*\*
 This role is responsible for driving execution at scale across complex technical programs. This role will forge strong partnerships across key stakeholders and partners, ensuring alignment and delivery of strategic initiatives. The Program Manager III will play a central role in continual improvement, coaching project managers, and enabling operational excellence.
 This is an exceptional opportunity to make a significant impact on a major technical capability for PNC, exercise leadership skills at scale, deliver customer value, and create a series of best career moments.
**Key Responsibilities:**
* Program Leadership: Manage large\-scale programs across the CTO scope of work, ensuring successful delivery of infrastructure and data center projects.
* Execution \&amp; Delivery: Drive program execution with a strong focus on timelines, quality, and risk mitigation.
* Stakeholder Management: Build and maintain strong relationships with internal teams and external partners to ensure alignment and transparency.
* Mentorship \&amp; Coaching: Provide guidance and leadership to project managers, fostering a culture of collaboration and continual improvement.
* Risk Management: Identify, assess, and mitigate risks to ensure program success.
* Communication: Deliver clear and concise updates on program progress, challenges, and solutions to senior leadership and stakeholders.
* Process Improvement: Champion best practices and continuous improvement initiatives within the PMO.
**Qualifications**
* Experience:
 ○ Program/project management experience in large\-scale technical environments.
 ○ Proven track record managing infrastructure and data center projects.
 ○ Experience leading cross\-functional teams and mentoring project managers.
* Skills:
 ○ Strong leadership and influencing skills.
 ○ Excellent communication and stakeholder management abilities.
 ○ Ability to drive execution and deliver results under pressure.
 ○ Proficiency in program management tools and methodologies.
 ○ Strategic thinker with a hands\-on approach to execution.
 ○ Strong ability and desire to lean in and drive outcomes.
 ○ Passion for delivering customer value and operational excellence.
 PNC will not provide sponsorship for employment visas or participate in STEM OPT for this position.
****Job Description****
* Leads a cross functional program/project team to ensure the execution of organizational programs in support of corporate strategy. Leads the highest complexity programs/projects requiring extensive planning, oversight, and communication across multiple segments, channels, or lines of business. Typically, program size may be greater than $25m.
* Manages the general and detailed planning stages of organizational programs; influences project decisions to achieve overall program goals.
* Oversight and reporting for the program budget while working to ensure success of the program.
* Evaluates the implementation and effectiveness of the programs and recommends enhancements to programs based on results.
* Acts as a mentor to other program managers. Teams with service partner leadership to ensure seamless delivery and a consistent experience across multiple distribution channels.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Accountability, Client Counseling, Decision Making, Leadership, Program Management, Results\-Oriented, Risk Mitigation, Stakeholder Management, Strategic Planning
**Competencies**
 Accuracy and Attention to Detail, Analytical Thinking, Consulting, Effective Communications, Organizational Change Management, Organizational Leadership, Problem Solving, Program Management (M0260\), Project Management
****Work Experience****
 Roles at this level typically require a university / college degree. Higher level education such as a Masters degree, PhD, or certifications is desirable. Industry relevant experience is typically 8\+ years. Specific certifications are often required. In lieu of a degree, a comparable combination of education, job specific certification(s), and experience (including military service) may be considered.
**Education**
 Bachelors
**Certifications**
 No Required Certification(s)
**Licenses**
 No Required License(s)
**Pay Transparency**
 Base Salary: $80,000\.00 – $185,150\.00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01/14/2026,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Your PNC Total Rewards.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112">
      <c r="A112" t="inlineStr">
        <is>
          <t>li-4362852679</t>
        </is>
      </c>
      <c r="B112" t="inlineStr">
        <is>
          <t>Hazardous Waste Program Manager</t>
        </is>
      </c>
      <c r="C112" t="inlineStr">
        <is>
          <t>APPROVED STORAGE AND WASTE HAULING INC</t>
        </is>
      </c>
      <c r="D112" t="inlineStr">
        <is>
          <t>linkedin</t>
        </is>
      </c>
      <c r="E112">
        <f>HYPERLINK("https://www.linkedin.com/jobs/view/4362852679", "https://www.linkedin.com/jobs/view/4362852679")</f>
        <v/>
      </c>
      <c r="F112" t="inlineStr"/>
      <c r="G112" t="inlineStr">
        <is>
          <t>Bridgeport, CT</t>
        </is>
      </c>
      <c r="H112" t="inlineStr"/>
      <c r="I112" t="inlineStr">
        <is>
          <t>**Date posted:** 
  January 15, 2026
**Job description:** 
 Approved is looking for a Hazardous Waste Program Manager to join our team.
 Location: Bridgeport, CT or Mt Vernon, NY
 Employment Type: Full\-Time
**About the Role** 
 We are looking for a hands\-on and highly motivated Hazardous Waste Program Manager to build, lead, and manage our hazardous waste department. This is a unique opportunity for an experienced EHS professional who thrives in a role that blends strategic leadership with active, day\-to\-day operational involvement.
 You will develop the program’s framework, implement compliant processes, and directly support daily hazardous waste handling activities. This is not a purely administrative or oversight position—your expertise will be applied in the field as well as in program design.
**Key Responsibilities** 
**Program Development \&amp; Leadership** 
* Build the organization’s hazardous waste program, including policies, workflows, documentation, and training materials.
* Establish short\- and long\-term program goals, KPIs, and compliance strategies.
* Manage and grow the hazardous waste team, ensuring alignment with regulatory and organizational standards.
**Day\-to\-Day Operational Involvement** 
* Actively participate in daily hazardous waste handling, storage, labeling, and disposal activities.
* Conduct routine inspections of waste accumulation areas and ensure proper segregation and container management.
* Lead problem\-solving efforts for operational challenges—working alongside staff, not just supervising.
**Regulatory Compliance** 
* Ensure full compliance with all applicable regulations (e.g., RCRA, DOT, EPA, state and local requirements).
* Maintain and update required documentation, manifests, and reports.
* Serve as the primary point of contact during audits, inspections, or regulatory interactions.
**Training \&amp; Continuous Improvement** 
* Train employees on hazardous waste procedures, emergency response, and regulatory requirements.
* Identify opportunities to reduce waste generation, improve sustainability, and optimize processes.
* Lead incident investigations and implement corrective actions.
**Additional Responsibilities** 
* Travel regularly to the hospitals and healthcare facilities we service throughout the Northeast to conduct inspections, support daily operations, collaborate with onsite staff, and ensure regulatory compliance across all locations.
**Qualifications** 
**Required** 
* Bachelor’s degree in Environmental Science, Safety, Industrial Hygiene, or related field (or equivalent experience).
* 5\+ years of experience in hazardous waste management, EHS, or related operations.
* Strong knowledge of RCRA regulations and hazardous waste accumulation requirements.
* Demonstrated experience in both 
 **program management** 
  and 
 **hands\-on operational work** 
 .
* Excellent communication, leadership, and organizational skills.
- 
**Preferred** 
* Hazardous waste or HAZWOPER certification (e.g., 40\-hour HAZWOPER).
* Experience building or significantly improving a hazardous waste program.
* Supervisory or team leadership experience.
**What We’re Looking For** 
**We want someone who:** 
* Is excited to build something new from the ground up.
* Enjoys rolling up their sleeves and getting directly involved in operations.
* Leads by example and sets high standards for safety and compliance.
* Has strong problem\-solving skills and a continuous improvement mindset.
* Communicates clearly across both technical and non\-technical teams.
**Why Join Us?** 
* Opportunity to create a high\-impact program with full leadership support.
* Work in an environment that values safety, innovation, and professional growth.
* Competitive compensation and benefits package.
**About Approved** 
 Approved (Approved Storage \&amp; Waste Hauling, Inc.) is an industry\-leading regulated waste management company serving healthcare facilities throughout the Northeast. Since 1996, Approved has provided professional, reliable, and environmentally sustainable medical waste management services, offering a comprehensive platform that includes medical waste disposal, reusable sharps programs, chemical and hazardous waste services, pharmaceutical waste, laboratory waste, and compliance training.
 Approved is unique in the region because it owns and operates the only licensed medical waste transfer station in Westchester County, ensuring complete cradle‑to‑grave accountability. The company does not outsource transportation or handling—every driver and every step of the handling process is performed by Approved employees. This guarantees superior safety, transparency, and control over all waste streams.
 The company is widely recognized for its hands\-on customer service, straightforward pricing without hidden fees, and its environmentally responsible approach, including a zero‑landfill policy that diverts over 72 million pounds of medical waste from landfills every year.
 With its expanding footprint, client‑focused service model, and vertically integrated operations, Approved is the fastest growing medical waste company in the Northeast, trusted by healthcare professionals for dependable service, regulatory expertise, and sustainable waste management solutions.
 Benefits:
* 401(k)
* 401(k) matching
* Dental insurance
* Health insurance
* Paid time off
* Vision insurance
* Work Location: In person</t>
        </is>
      </c>
    </row>
    <row r="113">
      <c r="A113" t="inlineStr">
        <is>
          <t>li-4362842255</t>
        </is>
      </c>
      <c r="B113" t="inlineStr">
        <is>
          <t>Deputy Program Manager / Operations Lead</t>
        </is>
      </c>
      <c r="C113" t="inlineStr">
        <is>
          <t>Base-2 Solutions</t>
        </is>
      </c>
      <c r="D113" t="inlineStr">
        <is>
          <t>linkedin</t>
        </is>
      </c>
      <c r="E113">
        <f>HYPERLINK("https://www.linkedin.com/jobs/view/4362842255", "https://www.linkedin.com/jobs/view/4362842255")</f>
        <v/>
      </c>
      <c r="F113" t="inlineStr"/>
      <c r="G113" t="inlineStr">
        <is>
          <t>Virginia, United States</t>
        </is>
      </c>
      <c r="H113" t="inlineStr"/>
      <c r="I113" t="inlineStr">
        <is>
          <t>**Required Security Clearance**
**Top Secret/SCI, Top Secret/SCI with CI Polygraph**
**City**
 State/Territory:
**Virginia**
**Travel**
**None**
**Potential For Teleworking**
**No**
**Schedule**
**Full Time**
**DoD 8570 IAT Requirement**
**None**
**DoD 8570 IAM Requirement**
**None**
**DoD 8570 IASAE Requirement**
**None**
**DoD CSSP Requirement**
**None**
**Last Updated**
**1/14/26 8:30 PM**
**Requisition ID**
**46039**
 US Citizenship Required?:
**Yes**
**Pay Range**
 Work Type:
**Hybrid (On\-Site and Remote)**
**Referral Eligibility**
**Eligible**
**Job Description**
 Base\-2 Solutions is seeking a
 **Deputy Program Manager (DPM) / Operations Lead** 
 to support day\-to\-day execution of the SIA\-3 IDIQ. The DPM will synchronize task order execution, oversee operational workflows, and ensure seamless coordination across analytic teams, regions, and mission partners.
**Key Responsibilities**
* Manage daily operations across multiple task orders and mission areas
* Coordinate Task Order Managers, regional leads, and functional leads
* Track schedule, staffing, and performance metrics and escalate issues as needed
* Support workforce management, onboarding, surge operations, and continuity planning
* Ensure execution aligns with DIA analytic standards and production timelines
* Support preparation of status reports, executive briefings, and performance reviews
* Act as PM designee when required
**Required Qualifications**
* PMP certification (required)
* 8\+ years of experience supporting DoD or IC programs
* Strong operational management and coordination experience
* Familiarity with DIA production environments and analytic workflows
* Experience managing cleared analytic or technical teams
**Preferred**
* Experience supporting intelligence analysis, technical intelligence, or multi\-INT missions
* Prior experience supporting DIA, CCMDs, or IC agencies
**Pay \&amp; Benefit Highlights**
**Compensation**
* Above market fixed salary or hourly pay.
* Up to $10,000 bonus for each referral.
* Additional bonuses for exceptional performance, assisting with business development and company growth.
**Health**
* 100% paid premiums for health insurance. Choose from over 5 gold\-level medical plans from CareFirst, Kaiser and UnitedHealthcare. Choose from PPO, POS. HMO, and HSA\-compatible.
* HSA and FSA options.
* 100% paid premiums for dental insurance.
* 100% paid premiums for vision insurance.
**Income Protection**
* 100% paid premiums for short\-term disability.
* 100% paid premiums for long\-term disability.
* 100% paid premiums for accidental death \&amp; dismemberment.
* 100% paid premiums for life insurance with a $200,000 max benefit.
**Retirement**
* 8% company contribution to 401k with immediate vesting.
* 401k pre\-tax and Roth options.
**Leave**
* Up to 20 days of flexible paid time off (PTO).
* 11 days of paid floating holidays.
**Work\-Life Balance**
* Flexible work schedules including flex time and compressed work period.
* Remote work including partial or fully remote (contract and project\-dependent).
 View our detailed Pay \&amp; Benefits
**Equal Opportunity Employer**
 Base\-2 Solutions is an Equal Opportunity Employer. All qualified applicants will receive consideration for employment without regard to race, color, religion, sex, sexual orientation, gender identity, national origin, disability, or status as a protected veteran.</t>
        </is>
      </c>
    </row>
    <row r="114">
      <c r="A114" t="inlineStr">
        <is>
          <t>li-4362851723</t>
        </is>
      </c>
      <c r="B114" t="inlineStr">
        <is>
          <t>TVC - Suicide Prevention Program Manager (Program Specialist V)</t>
        </is>
      </c>
      <c r="C114" t="inlineStr">
        <is>
          <t>Texas Veterans Commission</t>
        </is>
      </c>
      <c r="D114" t="inlineStr">
        <is>
          <t>linkedin</t>
        </is>
      </c>
      <c r="E114">
        <f>HYPERLINK("https://www.linkedin.com/jobs/view/4362851723", "https://www.linkedin.com/jobs/view/4362851723")</f>
        <v/>
      </c>
      <c r="F114" t="inlineStr"/>
      <c r="G114" t="inlineStr">
        <is>
          <t>Austin, TX</t>
        </is>
      </c>
      <c r="H114" t="inlineStr"/>
      <c r="I114" t="inlineStr">
        <is>
          <t>Please paste the following URL into a browser to view the entire job posting in the CAPPS Career Section: https://capps.taleo.net/careersection/ex/jobdetail.ftl?job\=00055259
 You may apply to the job directly through the CAPPS Career Section. It is not necessary to apply both through Work In Texas and CAPPS Career Section
 Please Note: All applications must contain complete job histories, which includes job title, dates of employment, name of employer, supervisor's name and phone number, and a description of duties performed. To receive Military Employment preference, a copy of the DD Form 214 (member \#1 not accepted), NA Form 13038, VA Summary Benefits Letter, or a DD form 1300 must be provided before an interview can be extended. College transcripts, licenses, certifications, etc. must be provided before an interview can be extended. If this information is not provided prior to the interview, your application may be rejected because it is incomplete. Attaching documents to the application is preferred. Resumes do not take the place of this required information. To learn more about TVC Employee Benefits, please click on this link.Submitted Through Work in Texas: Work in Texas (WIT) applicants must complete the supplemental questions to be considered for the posting. To complete the supplemental questions please go to CAPPS Recruit to register or login and access your profile: CAPPS Recruit General Description: The Suicide Prevention Manager will serve as a vital team member of the Veterans Mental Health Department (VMHD) responsible for actively participating in TVCand\#8217;s efforts to reduce suicide among Texas veterans and service members. This includes providing training to veteran\-serving organizations and community stakeholders on suicide prevention efforts and related mental health constructs (e.g., evidence\-based practices, screening/assessment, risk factors, protective factors, gatekeeping, prevention, crisis intervention, postvention, lethal means restriction, etc.). This also includes working closely with stakeholders including governmental agencies, local coalitions, and community partners on cross\-agency efforts, projects, and initiatives aimed at reducing suicide. To promote a strong environment, TVC maintains a telework policy. Telework is decided by the division and contingent on performance. Telework is not a contract of employment and if granted may be terminated at any time and for any reason without notice.Essential Duties and Responsibilities: and\#8226; Plans, develops, reviews, revises, and implements trainings related to suicide reduction efforts (e.g., evidence\-based practices, screening/assessment, risk factors, protective factors, gatekeeping, prevention, crisis intervention, postvention, gatekeeping, lethal means, etc.).and\#8226; Conducts training in\-person, through distance learning, or e\-learning environment; facilitates workshops and meetings.and\#8226; Actively participates and/or leads state and local efforts to reduce suicide among Texas veteran and service members.and\#8226; Develops research\-informed and culturally competent strategies to improve suicide prevention efforts across Texas in rural and metropolitan areas.and\#8226; Identifies and engages community stakeholders which serve veterans on collaborative efforts to reduce veteran and service member suicide.and\#8226; Represent the Texas Veterans Commission and the Veteran Mental Health Department at conferences, business meeting, and panel discussions.and\#8226; Develops partnerships with a variety of individuals, groups, and stakeholders.and\#8226; Composes, reviews, and edits training materials and reports.and\#8226; Performs related work or special projects as assigned. Military Crosswalk information:https://hr.sao.texas.gov/Compensation/MilitaryCrosswalk/MOSC\_ProgramManagement.pdf
 Qualifications: Minimum Education:Masterand\#8217;s degree or higher in Counseling, Social Work, Psychology, or other field relevant to mental health. Colleg Transcripts are required and must be provided before an interview can be extended, it is preferred they be attached to the application. Minimum Experience:Five (5\) years of experience in providing mental health services. Additional Requirements:and\#183; A valid Texas Driverand\#8217;s License must be provided within 90 days of hire.and\#183; License or ability to obtain a Texas license to practice as a mental health professional, such as LPC, LCSW, LMFT, or Psychologist within one year from the date of hire. Preferred Experience and Qualification:and\#183; Experience working with those experiencing mental health concerns, especially suicidality.and\#183; Experience providing training and/or education on mental health topics.and\#183; Experience working with collaborative suicide prevention efforts.and\#183; Knowledge of principles, methods, and procedures for the assessment, diagnosis, and treatment of mental health issues.and\#183; Experience working with veterans, service members, and veteran families.and\#183; Experience in building and sustaining partnerships with federal, state, and local stakeholders. Knowledge, Skills and Abilities:and\#183; Knowledge of suicide prevention strategies at the national, state, and local levels.and\#183; Knowledge of mental health concerns and barriers to accessing supportive resources.and\#183; Skill in identifying best practices related to suicide prevention and veteran mental health.and\#183; Skill in generating and providing training on the unique needs and resources for veterans and families.and\#183; Ability to research, gather, assemble, and analyze data to devise strategies for improving suicide prevention efforts in rural and metropolitan areas.and\#183; Ability to prepare reports.and\#183; Ability to evaluate policies and procedures.and\#183; Ability to provide training to others about issues related to veteran suicide and mental health needs.and\#183; Ability to communicate effectively, both verbally and in writing. Environmental Physical Conditions:Normal office work environment, mostly sedentary in nature. May involve walking; standing; remaining stationary for long periods of time; pulling and pushing; kneeling, stooping, and bending; and safely lifting and carrying items weighing up to 30 pounds. Work involves extensive telephone usage and repetitive hand/wrist/finger motions while using the computer. Notes to Applicants: To receive Military Employment preference, applicable source documents must be provided before an interview can be extended. Attaching documents to the application is preferred. College transcripts, licenses, certifications, etc. must be provided before an interview can be extended. Attaching documents to the application is preferred. If you require any reasonable accommodation for the interview process, please inform the hiring representative who calls to schedule your interview. This position has been designated as a security sensitive position. A criminal background investigation will be conducted on the final candidate for this position. DUE TO THE HIGH VOLUME OF APPLICATIONS, WE DO NOT ACCEPT TELEPHONE CALLS. APPLICANTS SCHEDULED FOR INTERVIEWS WILL BE CONTACTED. Veterans Information: The Texas Veterans Commission is committed to hiring Veterans and is proud to employ the highest percentage of Veterans among all state agencies. Additional info may apply via the job posting. AN EQUAL EMPLOYMENT OPPORTUNITY EMPLOYER:The Texas Veterans Commission does not discriminate on the basis of personand\#8217;s color, race, national origin, gender, gender identity/gender expression, sexual orientation, marital status, disability religion, or age in employment or the provision of services.</t>
        </is>
      </c>
    </row>
    <row r="115">
      <c r="A115" t="inlineStr">
        <is>
          <t>li-4359163553</t>
        </is>
      </c>
      <c r="B115" t="inlineStr">
        <is>
          <t>GPU Pre-Silicon Engineering Program Manager</t>
        </is>
      </c>
      <c r="C115" t="inlineStr">
        <is>
          <t>Apple</t>
        </is>
      </c>
      <c r="D115" t="inlineStr">
        <is>
          <t>linkedin</t>
        </is>
      </c>
      <c r="E115">
        <f>HYPERLINK("https://www.linkedin.com/jobs/view/4359163553", "https://www.linkedin.com/jobs/view/4359163553")</f>
        <v/>
      </c>
      <c r="F115">
        <f>HYPERLINK("https://jobs.apple.com/en-us/details/200618740&amp;urlHash=OWHb", "https://jobs.apple.com/en-us/details/200618740&amp;urlHash=OWHb")</f>
        <v/>
      </c>
      <c r="G115" t="inlineStr">
        <is>
          <t>Austin, TX</t>
        </is>
      </c>
      <c r="H115" t="inlineStr"/>
      <c r="I115" t="inlineStr">
        <is>
          <t>**Summary**
 Come and join the team that delivers the GPUs in the Mac, iPhone, iPad, and Apple Watch! At Apple, we focus on innovative design and disciplined execution to build the most efficient GPUs that scale across our full range of products and deliver industry\-leading power and performance. We work together across hardware, software, and systems teams to build truly optimized products and amazing user experiences. To accomplish this, we need technical excellence combined with the expertise to work across the organization and to put each decision in the right context.nnWe are looking for a dedicated Engineering Program Manager or a technical leader who is passionate about getting into program management and inspiring the team to collaborate and deliver innovative designs within schedule constraints. The ideal candidate needs to be able to dig into sophisticated technical topics while balancing the strategic needs of the project and the tradeoffs involved in technology development.nnThe GPU Engineering Project Manager will be working closely with the GPU architecture, logic design, verification, power and performance, physical design, DFT, and debug teams, as well as SoC, software, system and others to drive the full program lifecycle from spec definition through execution, tapeout, and support of post\-silicon activities and debug.
**Description**
 In this role, you will be embedded directly with the GPU design team and will drive the day\-to\-day project activities, as well as the longer\-term initiatives. You will collaborate closely with the technical leads and be the main point of contact with other teams. You will be an integral part of the team and project success.
**Minimum Qualifications**
 BS \+ 10 years of relevant experience or MS \+ 8 years of relevant experiencennValidated experience in GPU or SOC validationnnMeaningful experience in technical leadership and/or project management experience
**Preferred Qualifications**
 Solid understanding of chip design flownnTechnical depth in one or more areas (architecture, logic design, verification, power/performance, physical design)nnEqually comfortable in big\-picture strategy and deep technical discussions, ability to foresee project level issues and challenges and highlight thosennExposure working across multiple sites and multi\-functionally throughout the entire organizationnnExposure leading critical cross functional discussions, building trust and leading through influencennProven experience navigating tough situations, balancing priorities and managing constraints while running sophisticated, fast\-paced, programsnnRelevant experience on driving to continuously improve processes, methodologies, and toolsnnStrong communication and executive presentation skillsnnStrong time and task leadership skills with consistent attention to detailnnRelevant GPU experience would be a big plus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16">
      <c r="A116" t="inlineStr">
        <is>
          <t>li-4363500073</t>
        </is>
      </c>
      <c r="B116" t="inlineStr">
        <is>
          <t>Workplace Experience Program Manager</t>
        </is>
      </c>
      <c r="C116" t="inlineStr">
        <is>
          <t>CBRE</t>
        </is>
      </c>
      <c r="D116" t="inlineStr">
        <is>
          <t>linkedin</t>
        </is>
      </c>
      <c r="E116">
        <f>HYPERLINK("https://www.linkedin.com/jobs/view/4363500073", "https://www.linkedin.com/jobs/view/4363500073")</f>
        <v/>
      </c>
      <c r="F116">
        <f>HYPERLINK("https://careers.cbre.com/en_US/careers/JobDetail/Workplace-Experience-Program-Manager/256009?source=Linkedin&amp;urlHash=J3EX", "https://careers.cbre.com/en_US/careers/JobDetail/Workplace-Experience-Program-Manager/256009?source=Linkedin&amp;urlHash=J3EX")</f>
        <v/>
      </c>
      <c r="G116" t="inlineStr">
        <is>
          <t>Los Angeles, CA</t>
        </is>
      </c>
      <c r="H116" t="inlineStr"/>
      <c r="I116" t="inlineStr">
        <is>
          <t>Los Angeles \- California \- United States of America
**About The Role**
 As a CBRE Program Manager, you will manage a team responsible for facilitating small to medium cross\-functional projects and programs.
 This job is part of the Program Management function. They are responsible for the creation and delivery of strategic programs representing major company initiatives.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Oversee cross\-functional projects or programs from end to end using a formal process.
* Ensure that all functions remain on schedule and any issues get escalated and resolved so that the program gets completed on time.
* Manage internal and external relationships in support of programs.
* Work with core teams to develop solutions and guide project teams throughout delivery.
* Create and distribute routine PMO reports, which include status reports and updated Gantt charts.
* Conduct financial or business evaluations.
* Establish, cultivate, and maintain effective client relationships.
* Comprehend, evaluate, and interpret business documents.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PgMP or PMP certifications preferred.
* Experience in the areas of staffing, selection, training, development, coaching, mentoring, measuring, appraising, and rewarding performance and retention is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Applicants must be currently authorized to work in the United States without the need for visa sponsorship now or in the future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 CBRE carefully considers multiple factors to determine compensation, including a candidate’s education, training, and experience. The minimum salary for the Workplace Experience Program Manager position is $150,000 annually and the maximum salary for the Workplace Experience Program Manager position is $156,000 annually. The compensation that is offered to a successful candidate will depend on the candidate’s skills, qualifications, and experience.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
**Service line:** 
 GWS Segment</t>
        </is>
      </c>
    </row>
    <row r="117">
      <c r="A117" t="inlineStr">
        <is>
          <t>li-4357658943</t>
        </is>
      </c>
      <c r="B117" t="inlineStr">
        <is>
          <t>Program Manager</t>
        </is>
      </c>
      <c r="C117" t="inlineStr">
        <is>
          <t>Jobs via Dice</t>
        </is>
      </c>
      <c r="D117" t="inlineStr">
        <is>
          <t>linkedin</t>
        </is>
      </c>
      <c r="E117">
        <f>HYPERLINK("https://www.linkedin.com/jobs/view/4357658943", "https://www.linkedin.com/jobs/view/4357658943")</f>
        <v/>
      </c>
      <c r="F117" t="inlineStr"/>
      <c r="G117" t="inlineStr">
        <is>
          <t>Falls Church, VA</t>
        </is>
      </c>
      <c r="H117" t="inlineStr"/>
      <c r="I117" t="inlineStr">
        <is>
          <t>**Position Details:**
 Job Title: Program Manager
 Job Type: Full\-time
 Location: Falls Church, VA area (hybrid/remote with periodic on\-site collaboration required)
**Dynanet** 
**Corporation Overview:**
 Dynanet started with a focus on IT infrastructure and operations, helping organizations enhance their networks and overcome the limitations of 1990s technology. From strengthening communication channels to introducing innovative ways to collaborate and share information, Dynanet played a crucial role in shaping the early stages of digital transformation. The company’s efforts helped organizations build the very fabric of connectivity that now powers our modern world. Over the last three decades, Dynanet has grown into a trusted partner for organizations looking to innovate boldly and transform seamlessly. While technology continues to evolve and unlock new opportunities, for nearly 30 years, Dynanet remains committed to delivering cutting\-edge solutions that drive lasting change for its customers. Through agility, foresight, and an unwavering dedication to excellence, Dynanet continues to empower organizations to thrive in a rapidly changing digital landscape. Our story is more than just a story of technology – it’s a story of vision, growth, and transformation that has shaped the past and continues to pave the way for the future.
**About the Role:**
 The Program Manager will serve as the executive integrator responsible for overall program delivery of complex data governance initiatives for federal healthcare organizations. This role oversees the execution of comprehensive data management frameworks, coordinating cross\-functional teams and managing schedules, costs, and risks across multi\-objective programs. The Program Manager ensures stakeholder alignment, maintains Contracting Officer's Representative (COR) engagement, and provides executive\-level reporting and escalation management.
**Roles \&amp; Responsibilities:**
* Lead overall program delivery across multiple concurrent objectives including baseline data inventory, repository establishment, analysis of alternatives, automated metadata harvesting, and self\-service portal evaluation
* Execute comprehensive schedule management using phased execution roadmaps with defined quality gates, executive reviews, and acceptance checkpoints
* Manage cost control and budget oversight for fixed\-price contract delivery, including resource allocation and performance tracking against targets
* Coordinate cross\-functional stakeholder engagement including data domain owners, stewards, Subject Matter Experts (SMEs), and Federal leadership teams
* Maintain active COR engagement through weekly status communications, monthly progress briefings, and quarterly in\-person reviews
* Oversee risk management including identification, assessment, mitigation planning, and escalation of program risks and issues
* Lead executive reporting including monthly status reports, quarterly review presentations, and ad\-hoc stakeholder communications
* Manage program integration across objectives ensuring proper sequencing, artifact handoffs, and dependency coordination
* Facilitate government decision gates and approval processes for critical program milestones
* Oversee knowledge transfer activities and transition planning for sustained government operations
**Required Professional Skills:**
* Bachelor’s degree in Business, Information Systems or related fields with 6\+ years of Federal senior project/program management experience
* Ability to quickly synthesize technical details into actionable information
* Ability to manage teams of 15\+ IT personnel
* Demonstrated experience managing multi\-million\-dollar programs with complex stakeholder environments
* Proven experience managing complex federal IT programs with multiple concurrent objectives and cross\-functional teams
* Strong schedule and cost management capabilities with experience in fixed\-price contract delivery
* Experience with Federal stakeholder coordination and government engagement protocols
* Knowledge of data governance and enterprise data management program requirements
* Proficiency in program management methodologies and tools
**Preferred Professional Skills:**
* 10\+ years of Federal project/program management experience
* Project Management Professional (PMP) or equivalent program management certification
* Experience supporting Federal healthcare, defense, or large\-scale data governance initiatives
* Knowledge of Federal acquisition processes and contract performance requirements
* Understanding of enterprise data catalog implementation and metadata management programs
* Experience with Analysis of Alternatives (AoA) processes and Commercial Off\-The\-Shelf (COTS) evaluations
* Familiarity with Federal compliance frameworks including National Institute of Standards and Technology (NIST) standards and healthcare regulations
* Experience managing programs involving User Acceptance Testing (UAT) and stakeholder adoption initiatives
**Dynanet** 
**Team Requirements and Expectations:**
* Possess Strong written and verbal communication skills
* Highly organized, with the ability to prioritize, balance, and effectively advance multiple competing priorities in a high\-volume, fast\-paced environment
* Ability to interact in a professional and collaborative manner with fellow Dynanet Teammates and the clients, and business partners that we work with
* Ability and desire to challenge and educate yourself to support and advance IT services delivery in the Federal agencies we serve
* Excellent judgment and creative problem\-solving skills
* Respond to team member and client requests via email, MS teams, or other communication means during core business hours
* Active listening skills to understand clients' needs, and collaboration skills to work with other developers and designers
**Education/Experience Requirements:**
* BA in information technology, business, cyber security, or related field (MA preferred)
* PMP certification
* Active DoD High\-Risk Public Trust designation (Active DoD security clearance preferred)
* Technical certification(s) in compliance with DoD Directive 8140 (CompTIA Sec\+, CISSP, CISM, CEH, etc.) is preferred
**Employee Benefits Overview:**
* Industry Competitive Compensation
* Medical and Dental Insurance
* Paid Time Off/Holidays
* 401(k) Retirement Plans with Matching
* Remote Work\*
* Paid Training
* Employee Referral Program
* Employee Development Program
* Remote work available with requirement for periodic on\-site collaboration in Falls Church, VA area for stakeholder coordination and program oversight activities.</t>
        </is>
      </c>
    </row>
    <row r="118">
      <c r="A118" t="inlineStr">
        <is>
          <t>li-4362920428</t>
        </is>
      </c>
      <c r="B118" t="inlineStr">
        <is>
          <t>Program Manager</t>
        </is>
      </c>
      <c r="C118" t="inlineStr">
        <is>
          <t>Ducommun Incorporated</t>
        </is>
      </c>
      <c r="D118" t="inlineStr">
        <is>
          <t>linkedin</t>
        </is>
      </c>
      <c r="E118">
        <f>HYPERLINK("https://www.linkedin.com/jobs/view/4362920428", "https://www.linkedin.com/jobs/view/4362920428")</f>
        <v/>
      </c>
      <c r="F118" t="inlineStr"/>
      <c r="G118" t="inlineStr">
        <is>
          <t>Joplin, MO</t>
        </is>
      </c>
      <c r="H118" t="inlineStr"/>
      <c r="I118" t="inlineStr">
        <is>
          <t>The Program Manager is responsible for the execution of all aspects of the program to ensure that all activities are carried out in accordance with technical and contractual requirements, schedules and budgets. The Program Manager II is the focal point for the company for communications with the customer (internal / external) and is responsible to ensure customer requirements are flowed down to all functional departments.
**Who we are?**
 Founded in 1849, Ducommun is the oldest company in California. Starting as a hardware supply store during the California Gold Rush and eventually assisted in the birth of the aerospace industry in Southern California by providing aircraft aluminum to early aerospace pioneers like Lindbergh, Douglas and Lockheed.
 Today Ducommun is a global provider of innovative manufacturing solutions for customers in the aerospace, defense and industrial markets. We specialize in electronic and structural systems, producing complex products and components for commercial aircraft platforms, mission\-critical military and space programs, and sophisticated industrial applications.
 Our facility in Orange, CA is a leading global supplier of large stretch formed aircraft skins, hot forming of titanium, superplastic forming and complex fastened and welded assemblies
**Job Summary**
**Focal point for customer communication and interface**
* Manages communications and relationships between Ducommun and its customers. Communication and tracking of customer scorecards and surveys.
* Focal / Leader for the Integrated Product Team (IPT).
* Represents the company in contacts with the customer and outside parties for all issues concerning the assigned program.
* Provide timely notification to management and customer of program cost, quality or schedule impact.
* Execution of New Product Introduction – Phase Gate Process.
* Provide a coordinated company response to customer requirements (commercial – technical) and inquiries (voice of the customer).
* Presentation of program reviews to Customer.
**Internal Communication and interface**
* Communicate within IPT to assure proper coordination of customer requirements (schedule, recovery plans, reports, etc.). Ensure that the company's capabilities and business interests support customer requests.
* Manage program team to ensure efficient and effective goal attainment in support of the Program Management functional metrics, corporate policy, regulatory guidelines and budget parameters.
* Coordinate technical and operational requirements with stakeholders to ensure the voice of the customer has been achieved
* Coordinate the financial controls to integrate time phased budgets and program schedules that support contractual commitments and company goals.
* Communicate customer cost reduction and process improvement goals to company management and coordinate response that highlights/demonstrates company commitment to continuous improvement.
* Champion/lead Kaizen and Lean activities that drive improvement in both operational and administrative areas.
* Oversight of Program Management backlog/booking input into the MRP system to ensure alignment with company goals.
* Presentation of program reviews to Sr. Leadership
**Contract Management**
* Analyze and review all contracts to verify Terms and Conditions, Work Statements, Funding, Performance Periods, Deliverables, and other customer General Conditions. Coordinate review of terms and conditions with DCO Director of Contracts as necessary.
* Prepare negotiation plan and lead the negotiation team for all customer negotiations.
* Manage and track program compliance to purchase order requirements.
* Prepare assertions and claims to customer in accordance to contract parameters
**Operational Management**
* Responsible to coordinate with Operations Management to review requirements for programs as they relate to:
 Operational Performance
 Metrics – development and execution
 KPI and TTI tracking on a monthly basis
 Day to day performance to plan (cost, quality and schedule)
 Staffing
 IPT development
 Planning for Capital Expenditures / preventive maintenance
**Fiscal Management**
* Review program performance to provide ongoing visibility for project cost, margin and schedule (actual vs. projected) through the EAC Process.
* Provide input to Finance for individual program cash flow plans.
* Support the Finance Department for invoice submittal and in resolving late payment receipts and customer claims/assertions.
**Development And Growth Of The Program**
* Responsible for oversight and management of performance center bookings, backlog, past due, receivables and sales forecasts.
* Manage and maintain performance center booking and sales tracking system that supports the company monthly summary reports.
* Coordinate planning and acquisition of follow\-on business within the lead time constraints.
* Coordinate with Business Development to identify, strategize and capture new business opportunities.
* Travel to customers 30% of the time.
* Support customer cost reduction and process improvement activities that demonstrate the company’s commitment to continuous improvement.
 Incorporation of lean methodologies
 Kaizen Events
 Standard Work
 Value Stream Mapping
**Proposal Management**
* Lead the Proposal Team in the development, preparation and customer submittal of proposals for new and follow\-on business. Will have assistance by estimating on cost development, schedule, and capital requirements.
* As required support customer / DCAA / DCMA audits.
**Required Skills \&amp; Qualifications**
 To perform this job successfully, an individual must be able to perform each essential duty satisfactorily.The requirements listed below are representative of the knowledge, skills, qualifications, competencies, abilities and any physical demands if required.Physical demands are representative of those that must be met by an employee to successfully perform the essential requirements of this job.
  Must possess the ability to lead without authority, negotiate and manage by influence.
* Strong people and time management skills are required.
* Excellent verbal and written communication skills are required; must be able to communicate effectively and professionally with customers and across all organizational levels.
* Experience in production control, contracts management, project management or contracts management, are key talents.
* Detail oriented, positive friendly customer service are key attributes.
* Computer knowledge and skills, i.e. MS Office Suite – Word, Power Point and Excel is required.
* Basic understanding of lean and six sigma principles and methodologies.
* Experience with MRP systems is beneficial.
* Team oriented with a continuous improvement outlook.
* Travel up to 30%
**Physical Demands (reasonable Accommodations May Be Made, If Necessary)**
**Physical Abilities** 
**Lift /Carry**
 Stand \- Frequently10 lbs or less \- Occasionally
 Walk \- Frequently11\-20 lbs \- Occasionally
 Sit \- Continuously21\-50 lbs \- N/A
 Climb – N/A51\-100 lbs \- N/A
 Crawl \- N/AOver 100 lbs \- N/A
 Squat or Kneel \- Occasionally
 Bend \- N/A
 **Push / Pull**
 Fine Manipulation \- N/A10 lbs or less \- Occasionally
 Reach Outward \- Occasionally10\-20 lbs \- Occasionally
 Reach Above Shoulder \- Occasionally20\-50 lbs \- N/A
 Drive \- Occasionally50\-100 lbs \- N/A
 Over 100 lbs \- N/A
**N/A (Not Applicable) \-** 
 Activity is not applicable to this occupation
**Occasionally \-** 
 Occupation requires this activity up to 33% of the time (.25 \- 2\.5 hrs/day)
**Frequently \-** 
 Occupation requires this activity from 33% \- 66% of the time (2\.5 \- 5\.5 hrs/day)
**Continuously \-** 
 Occupation requires this activity more than 66% of the time (5\.5\+ hrs/day)
**Other Physical Requirements**
* N/A
**Required Experience/Education/Training/Certifications:** 
 To perform this job successfully, an individual must possess the outlined experience level, education, training, minimum years of experience, product or industry knowledge plus any certifications in order to be considered.List in bullet fashion what they must possess.
** BA/BS Degree Required, MBA Preferred.**
* Certification in PMP and or CAPM required, Contracts Administration, Project Management a plus.
* 3\-7 plus years in an aerospace or manufacturing environment.
* Program(s) oversight of 10\-25 million or greater a plus.
* Supervisory experience a plus.
**Work Environment and Safety Equipment Required:** 
 The work environment characteristics described here are representative of those an employee encounters while performing the essential functions of the job.Include things such as safety glasses, safety shoes and other designated personal protective equipment as required for the position.
* Office environment and light manufacturing environment
* Ability to wear Personal Protective Equipment (PPE)
* Ability to travel to other sites occasionally
**ITAR/EAR Compliance**
 This position requires access to export\-controlled information and/or hardware, and candidates must be U.S. Persons that comply with all U.S. Export control laws and regulation. As such, U.S. citizenship, U.S. lawful permanent resident status, protected person status under 8 U.S.C. 1324b(a)(3\), or the ability to meet ITAR and EAR requirements is required.
 Equal Opportunity Employer Veterans/Disabled
 1505 Maiden Lane
 Joplin, Missouri, 64801
 United States</t>
        </is>
      </c>
    </row>
    <row r="119">
      <c r="A119" t="inlineStr">
        <is>
          <t>li-4360727081</t>
        </is>
      </c>
      <c r="B119" t="inlineStr">
        <is>
          <t>FMS Program Manager</t>
        </is>
      </c>
      <c r="C119" t="inlineStr">
        <is>
          <t>Applied Research Solutions</t>
        </is>
      </c>
      <c r="D119" t="inlineStr">
        <is>
          <t>linkedin</t>
        </is>
      </c>
      <c r="E119">
        <f>HYPERLINK("https://www.linkedin.com/jobs/view/4360727081", "https://www.linkedin.com/jobs/view/4360727081")</f>
        <v/>
      </c>
      <c r="F119" t="inlineStr"/>
      <c r="G119" t="inlineStr">
        <is>
          <t>Bedford, MA</t>
        </is>
      </c>
      <c r="H119" t="inlineStr"/>
      <c r="I119" t="inlineStr">
        <is>
          <t>ARS is seeking a FMS Program Manager providing support to the Air Force Life Cycle Management Center/PEO Digital Directorate (AFLCMC/HB). The Air Force Program Execution Office for PEO Digital (AFPEO/HB) has the collective Air Force Materiel Command (AFMC) mission responsibility to manage and execute the modernization, development, testing, production, fielding, and sustainment of the PEO Digital portfolio, which includes over 130 programs for the United States Air Force (USAF) and foreign allies. AFLCMC/PEO Digital Directorate is headquartered at Hanscom Air Force Base, MA with geographically separated operating units CONUS and OCONUS.
 This position specifically supports the Foreign Military Sales (FMS) Japan AWACs program. AWACS experience preferred (Operational or PMO). Acquisition, proposal development and documentation experience necessary.
**Why Work with us?**
 Applied Research Solutions (ARS) is respected as a world\-class provider of technically integrated solutions as we deliver premier talent and technology across our focused markets for unparalleled, continuous mission support. Awarded a Best Places to Work nominee since 2020, ARS recognizes that without our career\- driven, loyal professionals, we would not be able to deliver state\-of\-the\-art results for our mission partners. We firmly believe that prioritizing our employees is of the upmost importance. We provide a culture where our employees are challenged to meet their career goals and aspirations, while still obtaining a work/life balance. ARS employees are motivated through our industry competitive benefits package, our awards and recognition program, and personalized attention from ARS Senior Managers.
**Duties include, but not limited to:**
* Acquisition and Program Support: Provide program\-level acquisition support to Program Managers and Integrated Product Team Leads, guiding program execution to meet cost, schedule, and performance objectives. Ensure adherence to DoD directives and policies, including DoDI 5000\.02, DoDI 5000\.80, and DoDI 5000\.81\.
* Contract Execution and Oversight: Support contract execution through expert analysis and solutions, including reviewing acquisition documents, milestone decision briefings, and risk management plans. Prepare inputs for RFPs such as system specifications, SOWs, and CDRLs.
* Program Health Analysis: Evaluate program health, advise leadership on options to maintain objectives, and assist in planning acquisition strategies that align with DoD and Air Force policies.
* Documentation and Reporting: Develop and maintain acquisition reports (e.g., MAR, DAES, APB), prepare briefings, and ensure consistency across program deliverables. Utilize tools such as CCaR, IDECS, and EDA.
* Risk Management: Develop, maintain, and execute program risk management plans, facilitating risk identification, analysis, and mitigation while coordinating program risk boards and working groups.
* Source Selection and Contract Administration: Assist in developing source selection strategies, evaluation criteria, and RFP documentation. Provide recommendations for incentive clauses and evaluate contractor proposals.
* Mission Planning and Operational Support: Oversee Mission Planning Environment (MPE) systems to ensure they meet operational and testing requirements. Coordinate with stakeholders to align MPE capabilities with operational flight program schedules.
* Lifecycle Logistics and Sustainment: Provide critical support for lifecycle logistics, operational planning, and sustainment strategies, ensuring mission readiness and effective system integration.
* Policy and Process Improvement: Monitor DoD acquisition reforms and advise leadership on process improvements, cost avoidance strategies, and policy interpretations. Ensure compliance with updated regulations and directives.
* Stakeholder Engagement: Collaborate with division branch chiefs, program managers, and contractors to provide expert guidance, streamline integration, and address programmatic issues affecting overall performance.
* Other duties as assigned.
**Qualifications:**
**Citizenship: Must be a US citizen**
**Clearance: Must have an Active Secret Clearance**
**Minimum Required Qualifications**
**Education:** 
 Bachelor’s degree in a professional engineering discipline from an ABET\-accredited program, and minimum of 12 years of experience in the respective technical/professional discipline, including at least 5 years supporting DoD programs
* Proficiency in:
+ Requirements development, production and deployment, and operations and support
+ Architecture development and implementation
+ Modeling and simulation, including Model\-Based Systems Engineering principles
+ Verification and validation processes
+ Technical data package development and sustainment
+ Principles of configuration management
* Experience with:
+ Network architectures, embedded systems, and application deployment across various systems and hardware, including cloud deployment and virtualization
+ DoD acquisition processes such as Technology Maturation, Risk Reduction, Engineering Manufacturing Development, and Production and Deployment activities
**Technical Knowledge:**
* Familiarity with Electronic Warfare and/or Air Combat operations, including live aircrew training, development of tactics, techniques, and procedures, and Range Infrastructure architectures and systems
**Preferred Qualifications**
**Education:** 
 Master’s degree in a professional engineering discipline from an ABET\-accredited program
 The expected annual salary range: $160K \- $172K. Salary is dependent upon the role, associated responsibilities, candidate's experience and qualifications to include education/training and key skills.
*All positions at Applied Research Solutions are subject to background investigations. Employment is contingent upon successful completion of a background investigation, including criminal history and identity check.*
*Must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*Must abide by the requirements of 41 CFR 60\-300\.5(a). This regulation prohibits discrimination against qualified protected veterans, and requires affirmative action by covered contractors and subcontractors to employ and advance in employment qualified protected veterans.*</t>
        </is>
      </c>
    </row>
    <row r="120">
      <c r="A120" t="inlineStr">
        <is>
          <t>li-4359418106</t>
        </is>
      </c>
      <c r="B120" t="inlineStr">
        <is>
          <t>People Operations Program Manager</t>
        </is>
      </c>
      <c r="C120" t="inlineStr">
        <is>
          <t>Everlaw</t>
        </is>
      </c>
      <c r="D120" t="inlineStr">
        <is>
          <t>linkedin</t>
        </is>
      </c>
      <c r="E120">
        <f>HYPERLINK("https://www.linkedin.com/jobs/view/4359418106", "https://www.linkedin.com/jobs/view/4359418106")</f>
        <v/>
      </c>
      <c r="F120" t="inlineStr"/>
      <c r="G120" t="inlineStr">
        <is>
          <t>Oakland, CA</t>
        </is>
      </c>
      <c r="H120" t="inlineStr"/>
      <c r="I120" t="inlineStr">
        <is>
          <t>As we step into our next phase of growth, Everlaw is looking for a People Operations Program Manager to lead our day to day operations and design, scale, and manage the infrastructure that powers our employee experience.
 In this role, you’ll play a critical role in ensuring our People processes are seamless, scalable, and human\-centric. To do this, you’ll partner closely with our People, Finance, and Legal teams to manage our People tech stack and day to day operations —ensuring that every Everlawyer has the support they need to do their best work.
 This role requires a unique blend of operational excellence, technical savvy, and a "service\-first" mindset. You are someone who enjoys diving into the "pipes" of an organization to ensure they are leak\-proof, while proactively identifying ways to improve the system for everyone.
 The Details
 This is a full\-time exempt position based in our Oakland, California office with a hybrid work schedule: in office M/W/Th with the option to work from home Tu/Fr.
 Getting started
 We’re committed to your success and want you to feel like a part of our team! You’ll go through our standard onboarding process, which will integrate you into the company with informative sessions on our product, policies, processes, and team structure and goals.
 We trust that you’ll bring experience and knowledge that will uplift and uplevel the team, but we don’t expect you to know everything on Day 1\. We’re excited to find ways for you to contribute, and will create room for you to learn and grow along the way.
 In your role, you'll...
 * Optimize our People Tech stack: You will manage and improve the tools that define our employee lifecycle—including our HRIS (Rippling), performance management (Lattice), and leave management systems. You’ll ensure these tools deliver a first\-class experience while maintaining 100% data integrity.
* Administer core People offerings: You’ll be the hands\-on owner and trusted partner for our core programs, including health insurance plans, 401(k)/retirement, leaves of absence, and immigration. You’ll ensure these programs run smoothly and that employees feel supported during life’s big moments.
* Lead our compliance \&amp; governance strategy: In partnership with counsel, you will ensure we remain proactive and compliant as we expand. You will roll out a thoughtful data governance framework, managing role\-based access requests to balance stakeholder needs with the responsibility to safeguard confidential employee data.
* Drive operational scalability: You will continually assess our workflows to identify bottlenecks. Whether it’s automating a manual task or redesigning a rollout, you’ll identify areas of opportunity to scale our impact and deliver high\-touch support that Everlawyers can count on.
* Uphold data as a source of truth: You will serve as the primary guardian of our people data, ensuring it is accurate, accessible, and used to drive informed decision\-making across the People team.
 About you
 You are a...
* Strategic Systems Thinker. You don’t just fix a problem; you fix the process. You look at the People function as a series of interconnected systems and enjoy finding ways to make them run more efficiently.
* Compassionate Operator. You understand that behind every ticket or data entry is a human being. You communicate with empathy and clarity, turning complex policies into easy\-to\-understand guidance.
* Meticulous Steward. You "sweat the details" and take pride in follow\-through. You are comfortable pushing back respectfully when requests don't align with our data integrity or security standards.
* Collaborative Partner. You build trust easily with internal and external partners alike. You know how to balance "business needs" with "people needs" to find the best path forward.
* Pragmatic Strategist: You recognize there are many competing demands on your time \- and that these may change regularly. You’re comfortable navigating ambiguity, assessing incoming requests and pain points against a clear prioritization framework that delivers the most value to the business and the People team.
 You have the following experience...
* At least 5 years of experience in People Operations, HR Generalist, or HR Systems roles, ideally within a high\-growth environment or in an organization of \&gt;700 employees.
* Deep Tech Stack Expertise: Proven experience managing an HRIS and specialized tools for performance or leave management. Direct familiarity with Rippling and Lattice will be helpful to hit the ground running.
* Benefits \&amp; Compliance Knowledge: Practical experience administering US benefits (health, 401k) and a solid grasp of federal and state employment laws (FMLA, ADA, EEO).
* Vendor Management: Prior experience engaging with vendors to ensure mutually beneficial terms and strong, warm relationships.
* Data Proficiency: Strong skills in Google Sheets/Excel for data auditing, reporting, and dashboard creation.
 Pluses...
* Experience scaling People tools at growth/late stage companies with \&gt;1000 employees
* Familiarity with additional systems/tools, including Ascensus, Cocoon, Greenhouse, Pave, Vanguard and Workday.
* Experience managing immigration/visa processes directly, or with the help of a partner.
* Experience with project management frameworks or tools (Jira, Monday).
* Experience building AI agents, with models like ChatGPT, Claude and Gemini, or applications like Glean
 Work Authorization...
* You are authorized to work in the United States. Please note that currently, Everlaw is not sponsoring employment visas for this role.
 Total Rewards
 * The expected salary range for this role is between $130,000 \- $165,000\. The final offered salary will be dependent upon many factors including the candidate’s experience and skills. The base pay range is subject to change in the future.
* Participation in our equity program
* 401(k) retirement plan with company matching
* Health, dental, and vision insurance
* HSAs and FSAs for various expenses
* Company\-sponsored life and disability insurance
* Paid parental leave and sick leave
* 17 paid vacation days plus 11 federal holidays
* Access to mental health and wellness resources like membership to Modern Health
* A generous L\&amp;D stipend for your personal growth
* Find out more about our
 Benefits and Perks
 Perks
 * A beautiful office in Uptown Oakland, just steps from the BART line and dozens of restaurants and walking distance to Lake Merritt
* Flexible work\-from\-home days on Tuesdays and Fridays
* Monthly home internet reimbursement
* Ability to select your hardware of choice (Mac or PC) and customize your desk setup
* A wide variety of snacks and beverages in the office
* Company\-wide out\-of\-the\-box events and fun activities with your team
* Time off for company\-sponsored volunteer events and 4 paid hours per quarter to volunteer at a charitable organization of your choice
* Learning and career development opportunities (and a generous budget!)
**Pursue Truth While Finding Yours** 
**At Everlaw, we are deeply invested in pursuing the truth, for our clients and for our employees. We know that when you’re empowered to pursue your passions, it is reflected in the work.** 
  That’s why we’re committed to the professional growth of all our team members, offering an annual learning and development stipend and regular career check\-ins with managers. If you’re looking for a place that values passion, integrity, and a desire to learn, we’d love to hear from you!  ​​About EverlawWe help law firms, government agencies, and corporations sift through millions of documents of evidence in big lawsuits and investigations to find the proverbial smoking gun (or needle in the haystack \-\- pick your metaphor). It's a multi\-billion dollar space typically dominated by service\-oriented vendors, and we're coming at it with cutting\-edge technology and elegant design. It's working, and we've been growing very rapidly: we host hundreds of terabytes of data and work with all 50 state Attorneys General and hundreds of law firms on some of the most high\-profile cases litigated today.  Everlaw is an equal opportunity employer. We pride ourselves on having a diverse workforce and we do not discriminate against any employee or applicant because of race, creed, color, religion, gender, sexual orientation, gender identity/expression, national origin, disability, age, genetic information, veteran status, marital status, pregnancy or related condition, or any other basis protected by law. We respect the gender, gender identity and gender expression of our applicants and employees, and we honor requests for pronouns. It is our policy to comply with all applicable national, state and local laws pertaining to nondiscrimination and equal opportunity, including the California Equal Pay Act.  Pursuant to the San Francisco Fair Chance Ordinance, we will consider for employment qualified applicants with arrest and conviction records. We collect and process the personal information you provided along with your job application in accordance with our
 Applicants Privacy Notice and Notice at Collection
 . When preparing to engage with Everlaw as a candidate, you may use AI tools for research, polishing application materials, and interview prep. However, any assessments (unless explicitly stated), remote interviews or live interviews must be completed independently without AI support.
 **By submitting your application, you agree to adhere to these rules.** 
 Here's the link to our
 full policy
 , and please reach out with any questions! 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 We began using Covey Scout for Inbound on the 9th of June, 2025\.</t>
        </is>
      </c>
    </row>
    <row r="121">
      <c r="A121" t="inlineStr">
        <is>
          <t>li-4357658935</t>
        </is>
      </c>
      <c r="B121" t="inlineStr">
        <is>
          <t>Project/Program Manager III</t>
        </is>
      </c>
      <c r="C121" t="inlineStr">
        <is>
          <t>Jobs via Dice</t>
        </is>
      </c>
      <c r="D121" t="inlineStr">
        <is>
          <t>linkedin</t>
        </is>
      </c>
      <c r="E121">
        <f>HYPERLINK("https://www.linkedin.com/jobs/view/4357658935", "https://www.linkedin.com/jobs/view/4357658935")</f>
        <v/>
      </c>
      <c r="F121" t="inlineStr"/>
      <c r="G121" t="inlineStr">
        <is>
          <t>Merritt Island, FL</t>
        </is>
      </c>
      <c r="H121" t="inlineStr"/>
      <c r="I121" t="inlineStr">
        <is>
          <t>RESPONSIBILITIES:
 Kforce has an enterprise client that is seeking a Project/Program Manager III in Merritt Island, FL.
 Key Responsibilities:
* Project/Program Manager III will own schedule management for assigned categories and manage MRP exceptions
* Perform clear\-to\-build assessments on production work orders, manage shortages and floor scrap replacement, and monitor production schedule adherence
* Continuously improve reorder points and order modifiers to optimize stock availability
* As a Project/Program Manager III, you will resolve data quality issues and influence supplier investments in continuous improvement
* Provide data\-driven reviews to management focused on supply chain optimization, create SOPs for transaction processing, and engage in short, medium, and long\-range planning activities to ensure service consistency
 REQUIREMENTS:
* Manufacturing environment, Aerospace
* Supply Chain
* MRP
* Requires data\-driven decision\-making, comfort with ambiguity, attention to detail, and the ability to thrive in a dynamic environment while managing multiple projects
* Demands a passion for exceptional customer experience and delivering results at continually lower costs and risks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22">
      <c r="A122" t="inlineStr">
        <is>
          <t>li-4359019049</t>
        </is>
      </c>
      <c r="B122" t="inlineStr">
        <is>
          <t>Technical Program Manager || Local to Mountain View, CA</t>
        </is>
      </c>
      <c r="C122" t="inlineStr">
        <is>
          <t>Jobs via Dice</t>
        </is>
      </c>
      <c r="D122" t="inlineStr">
        <is>
          <t>linkedin</t>
        </is>
      </c>
      <c r="E122">
        <f>HYPERLINK("https://www.linkedin.com/jobs/view/4359019049", "https://www.linkedin.com/jobs/view/4359019049")</f>
        <v/>
      </c>
      <c r="F122">
        <f>HYPERLINK("https://click.appcast.io/t/WImQzXoJfihDPztlwFUIGuE2NUTFKrD4Ypz5Ef3prlg=&amp;urlHash=if7U", "https://click.appcast.io/t/WImQzXoJfihDPztlwFUIGuE2NUTFKrD4Ypz5Ef3prlg=&amp;urlHash=if7U")</f>
        <v/>
      </c>
      <c r="G122" t="inlineStr">
        <is>
          <t>Mountain View, CA</t>
        </is>
      </c>
      <c r="H122" t="inlineStr"/>
      <c r="I122" t="inlineStr">
        <is>
          <t>Dice is the leading career destination for tech experts at every stage of their careers. Our client, InfiCare Technologies, is seeking the following. Apply via Dice today!
**Title: Technical Program Manager**
**Location: Mountain View, CA (5 Days Onsite)
 Duration: Long\-term Contract**
**Responsibilities:**
* Responsible for managing Mobile and Web development Programs consisting of multiple projects. Develops program strategy, supporting business case and project plans. Responsible for delivering all projects contained in the IT project portfolio on time, within budget and meeting the strategic and business requirements.
* Ensures integration of projects and adjusts project scope, timing, and budgets as necessary, based upon the needs of the business.
* Communicates with IT leadership and senior business leadership to communicate program strategy, direction and changes.
* Partners with senior leadership to identify and prioritize opportunities for utilizing IT to achieve the goals of the enterprise.
* Maintains the efficiency of the project management process such as planning, scheduling, and budget and risk assessment. Identifies and mitigates potential risks.
**Skills** 
 :
 Recommend 5\-7 years of experience
**Qualifications** 
 :
* Experience with project lifecycles, scheduling, risk management, and conflict resolution techniques.
* Risk and Issue Management skills.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2026-01-15T21:11:18Z</dcterms:created>
  <dcterms:modified xsi:type="dcterms:W3CDTF">2026-01-15T21:11:18Z</dcterms:modified>
</cp:coreProperties>
</file>