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in-19bfbc0db75e6cfd</t>
        </is>
      </c>
      <c r="B2" t="inlineStr">
        <is>
          <t>Sr. Data Engineer | Analytics</t>
        </is>
      </c>
      <c r="C2" t="inlineStr">
        <is>
          <t>Machinify</t>
        </is>
      </c>
      <c r="D2" t="inlineStr">
        <is>
          <t>indeed</t>
        </is>
      </c>
      <c r="E2">
        <f>HYPERLINK("https://www.indeed.com/viewjob?jk=19bfbc0db75e6cfd", "https://www.indeed.com/viewjob?jk=19bfbc0db75e6cfd")</f>
        <v/>
      </c>
      <c r="F2">
        <f>HYPERLINK("https://jobs.ashbyhq.com/machinify/a427a792-d9bb-4003-bc3d-9e174981cb95?utm_source=91kRzwqPAe", "https://jobs.ashbyhq.com/machinify/a427a792-d9bb-4003-bc3d-9e174981cb95?utm_source=91kRzwqPAe")</f>
        <v/>
      </c>
      <c r="G2" t="inlineStr">
        <is>
          <t>Palo Alto, CA, US</t>
        </is>
      </c>
      <c r="H2" s="2" t="n">
        <v>46036</v>
      </c>
      <c r="I2" t="inlineStr">
        <is>
          <t>Machinify is a leading healthcare intelligence company with expertise across the payment continuum, delivering unmatched value, transparency, and efficiency to health plan clients across the country. Deployed by over 60 health plans, including many of the top 20, and representing more than 160 million lives, Machinify brings together a fully configurable and content\-rich, AI\-powered platform along with best\-in\-class expertise. We’re constantly reimagining what’s possible in our industry, creating disruptively simple, powerfully clear ways to maximize financial outcomes and drive down healthcare costs.
**Why This Role Matters**
As a Data Engineer, you’ll be at the heart of transforming **raw external data into powerful, trusted datasets** that drive payment, product, and operational decisions. You’ll work closely with **product managers, data scientists, subject matter experts, engineers, and customer teams** to **build, scale, and refine production pipelines** — ensuring data is accurate, observable, and actionable.
You’ll also play a critical role in **onboarding new customers**, integrating their raw data into our **internal models**. Your pipelines will directly power the company’s **ML models, dashboards, and core product experiences**. If you enjoy owning end\-to\-end workflows, shaping data standards, and driving impact in a fast\-moving environment, this is your opportunity.
**What You’ll Do**
------------------
* Design and implement robust, production\-grade pipelines using **Python**, **Spark SQL**, and **Airflow** to process high\-volume **file\-based datasets** (CSV, Parquet, JSON).
* Lead efforts to **canonicalize raw healthcare data** (837 claims, EHR, partner data, flat files) into **internal models**.
* Own the full lifecycle of core pipelines — from **file ingestion** to **validated, queryable datasets** — ensuring high reliability and performance.
* **Onboard new customers** by integrating their raw data into internal pipelines and canonical models; collaborate with **SMEs, Account Managers, and Product** to ensure successful implementation and troubleshooting.
* Build resilient, idempotent transformation logic with **data quality checks**, **validation layers**, and **observability**.
* **Refactor and scale** existing pipelines to meet growing data and business needs.
* Tune **Spark jobs** and optimize distributed processing performance.
* Implement **schema enforcement** and versioning aligned with internal data standards.
* Collaborate deeply with **Data Analysts, Data Scientists, Product Managers, Engineering, Platform, SMEs, and AMs** to ensure pipelines meet evolving business needs.
* Monitor pipeline health, participate in **on\-call rotations**, and proactively debug and resolve production data flow issues.
* Contribute to the evolution of our **data platform** — driving toward mature patterns in observability, testing, and automation.
* Build and enhance **streaming pipelines** (Kafka, SQS, or similar) where needed to support near\-real\-time data needs.
* Help develop and champion **internal best practices** around pipeline development and data modeling.
**What You Bring**
------------------
* 4\+ years of experience as a Data Engineer (or equivalent), building **production\-grade pipelines**.
* Strong expertise in **Python**, **Spark SQL**, and **Airflow**.
* Experience processing large\-scale file\-based datasets (**CSV, Parquet, JSON, etc**) in production environments.
* Experience mapping and standardizing **raw external data** into **canonical models**.
* Familiarity with **AWS** (or any cloud), including file storage and distributed compute concepts.
* Experience onboarding new customers and integrating **external customer data** with non\-standard formats.
* Ability to work across teams, manage priorities, and own complex data workflows with minimal supervision.
* Strong written and verbal communication skills — able to explain technical concepts to non\-engineering partners.
* Comfortable designing pipelines from scratch and improving existing pipelines.
* Experience working with **large\-scale or messy datasets** (healthcare, financial, logs, etc.).
* Experience building or willingness to learn **streaming pipelines** using tools such as **Kafka** or **SQS**.
* Bonus: Familiarity with **healthcare data** (837, 835, EHR, UB04, claims normalization).
**Why Join Us**
---------------
* **Real impact** — your pipelines will directly support **decision\-making and claims payment outcomes** from day one.
* **High visibility** — partner with **ML, Product, Analytics, Platform, Operations, and Customer teams** on critical data initiatives.
* **Total ownership** — you’ll drive the lifecycle of core datasets powering our platform.
**Customer\-facing impact** — you will directly contribute to successful **customer onboarding** and data integration.  
*We're hiring across multiple levels for this role. Final level and title will be determined based on experience and performance during the interview process.*
**Equal Employment Opportunity at Machinify**
Machinify is committed to hiring talented and qualified individuals with diverse backgrounds for all of its positions. Machinify believes that the gathering and celebration of unique backgrounds, qualities, and cultures enriches the workplace.
See our Candidate Privacy Notice at: https://www.machinify.com/candidate\-privacy\-notice/</t>
        </is>
      </c>
    </row>
    <row r="3">
      <c r="A3" t="inlineStr">
        <is>
          <t>in-a44778cb35bb9492</t>
        </is>
      </c>
      <c r="B3" t="inlineStr">
        <is>
          <t>Senior Consultant - Data Engineer</t>
        </is>
      </c>
      <c r="C3" t="inlineStr">
        <is>
          <t>The Gunter Group</t>
        </is>
      </c>
      <c r="D3" t="inlineStr">
        <is>
          <t>indeed</t>
        </is>
      </c>
      <c r="E3">
        <f>HYPERLINK("https://www.indeed.com/viewjob?jk=a44778cb35bb9492", "https://www.indeed.com/viewjob?jk=a44778cb35bb9492")</f>
        <v/>
      </c>
      <c r="F3">
        <f>HYPERLINK("https://grnh.se/ajoo1fnf1us", "https://grnh.se/ajoo1fnf1us")</f>
        <v/>
      </c>
      <c r="G3" t="inlineStr">
        <is>
          <t>Nashville, TN, US</t>
        </is>
      </c>
      <c r="H3" s="2" t="n">
        <v>46036</v>
      </c>
      <c r="I3" t="inlineStr">
        <is>
          <t>At The Gunter Group, we are a people\-first management consulting firm and proud 20\-time workplace award winner. We build trusted partnerships with our clients to deliver practical solutions and lasting impact at the intersection of strategy, execution, people, and technology. We show up ready to roll up our sleeves, solve complex problems, and make a real difference together.
**What You'll Experience as a Senior Consultant \- Data Engineer at TGG:**
* *Achieving business results as a client\-facing consultant for our clients in various types of engagements within a variety of industries.*
* *Delivering high\-quality work to our clients within our technology service area.*
* *Being part of a collaborative, values\-based firm that has a reputation for great work and satisfied clients.*
* *Working with senior IT leaders to communicate strategic goals to their organization, including leading client and internal development teams on best practices.*
**What You Will Work On:**
* Deliver high\-quality client outcomes while adapting to unstructured problems and creating structured solutions.
* Communicate effectively with IT developers, product owners, and other technical stakeholders.
* Analyze requirements and design, build, debug, and deploy cloud platform services and components.
* Explore and analyze data using Excel, Power Query, SQL, and Python; develop solutions in Python/Jupyter and present insights through data visualizations.
* Develop and maintain design documentation and interface specifications.
* Write unit tests and work within CI/CD, code quality, and UAT processes.
* Build and schedule data pipelines to extract, transform, and store data across SQL databases and cloud platforms including Azure, GCP, AWS, and Snowflake.
**Who Will You Work With:**
* Client stakeholders ranging from individual contributors to senior executives.
* A collaborative team of consultants that deliver outstanding client service.
* TGG partners, principals, account leaders, managers, and staff supporting you to excel within client projects and to achieve your professional development goals.
**Examples of What You Bring to the Table:**
* 6\+ years of consulting or related experience with a strong track record of client service and delivering results.
* Proven ability to collaborate with non\-technical stakeholders to gather requirements, plan delivery, and communicate results using clear documentation, diagrams, and presentations.
* Experience with data science and machine learning concepts and methods.
* Experience with Python, SQL, and BI/analytics tools (e.g., Power BI, Tableau), and familiarity with modern programming languages and frameworks (Java, C\#/.NET, JavaScript).
* Understanding of programming paradigms, source control, and software lifecycle best practices (e.g., Git).
* Strong knowledge of data lifecycles, including how data is collected, transformed, stored, and consumed.
* Experience working in Agile/Scrum environments and translating business needs into effective technology solutions.
**Salary and Benefits:**
The well\-being of our team is our top priority. That's why we proudly offer a comprehensive suite of competitive health benefits, along with additional options such as medical, dental, vision, wellness programs, flexible PTO, professional development and work\-from\-home stipends, team offsites, social events, and volunteering opportunities.
Salaries vary and are dependent on considerations such as: experience and specific skills/certifications. The base plus target bonus total compensation range for this role is $110,000 to $160,000\. Additional compensation beyond this range is available as a result of leadership and business development opportunities. Salary details are discussed openly during the hiring process.
**Work Environment:**
TGG is headquartered in Portland, Oregon, and has team members living in various locations across the United States. Our clients' onsite and travel requirements vary—some may require daily onsite visits, while others might be monthly, quarterly, or as needed. We serve clients across diverse industries, including Fortune 100 companies, retail, apparel, government, education, and insurance. Because of this, our consultants must be adaptable, with the ability to travel and work both remotely and onsite. Each engagement has unique conditions, and we work collaboratively with both our client and team members regarding onsite and travel requirements.
**Why The Gunter Group:**
**Vision:** A world where our clients, consultants and communities achieve excellence, realize their full potential, and thrive.
**Mission:** We help our clients get things done by delivering practical, effective, and relationship centered business consulting services. In doing so we help to maximize potential for our clients, our consultants, and our communities.
**Belonging:** From our beginning, TGG has been deeply committed to honoring the dignity inherent to every individual we interact with. We see our team members, potential team members, and our clients as completely distinct individuals with unique backgrounds, experiences, and perspectives.
We are committed to cultivating an engaging and fair culture with an authentic sense of belonging for every TGG team member. This results in a community based on mutual respect, shared values, and equal opportunities. We require that every TGGer be committed to upholding an inclusive culture where all team members are valued and respected.
Our work and interactions are guided by our non\-negotiable values, which include integrity, curiosity, emotional intelligence, confidence, the ability to thrive in ambiguity, and collaboration in all that we do. We are passionate about loving what we do, thriving in a high\-performing team, and holding ourselves to a rigorous standard of excellence. We welcome all individuals who share these same values and dedication to our craft.
If you think this role is the right fit, please submit your resume and cover letter so we can learn more about you.
**The Gunter Group LLC is an equal opportunity employer.**</t>
        </is>
      </c>
    </row>
    <row r="4">
      <c r="A4" t="inlineStr">
        <is>
          <t>in-4cfceef56f00d6e1</t>
        </is>
      </c>
      <c r="B4" t="inlineStr">
        <is>
          <t>Lead AWS Data Platform Engineer</t>
        </is>
      </c>
      <c r="C4" t="inlineStr">
        <is>
          <t>Derex Technologies inc</t>
        </is>
      </c>
      <c r="D4" t="inlineStr">
        <is>
          <t>indeed</t>
        </is>
      </c>
      <c r="E4">
        <f>HYPERLINK("https://www.indeed.com/viewjob?jk=4cfceef56f00d6e1", "https://www.indeed.com/viewjob?jk=4cfceef56f00d6e1")</f>
        <v/>
      </c>
      <c r="F4">
        <f>HYPERLINK("https://jobs.smartrecruiters.com/DerexTechnologiesInc/744000103793659-lead-aws-data-platform-engineer", "https://jobs.smartrecruiters.com/DerexTechnologiesInc/744000103793659-lead-aws-data-platform-engineer")</f>
        <v/>
      </c>
      <c r="G4" t="inlineStr">
        <is>
          <t>Boston, MA, US</t>
        </is>
      </c>
      <c r="H4" s="2" t="n">
        <v>46037</v>
      </c>
      <c r="I4" t="inlineStr">
        <is>
          <t>**Company Description**  
Derex Technologies Inc specializes in providing IT consulting, staffing solutions and software services. Globally headquartered in Harrison New Jersey since 1996 Derex delivers the highest quality technology professionals and an array of customized IT talent solutions designed to improve productivity and drive results to global clients throughout North America.
With over two decades of unparalleled experience, Derex provides supports to its clientele, across such industries as Systems Integration, Banking and Finance, Telecommunications, Pharmaceutical and Life Sciences, Energy, Healthcare, Technology, Transportation, and local and federal Government agencies.
 **Job Description** **Position: Lead AWS Data Platform Engineer**
**Location: Boston, MA (100% Onsite) – Local Candidates Highly Preferred.**
**Description:**
* The Data Platform Engineering team supports CI/CD and infrastructure for our integrated Data Fabric platform. This Data Fabric is a strategic core asset underpinning the operational success of our Firm.
* The Data Platform Engineer will design and implement efficient procedures and pipelines for software development and infrastructure deployment, manage and deploy various key data systems and services.
* The Data Platform Engineer will work with cloud engineers, data engineers, system administrators, data administrators and architects to find opportunities to leverage DevOps technologies to process large volumes of data.
* The Data Platform Engineer will implement CI/CD workflows for Infrastructure as Code (IaC) and automated deployments. This role requires a motivated individual with strong technical ability, data capability, excellent communication, and collaboration skills including the ability to develop and troubleshoot a diverse range of problems.
 **Responsibilities**
* Implement continuous integration, continuous development, and constant deployment pipeline (CI/CD Pipeline) for data infrastructure using Terraform and GitHub Actions.
* Implement and deploy GitHub Actions tools and workflows.
* Implement various development, testing, automation, and data infrastructure tools
 **Regards,**
 **Manoj**
**Derex Technologies INC**
**Contact :** **973\-834\-5005** **Ext 206**
 **Qualifications** **QUALIFICATIONS**
* Bachelor’s degree in computer science or engineering
* Minimum of 10 years of experience in DevOps engineering
* Git version control
* Minimum of 5 years of experience with GitHub Actions
* Minimum of 5 years of experience with Terraform
* Minimum of 5 years of AWS Cloud experience that includes: Lambda, EC2, and VPC
* Experience with big data platforms such as Amazon Redshift, Snowflake, Apache Iceberg, Apache Spark, AWS Glue, RDS
* Experience with containers: Docker, Amazon ECS, and/or Kubernetes
* Experience with data engineering, data analysis, and/or ETL
* Experience with programming languages such as Python
* Experience with OS\-level scripting languages such as Bash and PowerShell
* Experience with use of advanced features of AI tools: ChatGPT, custom GPTs, and/or other models such as Claude Sonnet.
**Additional Information**  
All your information will be kept confidential according to EEO guidelines.</t>
        </is>
      </c>
    </row>
    <row r="5">
      <c r="A5" t="inlineStr">
        <is>
          <t>in-28d6e289864ec396</t>
        </is>
      </c>
      <c r="B5" t="inlineStr">
        <is>
          <t>Senior Data Engineer</t>
        </is>
      </c>
      <c r="C5" t="inlineStr">
        <is>
          <t>Tekmetric</t>
        </is>
      </c>
      <c r="D5" t="inlineStr">
        <is>
          <t>indeed</t>
        </is>
      </c>
      <c r="E5">
        <f>HYPERLINK("https://www.indeed.com/viewjob?jk=28d6e289864ec396", "https://www.indeed.com/viewjob?jk=28d6e289864ec396")</f>
        <v/>
      </c>
      <c r="F5">
        <f>HYPERLINK("https://grnh.se/ty84trvo4us", "https://grnh.se/ty84trvo4us")</f>
        <v/>
      </c>
      <c r="G5" t="inlineStr">
        <is>
          <t>Arlington, VA, US</t>
        </is>
      </c>
      <c r="H5" s="2" t="n">
        <v>46036</v>
      </c>
      <c r="I5" t="inlineStr">
        <is>
          <t>**About Tekmetric**
Tekmetric is the all\-in\-one, cloud\-based platform helping auto repair shops run smarter, grow faster, and serve customers better.
Built by a shop owner and shaped by the needs of the industry, Tekmetric brings together innovation, real\-world experience, and a thriving community to help shops thrive \- not just survive. From running a shop, to securing payments to engaging customers, our platform simplifies operations so shop owners can focus on what really matters: delivering exceptional service, earning trust, and growing sustainably.
Officially founded in Houston in 2017, Tekmetric has grown from a single shop's vision to the industry's leading solution \- all by staying true to our values of transparency, integrity, innovation, and a service\-first mindset.  
But we're not just building software. We're building a movement. We're empowering repair shops to rise above the daily grind, create meaningful connections with their customers, and lead the industry forward \- one interaction at a time.
Come build with us. Join the journey. Shape the future of auto repair.
**Working the Tekmetric Way**
At Tekmetric, we're building a culture where winning matters \- not for ego, but because when our customers win, we win together.
We move fast, stay curious, and take full ownership of our results — no excuses, no finger\-pointing. If you thrive in ambiguity, take initiative, and view honest feedback as fuel for growth, you'll feel right at home here.
We're direct but respectful, ambitious yet grounded, and collaborative at every level. Everyone leads through impact and is encouraged to speak up, share ideas, and challenge assumptions (even your manager's). This is a place for builders, not bystanders.
Success here takes focus, follow\-through, and a willingness to roll up your sleeves — but if you're driven by meaningful work and real results, it's deeply rewarding. You'll join a team that cares about the work, supports one another, and takes smart risks to achieve bold goals. **Be yourself, stay mission\-focused, and you'll thrive.** If that energizes you, we can't wait to meet you.
**Where We Work:** At Tekmetric, great work can happen anywhere — but great teams are built through intentional connection. Our hybrid model means no role is fully remote, offering flexibility while strengthening collaboration and alignment. We host team and company\-wide offsites throughout the year to deepen connection and reinforce shared goals. Attendance is expected and fully supported.
**What You'll Do**
The Estimate Builder team is at the heart of what makes Tekmetric work. We build the tools that help service advisors create accurate, efficient repair estimates for vehicle owners—combining internal and external data sources to make a complex process feel simple.
As a Senior Data Engineer on this team, you will play a critical role in the design, implementation, and maintenance of our data infrastructure and pipelines that supports the business needs. You'll collaborate closely with cross\-functional teams including engineering, product, and revenue to ensure that our data is accurate, accessible, and reliable for making informed business decisions. Your expertise will contribute to the optimization of data flow and storage, enabling us to extract actionable insights and drive innovation.
* Build scalable data pipelines using Python, Spark and Airflow to move data from different applications into our data lake.
* Collaborate and influence the long term technology strategy and innovations roadmaps across data engineering areas.
* Provide technical leadership, mentorship and growth to junior team members as we scale
* Collaborate closely with engineering and product to elevate data generation approaches
* Manage the end\-to\-end life cycle on the development of new features and pipelines
* Ideate and contribute to shared data engineering tooling and standards.
* Define and promote data engineering best practices across the company.
**What You'll Bring**
* 5\+ years experience in software engineering with a focus in data
* Expert in SQL and one or more programming languages (ideally Python, Java or Scala)
* Experience with ETL tools and frameworks (e.g., Apache Spark, Apache Airflow)
* Experience working with data modeling, data architecture design, and ETL pipelines
* Experience working with batching and streaming data infrastructure
* Familiarity with data visualization tools (Looker, Tableau, etc)
* You enjoy working in fast moving and dynamic environments
* Degree in Computer Science or Engineering
**Why You'll Love Working With Us**
*Health \&amp; Wellness That Have You Covered:*
* Enjoy the flexibility of remote work
* Competitive base salaries that reflect your value.
* Generous Paid Time Off, because we know you do your best work when you're well\-rested.
* Support for every stage of life—with paid maternity, parental bonding, and medical leave for you or your loved ones.
* Comprehensive health benefits, including Medical, Dental, Vision, and Prescription coverage. For employee only, we offer plans that cover 100% of premiums and we cover 50% of costs for families.
* Prioritizing your mental health: get free, confidential counseling through our partnership with BetterHelp.
*Investing in Your Future (and Present):*
* 401(k) Retirement Savings Plan with 100% employer match on contributions up to 6% \- so your future self will thank you.
* Flexible Spending Accounts (FSA) and Health Savings Accounts (HSA) to make your money go further.
* Life and Accidental Death \&amp; Dismemberment (AD\&amp;D) Insurance for added peace of mind.
* Wellness on your terms: get up to $60/month toward fitness, mental health, or almost anything that helps you feel your best.
* After one year of employment, enjoy a $300 home office setup bonus to help make your space work for you.
* Keep growing with support for continuing education \- we're invested in your development.
Most importantly, we have a stellar team of coworkers, a really cool office, and lots of fun activities!
*Tekmetric is an equal opportunity employer. We hire hard working individuals, regardless of gender, race or color, ethnicity or national origin, age, disability, religion, sexual orientation, gender identity or expression, or veteran status. We know that when our employees feel appreciated and included, they can be more creative, innovative and successful.*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row>
    <row r="6">
      <c r="A6" t="inlineStr">
        <is>
          <t>in-bccee2b212fce804</t>
        </is>
      </c>
      <c r="B6" t="inlineStr">
        <is>
          <t>Data Engineer</t>
        </is>
      </c>
      <c r="C6" t="inlineStr">
        <is>
          <t>MANTECH</t>
        </is>
      </c>
      <c r="D6" t="inlineStr">
        <is>
          <t>indeed</t>
        </is>
      </c>
      <c r="E6">
        <f>HYPERLINK("https://www.indeed.com/viewjob?jk=bccee2b212fce804", "https://www.indeed.com/viewjob?jk=bccee2b212fce804")</f>
        <v/>
      </c>
      <c r="F6">
        <f>HYPERLINK("https://click.appcast.io/t/Cim_LSeZFFCL1AaCQSmzMzXOwY-nv9P0YUOJjQnvKXo=", "https://click.appcast.io/t/Cim_LSeZFFCL1AaCQSmzMzXOwY-nv9P0YUOJjQnvKXo=")</f>
        <v/>
      </c>
      <c r="G6" t="inlineStr">
        <is>
          <t>Ashburn, VA, US</t>
        </is>
      </c>
      <c r="H6" s="2" t="n">
        <v>46036</v>
      </c>
      <c r="I6" t="inlineStr">
        <is>
          <t>**MANTECH** seeks a motivated, career\- and customer\-oriented **Data Engineer** to join our innovative team in **Ashburn, VA**. This is a hybrid position with 2 days onsite and 3 days remote.
Each day U.S. Customs and Border Protection (CBP) oversees the massive flow of people, capital, and products that enter and depart the United States via air, land, sea, and cyberspace. The volume and complexity of both physical and virtual border crossings require the application of “big data” solutions to promote efficient trade and travel.
**Responsibilities include but are not limited to:**
* Responsible for data analysis of large database tables to understand the data structures, definitions and patterns which will be used to support various predictive models
* Data analysis, problem solving, investigation and creative thinking with massive amount of data supporting variety of operational scenarios
* Respond to data queries/analysis requests from various groups within an organization. Create and publish regularly scheduled and/or ad hoc reports as needed.
* Research and document data definitions for all subject areas and primary data sets supporting the core business applications.
* Responsible for source code control using GitLab
* Demonstrate a strong practical understanding of application\-relevant cargo and passenger data and databases used to support analytic application development, functionality and targeting end user (officer) operation.
**Minimum Qualifications:**
* AS and 4\-13 years or BS and 2\+ years or MS and 0\-5 years or PHD and 0\-3 years in Data Science, Information Technology, Computer Science, Business Analytics, Economics, Statistics or Mathematics.
* Experience in application development/full lifecycle on data warehouse engagements and at least 2 years’ experience in large (80TB\+) and complex data warehousing architecture, design and implementation/migration.
* Experience with one or more relational database systems such as Oracle, MySQL, Postgres, SQL server, etc.
* Experience in Extract\-Transform\-Load (ETL) development and knowledge of ETL concepts, tools, and data structures.
* Ability to multitask efficiently and progressively and work comfortably in an ever\-changing data environment.
* Ability to well in a team environment as well as independently.
* Excellent verbal/written communication and problem\-solving skills; ability to communicate information to a variety of groups at different technical skill levels.
**Preferred Qualifications:**
* Experience working in Unix/Linux environment.
* Experience with NoSQL database (MongoDB or DynamoDB or DocumentDB).
* Experience with relational databases and knowledge of query tools and/or BI tools like Power BI or Business Objects (BO) and data analysis tools.
* Experience with the Hadoop eco system, including HDFS, YARN, Hive, Pig, and batch\-oriented and streaming distributed processing methods such as Spark, Kafka, or Storm.
* Experience with Atlassian suite of tools such as Jira and Confluence.
**Clearance Requirements:**
* Must be a U.S. citizen with the ability to obtain DHS CBP suitability prior to starting this position.
**Physical Requirements:**
* The person in this position needs to occasionally move about inside the office to access file cabinets, office machinery, or to communicate with co\-workers, management, and customers, which may involve delivering presentations.</t>
        </is>
      </c>
    </row>
    <row r="7">
      <c r="A7" t="inlineStr">
        <is>
          <t>in-69870c33616a40e9</t>
        </is>
      </c>
      <c r="B7" t="inlineStr">
        <is>
          <t>Data Engineer</t>
        </is>
      </c>
      <c r="C7" t="inlineStr">
        <is>
          <t>KAYAK</t>
        </is>
      </c>
      <c r="D7" t="inlineStr">
        <is>
          <t>indeed</t>
        </is>
      </c>
      <c r="E7">
        <f>HYPERLINK("https://www.indeed.com/viewjob?jk=69870c33616a40e9", "https://www.indeed.com/viewjob?jk=69870c33616a40e9")</f>
        <v/>
      </c>
      <c r="F7">
        <f>HYPERLINK("https://jobs.ashbyhq.com/kayak/6105f74e-5ca2-4618-a3ae-d41b5b82f6ec?utm_source=AB9aX3yJ19", "https://jobs.ashbyhq.com/kayak/6105f74e-5ca2-4618-a3ae-d41b5b82f6ec?utm_source=AB9aX3yJ19")</f>
        <v/>
      </c>
      <c r="G7" t="inlineStr">
        <is>
          <t>Cambridge, MA, US</t>
        </is>
      </c>
      <c r="H7" s="2" t="n">
        <v>46036</v>
      </c>
      <c r="I7" t="inlineStr">
        <is>
          <t>KAYAK, part of Booking Holdings (NASDAQ: BKNG), is the world’s leading travel search engine. With billions of queries across our platforms, we help people find their perfect flight, stay, rental car and vacation package. We’re also transforming business travel with a new corporate travel solution, KAYAK for Business.
As an employee of KAYAK, you will be part of a travel company that operates a portfolio of global metasearch brands including momondo, Cheapflights and HotelsCombined, among others. From start\-up to industry leader, innovation is in our DNA and every employee has an opportunity to make their mark. Our focus is on building the best travel search engine to make it easier for everyone to experience the world.
We’re looking for a Data Engineer with a solid foundation in building robust data pipelines and a collaborative mindset to join our Marketing Data Engineering team. If you thrive in a fast\-paced environment, enjoy working cross\-functionally, and are eager to embrace change (especially innovations like AI coding assistants), this could be your next adventure!
**In This Role You Will:**
* Design, build, and maintain high\-performance data pipelines and orchestration workflows
* Write clean, modular Python code to transform, parse, clean, and enrich large datasets
* Support stakeholders by developing dashboards and visualizations
* Partner closely with marketing analysts, engineers, and data scientists to define and deliver data needs
* Actively participate in agile ceremonies, code reviews, and planning discussions
* Experiment with and use AI coding tools to boost productivity and code quality
### **Our Tech Stack**
* Languages: Python, SQL
* Workflow orchestration: Airflow
* Query engine: Trino
* Data warehouse: Vertica
* Source control: Git
* AI coding tools: Cursor
**Please apply if you have:**
* 6\+ years of professional experience in data engineering
* Proficient in SQL and Python, and know how to write scalable, maintainable code
* Worked with AI coding tools and are excited about how they’re shaping the future of development
* Understand modern data architecture from ingestion to transformation to delivery
* Built and operated Airflow pipelines (or something similar)
* You’re comfortable estimating project scope, managing timelines, and delivering reliably
**Soft Skills We Value:**
* Excellent collaborator and communicator, comfortable working with technical and non\-technical peers
* Solution\-oriented and driven by curiosity
* Welcome change and innovation, and you’re quick to adapt your tools and practices
* Thrive in an international, fast\-paced, and feedback\-driven environment
There are a variety of factors that go into determining a salary range, including but not limited to external market benchmark data, geographic location, and years of experience sought/required. The base range for this United States located role is $115,000 \- 130,000\.00\.
We offer a competitive base salary and benefits including: health benefits; flexible spending account; retirement benefits; life insurance; paid time off (including PTO, paid sick leave, medical leave, bereavement leave, floating holidays and paid holidays); and parental leave benefits. This role is eligible to be considered for an annual bonus.
**Inclusion**
At KAYAK, we want everyone to have the space to grow, share ideas and do great work. That’s why we’re focused on hiring the best talent from all walks of life and experiences, supporting them well and making sure no one feels like they have to fit a mold to belong here.  
Need any adjustments for the interview, application or on the job? No problem \- just give us a heads\-up. We’ve got you.</t>
        </is>
      </c>
    </row>
    <row r="8">
      <c r="A8" t="inlineStr">
        <is>
          <t>in-2d4855ea487d9d54</t>
        </is>
      </c>
      <c r="B8" t="inlineStr">
        <is>
          <t>Staff Data Engineer</t>
        </is>
      </c>
      <c r="C8" t="inlineStr">
        <is>
          <t>CHG Healthcare</t>
        </is>
      </c>
      <c r="D8" t="inlineStr">
        <is>
          <t>indeed</t>
        </is>
      </c>
      <c r="E8">
        <f>HYPERLINK("https://www.indeed.com/viewjob?jk=2d4855ea487d9d54", "https://www.indeed.com/viewjob?jk=2d4855ea487d9d54")</f>
        <v/>
      </c>
      <c r="F8">
        <f>HYPERLINK("https://chghealthcare.wd1.myworkdayjobs.com/en-US/External/job/Salt-Lake-City-UT/Staff-Data-Engineer_JR103871", "https://chghealthcare.wd1.myworkdayjobs.com/en-US/External/job/Salt-Lake-City-UT/Staff-Data-Engineer_JR103871")</f>
        <v/>
      </c>
      <c r="G8" t="inlineStr">
        <is>
          <t>Salt Lake City, UT, US</t>
        </is>
      </c>
      <c r="H8" s="2" t="n">
        <v>46036</v>
      </c>
      <c r="I8" t="inlineStr">
        <is>
          <t>Healthcare’s helping hand.  
CHG shook things up in 1979 by inventing the locum tenens staffing model. We connect doctors with patients who need their care. As the largest physician staffing firm in America, our providers treat millions of patients each year.  
Our industry is growing and demand is high. This means you’ll have plenty of opportunities to grow and develop in your career. Keeping healthcare healthy can be as fun as it is rewarding
Engineering is looking for a Staff Data Engineer to join our Data Platform team. The Data Platform team gathers and enables data throughout the organization in order to provide insights into all aspects of CHG's business. This allows our Sales and other business partners to make better informed decisions. As a Staff Data Engineer, you will serve as a technical leader, driving architectural decisions, establishing best practices, and mentoring team members while delivering complex, high\-impact data solutions. This role will report to the Data Platform Manager.
Responsibilities* Lead the technical direction and evolution of the Enterprise Data Strategy in partnership with leadership and the Data Platform Architect
* Design, architect, and implement complex ETL/ELT solutions using Fivetran, dbt, and Snowflake, setting technical standards for the team
* Drive the cloud migration strategy, ensuring scalability, reliability, and data quality across the Data Lake ecosystem
* Serve as a technical subject matter expert, providing guidance on data architecture, pipeline design, and performance optimization
* Identify and evaluate emerging technologies and tools to continuously improve data platform capabilities
* Lead cross\-functional initiatives, collaborating with stakeholders across Engineering, Sales, and Business Intelligence to align data solutions with organizational objectives
* Mentor and coach Senior and mid\-level Data Engineers, fostering technical growth and knowledge sharing within the team
* Establish and enforce coding standards, testing methodologies, and documentation practices for data development
* Lead technical design reviews and provide architectural oversight for team deliverables
* Partner with Product and Project Management to shape roadmaps, estimate complex initiatives, and drive delivery in an agile environment
Qualifications* Proven ability to lead technical initiatives and influence without direct authority across teams and departments
* Strong communication skills with the ability to translate complex technical concepts for both technical and non\-technical audiences
* Demonstrated track record of mentoring engineers and elevating team capabilities
* Expert\-level understanding of logical and physical data models, including deep expertise in Kimball methodology and dimensional modeling
* Ability to balance hands\-on technical work with strategic planning and leadership responsibilities
* Experience driving operational excellence, including monitoring, alerting, and incident response for data pipelines
* Strong problem\-solving skills with the ability to navigate ambiguity and make sound technical decisions
Education \&amp; Experience* 8\+ years of experience with data analysis and building ELT/ETL solutions
* 6\+ years of experience with ELT/ETL and cloud data warehousing methodologies and tools (Snowflake, dbt, and Fivetran preferred)
* 6\+ years of SQL experience writing complex queries and optimizing performance
* 3\+ years of experience in a technical leadership or senior individual contributor role
* Extensive experience with reporting\-database integration, API\-based data extraction, and processing data across diverse database platforms
* Demonstrated experience leading software design practices, establishing data architecture patterns, and building enterprise\-scale data solutions
* Bachelor's degree or equivalent work experience in a technical field; advanced degree a plus
Preferred* Strong experience building and optimizing data pipelines using Python
* 3\+ years of experience developing Tableau extracts, dashboards, and enabling self\-service analytics
* Experience with DataOps practices, CI/CD for data pipelines, and infrastructure as code
* Prior experience defining data governance frameworks and data quality standards
* Experience with real\-time/streaming data architectures
* Track record of contributing to or leading data platform transformations
*We believe in fair compensation for all of our people, which is why our pay structure takes into account the cost of labor across U.S. geographic markets. For this position, we offer a pay range of $146,200 \- $282,600 annually, with pay varying depending on work location and job\-related factors such as knowledge, position level and experience. During the hiring process, your recruiter can provide more information about the specific salary range for the job location.**CHG Healthcare offers starting salaries for sales positions in the form of total target compensation (TTC \= base \+ commission \+ bonus), which includes base pay, commission, and bonuses. Sales positions receive short\-term incentives through commission plans and bonuses. On the other hand, non\-sales positions have starting salaries that consist of a base salary and short\-term incentives through various bonus plans, which are paid out monthly, quarterly, or annually.*  
\#LI\-MJ1
In return we offer:  
* 401(k) retirement plan with company match
* Traditional healthcare benefits such as medical and dental coverage, and some unique benefits like onsite health centers, corporate wellness programs, and free behavioral health appointments.
* Flexible work schedules \- including work\-from\-home options available
* Recognition programs with rewards including trips, cash, and paid time off
* Family\-friendly benefits including paid parental leave, fertility coverage, adoption assistance, and marriage counseling
* Tailored training resources including free LinkedIn learning courses
* Volunteer time off and employee\-driven matching grants
* Tuition reimbursement programs
Click here to learn more about our company and culture.
CHG Healthcare values a diverse and inclusive workforce. Interested in this role but not a perfect fit? Apply anyway.
We welcome applicants of any race, color, religion, sex, sexual orientation, gender identity, national origin, veteran status and individuals with disabilities as an Affirmative Action/Equal Opportunity Employer. We are an at\-will employer.
What makes CHG Different?</t>
        </is>
      </c>
    </row>
    <row r="9">
      <c r="A9" t="inlineStr">
        <is>
          <t>in-c198db969950c0ed</t>
        </is>
      </c>
      <c r="B9" t="inlineStr">
        <is>
          <t>Data Engineer</t>
        </is>
      </c>
      <c r="C9" t="inlineStr">
        <is>
          <t>CGI</t>
        </is>
      </c>
      <c r="D9" t="inlineStr">
        <is>
          <t>indeed</t>
        </is>
      </c>
      <c r="E9">
        <f>HYPERLINK("https://www.indeed.com/viewjob?jk=c198db969950c0ed", "https://www.indeed.com/viewjob?jk=c198db969950c0ed")</f>
        <v/>
      </c>
      <c r="F9">
        <f>HYPERLINK("https://click.appcast.io/t/Pgqs5A7SYeQKpAkO9fxj9UqOhG4hesouAyuGM-SEX9s=", "https://click.appcast.io/t/Pgqs5A7SYeQKpAkO9fxj9UqOhG4hesouAyuGM-SEX9s=")</f>
        <v/>
      </c>
      <c r="G9" t="inlineStr">
        <is>
          <t>Atlanta, GA, US</t>
        </is>
      </c>
      <c r="H9" s="2" t="n">
        <v>46036</v>
      </c>
      <c r="I9" t="inlineStr">
        <is>
          <t>**Position Description:**
-------------------------
Do you want to take your career to the next level? Are you ready for the responsibility of working with high\-profile clients? CGI is looking for a talented, driven, and experienced Data Engineer with regulatory reporting experience to join our team in Atlanta, GA. At CGI, you will solve challenging business and technical problems as a full\-time consultant serving local, enterprise clients. You'll be part of a team of smart, dedicated people like yourself and make an impact with both internal and client stakeholders. You also can work on cutting edge technologies and cloud native development. Tired of the same old thing? Take your talents to a world class consulting firm that inspires personal and professional growth and values your ideas.
**Your future duties and responsibilities:**
--------------------------------------------
. Play key role in establishing and implementing migration patterns for the Data Lake Modernization project.  
. Actively migrate use cases from our on premises SQL Server to Databricks.  
. Using DataBricks, ensure proper data lineage and data sourcing to support Regulatory Reports for financial services clients  
. Collaborate with Product Management and business partners to understand use case requirements and reporting.  
. Implement Axiom to final reporting on regulatory matters  
. Adhere to internal development best practices/lifecycle (e.g. Testing, Code Reviews, CI/CD, Documentation) .  
. Document and showcase feature designs/workflows.  
. Participate in team meetings and discussions around product development.  
. Stay up to date on industry latest industry trends and design patterns
**Required qualifications to be successful in this role:**
----------------------------------------------------------
. Bachelor's in Computer Science, Computer Engineering or related field  
. 6\+ yrs. Development experience with Spark (PySpark), Python and SQL.  
. Extensive knowledge building data pipelines  
. Hands on experience with Databricks Development  
. Experience in Regulatory Reporting (2052A, CCAR, etc.) regulations  
. Hands on experience implementing Axiom  
. Experience with scheduling and orchestration (e.g. Databricks Workflows,airflow, prefect, control\-m).  
. Solid understanding of distributed systems, data structures, design principles.  
. Comfortable communicating with teams via showcases/demos.  
Nice to Have:  
. 3\+ years experience with GIT.  
. 3\+ years experience with CI/CD (e.g. Azure Pipelines).  
. Experience with streaming technologies, such as Kafka, Spark.  
. Experience building applications on Docker and Kubernetes.  
. Cloud experience (e.g. Azure, Google).  
This position is located onsite in Atlanta, GA.  
CGI anticipates accepting applications for this position through January 30, 2025\.  
Other Information:  
CGI is required by law in some jurisdictions to include a reasonable estimate of the compensation range for this role. The determination of this range includes various factors not limited to skill set, level, experience, relevant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$79,600\.00 \- $156,700\.00\.  
CGI's benefits are offered to eligible professionals on their first day of employment to include:
. Competitive compensation  
. Comprehensive insurance options  
. Matching contributions through the 401(k) plan and the share purchase plan  
. Paid time off for vacation, holidays, and sick time  
. Paid parental leave  
. Learning opportunities and tuition assistance  
. Wellness and Well\-being programs  
\#LI\-JN2
**Skills:**
-----------
* Apache Spark
* Azure DevOps
* Python
**What you can expect from us:**
--------------------------------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t>
        </is>
      </c>
    </row>
    <row r="10">
      <c r="A10" t="inlineStr">
        <is>
          <t>in-4a38362b7a73b1d9</t>
        </is>
      </c>
      <c r="B10" t="inlineStr">
        <is>
          <t>Analytics Engineer</t>
        </is>
      </c>
      <c r="C10" t="inlineStr">
        <is>
          <t>GEICO</t>
        </is>
      </c>
      <c r="D10" t="inlineStr">
        <is>
          <t>indeed</t>
        </is>
      </c>
      <c r="E10">
        <f>HYPERLINK("https://www.indeed.com/viewjob?jk=4a38362b7a73b1d9", "https://www.indeed.com/viewjob?jk=4a38362b7a73b1d9")</f>
        <v/>
      </c>
      <c r="F10">
        <f>HYPERLINK("https://click.appcast.io/t/V6_O-PbJWu_tdNwFLak9BdcmOj8z-xZhxjcz37Lto4I=", "https://click.appcast.io/t/V6_O-PbJWu_tdNwFLak9BdcmOj8z-xZhxjcz37Lto4I=")</f>
        <v/>
      </c>
      <c r="G10" t="inlineStr">
        <is>
          <t>Chicago, IL, US</t>
        </is>
      </c>
      <c r="H10" s="2" t="n">
        <v>46036</v>
      </c>
      <c r="I10"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We are looking to hire an Associate Analytics Engineer to support data and reporting needs of actuarial business units. You will work closely with Data Engineering teams to support development of and maintenance of data pipelines and maintain data quality. You will also work closely with business partners to support analytical and reporting data needs. Other responsibilities may include assisting with translating business requirements into technical design specifications for application system changes and new application systems, assist with coding, debugging, testing and documenting existing R Shiny applications, and assist with creating plans for project tasks.
**Qualifications:**
* Must be able to multi\-task in a fast paced constantly changing work environment
* Ability to learn and apply large amounts of technical and procedural information, and follow processes
* Knowledgeable of infrastructure tools and management techniques and able to follow standards and processes that have been published
* Ability to provide system training to team members as needed
* Communicate in a clear, concise, professional oral or written manner, to be understood by customers, clients, co\-workers, and other employees of the organization
* Must be able to perform under pressure and stressful situations
* Must be able to concentrate and demonstrate a capacity for learning technical concepts and adapting to new technologies quickly
**Must have the following education and experience:**
* 1\+ years of SQL, SAS, R, Python, Power BI, or C\# programming experience
* 1\+ years of experience with either Linux or Windows Server operating systems
* 1\+ years of experience with Cloud Products (Azure/Google Cloud/AWS) and Services
* Basic knowledge of Snowflake and/or other Enterprise Data Warehouse databases
* 1\+ years of IT infrastructure and DevOps teams experience is preferred
* 1\+ year of full\-time relevant work experience in the US
* BA/BS required in a STEM related field, or equivalent work experience
**Location:** Chicago, IL \- This is a hybrid role that requires 3 days in office.
 **Annual Salary**
$69,700\.00 \- $108,650\.00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1">
      <c r="A11" t="inlineStr">
        <is>
          <t>in-40555dc3bb8cdac4</t>
        </is>
      </c>
      <c r="B11" t="inlineStr">
        <is>
          <t>Systems Administrator/Data Engineer</t>
        </is>
      </c>
      <c r="C11" t="inlineStr">
        <is>
          <t>TRIAEM LLC</t>
        </is>
      </c>
      <c r="D11" t="inlineStr">
        <is>
          <t>indeed</t>
        </is>
      </c>
      <c r="E11">
        <f>HYPERLINK("https://www.indeed.com/viewjob?jk=40555dc3bb8cdac4", "https://www.indeed.com/viewjob?jk=40555dc3bb8cdac4")</f>
        <v/>
      </c>
      <c r="F11">
        <f>HYPERLINK("http://recruit.hirebridge.com/v3/careercenter/v2/details.aspx?jid=904434&amp;cid=8077&amp;locvalue=1013", "http://recruit.hirebridge.com/v3/careercenter/v2/details.aspx?jid=904434&amp;cid=8077&amp;locvalue=1013")</f>
        <v/>
      </c>
      <c r="G11" t="inlineStr">
        <is>
          <t>Springfield, VA, US</t>
        </is>
      </c>
      <c r="H11" s="2" t="n">
        <v>46036</v>
      </c>
      <c r="I11" t="inlineStr">
        <is>
          <t>Providing exceptional solutions for our customers requires proven experience and positive results. At **TRIAEM**, we care and invest in our people to ensure they are prepared to deliver superior services across a wide array of mission challenges. We specialize in systems engineering \&amp; architecture, scientific \&amp; technological analysis, data management, and cyber security solutions. With over ten years of experience supporting the US Government and International Partners, we know what it takes to ask the right questions, capture the right information, and deliver timely, accurate solutions.
Caring and investing in our people means an environment where you can learn and grow while continuously being challenged. We offer industry\-leading benefits and paid time off that allow you to focus on supporting our customers while maintaining the important work/life balance. If you are looking for a company that values you as an individual and welcomes your ideas, contributions, and experience, TRIAEM is the place for you!
**Systems Administrator (Data Engineer):**
Supervises and manages the daily data engineering activities for key software tools including but not limited to JIRA, Confluence and Tableau. Works closely with the AMT Systems Administrator (Data Visualization Developer) to support the optimizing of system operations and resource utilization, and system capacity analysis and planning activities. Help users in accessing and using data engineering systems developed by AMaS to support the program.
* Leads data engineering and data integration tasks for current and future visualization products.
* Produces and maintain Python scripts required to enhance visualization functionality.
* Supports AMT Systems Administrator (Data Visualization Developer) to produce graphics of integrated IPA delivery schedules for leadership use in briefings for events such as PMR briefings, MSA reporting, etc.
* Develops JIRA, Confluence and Tableau products to ensure tracking at project, program and NGA levels for multiple release train and cadence schedules.
* Works at the Management Team level and provides guidance, direction and support to the RTM Teams.
**REQUIRED**
* Bachelor’s degree in mathematics, computer science, information systems, or related field and 5\+ years of relevant experience.
* Experience in JIRA/Confluence tracking tools, Tableau integration with JIRA.
* Advanced knowledge in one or more Data Science related programming languages i.e. Python
* Experience developing and modifying dashboards.
* Demonstrated experience with SQL, rational databases, normalization, and ETL Process (Extract, Transform, Load).
* Tools/Skills: Python, SQL, PySpark, Jupyter Notebooks, Tableau
**DESIRED**
* Experience exploring and establishing connections to undocumented Application Programming Interphases.
**LOCATION**
* Springfield/Alexandria, Virginia
**CLEARANCE**
* Active TS/SCI is required
TRIAEM LLC is an Equal Opportunity/Affirmative Action employer. All qualified candidates will receive consideration for employment without regard to disability, protected veteran status, race, color, sexual orientation/gender identity, religious creed, national origin, citizenship, marital status, sex, age, or genetic information. Applicants may be subject to a background investigation based on job requirements. TRIAEM Prohibits Discrimination and Harassment of Any Kind; we are committed to the principle of equal employment opportunity for all employees and to providing employees with a work environment free of discrimination and harassment. All employment decisions at TRIAEM are based on business needs, job requirements and individual qualifications, without regard to race, color, religion or belief, family or parental status, or any other status protected by the laws or regulations in the locations where we operate. TRIAEM will not tolerate discrimination or harassment based on any of these characteristics.</t>
        </is>
      </c>
    </row>
    <row r="12">
      <c r="A12" t="inlineStr">
        <is>
          <t>in-b435c30623b81595</t>
        </is>
      </c>
      <c r="B12" t="inlineStr">
        <is>
          <t>Data Engineer, Lead</t>
        </is>
      </c>
      <c r="C12" t="inlineStr">
        <is>
          <t>Booz Allen Hamilton</t>
        </is>
      </c>
      <c r="D12" t="inlineStr">
        <is>
          <t>indeed</t>
        </is>
      </c>
      <c r="E12">
        <f>HYPERLINK("https://www.indeed.com/viewjob?jk=b435c30623b81595", "https://www.indeed.com/viewjob?jk=b435c30623b81595")</f>
        <v/>
      </c>
      <c r="F12">
        <f>HYPERLINK("https://careers.boozallen.com/careers/JobDetail?jobId=119577", "https://careers.boozallen.com/careers/JobDetail?jobId=119577")</f>
        <v/>
      </c>
      <c r="G12" t="inlineStr">
        <is>
          <t>Washington, DC, US</t>
        </is>
      </c>
      <c r="H12" s="2" t="n">
        <v>46036</v>
      </c>
      <c r="I12" t="inlineStr">
        <is>
          <t>Data Engineer, Lead**The Opportunity:**
Ever\-expanding technology like IoT, machine learning, and artificial intelligence means that there’s more structured and unstructured data available today than ever before. As a data engineer, you know that organizing data can yield pivotal insights when it’s gathered from disparate sources. We need an experienced data professional like you to help our clients find answers in their data to impact important missions—from fraud detection to cancer research to national intelligence.
As a Data Engineer at Booz Allen, you’ll use your expertise to help build advanced technology solutions and lead data engineering activities on some of the most mission\-driven projects in the industry. You’ll guide data engineering activities by overseeing the development and deployment of pipelines and platforms that organize and make disparate data meaningful.
Here, you’ll mentor a multi\-disciplinary team of analysts, data engineers, developers, and data consumers in a fast\-paced, agile environment. You’ll use your expertise in analytical exploration and data examination while you oversee the assessment, design, building, and maintenance of scalable platforms for your clients.
Work with us to use data for good. Here, we focus on growing as a team to make the best solutions for our customers, so you’ll have resources for mentoring and learning new skills and tools. Join our team as we transform healthcare capabilities with cloud technology.
**What You’ll Work On:**
* Design a cloud\-based data solution to support the healthcare data repository.
* Recommend standards, tools, and capabilities based on your research of the environment and knowledge.
* Explore how to help customers overcome their most difficult challenges in cloud data storage.
* Work with the client’s technical leads to implement strategy and architecture design.
* Lead the planning, designing, and deployment of hybrid on\-premises and cloud architecture solutions for use in a next\-gen platform enabling data science and advanced analytics applications leveraging artificial intelligence and machine learning, automation, cloud\-based security, and big data.
Join us. The world can’t wait.
**You Have:**
* 10\+ years of experience with programming languages such as Python, Scala, or Java
* Experience with data validation, cleansing, and enrichment techniques to improve the accuracy and completeness of data
* Experience building and optimizing data pipelines to extract data from various sources, transforming it into the required format, and loading using Databricks and AWS services
* Experience designing and developing ETL workflows using tools such as Apache Spark or AWS Glue, along with monitoring and troubleshooting ETL processes to identify and resolve issues in a timely manner
* Experience with data storage technologies and databases such as Amazon S3 or Amazon Redshift
* Experience with Centers for Medicare \&amp; Medicaid Services (CMS) programs
* Knowledge of ETL best practices, data integration techniques, and data quality management
* Knowledge of Cloud database technology and cloud\-native data architecture
* Ability to obtain and maintain a Public Trust or Suitability/Fitness determination based on client requirements
* Bachelor’s degree
**Nice If You Have:**
* Experience with multiple operating systems and languages and planning and implementing large\-sized databases
* Experience with UNIX or Linux, including basic commands and Shell scripting
* Experience with a public cloud, including AWS, Microsoft Azure, or Google Cloud
* Experience with distributed data and computing tools, including Spark, Databricks, Hadoop, Hive, AWS EMR, or Kafka
* Experience working on real\-time data and streaming applications
* Experience with NoSQL implementation, including MongoDB or Cassandra
* Experience with data warehousing using AWS Redshift, MySQL, or Snowflake
* Experience with Agile engineering practices
* Knowledge of concepts of Data Lakehouse architecture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3">
      <c r="A13" t="inlineStr">
        <is>
          <t>in-6d2fa2a306b0a827</t>
        </is>
      </c>
      <c r="B13" t="inlineStr">
        <is>
          <t>Data Engineering Delivery Lead - CBRE Investment Management</t>
        </is>
      </c>
      <c r="C13" t="inlineStr">
        <is>
          <t>CBRE</t>
        </is>
      </c>
      <c r="D13" t="inlineStr">
        <is>
          <t>indeed</t>
        </is>
      </c>
      <c r="E13">
        <f>HYPERLINK("https://www.indeed.com/viewjob?jk=6d2fa2a306b0a827", "https://www.indeed.com/viewjob?jk=6d2fa2a306b0a827")</f>
        <v/>
      </c>
      <c r="F13">
        <f>HYPERLINK("https://careers.cbre.com/en_US/careers/JobDetail/Data-Engineering-Delivery-Lead-CBRE-Investment-Management/249633", "https://careers.cbre.com/en_US/careers/JobDetail/Data-Engineering-Delivery-Lead-CBRE-Investment-Management/249633")</f>
        <v/>
      </c>
      <c r="G13" t="inlineStr">
        <is>
          <t>Dallas, TX, US</t>
        </is>
      </c>
      <c r="H13" s="2" t="n">
        <v>46036</v>
      </c>
      <c r="I13" t="inlineStr">
        <is>
          <t>Data Engineering Delivery Lead \- CBRE Investment Management
Job ID
249633
Posted
15\-Jan\-2026
Service line
REI Segment
Role type
Full\-time
Areas of Interest
Data \&amp; Analytics, Digital \&amp; Technology/Information Technology, Investment Management
Location(s)
Dallas \- Texas \- United States of America, Richardson \- Texas \- United States of America
About the role
We are looking for an experienced Data Engineering lead of our data team and scale our data engineering team in designing, building, and maintaining robust data infrastructure and pipelines. Data Engineer Lead is responsible for designing, implementing, and managing data pipelines and architectures tailored to support AI and machine learning (ML) initiatives. This role will focus on enabling data\-driven decision\-making by ensuring high\-quality, secure, and scalable data systems that align with the firm’s strategic goals.  
What you'll do* Architect and implement scalable data solutions using cloud platforms and modern data technologies.
* Lead the design, development, and optimization of scalable data pipelines for AI/ML projects.
* Collaborate with data scientists and AI teams to ensure efficient data processing and integration.
* Collaborate with data scientists, analysts, and business stakeholders to define data models and workflows.
* Oversee data quality initiatives, implementing validation rules and automated cleansing processes.
* Manage and mentor a team of data engineers, fostering a culture of innovation and continuous improvement.
* Evaluate and implement new data technologies to enhance our data engineering capabilities.
* Ensure compliance with data security standards and regulatory requirements in the financial sector.
* Analyze, review, and alter programs to improve efficiency or adapt to new requirements.
* Prepare documentation to describe program development, logic, coding, and corrections.
What you'll need* Bachelor’s degree in information systems, Mathematics, Computer Science, or a related field.
* 12\+ years of experience in data engineering, at least 5 years in a leadership role.
* Proficiency in programming languages like Python
* Proficiency in databases like Snowflake, PostgreSQL, Vector DB and SQL Server
* Proficiency in data processing tools like Snaplogic, DBT, Spark, Apache Airflow.
* Strong knowledge of cloud platforms (e.g., AWS, Azure) and Cloud Services.
* Strong knowledge of machine learning frameworks and algorithms.
* Solid understanding of data modeling, database management (SQL/NoSQL), and API development.
* Experience with data governance and quality management practices.
* Excellent communication skills to liaise between technical teams and business Familiarity with data visualization tools and BI platforms.
* Stakeholder engagement, communication skills
* Knowledge of asset management or financial services is highly desirable.
Why CBRE?
At CBRE, we believe we possess an encouraging environment where integrity, service, and excellence craft our approach to every opportunity. We are guided by the needs of the cities we inhabit, the communities we build and the world we live in.* CBRE named a Fortune’s Most Admired Real Estate Company Fourteen years in a row
* CBRE agrees to acquire J\&amp;J Worldwide Services, a leading provider of engineering services, base support operations and facilities maintenance for the U.S. federal government.
* Named a World’s Most Ethical Company by Ethisphere for 11th consecutive year.
* Ranked \#3 on Barron’s Most Sustainable Company list
\#CBREIM
**Equal Employment Opportunity:** CBRE has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**Candidate Accommodations:** CBRE values the differences of all current and prospective employees and recognizes how every employee contributes to our company’s success. CBRE provides reasonable accommodations in job application procedures for individuals with disabilities. If you require assistance due to a disability in the application or recruitment process, please submit a request via email at recruitingaccommodations@cbre.com or via telephone at \+1 866 225 3099 (U.S.) and \+1 866 388 4346 (Canada).
CBRE REI
As an investment management leader with over 40 years of experience, we offer a broad and deep investment platform that seeks to consistently deliver world\-class investment results and exceptional client service. Our focus on real estate and infrastructure, comprehensive capabilities and commitment to our clients gives us a distinct competitive advantage.
With portfolio managers who are real asset experts on the ground in more than 20 countries, we actively manage and operate assets to seek to maximize returns, moving capital effectively and efficiently across borders, and providing our clients value around the world.  
Find out more</t>
        </is>
      </c>
    </row>
    <row r="14">
      <c r="A14" t="inlineStr">
        <is>
          <t>in-cc6146119bb608f2</t>
        </is>
      </c>
      <c r="B14" t="inlineStr">
        <is>
          <t>Data Engineer I</t>
        </is>
      </c>
      <c r="C14" t="inlineStr">
        <is>
          <t>INROADS</t>
        </is>
      </c>
      <c r="D14" t="inlineStr">
        <is>
          <t>indeed</t>
        </is>
      </c>
      <c r="E14">
        <f>HYPERLINK("https://www.indeed.com/viewjob?jk=cc6146119bb608f2", "https://www.indeed.com/viewjob?jk=cc6146119bb608f2")</f>
        <v/>
      </c>
      <c r="F14">
        <f>HYPERLINK("https://grnh.se/gwdpxcj97us", "https://grnh.se/gwdpxcj97us")</f>
        <v/>
      </c>
      <c r="G14" t="inlineStr">
        <is>
          <t>Washington, DC, US</t>
        </is>
      </c>
      <c r="H14" s="2" t="n">
        <v>46036</v>
      </c>
      <c r="I14" t="inlineStr">
        <is>
          <t>**About Inroads:**
Inroads applies data, analytics, technology, research, and content development to co\-create services and programs that are personalized, relevant, and engaging for the communities who rely on them. Our deep understanding of digital services, policy implementation, and ways communities consume information allows us to seamlessly integrate with organizations and public sector teams to revolutionize the ways they deliver complex services at scale.
**About the role:**
We're hiring an entry\-level Data Engineer to join our Data Engineering team. You'll take ownership of building reliable ELT/ETL pipelines and strong analytical data models using dbt. You don't need to know everything on day one, but you must be eager to learn, experiment, and grow quickly. Experience with Airflow and Snowflake is a plus, but not required.
**In this position you will:**
* Build, test, and document dbt models (staging, intermediate, marts) aligned to Kimball dimensional modeling best practices.
* Implement data quality checks (dbt tests, sources, freshness) and contribute to monitoring data reliability.
* Collaborate with analytics, product, and domain stakeholders to translate business needs into well\-modeled datasets.
* Proactively audit, define, and standardize key business metrics in collaboration with stakeholders to ensure consistency and trust across reporting platforms.
* Support source onboarding and ingestion from APIs, files, or databases into the warehouse.
* Maintain clear documentation for datasets, lineage, and transformation logic.
* Assist with CI/CD for analytics code (Git workflows, PR reviews, environments).
* Optimize model performance (incremental strategies, partitions/clustering, query tuning).
* Troubleshoot pipeline/data issues and contribute to root\-cause analyses.
* Proactively identify improvement opportunities and drive them to completion with high ownership.
**What we are seeking:**
* 2 years of experience in data engineering, analytics engineering, or related field (internships, coursework, and projects encouraged) OR an undergraduate degree or higher in a related field
* Proficiency in SQL; able to write clean, performant queries.
* Practical experience with dbt (models, tests, documentation, sources; familiarity with Jinja/macros is a plus).
* Solid grasp of Kimball dimensional modeling (star/snowflake schemas, facts and dimensions, SCDs).
* Demonstrated ability to translate complex business logic into efficient, technical data structures.
* Understanding of data warehousing and ELT/ETL patterns.
* Familiarity with Git and collaborative development workflows.
* Strong problem\-solving and communication skills; attention to detail.
* Demonstrated willingness to learn quickly and take ownership of outcomes.
**Nice to have:**
* Workflow orchestration experience (Airflow, Dagster, Prefect).
* Cloud data warehouse exposure (Snowflake preferred).
* Basic Python skills for data tasks (ETL scripts, API integrations).
* Experience with data testing/observability tools and lineage documentation.
* Experience designing and implementing data models specifically for consumption by internal technical teams (Data Analysts, Data Scientists).
* Exposure to CI/CD for analytics (dbt Cloud/Jobs, GitHub Actions).
* Domain knowledge of the U.S. healthcare insurance marketplace (Healthcare.gov) data and metrics.
**Culture \&amp; ownership in the role:**
* Bias for action: you establish clear goals, participate in problem\-solving efforts, and take ownership of the outcomes
* Growth mindset: you learn new tools and concepts rapidly and share learnings with the team.
* Craftsmanship: you care about clean code, tests, documentation, and reproducibility.
* Collaboration: you give and receive constructive feedback and help raise the bar.
**Success indicators:**
* Delivers well\-tested, documented dbt models that meet stakeholder needs.
* Improves data reliability through effective testing and monitoring.
* Demonstrates ownership by driving initiatives from problem definition to solution.
* Learns and applies new concepts (tools, modeling patterns, domain context) quickly.
**What we offer:**
Inroads offers a friendly work environment and competitive compensation and benefits package including:
* Salary: **$85,000**
* Premier health, dental, and vision insurance plans
* 401K matching
* Unlimited paid time off
* Paid personal and volunteer leave
* 13 paid holidays
* 15 weeks paid parental leave
* Professional development stipend \&amp; tuition reimbursement
* Macbook Pro laptop \&amp; tech accessories
* Bring Your Own Device (BYOD) stipend for mobile device
* Employee Assistance Program (EAP)
* Supportive \&amp; collaborative culture
* Flexible working hours
* Pre\-tax transportation options for commuting to our office in Washington, DC
* Lunches and snacks
The salary range for candidates who meet the minimum posted qualifications reflects the Company's good faith understanding and belief as to the wage range, and is accurate as of the date of this job posting.
At Inroads, we celebrate, support and thrive on differences. Not only do they benefit our services, products, and community, but most importantly, they are to the benefit of our team. Qualified people of all races, ethnicities, ages, sex, genders, sexual orientations, national origins, gender identities, marital status, religions, veterans statuses, disabilities and any other protected classes are strongly encouraged to apply. Inroads endeavors to make reasonable accommodations for qualified applicants with a disability unless the accommodation would impose an undue hardship on the operation of our business. If an applicant believes they require such assistance to complete the application or to participate in an interview, or has any questions or concerns, they should contact the Senior Director, People Operations. Inroads participates in E\-verify. EEO is the Law.
**Collection of Personal Information Notice:**
As you are likely aware, by submitting your job application, you are submitting personal information to our company. We collect various categories of personal information, including identifiers, protected classifications, professional or employment related information and sensitive personal information. We may retain and use this information for up to three years, in order to come to a decision on whether or not you are a good fit for our company. We may also retain or use some of this information to comply with any requirements under law, or for purposes of defending ourselves in any litigation. We do not use this information for any other purpose, or share it with third parties, unless you become an employee. To learn more, or to see our full Notice to Job Applicants, please click here.</t>
        </is>
      </c>
    </row>
    <row r="15">
      <c r="A15" t="inlineStr">
        <is>
          <t>in-5eeb151927b44067</t>
        </is>
      </c>
      <c r="B15" t="inlineStr">
        <is>
          <t>Junior Data Engineer</t>
        </is>
      </c>
      <c r="C15" t="inlineStr">
        <is>
          <t>CALIBRE Systems</t>
        </is>
      </c>
      <c r="D15" t="inlineStr">
        <is>
          <t>indeed</t>
        </is>
      </c>
      <c r="E15">
        <f>HYPERLINK("https://www.indeed.com/viewjob?jk=5eeb151927b44067", "https://www.indeed.com/viewjob?jk=5eeb151927b44067")</f>
        <v/>
      </c>
      <c r="F15">
        <f>HYPERLINK("https://jobs.silkroad.com/CalibreSys/httpscalibresyscareerssilkroadcom/jobs/5256?embedded=true", "https://jobs.silkroad.com/CalibreSys/httpscalibresyscareerssilkroadcom/jobs/5256?embedded=true")</f>
        <v/>
      </c>
      <c r="G15" t="inlineStr">
        <is>
          <t>Remote, US</t>
        </is>
      </c>
      <c r="H15" s="2" t="n">
        <v>46036</v>
      </c>
      <c r="I15" t="inlineStr">
        <is>
          <t>Junior Data Engineer
﻿
LinkedIn
Twitter
Email
Message
Share  
Category
Information Technology  
Tracking Code
HLS 5256\-585  
Position Type
Full\-Time/Regular  
CALIBRE Systems, Inc., an employee\-owned mission focused solutions and digital transformation company, is looking for a highly motivated **Junior Data Engineer**to join our dynamic team supporting a federal client. This role requires an innovative and collaborative mindset, with the ability to work closely with designers, back\-end engineers, and business stakeholders to deliver high\-quality, scalable digital solutions.
 The budgeted salary for this role is $125,000 per year.
**Responsibilities include, but are not limited to:**
* Assist with the collection, compilation, normalization, and standard analysis of data assets across diverse projects and platforms under guidance from senior engineers.
* Support the development, maintenance, and testing of data solutions within the organization.
* Help implement plans, policies, and practices that protect and enhance the integrity of organizational data assets.
* Participate in collecting, storing, processing, and analyzing raw and complex data from multiple sources; assist in designing data solutions and building data processing systems.
* Monitor data quality and report findings; support recommendations for system changes to improve data quality.
* Assist in investigating data quality issues, analyzing root causes, and implementing corrective measures.
* Process unstructured data into a form suitable for analysis and performing basic analysis tasks.
* Support integration of new algorithms and innovations into data systems in collaboration with engineering teams.
* Contribute to data projects focused on managing, analyzing, and visualizing large datasets to generate insights.
* Assist in hardware and software design decisions as directed by senior engineers.
* Collaborate with business owners or clients to support analysis plans and deliver reporting results.
* Help generate operational reports and present analytical data to appropriate audiences\[JC1] .
* Implement and maintain data pipelines supporting analytics and machine learning workloads.
* Monitor pipelines and data quality checks; troubleshoot failures and anomalies.
* Support automation and CI/CD for data and ML workflows.
Implement and maintain data pipelines supporting analytics and machine learning workloads.
Monitor pipelines and data quality checks; troubleshoot failures and anomalies.
Support automation and CI/CD for data and ML workflows.
Required Skills
* Proficiency in SQL and at least one programming language (Python or Java preferred).
* Basic understanding of ETL processes, data modeling, and pipeline development.
* Familiarity with data visualization tools (e.g., Tableau, Power BI).
* Knowledge of data governance principles and compliance standards.
* Strong problem\-solving skills and ability to learn quickly in a collaborative environment.
* Effective communication skills for sharing technical insights with team members
* Ability to properly handle and mask sensitive healthcare data to meet Federal data compliance standards
* Basic working knowledge (i.e. ability to understand, speak about, and participate in solutioning) of the following domains: Data privacy (specifically PII/PHI), the software development life cycle, Federal data policies, the Tricare Military Health System
Required Experience
* **Bachelor’s degree** in Data Science, Computer Science, Information Systems, or a related field
* 2\-5 years of experience in data engineering, data architecture, or related roles.
* Exposure to data warehousing solutions and modern database technologies.
* Experience working in an AWS environment (**AWS certification preferred**)
* Experience working with data pipelines and ensuring data quality across systems
* Demonstrated experience working with Federal healthcare agencies, Federal healthcare data, and/or data containing PII/PHI
* **Active Secret Clearance at the Department of Defense (or eligibility to obtain a clearance)**
* Ability to work east coast business hours (8am\-5pm)
* **Active Security\+ certification**
**CALIBRE and its subsidiaries are an Equal Opportunity Employer and supports transitioning service members, veterans and individuals with disabilities. We offer a competitive salary and full benefits package. To be considered, please apply via our website at** **www.calibresys.com****. Come join our dynamic team. \#CALIBRECareers**</t>
        </is>
      </c>
    </row>
    <row r="16">
      <c r="A16" t="inlineStr">
        <is>
          <t>in-b75e1bd91b005125</t>
        </is>
      </c>
      <c r="B16" t="inlineStr">
        <is>
          <t>Senior Data Engineer</t>
        </is>
      </c>
      <c r="C16" t="inlineStr">
        <is>
          <t>CALIBRE Systems</t>
        </is>
      </c>
      <c r="D16" t="inlineStr">
        <is>
          <t>indeed</t>
        </is>
      </c>
      <c r="E16">
        <f>HYPERLINK("https://www.indeed.com/viewjob?jk=b75e1bd91b005125", "https://www.indeed.com/viewjob?jk=b75e1bd91b005125")</f>
        <v/>
      </c>
      <c r="F16">
        <f>HYPERLINK("https://jobs.silkroad.com/CalibreSys/httpscalibresyscareerssilkroadcom/jobs/5253?embedded=true", "https://jobs.silkroad.com/CalibreSys/httpscalibresyscareerssilkroadcom/jobs/5253?embedded=true")</f>
        <v/>
      </c>
      <c r="G16" t="inlineStr">
        <is>
          <t>Remote, US</t>
        </is>
      </c>
      <c r="H16" s="2" t="n">
        <v>46036</v>
      </c>
      <c r="I16" t="inlineStr">
        <is>
          <t>Senior Data Engineer
﻿
LinkedIn
Twitter
Email
Message
Share  
Category
Information Technology  
Tracking Code
HLS 5253\-585  
Position Type
Full\-Time/Regular  
CALIBRE Systems, Inc., an employee\-owned mission focused solutions and digital transformation company, is looking for a highly motivated **Senior Data Engineer**to join our dynamic team supporting a federal client. This role requires an innovative and collaborative mindset, with the ability to work closely with designers, back\-end engineers, and business stakeholders to deliver high\-quality, scalable digital solutions.
**Responsibilities include, but are not limited to:**
* Manages and coordinates with internal or external parties the collection, compilation, normalization, and standard analysis of data assets across diverse projects and data platforms.
* Develops, maintains, evaluates, and tests valuates data solutions within an organization.
* Develops and executes plans, policies, and practices that control, protect, deliver, and enhance the value and integrity of the organization's data and information assets and programs.
* Collects, stores, processes, and analyzes raw and/or complex data from multiple sources, recommends ways to apply the data, chooses and designs optimal data solutions, and builds data processing systems, using expertise in data warehousing solutions and working with the latest database technologies.
* Maintains, implements, and monitors the quality of the data and information with the architecture used across the company; reports on results and identifies and recommends system application changes required to improve the quality of data in all applications.
* Investigates data quality problems, conducts analysis to determine root causes of problems, corrects errors, and develops prototypes, process improvement plans across all programs, and proof of concepts for the selected solutions.
* Processes unstructured data into a form suitable for analysis, followed by doing the analysis.
* Integrates innovations and algorithms into the organization's data systems, working closely with engineering teams.
* Implements complex data projects with a focus on collecting, parsing, managing, analyzing, and visualizing large sets of data to turn information into insights using multiple platforms.
* Decides on hardware and software design needs and acts according to the decisions.
* Serves as a data subject matter expert, collaborates with business owners or external clients to establish an analysis plan to answer key business questions, and delivers both reporting results and insights.
* Generates specific and operational reports in support of objectives and initiatives and presents and communicates complex analytical data and results to appropriate audiences\[JC1] .
* Own MLOps and production data architecture for model deployment, monitoring, and retraining.
* Define and enforce data quality standards, validation, and lineage.
* Ensure scalability, reliability, and security of data and ML platforms.
 ]Add to cover MLOps, ML Engineering, and DQ:  
Own MLOps and production data architecture for model deployment, monitoring, and retraining.
Define and enforce data quality standards, validation, and lineage.
Ensure scalability, reliability, and security of data and ML platforms.
Required Skills
* Advanced proficiency in SQL and programming languages such as Python or Java.
* Strong knowledge of ETL processes, data modeling, and data pipeline development.
* Familiarity with data governance principles and compliance standards.
* Ability to troubleshoot data quality issues and implement corrective measures.
* Excellent communication skills for conveying technical insights to non\-technical stakeholders
* Basic working knowledge (i.e. ability to understand, speak about, and participate in solutioning) of the following domains: Data privacy (specifically PII/PHI), the software development life cycle, Federal data policies, the Tricare Military Health System
Required Experience
* **Master’s degree** in Data Science, Computer Science, Information Systems, or a related field
* 8–10 years of experience in data engineering, data architecture, or related roles.
* Proven experience with data warehousing solutions and modern database technologies.
* Hands\-on experience with **cloud\-based platforms** (AWS certification preferred).
* 5\+ years of experience managing large\-scale data projects and ensuring data quality across multiple systems.
* Demonstrated experience working with Federal healthcare agencies, Federal healthcare data, and/or data containing PII/PHI
* **Active Secret Clearance at the Department of Defense (or eligibility to obtain a clearance)**
* Ability to work east coast business hours (8am\-5pm)
* **Active Security\+ certification**
**CALIBRE and its subsidiaries are an Equal Opportunity Employer and supports transitioning service members, veterans and individuals with disabilities. We offer a competitive salary and full benefits package. To be considered, please apply via our website at** **www.calibresys.com****. Come join our dynamic team. \#CALIBRECareers**</t>
        </is>
      </c>
    </row>
    <row r="17">
      <c r="A17" t="inlineStr">
        <is>
          <t>in-11a7d688a5eb0873</t>
        </is>
      </c>
      <c r="B17" t="inlineStr">
        <is>
          <t>Junior Data Engineer</t>
        </is>
      </c>
      <c r="C17" t="inlineStr">
        <is>
          <t>Mod Op</t>
        </is>
      </c>
      <c r="D17" t="inlineStr">
        <is>
          <t>indeed</t>
        </is>
      </c>
      <c r="E17">
        <f>HYPERLINK("https://www.indeed.com/viewjob?jk=11a7d688a5eb0873", "https://www.indeed.com/viewjob?jk=11a7d688a5eb0873")</f>
        <v/>
      </c>
      <c r="F17">
        <f>HYPERLINK("https://apply.workable.com/j/F699F9A1B3", "https://apply.workable.com/j/F699F9A1B3")</f>
        <v/>
      </c>
      <c r="G17" t="inlineStr">
        <is>
          <t>Cleveland, OH, US</t>
        </is>
      </c>
      <c r="H17" s="2" t="n">
        <v>46036</v>
      </c>
      <c r="I17" t="inlineStr">
        <is>
          <t>**Data Engineer Job Description:**
Mod Op is a full\-service advertising agency with offices across several US locations, Panama City, Panama, and Canada. With continued growth and a dynamic leadership team, we offer a generous time\-off package, access to high\-quality healthcare options, and a collaborative team dedicated to career and personal development. We believe in teamwork, client collaboration, storytelling, stunning design, and solving complex problems with innovative solutions. We are a 360° agency providing strategy, design, and production across all channels, with clients representing a variety of industries, offering diverse and exciting challenges. We are committed to working smart and enjoying the work we do.
**About You:**
As a Data Engineer with (1\-2\) years of experience, you will be responsible for designing and implementing robust data pipelines, optimizing data workflows, and supporting analytics initiatives. You will work with AWS and GCP cloud services, integrate with CRM and marketing platforms, and enable data\-driven decision\-making through visualization tools like Google Looker and Tableau.
**Key Responsibilities:**
* Data Pipeline Development: Design, develop, and maintain scalable ETL/ELT pipelines in GCP, Azure \&amp; AWS using various services including Data Flow, Composer, Azure Synapse, AWS Data Pipelines and etc
* Data Integration: Work with structured and unstructured data sources, including CRM and marketing data platforms.
* Database Management: Develop and optimize queries for SQL \&amp; NoSQL databases (Teradata, BigQuery, Cassandra, etc.).
* Data Science \&amp; ML: Implementing Models using GCP Vertex ai and utilizing Python and its data science libraries (Pandas, NumPy, Scikit\-learn, etc.) for data analysis and ML model deployment.
* Data Visualization: Build and manage dashboards using Google Looker and Tableau to provide business insights.
* Collaboration: Work closely with data analysts, marketing teams, and other stakeholders to understand business needs and implement effective data solutions.
* The position operates under a hybrid work model, requiring in\-office presence at the Grapevine, Texas location two days per week, with the remaining days worked remotely.
**Requirements**
**Required Qualifications:**
* Cloud Expertise: GCP or AWS (Data Engineering or ML focus) experience.
* Programming Skills: Strong proficiency in Python and experience with its data science libraries.
* Database Management: Experience with SQL (Teradata, BigQuery, etc.) and NoSQL databases.
* Data Visualization: Hands\-on experience with Google Looker and Tableau for reporting and dashboards.
* CRM \&amp; Marketing Data: Experience working with CRM, marketing platforms, and analytics tools.
* Machine Learning Knowledge: working GCP/Azure/AWS Services with ML workflows, model training, AI Models and deployment.
* Data Automation \&amp; Transformation: Knowledge with Alteryx for workflow automation and data preparation.
**Preferred Qualifications:**
* Experience with data warehousing solutions (Snowflake, Redshift, etc.).
* GCP Certified focused on Data Engineering.
* Exposure to Apache Spark, Airflow, or other data orchestration tools.
* Strong understanding of data governance, security, and compliance.
**Benefits**
* Health and Life Insurance for employees and family, access to Vision benefits, Telemedicine services, Psychology support and others.
* On the job training and career growth opportunities.
* Access to LinkedIn courses.
* Hybrid in\-office schedule.
* Talented team environment, collaborative offices, fun company culture with a great balance of work and play.
* Vacations are granted by day or weeks according to employee approved request.
* Salary with yearly review and competitive benefits.
* Competitive compensation based on experience and skill set.
**When asked what they love about working at Mod Op, we hear:**
* “I feel I can be myself at work and it’s fun!” \-MV
* “The caliber of the clients/brands we work with, knowing your work is seen by thousands of people, in many cases across the world.” \-JC
* “We actually create videogames!” \-AC
* “We have an all\-star team, and it’s like playing in the pro\-bowl every day!” \-MW
* “Opportunities to always learn from and work with the best and the brightest.” HW
* “Mentors and opportunities for growth.” \-KB
Mod Op,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18">
      <c r="A18" t="inlineStr">
        <is>
          <t>in-ee032383739f6335</t>
        </is>
      </c>
      <c r="B18" t="inlineStr">
        <is>
          <t>Data engineer</t>
        </is>
      </c>
      <c r="C18" t="inlineStr">
        <is>
          <t>Stacklogy</t>
        </is>
      </c>
      <c r="D18" t="inlineStr">
        <is>
          <t>indeed</t>
        </is>
      </c>
      <c r="E18">
        <f>HYPERLINK("https://www.indeed.com/viewjob?jk=ee032383739f6335", "https://www.indeed.com/viewjob?jk=ee032383739f6335")</f>
        <v/>
      </c>
      <c r="F18">
        <f>HYPERLINK("https://stacklogy.com/career/", "https://stacklogy.com/career/")</f>
        <v/>
      </c>
      <c r="G18" t="inlineStr">
        <is>
          <t>US</t>
        </is>
      </c>
      <c r="H18" s="2" t="n">
        <v>46036</v>
      </c>
      <c r="I18" t="inlineStr">
        <is>
          <t>**Qualification:**  
Master's Degree in Statistical Analytics, Data Science, or Bachelor's Degree in computer science engineering will be considered with at least three \- five years of applicable work experience
**Preferred Proficiency:**  
* Web development experience (AngularJS, D3\).
* Experience in a statistical programming language like R or Python; applied machine learning techniques including dimensionality reduction strategies, supervised/unsupervised classification and natural language processing frameworks.
* Experience in at least one data visualization tools (e.g. Tableau, QlikView) and data warehousing tools (e.g. Informatica) is preferred
**Huge Advantage:**  
* Building and scaling Machine Learning frameworks
* Hadoop (Hive, Spark, UDF's)
**Definite Plus:**  
* Web development experience (AngularJS, D3\).
**Experience:**  
* 5\+ years of relevant experience in one of the following areas: Data engineering, database engineering, business intelligence or business analytics.
* 5\+ years of hands\-on experience in writing complex, highly\-optimized SQL queries across large data sets.
* 2\+ years of experience in scripting languages like Python etc.
If you qualify for this position, please send your resume at hr@stacklogy.com Please bookmark this page to know more about job openings at Stacklogy.</t>
        </is>
      </c>
    </row>
    <row r="19">
      <c r="A19" t="inlineStr">
        <is>
          <t>in-b1c95578fb59b91c</t>
        </is>
      </c>
      <c r="B19" t="inlineStr">
        <is>
          <t>Enterprise Data Platform Engineer</t>
        </is>
      </c>
      <c r="C19" t="inlineStr">
        <is>
          <t>The Evolvers Group</t>
        </is>
      </c>
      <c r="D19" t="inlineStr">
        <is>
          <t>indeed</t>
        </is>
      </c>
      <c r="E19">
        <f>HYPERLINK("https://www.indeed.com/viewjob?jk=b1c95578fb59b91c", "https://www.indeed.com/viewjob?jk=b1c95578fb59b91c")</f>
        <v/>
      </c>
      <c r="F19">
        <f>HYPERLINK("https://evolversgroup.com/jobs.php?id=1277", "https://evolversgroup.com/jobs.php?id=1277")</f>
        <v/>
      </c>
      <c r="G19" t="inlineStr">
        <is>
          <t>Washington, DC, US</t>
        </is>
      </c>
      <c r="H19" s="2" t="n">
        <v>46036</v>
      </c>
      <c r="I19" t="inlineStr">
        <is>
          <t>### **Jobs Description**
The Data Engineer designs, builds, and operates batch and streaming data pipelines and curated data products on the Enterprise Data Platform (EDP) using Databricks and Apache Spark. This role is hands\-on in Python and R, enabling scalable engineering workflows while supporting analytics and research use cases. The engineer partners with product, architecture, governance, and mission teams to deliver secure, performant, observable pipelines and trusted datasets.
### **Responsibilities**
+ Build and maintain end\-to\-end pipelines in Databricks using Spark (PySpark) for ingestion, transformation, and publication of curated datasets.
+ Implement streaming / near\-real\-time patterns using Spark Structured Streaming (or equivalent), including state management, checkpointing, and recovery.
+ Design incremental processing, partitioning strategies, and data layout/file sizing approaches to optimize performance and cost.
+ Develop reusable pipeline components (common libraries, parameterized jobs, standardized patterns) to accelerate delivery across domains.
+ Develop and operationalize workflows in Python and R for data preparation, analysis support, and research\-ready extracts.
+ Package code for repeatable execution (dependency management, environment reproducibility, job configuration).
+ Implement data quality controls for batch and streaming (schema enforcement, completeness/validity checks, late/duplicate event handling, reconciliation).
+ Build pipeline observability: logging, metrics, alerting, and dashboards; support on\-call/ incident response and root\-cause analysis.
+ Create runbooks and operational procedures for critical pipelines and streaming services.
+ Ensure secure handling of sensitive data and apply least\-privilege principles in pipeline design and execution.
+ Contribute lineage notes, dataset definitions, and operational documentation to support reuse and auditability.
+ Use version control and CI/CD practices for notebooks/code (code reviews, automated testing where feasible, deployment/promotion across environments).
+ Collaborate with stakeholders to refine requirements, define SLAs, and deliver incrementally with measurable outcomes.
+ Implement Lakeflow/Delta Live Tables (DLT) pipelines with data quality expectations, materialized views, and streaming tables; design pipeline DAGs and maintain declarative ETL workflows.
+ Design and implement medallion architecture patterns (Bronze/Silver/Gold) with appropriate data quality gates, schema evolution strategies, and layer\-specific optimization techniques (OPTIMIZE, VACUUM, Z\-ordering/liquid clustering).
+ Develop and maintain comprehensive testing strategies including unit tests for transformation logic, integration tests for end\-to\-end pipelines, and data quality validation using frameworks like Great expectations or deequ.
+ Perform data modeling and schema design for dimensional models, slowly changing dimensions (SCD), and analytical structures; collaborate on entity definitions and grain decisions.
+ Contribute to Unity Catalog governance by registering datasets with metadata/descriptions/tags, implementing row/column\-level security where required, and maintaining accurate lineage information.
### **Qualifications**
+ 10\+ years of data engineering experience, including production Spark\-based batch pipelines and streaming implementations
+ Strong proficiency in Python and R for data engineering and analytical workflows.
+ Hands\-on experience with Databricks and Apache Spark, including Structured Streaming (watermarking, stateful processing concepts, checkpointing, exactly\-once/at\-least\-once tradeoffs).
+ Strong SQL skills for transformation and validation.
+ Experience building production\-grade pipelines: idempotency, incremental loads, backfills, schema evolution, and error handling.
+ Experience implementing data quality checks and validation for both batch and event streams (late arrivals, deduplication, event\-time vs processing\-time).
+ Observability skills: logging/metrics/alerting, troubleshooting, and performance tuning (partitions, joins/shuffles, caching, file sizing).
+ Proficiency with Git and CI/CD concepts for data pipelines, Databricks asset bundling, Databricks application deployments, and proficiency using Databricks CLI
+ Experience with lakehouse table formats and patterns (e.g., Delta tables) including compaction/optimization and lifecycle management.
+ Familiarity with orchestration patterns (Databricks Workflows/Jobs) and dependency management.
+ Experience with governance controls (catalog permissions, secure data access patterns, metadata/lineage expectations).
+ Knowledge of message/event platforms and streaming ingestion patterns (e.g., Kafka/Kinesis equivalents) and sink patterns for serving layers.
+ Experience collaborating with research/analytics stakeholders and translating analytical needs into engineered data products.
+ Strong problem\-solving and debugging across ingestion transformation serving.
+ Clear technical communication and documentation discipline.
+ Ability to work across product/architecture/governance teams in a regulated environment.
+ Deep Delta Lake expertise including time travel, Change Data Feed (CDF), MERGE operations, CLONE, table constraints, and optimization techniques; understanding of liquid clustering and table maintenance best practices.
+ Experience with Lakeflow/Delta Live Tables (DLT) including expectations framework, materialized vs. streaming table patterns, and declarative pipeline design.
+ Proficiency with testing frameworks (pytest, Great Expectations, deequ) and test\-driven development practices for production data pipelines.
+ Data modeling skills including dimensional modeling (star/snowflake schemas), medallion architecture implementation, and slowly changing dimension (SCD) pattern implementation.
+ AWS data services experience including S3 optimization, IAM role configuration for data access, and CloudWatch integration; understanding of cost optimization patterns.
* Education:
+ Bachelor’s degree in a related field or equivalent experience.
* Certifications:
+ Databricks Certified Apache Spark Developer Associate
+ Databricks Certified Data Engineer Associate or Professional
+ AWS Certified Developer Associate
+ AWS Certified Data Engineer Associate
+ AWS Certified Solution Architect Associate</t>
        </is>
      </c>
    </row>
    <row r="20">
      <c r="A20" t="inlineStr">
        <is>
          <t>in-6b24414e346da32a</t>
        </is>
      </c>
      <c r="B20" t="inlineStr">
        <is>
          <t>Senior Data Engineer</t>
        </is>
      </c>
      <c r="C20" t="inlineStr">
        <is>
          <t>Optum</t>
        </is>
      </c>
      <c r="D20" t="inlineStr">
        <is>
          <t>indeed</t>
        </is>
      </c>
      <c r="E20">
        <f>HYPERLINK("https://www.indeed.com/viewjob?jk=6b24414e346da32a", "https://www.indeed.com/viewjob?jk=6b24414e346da32a")</f>
        <v/>
      </c>
      <c r="F20">
        <f>HYPERLINK("https://uhg.taleo.net/careersection/10000/jobdetail.ftl?job=2338667&amp;lang=en", "https://uhg.taleo.net/careersection/10000/jobdetail.ftl?job=2338667&amp;lang=en")</f>
        <v/>
      </c>
      <c r="G20" t="inlineStr">
        <is>
          <t>Austin, TX, US</t>
        </is>
      </c>
      <c r="H20" s="2" t="n">
        <v>46036</v>
      </c>
      <c r="I20" t="inlineStr">
        <is>
          <t>Description \- External
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Optum Insight partners with payers, providers, governments and life sciences companies to simplify and enhance clinical, administrative and financial processes through software\-enabled services and analytics, while advancing value\-based care. Our differentiated products, technology insights, clinical expertise and analytics support the entire health system \- ultimately delivering better experiences for consumers.
Optum Insight Technology and Engineering is a critical function in Optum Insight driving the innovation and value we provide our customers and partners. This team is focused on products, solutions, platform / enabling capability development, product development lifecycle, engineering excellence and connectivity to Optum Technology.
As **Senior Data Engineer**, you will play a role in implementing the data requirements, ETL design, development, implementation, and operations/maintenance. This position will also support data architecture, assure data quality/integrity for analytics/business intelligence reports and workflow based application. You'll have the opportunity to work on complex ETL/data development tasks and support a talented team of data engineers and application developers.
You'll enjoy the flexibility to work remotely \* from anywhere within the U.S. as you take on some tough challenges.
**Primary Responsibilities:**
* Design, develop, and maintain scalable data/code pipelines using Azure Databricks, Apache Spark, and Scala
* Collaborate with architects, data engineers and business stakeholders to understand data requirements and deliver high\-quality data solutions
* Optimize and tune Spark applications for performance and scalability
* Ensure data quality, integrity, and security throughout the data lifecycle
* Implement data processing workflows, ETL processes, and data integration solutions
* Participate in code reviews and provide meaningful feedback to improve code quality
* Understand product architecture, features being built and come up with product improvement ideas and POCs
* Ensure data quality, integrity, and security throughout the data lifecycle
* Troubleshoot and resolve issues related to data processing and pipeline failures
* Participate in product support activities as needed by the team
* Stay updated with the latest industry trends and best practices in big data technologies
* Serves as a resource to others
You'll be rewarded and recognized for your performance in an environment that will challenge you and give you clear direction on what it takes to succeed in your role as well as provide development for other roles you may be interested in.
 **Required Qualifications:**
* Bachelor's degree in computer science or information technology
* 5\+ years of working experience with Databricks, Spark, Scala, Cloud databases / data warehouse
* 5\+ years of experience implementing endto\-end features and user stories from analysis/design, building of feature, validation and deployment and post deployment support
* 3\+ years of experience with Azure Deltalake, Azure Datafactory, CI/CD
* 2\+ years of experience with Data modelling, Databases and Data Warehousing concepts
* 2\+ years of experience with agile methodology\-
**Preferred Qualifications:**
* Experience with Dot NET/C\#
* Experience with query optimization techniques
* Solid troubleshooting skills
* Solid written and verbal communication skills working with technical and non\-technical audience
* All Telecommuters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$91,700 to $163,700 annually based on full\-time employment. We comply with all minimum wage laws as applicable.
Pursuant to the San Francisco Fair Chance Ordinance, we will consider for employment qualified applicants with arrest and conviction records.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
\#RPO \#GREEN</t>
        </is>
      </c>
    </row>
    <row r="21">
      <c r="A21" t="inlineStr">
        <is>
          <t>in-a8adb3ed249a0f74</t>
        </is>
      </c>
      <c r="B21" t="inlineStr">
        <is>
          <t>Senior Vice President, Data &amp; Analytics Engineering</t>
        </is>
      </c>
      <c r="C21" t="inlineStr">
        <is>
          <t>Berkshire Hathaway Specialty Insurance</t>
        </is>
      </c>
      <c r="D21" t="inlineStr">
        <is>
          <t>indeed</t>
        </is>
      </c>
      <c r="E21">
        <f>HYPERLINK("https://www.indeed.com/viewjob?jk=a8adb3ed249a0f74", "https://www.indeed.com/viewjob?jk=a8adb3ed249a0f74")</f>
        <v/>
      </c>
      <c r="F21">
        <f>HYPERLINK("https://www.bhspecialty.com/career/senior-vice-president-data-analytics-engineering/", "https://www.bhspecialty.com/career/senior-vice-president-data-analytics-engineering/")</f>
        <v/>
      </c>
      <c r="G21" t="inlineStr">
        <is>
          <t>Boston, MA, US</t>
        </is>
      </c>
      <c r="H21" s="2" t="n">
        <v>46036</v>
      </c>
      <c r="I21" t="inlineStr">
        <is>
          <t>**Who are we?**  
A strategic and trusted insurance partner, Berkshire Hathaway Specialty Insurance (BHSI), provides a broad range of commercial property, casualty and specialty insurance coverages and outstanding service to customers and brokers around the world. Part of Berkshire Hathaway’s insurance operations, we bring our solutions to market with our stellar brand name, top\-rated balance sheet, and the expertise of our global team of professionals, who exude excellent capabilities and strong character.
We are a values\-based organization where respect, integrity, excellence, collaboration, and passion define who we are and how we do business. We value diversity of backgrounds, experience, and perspectives and strive to foster an inclusive environment that enables all our team members to bring their best selves to work. We are one team committed to building a culture where every teammate has the opportunity to contribute and be recognized. Want to be part of the team building the finest property, casualty and specialty lines insurance company in the world?
Learn more about our unique culture and history.
**Job Opportunity:**
BHSI is seeking a visionary leader to join their Boston based Technology team in the role of SVP, Data \&amp; Analytics Engineering. This executive leadership role is at the heart of our digital and data\-driven evolution, and as a member of the senior technology leadership team, you will be entrusted with creating the strategy and delivering our next generation data platforms and business intelligence capabilities that will power BHSI’s growth, innovation, and competitive advantage. You will report directly to the Chief Information Officer and work in close partnership with Enterprise Architecture, Infrastructure \&amp; Digital Services, Cybersecurity, Technology portfolios, and business leaders across the globe. You will be accountable for reimagining our data ecosystem, modernizing platforms, and building a unified, scalable, and secure data foundation that enables advanced analytics, artificial intelligence, and actionable business intelligence. Data is at the heart of our industry, and you will have a tremendous impact on every facet of our company – Underwriting, Claims, Finance, Operations, Client \&amp; Broker Engagement, etc. You will lead the evolution of our data engineering practices, champion a data\-first culture, and empower teams to harness the full potential of data for improved decision\-making, operational efficiency, and market differentiation. This is a unique opportunity to shape and execute a vision for data and analytics engineering at a global insurance company. Through collaboration with executive leadership, you will be at the center of aligning data and business intelligence technology investments with strategic business goals and influence the future of BHSI by leveraging data as a strategic asset to unlock new opportunities, mitigate risks, and deliver superior value to our customers.
**Duties \&amp; Responsibilities:**
* Define and execute our data platform strategy, vision, and roadmap, aligning business and technology goals to support BHSI’s growth and operational excellence.
* Partner with technology and business functions to modernize our data ecosystem, influence data quality, and enable advanced analytics and Artificial Intelligence capabilities.
* Collaborate with Enterprise Architecture, Cybersecurity, and Infrastructure teams to ensure data platforms are secure, efficient, and compliant.
* Ensure our solutions are well\-architected and engineered and deliver unified, scalable data platforms supporting structured, semi\-structured, and unstructured data.
* Lead the evolution and modernization of aging data platforms, streamline data ingestion and transformation, and enable self\-service business intelligence and analytics for business users.
* Drive adoption of cloud\-native architectures, DevSecOps, and modern engineering practices in all data platforms and data solutions.
* Establish and enforce data engineering standards, governance, and best practices to ensure data integrity, security, and compliance.
* In partnership with key business stakeholders (e.g., Chief Data Officer, Data Stewards), champion data quality management, metadata, lineage, and master data management capabilities.
* Enable advanced analytics, machine learning, and AI capabilities through robust data engineering solutions and modern data platforms.
* Partner with business stakeholders to deliver actionable insights, dashboards, and visualizations that drive exceptional business outcomes.
* Build, mentor, and lead a high\-performing team of data engineers and modelers to ensure solutions meet the needs of our complex global business.
* Foster a culture of experimentation, continuous learning, and innovation to build and scale sophisticated data capabilities, including platforms, tools, and talent development.
* Identify and mitigate risks associated with data architecture and engineering decisions to ensure compliance with regulatory, privacy, and security standards in all data engineering activities.
**Qualifications, Skills and Experience:**
* At least 15 years of experience managing technology teams, including a minimum of 5 years in data engineering leadership roles.
* Proven experience leading data engineering functions in complex, fast\-paced environments, ideally within regulated industries such as insurance or financial services.
* Deep technical expertise in data architecture, data platforms (e.g., Snowflake, Databricks, Fabric), and cloud technologies (e.g., AWS, Azure, GCP), and data engineering best practices.
* Extensive knowledge of modern data frameworks, ETL/ELT, data modeling, and analytics enablement.
* Strong leadership, communication, and collaboration skills across engineering teams and business stakeholders.
* A passion for mentoring technical talent and fostering a high\-performance culture.
* Ability to see the big picture and align data engineering with long\-term business strategies and provide guidance and education on data capabilities.
* Expertise in systems thinking to optimize interdependencies across business units, platforms, and technologies to ensure we drive a data\-first mindset throughout the company.
* Experience implementing data governance, data quality, and master data management programs to leverage data as a critical asset that can differentiate BHSI.
* Passion for staying current with emerging data technologies that can enable Artificial Intelligence, Machine Learning, and Generative AI capabilities.
* Comfortable working in agile environments, with a focus on continuous improvement and delivery.
* Ability to influence senior business leaders, including executives, through clear communication and strategic insight to ensure we leverage data as a strategic asset.
* Skilled in cross\-functional collaboration, especially with business functions, engineering, security, infrastructure, and operations teams.
* Strong foundation in software engineering, application and data architecture, integration patterns, and infrastructure design to ensure our data platforms and solutions are secure, reliable, and stable.
**BHSI Offers:**
* A competitive package and exciting growth opportunities for career\-oriented teammates.
* A dynamic, action oriented, and thoughtful environment centered on always doing the right thing for our customers, teammates, and our other stakeholders.
* A purposely non\-bureaucratic organization that embraces simplicity over complexity and emphasizes individual excellence in a team framework.
* Benefits that support your life and well\-being, which include:
+ Comprehensive Health, Dental and Vision benefits
+ Disability Insurance (both short\-term and long\-term)
+ Life Insurance (for you and your family)
+ Accidental Death \&amp; Dismemberment Insurance (for you and your family)
+ Flexible Spending Accounts
+ Health Reimbursement Account
+ Employee Assistance Program
+ Retirement Savings 401(k) Plan with Company Match
+ Generous holiday and Paid Time Off
+ Tuition Reimbursement
+ Paid Parental Leave
***Location Pay Transparency Language***
*The base salary range for this position in Boston is $315,000 to $365,000, along with annual bonus eligibility. Total compensation for a candidate is determined by their relevant skills, location, and experience. We value our teammates – both their capabilities and character – as demonstrated by our amazing culture.*
NOTE: Compensation will be commensurate with experience. This job description is not intended to be all\-inclusive. Team Member may perform other related duties as negotiated to meet the ongoing needs of the organization.
Clicking apply will direct you to our recruiting module within ADP.</t>
        </is>
      </c>
    </row>
    <row r="22">
      <c r="A22" t="inlineStr">
        <is>
          <t>in-8606630fc03bd97b</t>
        </is>
      </c>
      <c r="B22" t="inlineStr">
        <is>
          <t>Data Engineering Manager</t>
        </is>
      </c>
      <c r="C22" t="inlineStr">
        <is>
          <t>Arrive Logistics</t>
        </is>
      </c>
      <c r="D22" t="inlineStr">
        <is>
          <t>indeed</t>
        </is>
      </c>
      <c r="E22">
        <f>HYPERLINK("https://www.indeed.com/viewjob?jk=8606630fc03bd97b", "https://www.indeed.com/viewjob?jk=8606630fc03bd97b")</f>
        <v/>
      </c>
      <c r="F22">
        <f>HYPERLINK("https://jobs.lever.co/arrivelogistics/c7688cf6-d626-4e97-a6f4-dc450b65e97c?lever-source=Indeed", "https://jobs.lever.co/arrivelogistics/c7688cf6-d626-4e97-a6f4-dc450b65e97c?lever-source=Indeed")</f>
        <v/>
      </c>
      <c r="G22" t="inlineStr">
        <is>
          <t>Austin, TX, US</t>
        </is>
      </c>
      <c r="H22" s="2" t="n">
        <v>46036</v>
      </c>
      <c r="I22" t="inlineStr">
        <is>
          <t>**Who We Are**
Arrive Logistics is a leading transportation and technology company in North America, with plans to continue to significantly grow year over year. Our success is a testament to our remarkable team and what we are building together. We’re committed to providing employees with a meaningful work experience and have established an award\-winning culture that supports personal and career development in a fun, casual, and collaborative environment. There has never been a more exciting time to get on board, so read on to learn more and apply today! **Who We Want**
As a Data Engineering Manager within the Technology Organization of Arrive Logistics, you’ll play a key role in delivering highly impactful and revenue\-generating data products, insights, and capabilities of our Data Platform. Our Data Engineering team is at the heart of our analytics and data science capabilities, with the mission of building a Data Platform to ensure teams in the analytical space have access to infrastructure, systems, and data that fit their unique workflows and use cases.  
You’ll sit within the Engineering Organization supporting internal technology powering Arrive Logistics in the fast\-paced freight industry. If you’re looking to influence data\-driven decision making alongside industry experts and a passionate, supportive team, read on.
### **What You'll Do**
* Manage and mentor a team of Data Engineers, ensuring members of the team have clear career paths and opportunities for learning and growth
* Evaluate performance of direct reports and hold teammates accountable. Hire, promote and manage as needed.
* Own and execute on the roadmap for the Data Engineering team, ensuring technical debt and technical priorities are represented alongside the team’s Product\-facing roadmap
* Work with Data and Engineering leadership to set strategy for developing Data Platform components and capabilities
* Develop strong relationships with leaders in Analytics, Engineering, and Product to align on architectures and standards for ingesting data into the Data Platform and making Data Platform data available to these groups
* Develop and monitor team KPIs. Run, monitor and analyze reports and provide updates to leadership. Implement related improvements as suggested by data and knowledge of challenges.
* Set training standards for new hires and continued education. Enable peer to peer training and knowledge transfer.
* Manage relationships with vendors used for Data Platform components, frequently analyzing costs and weighing tradeoffs between ‘build vs buy’ decisions
* Define and document standards and best practices for data governance, data management, data quality.
* Coordinate deployments of data pipelines and systems that have dependencies across Data and Engineering teams
* Spearhead adoption of new technology, infrastructure, and architectural patterns for teams within in the analytics, reporting, and data science space (including technology/frameworks used by Data Engineering, Data Science, and Analytics Engineering) as we continue building our data stack
* Take part in Agile ceremonies and work closely with our Project Manager and Tech Lead to ensure meeting cadences and other team processes support the team’s health and vision
### **Qualifications**
* 4\+ years of experience in a technical role focused on data, such as Data Engineering, Analytics, Data Science, or equivalent
* 2\+ years of experience leading projects and/or people within Data, Analytics, or Engineering teams
* Experience with modern and industry standard data tooling such as Snowflake, FiveTran, Airflow, dbt, and BI tools
* Experience building highly technical data engineering and science systems, including systems with complex analytical or machine learning components
* Understanding of common data architectures, processes, and paradigms such as data warehousing/modeling, ETL/ELT, data science model development and deployment, event streaming
* A passion for mentoring and contributing to the success of those around you
* Experience coordinating projects that have dependencies across multiple teams or organizations
* Strong organization, prioritization, and change management skills
* Excellent written and oral communication and presentation skills
* Experience or familiarity working in agile frameworks
### **Supervisory Responsibility**
* This position is responsible for leading a team of engineers in domestic and international locations. Reports may include employees and contract workers.
### **The Perks of Working With Us**
* Take advantage of our comprehensive benefits package, including medical, dental, vision, life, disability, and supplemental coverage.
* Invest in your future with our matching 401(k) program.
* Build relationships and find your home at Arrive through our Employee Resource Groups.
* Enjoy office wide engagement activities, team events, happy hours and more!
* Leave the suit and tie at home; our dress code is casual.
* Work in the booming city of Austin, TX – we are in a convenient location close to the airport and downtown.
* Park your car for free on site!
* Start your morning with a specialty drink from our fully stocked coffee bar, Broker’s Brew.
* Sweat it out with the team at our onsite gym.
* Maximize your wellness with free counseling sessions through our Employee Assistance Program
* Take time to manage your physical and mental health \- we offer company paid holidays, paid vacation time and wellness days.
* Receive 100% paid parental leave when you become a new parent.
* Get paid to work with your friends through our Referral Program!
* Get relocation assistance! If you are not local to the area, we offer relocation packages.
**Your Arrive Experience**
When we say “award\-winning culture,” we mean it. We’ve been recognized as a top workplace by Inc. Fast Company, Fortune, and earned Top Workplaces and Great Place to Work, to name a few. We intend on topping many more of those lists in the years to come, but we’re not in it for the trophies. We’re committed to culture because it keeps us connected to each other and invested in our shared success while having a blast along the way. Our employee\-founded resource groups create communities within Arrive’s walls, including Women in Logistics, Emerging Professionals, Prisms, Black Logistics Group, Salute and Unidos. ***Notice:****To ensure a safe and transparent interview process, we want to note that Arrive Logistics adheres to strict recruitment practices. Candidates undergo an interview process, and Arrive Logistics does not provide unsolicited job offers. If you have concerns about receiving a fraudulent offer, please contact talentacquisition@arrivelogistics.com for verification.*</t>
        </is>
      </c>
    </row>
    <row r="23">
      <c r="A23" t="inlineStr">
        <is>
          <t>in-cbf2bc755d2a2959</t>
        </is>
      </c>
      <c r="B23" t="inlineStr">
        <is>
          <t>Analytics Engineer II, Sales &amp; Marketing</t>
        </is>
      </c>
      <c r="C23" t="inlineStr">
        <is>
          <t>ACV Auctions</t>
        </is>
      </c>
      <c r="D23" t="inlineStr">
        <is>
          <t>indeed</t>
        </is>
      </c>
      <c r="E23">
        <f>HYPERLINK("https://www.indeed.com/viewjob?jk=cbf2bc755d2a2959", "https://www.indeed.com/viewjob?jk=cbf2bc755d2a2959")</f>
        <v/>
      </c>
      <c r="F23">
        <f>HYPERLINK("https://jobs.dayforcehcm.com/en-US/acv/CANDIDATEPORTAL/jobs/30551", "https://jobs.dayforcehcm.com/en-US/acv/CANDIDATEPORTAL/jobs/30551")</f>
        <v/>
      </c>
      <c r="G23" t="inlineStr">
        <is>
          <t>Buffalo, NY, US</t>
        </is>
      </c>
      <c r="H23" s="2" t="n">
        <v>46036</v>
      </c>
      <c r="I23" t="inlineStr">
        <is>
          <t>If you are looking for a career at a dynamic company with a people\-first mindset and a deep culture of growth and autonomy, ACV is the right place for you! Competitive compensation packages and learning and development opportunities, ACV has what you need to advance to the next level in your career. We will continue to raise the bar every day by investing in our people and technology to help our customers succeed. We hire people who share our passion, bring innovative ideas to the table, and enjoy a collaborative atmosphere.
**Who we are:**  
ACV is a technology company that has revolutionized how dealers buy and sell cars online. We are transforming the automotive industry. ACV Auctions Inc. (ACV), has applied innovation and user\-designed, data driven applications and solutions. We are building the most trusted and efficient digital marketplace with data solutions for sourcing, selling and managing used vehicles with transparency and comprehensive insights that were once unimaginable. We are disruptors of the industry and we want you to join us on our journey. Our network of brands include ACV Auctions, ACV Transportation, ClearCar, MAX Digital and ACV Capital within its Marketplace Products, as well as, True360 and Data Services.
At ACV we focus on the Health, Physical, Financial, Social and Emotional Wellness of our Teammates and, to support this, we offer:
* Multiple medical plans including a high deductible, low cost health plan
* Company\-sponsored (paid) Short\-Term Disability, Long\-Term Disability, and Life Insurance
* Comprehensive optional benefits such as Dental, Vision, Supplemental Life/AD\&amp;D, Legal/ID Protection, and Accident and Critical Illness Insurance
* Generous paid time off options, including uncapped vacation days, the greater of 3 paid sick days or in accordance with the applicable state or local paid sick leave law, 6 paid company holidays, 2 floating holidays, parental leave, bereavement leave, jury duty leave, voting leave, and other forms of paid leave as required by applicable law or regulation
* Employee Stock Purchase Program with additional opportunities to earn stock in the Company
* Retirement planning through the Company’s 401(k)
* Compensation: $95,000\.00 \- $120,000\.00 annually. Please note that final compensation will be determined based upon the applicant's relevant experience, skillset, location, business needs, market demands, and other factors as permitted by law.
**Who we are looking for:**  
The Analytics Engineer’s primary objective is to help ACV deeply understand and effectively serve its customers through data\-driven insights. This role plays a critical part in scaling ACV’s SaaS products (MAX and ClearCar) and driving cross\-sell opportunities to accelerate digital sales growth. The Analytics Engineer will deliver actionable insights to sales partners and collaborate closely with Marketing and other stakeholders to inform strategy, execution, and performance measurement.
**What you will do:**  
* Analyze complex datasets by designing, building, and interpreting logical data models to uncover meaningful business insights.
* Develop and maintain reports and dashboards that provide sales teammates and internal stakeholders with clear visibility into key performance metrics.
* Partner with sales and leadership teams to support the development of data\-driven presentations and narratives that inform decision\-making.
* Design, execute, and evaluate A/B tests to introduce statistical rigor into product and feature launches.
* Build and monitor control and quality reports to ensure the accuracy, reliability, and integrity of SaaS\-related data.
* Collaborate with Marketing and Product to design, execute, and measure the effectiveness of campaigns, translating results into actionable recommendations.
* Apply strong analytical fundamentals, including asking the right questions, following sound analytical processes, conducting rigorous analysis, and communicating insights clearly and concisely.
* With guidance from leadership, present analyses of specific business areas to stakeholders, address follow\-up questions, and translate business needs into well\-defined technical requirements.
* Perform additional duties as assigned.
**What you will need:**  
* Ability to read, write, speak and understand English.
* BA/BS in Statistics, Business Administration, Operations Research, or similar computationally intensive degree \-or\- college/university degree in Computer Science or relevant field.
* 3\+ years of relevant, professional work experience related to position
* Strong Professional Experience with SQL
* Experience analyzing complex queries and transformations on large data sets
* Experience with data visualization / dashboarding tools like Tableau/Power BI/ Looker
* Expertise in exploratory data analysis and the basics of data\-driven reasoning are a must
No immigration or work visa sponsorship will be provided for this position.
Our Values
Trust \&amp; Transparency \| People First \| Positive Experiences \| Calm Persistence \| Never Settling
At ACV, we are committed to an inclusive culture in which every individual is welcomed and empowered to celebrate their true selves. We achieve this by fostering a work environment of acceptance and understanding that is free from discrimination. ACV is committed to being an equal opportunity employer regardless of sex, race, creed, color, religion, marital status, national origin, age, pregnancy, sexual orientation, gender, gender identity, gender expression, genetic information, disability, military status, status as a veteran, or any other protected characteristic. We also consider qualified applicants regardless of criminal histories, consistent with legal requirements. If you have a disability or special need that requires reasonable accommodation, please let us know.
For information on our collection and use of your personal information, please see our Privacy Notice.</t>
        </is>
      </c>
    </row>
    <row r="24">
      <c r="A24" t="inlineStr">
        <is>
          <t>in-77783c01b164a3ae</t>
        </is>
      </c>
      <c r="B24" t="inlineStr">
        <is>
          <t>Analytics Engineer III, Inspections</t>
        </is>
      </c>
      <c r="C24" t="inlineStr">
        <is>
          <t>ACV Auctions</t>
        </is>
      </c>
      <c r="D24" t="inlineStr">
        <is>
          <t>indeed</t>
        </is>
      </c>
      <c r="E24">
        <f>HYPERLINK("https://www.indeed.com/viewjob?jk=77783c01b164a3ae", "https://www.indeed.com/viewjob?jk=77783c01b164a3ae")</f>
        <v/>
      </c>
      <c r="F24">
        <f>HYPERLINK("https://jobs.dayforcehcm.com/en-US/acv/CANDIDATEPORTAL/jobs/30539", "https://jobs.dayforcehcm.com/en-US/acv/CANDIDATEPORTAL/jobs/30539")</f>
        <v/>
      </c>
      <c r="G24" t="inlineStr">
        <is>
          <t>Remote, US</t>
        </is>
      </c>
      <c r="H24" s="2" t="n">
        <v>46036</v>
      </c>
      <c r="I24" t="inlineStr">
        <is>
          <t>If you are looking for a career at a dynamic company with a people\-first mindset and a deep culture of growth and autonomy, ACV is the right place for you! Competitive compensation packages and learning and development opportunities, ACV has what you need to advance to the next level in your career. We will continue to raise the bar every day by investing in our people and technology to help our customers succeed. We hire people who share our passion, bring innovative ideas to the table, and enjoy a collaborative atmosphere.
**Who we are:**  
ACV is a technology company that has revolutionized how dealers buy and sell cars online. We are transforming the automotive industry. ACV Auctions Inc. (ACV), has applied innovation and user\-designed, data driven applications and solutions. We are building the most trusted and efficient digital marketplace with data solutions for sourcing, selling and managing used vehicles with transparency and comprehensive insights that were once unimaginable. We are disruptors of the industry and we want you to join us on our journey. Our network of brands include ACV Auctions, ACV Transportation, ClearCar, MAX Digital and ACV Capital within its Marketplace Products, as well as, True360 and Data Services.
At ACV we focus on the Health, Physical, Financial, Social and Emotional Wellness of our Teammates and, to support this, we offer:
* Multiple medical plans including a high deductible, low cost health plan
* Company\-sponsored (paid) Short\-Term Disability, Long\-Term Disability, and Life Insurance
* Comprehensive optional benefits such as Dental, Vision, Supplemental Life/AD\&amp;D, Legal/ID Protection, and Accident and Critical Illness Insurance
* Generous paid time off options, including uncapped vacation days, the greater of 3 paid sick days or in accordance with the applicable state or local paid sick leave law, 6 paid company holidays, 2 floating holidays, parental leave, bereavement leave, jury duty leave, voting leave, and other forms of paid leave as required by applicable law or regulation
* Employee Stock Purchase Program with additional opportunities to earn stock in the Company
* Retirement planning through the Company’s 401(k)
* Compensation: $100,000\.00 \- $150,000\.00 annually. Please note that final compensation will be determined based upon the applicant's relevant experience, skillset, location, business needs, market demands, and other factors as permitted by law.
**What are we looking for:**  
The Analytics Engineer III’s primary objective is to identify and develop solutions to the needs of ACV and its customers. This role is focused primarily on designing and executing analysis for business needs in our Inspections and Prescreen domains.
**What you’ll be doing:**  
* Develop and analyze large data models
* Build reports and dashboards to give stakeholders visibility into relevant metrics
* Act with minimal supervision to present analysis of a business area to stakeholders and support follow on questions, converting business questions into technical requirements
* Identify root cause for any KPI drift and make recommendations for cure
* Improve our user experience through robustly designed AB tests
* Present recommendations on initiative priority and influence stakeholders through data and thoughtful interpretation of findings
* Independent project ownership. Identify and organize key stakeholders, define scope, timeline, and execution of implementation plan without supervision
* Perform additional duties as assigned.
**What you will need:**  
* BA/BS in Statistics, Operations Research, or similar computationally intensive degree \-or\- college or university degree in Computer Science or relevant field
* 5\-10 years of relevant, professional work experience related to position
* Experience leading and directing small projects, peer recognition, and excellence in analytics delivery
* Understanding of project management skills and the ability to implement those across multiple program
* Ability to navigate conflicting technical requirements and work collaboratively across projects towards a win\-win solution
* Strong Experience with Python (strong emphasis on pandas, numpy, plotting)
* Strong Professional Experience with MySQL / BigQuery
* Experience with data visualization / dashboarding tools like Tableau
* Experience doing complex queries and transformations on large data set
* Good scripting and functional programming skills
* Expertise in exploratory data analysis and the basics of data\-driven reasoning are a must
**Nice to Have:**  
* dbt experience
* MS in Statistics, Operations Research, or similar computationally intensive degree
* Experience on AWS or Google Cloud
No immigration or work visa sponsorship will be provided for this position.
Our Values
Trust \&amp; Transparency \| People First \| Positive Experiences \| Calm Persistence \| Never Settling
At ACV, we are committed to an inclusive culture in which every individual is welcomed and empowered to celebrate their true selves. We achieve this by fostering a work environment of acceptance and understanding that is free from discrimination. ACV is committed to being an equal opportunity employer regardless of sex, race, creed, color, religion, marital status, national origin, age, pregnancy, sexual orientation, gender, gender identity, gender expression, genetic information, disability, military status, status as a veteran, or any other protected characteristic. We also consider qualified applicants regardless of criminal histories, consistent with legal requirements. If you have a disability or special need that requires reasonable accommodation, please let us know.
For information on our collection and use of your personal information, please see our Privacy Notice.</t>
        </is>
      </c>
    </row>
    <row r="25">
      <c r="A25" t="inlineStr">
        <is>
          <t>in-db6871e8813316f0</t>
        </is>
      </c>
      <c r="B25" t="inlineStr">
        <is>
          <t>Analytics Engineer II, Sales &amp; Marketing</t>
        </is>
      </c>
      <c r="C25" t="inlineStr">
        <is>
          <t>ACV Auctions</t>
        </is>
      </c>
      <c r="D25" t="inlineStr">
        <is>
          <t>indeed</t>
        </is>
      </c>
      <c r="E25">
        <f>HYPERLINK("https://www.indeed.com/viewjob?jk=db6871e8813316f0", "https://www.indeed.com/viewjob?jk=db6871e8813316f0")</f>
        <v/>
      </c>
      <c r="F25">
        <f>HYPERLINK("https://jobs.dayforcehcm.com/en-US/acv/CANDIDATEPORTAL/jobs/30551", "https://jobs.dayforcehcm.com/en-US/acv/CANDIDATEPORTAL/jobs/30551")</f>
        <v/>
      </c>
      <c r="G25" t="inlineStr">
        <is>
          <t>Remote, US</t>
        </is>
      </c>
      <c r="H25" s="2" t="n">
        <v>46036</v>
      </c>
      <c r="I25" t="inlineStr">
        <is>
          <t>If you are looking for a career at a dynamic company with a people\-first mindset and a deep culture of growth and autonomy, ACV is the right place for you! Competitive compensation packages and learning and development opportunities, ACV has what you need to advance to the next level in your career. We will continue to raise the bar every day by investing in our people and technology to help our customers succeed. We hire people who share our passion, bring innovative ideas to the table, and enjoy a collaborative atmosphere.
**Who we are:**  
ACV is a technology company that has revolutionized how dealers buy and sell cars online. We are transforming the automotive industry. ACV Auctions Inc. (ACV), has applied innovation and user\-designed, data driven applications and solutions. We are building the most trusted and efficient digital marketplace with data solutions for sourcing, selling and managing used vehicles with transparency and comprehensive insights that were once unimaginable. We are disruptors of the industry and we want you to join us on our journey. Our network of brands include ACV Auctions, ACV Transportation, ClearCar, MAX Digital and ACV Capital within its Marketplace Products, as well as, True360 and Data Services.
At ACV we focus on the Health, Physical, Financial, Social and Emotional Wellness of our Teammates and, to support this, we offer:
* Multiple medical plans including a high deductible, low cost health plan
* Company\-sponsored (paid) Short\-Term Disability, Long\-Term Disability, and Life Insurance
* Comprehensive optional benefits such as Dental, Vision, Supplemental Life/AD\&amp;D, Legal/ID Protection, and Accident and Critical Illness Insurance
* Generous paid time off options, including uncapped vacation days, the greater of 3 paid sick days or in accordance with the applicable state or local paid sick leave law, 6 paid company holidays, 2 floating holidays, parental leave, bereavement leave, jury duty leave, voting leave, and other forms of paid leave as required by applicable law or regulation
* Employee Stock Purchase Program with additional opportunities to earn stock in the Company
* Retirement planning through the Company’s 401(k)
* Compensation: $95,000\.00 \- $120,000\.00 annually. Please note that final compensation will be determined based upon the applicant's relevant experience, skillset, location, business needs, market demands, and other factors as permitted by law.
**Who we are looking for:**  
The Analytics Engineer’s primary objective is to help ACV deeply understand and effectively serve its customers through data\-driven insights. This role plays a critical part in scaling ACV’s SaaS products (MAX and ClearCar) and driving cross\-sell opportunities to accelerate digital sales growth. The Analytics Engineer will deliver actionable insights to sales partners and collaborate closely with Marketing and other stakeholders to inform strategy, execution, and performance measurement.
**What you will do:**  
* Analyze complex datasets by designing, building, and interpreting logical data models to uncover meaningful business insights.
* Develop and maintain reports and dashboards that provide sales teammates and internal stakeholders with clear visibility into key performance metrics.
* Partner with sales and leadership teams to support the development of data\-driven presentations and narratives that inform decision\-making.
* Design, execute, and evaluate A/B tests to introduce statistical rigor into product and feature launches.
* Build and monitor control and quality reports to ensure the accuracy, reliability, and integrity of SaaS\-related data.
* Collaborate with Marketing and Product to design, execute, and measure the effectiveness of campaigns, translating results into actionable recommendations.
* Apply strong analytical fundamentals, including asking the right questions, following sound analytical processes, conducting rigorous analysis, and communicating insights clearly and concisely.
* With guidance from leadership, present analyses of specific business areas to stakeholders, address follow\-up questions, and translate business needs into well\-defined technical requirements.
* Perform additional duties as assigned.
**What you will need:**  
* Ability to read, write, speak and understand English.
* BA/BS in Statistics, Business Administration, Operations Research, or similar computationally intensive degree \-or\- college/university degree in Computer Science or relevant field.
* 3\+ years of relevant, professional work experience related to position
* Strong Professional Experience with SQL
* Experience analyzing complex queries and transformations on large data sets
* Experience with data visualization / dashboarding tools like Tableau/Power BI/ Looker
* Expertise in exploratory data analysis and the basics of data\-driven reasoning are a must
No immigration or work visa sponsorship will be provided for this position.
Our Values
Trust \&amp; Transparency \| People First \| Positive Experiences \| Calm Persistence \| Never Settling
At ACV, we are committed to an inclusive culture in which every individual is welcomed and empowered to celebrate their true selves. We achieve this by fostering a work environment of acceptance and understanding that is free from discrimination. ACV is committed to being an equal opportunity employer regardless of sex, race, creed, color, religion, marital status, national origin, age, pregnancy, sexual orientation, gender, gender identity, gender expression, genetic information, disability, military status, status as a veteran, or any other protected characteristic. We also consider qualified applicants regardless of criminal histories, consistent with legal requirements. If you have a disability or special need that requires reasonable accommodation, please let us know.
For information on our collection and use of your personal information, please see our Privacy Notice.</t>
        </is>
      </c>
    </row>
    <row r="26">
      <c r="A26" t="inlineStr">
        <is>
          <t>in-4c1863d4d77445e5</t>
        </is>
      </c>
      <c r="B26" t="inlineStr">
        <is>
          <t>Analytics Engineer III, Inspections</t>
        </is>
      </c>
      <c r="C26" t="inlineStr">
        <is>
          <t>ACV Auctions</t>
        </is>
      </c>
      <c r="D26" t="inlineStr">
        <is>
          <t>indeed</t>
        </is>
      </c>
      <c r="E26">
        <f>HYPERLINK("https://www.indeed.com/viewjob?jk=4c1863d4d77445e5", "https://www.indeed.com/viewjob?jk=4c1863d4d77445e5")</f>
        <v/>
      </c>
      <c r="F26">
        <f>HYPERLINK("https://jobs.dayforcehcm.com/en-US/acv/CANDIDATEPORTAL/jobs/30539", "https://jobs.dayforcehcm.com/en-US/acv/CANDIDATEPORTAL/jobs/30539")</f>
        <v/>
      </c>
      <c r="G26" t="inlineStr">
        <is>
          <t>Buffalo, NY, US</t>
        </is>
      </c>
      <c r="H26" s="2" t="n">
        <v>46036</v>
      </c>
      <c r="I26" t="inlineStr">
        <is>
          <t>If you are looking for a career at a dynamic company with a people\-first mindset and a deep culture of growth and autonomy, ACV is the right place for you! Competitive compensation packages and learning and development opportunities, ACV has what you need to advance to the next level in your career. We will continue to raise the bar every day by investing in our people and technology to help our customers succeed. We hire people who share our passion, bring innovative ideas to the table, and enjoy a collaborative atmosphere.
**Who we are:**  
ACV is a technology company that has revolutionized how dealers buy and sell cars online. We are transforming the automotive industry. ACV Auctions Inc. (ACV), has applied innovation and user\-designed, data driven applications and solutions. We are building the most trusted and efficient digital marketplace with data solutions for sourcing, selling and managing used vehicles with transparency and comprehensive insights that were once unimaginable. We are disruptors of the industry and we want you to join us on our journey. Our network of brands include ACV Auctions, ACV Transportation, ClearCar, MAX Digital and ACV Capital within its Marketplace Products, as well as, True360 and Data Services.
At ACV we focus on the Health, Physical, Financial, Social and Emotional Wellness of our Teammates and, to support this, we offer:
* Multiple medical plans including a high deductible, low cost health plan
* Company\-sponsored (paid) Short\-Term Disability, Long\-Term Disability, and Life Insurance
* Comprehensive optional benefits such as Dental, Vision, Supplemental Life/AD\&amp;D, Legal/ID Protection, and Accident and Critical Illness Insurance
* Generous paid time off options, including uncapped vacation days, the greater of 3 paid sick days or in accordance with the applicable state or local paid sick leave law, 6 paid company holidays, 2 floating holidays, parental leave, bereavement leave, jury duty leave, voting leave, and other forms of paid leave as required by applicable law or regulation
* Employee Stock Purchase Program with additional opportunities to earn stock in the Company
* Retirement planning through the Company’s 401(k)
* Compensation: $100,000\.00 \- $150,000\.00 annually. Please note that final compensation will be determined based upon the applicant's relevant experience, skillset, location, business needs, market demands, and other factors as permitted by law.
**What are we looking for:**  
The Analytics Engineer III’s primary objective is to identify and develop solutions to the needs of ACV and its customers. This role is focused primarily on designing and executing analysis for business needs in our Inspections and Prescreen domains.
**What you’ll be doing:**  
* Develop and analyze large data models
* Build reports and dashboards to give stakeholders visibility into relevant metrics
* Act with minimal supervision to present analysis of a business area to stakeholders and support follow on questions, converting business questions into technical requirements
* Identify root cause for any KPI drift and make recommendations for cure
* Improve our user experience through robustly designed AB tests
* Present recommendations on initiative priority and influence stakeholders through data and thoughtful interpretation of findings
* Independent project ownership. Identify and organize key stakeholders, define scope, timeline, and execution of implementation plan without supervision
* Perform additional duties as assigned.
**What you will need:**  
* BA/BS in Statistics, Operations Research, or similar computationally intensive degree \-or\- college or university degree in Computer Science or relevant field
* 5\-10 years of relevant, professional work experience related to position
* Experience leading and directing small projects, peer recognition, and excellence in analytics delivery
* Understanding of project management skills and the ability to implement those across multiple program
* Ability to navigate conflicting technical requirements and work collaboratively across projects towards a win\-win solution
* Strong Experience with Python (strong emphasis on pandas, numpy, plotting)
* Strong Professional Experience with MySQL / BigQuery
* Experience with data visualization / dashboarding tools like Tableau
* Experience doing complex queries and transformations on large data set
* Good scripting and functional programming skills
* Expertise in exploratory data analysis and the basics of data\-driven reasoning are a must
**Nice to Have:**  
* dbt experience
* MS in Statistics, Operations Research, or similar computationally intensive degree
* Experience on AWS or Google Cloud
No immigration or work visa sponsorship will be provided for this position.
Our Values
Trust \&amp; Transparency \| People First \| Positive Experiences \| Calm Persistence \| Never Settling
At ACV, we are committed to an inclusive culture in which every individual is welcomed and empowered to celebrate their true selves. We achieve this by fostering a work environment of acceptance and understanding that is free from discrimination. ACV is committed to being an equal opportunity employer regardless of sex, race, creed, color, religion, marital status, national origin, age, pregnancy, sexual orientation, gender, gender identity, gender expression, genetic information, disability, military status, status as a veteran, or any other protected characteristic. We also consider qualified applicants regardless of criminal histories, consistent with legal requirements. If you have a disability or special need that requires reasonable accommodation, please let us know.
For information on our collection and use of your personal information, please see our Privacy Notice.</t>
        </is>
      </c>
    </row>
    <row r="27">
      <c r="A27" t="inlineStr">
        <is>
          <t>in-ff91d118d394d6f4</t>
        </is>
      </c>
      <c r="B27" t="inlineStr">
        <is>
          <t>Director, Data Engineering</t>
        </is>
      </c>
      <c r="C27" t="inlineStr">
        <is>
          <t>Pediatric Associates Family of Companies</t>
        </is>
      </c>
      <c r="D27" t="inlineStr">
        <is>
          <t>indeed</t>
        </is>
      </c>
      <c r="E27">
        <f>HYPERLINK("https://www.indeed.com/viewjob?jk=ff91d118d394d6f4", "https://www.indeed.com/viewjob?jk=ff91d118d394d6f4")</f>
        <v/>
      </c>
      <c r="F27">
        <f>HYPERLINK("https://pm.healthcaresource.com/CS/pediatricassociates/#/job/18383?source=Indeed", "https://pm.healthcaresource.com/CS/pediatricassociates/#/job/18383?source=Indeed")</f>
        <v/>
      </c>
      <c r="G27" t="inlineStr">
        <is>
          <t>Dallas, TX, US</t>
        </is>
      </c>
      <c r="H27" s="2" t="n">
        <v>46036</v>
      </c>
      <c r="I27" t="inlineStr">
        <is>
          <t>**PRIMARY FUNCTION**
The Director, Data Engineering is a senior enterprise leader within the Data \&amp; Analytics organization, accountable for the vision, strategy, and execution of the enterprise data engineering ecosystem. This role owns the delivery and operational excellence of a modern, cloud\-native data platform that enables analytics, AI/ML, and value\-based care transformation at scale.
As the enterprise owner of data engineering capabilities, the Director is responsible for the data lake, data warehouse, data pipelines, master data management (MDM), metadata, lineage, and platform reliability. Reporting to the Senior Director of Data Architecture \&amp; Engineering and partnering closely with the Chief Data \&amp; AI Officer, this leader translates enterprise strategy into durable, production\-grade data platforms, builds elite engineering teams, and ensures the organization has trusted, high\-quality, and highly available data products.
This role owns data engineering execution and platform operations, while partnering with the Senior Director and Architecture leaders on enterprise standards, future\-state design, and long\-term technical direction. It combines strategic leadership, deep technical credibility, and operational rigor, and is critical to enabling business, clinical, and digital innovation outcomes.
**ESSENTIAL DUTIES AND RESPONSIBILITIES**
*This list may not include all the duties that may be assigned.*
**Strategic Leadership \&amp; Data Platform Ownership**
* Own the enterprise data engineering strategy and roadmap, defining the long\-term vision, architecture, and evolution of the cloud data platform to ensure scalability, security, resilience, and cost efficiency.
* Serve as the accountable executive owner for enterprise data quality, lineage, metadata, governance, and master data capabilities.
* Define and drive modern data engineering standards and patterns, including cloud\-native, event\-driven, batch, and real\-time architectures supporting analytics, AI/ML, and operational use cases.
* Act as a trusted strategic advisor to executive leadership, translating business, clinical, and regulatory needs into actionable platform and engineering strategies.
**Delivery \&amp; Technical Excellence**
* Lead end\-to\-end delivery of the enterprise data platform, including ingestion, integration, data lake, data warehouse, MDM, and metadata services using Azure, Databricks, and modern data stack technologies.
* Oversee the design and implementation of highly automated, scalable data pipelines supporting batch, streaming, and near\-real\-time workloads.
* Establish and enforce engineering best practices across solution design, data lifecycle management, testing, CI/CD, DevOps, and release management.
* Ensure production\-grade reliability, availability, performance, security, and cost optimization of all data platforms and services.
* Own platform SLAs, KPIs, and operational metrics, including uptime, data freshness, pipeline health, data quality, and delivery predictability.
* Implement strong operational disciplines, including documentation standards, incident management, root\-cause analysis, and continuous improvement.
* Ensure full compliance with HIPAA, PHI, regulatory, and enterprise data governance requirements.
* Build, lead, and scale a high\-performing Data Engineering organization, including data engineers, senior data engineers, platform engineers, and data architects, supporting enterprise analytics, clinical systems, and digital products.
* Set clear goals and performance standards; provide coaching, feedback, career development, and succession planning.
* Foster a culture of engineering excellence, ownership, accountability, and continuous improvement.
* Collaborate closely with analytics, product, clinical operations, IT, security, and application engineering teams to deliver enterprise\-wide data solutions.
* Lead architecture reviews and technical design sessions to solve complex business and clinical challenges using modern data engineering approaches.
* Manage and optimize vendor and professional services partnerships, ensuring delivery quality, cost effectiveness, and effective knowledge transfer.
**SUPERVISORY RESPONSIBILITIES**
Full leadership responsibility for the Data Engineering function, including organizational design, hiring, talent development, performance management, and long\-term capability building.
**QUALIFICATIONS**
EDUCATION:
* Minimum BA or BS degree or higher in STEM, Computer Science, Information Systems, or related field required.
* MS in Computer Science, Data Science, or related discipline preferred.
* Healthcare industry knowledge highly preferred.
EXPERIENCE
* 15\+ years of progressive experience in enterprise data engineering and cloud data platforms, with demonstrated progression into technical leadership, solution ownership, or people management roles required.
* Demonstrated success owning and scaling enterprise\-grade data platforms using SQL, Python, Spark, Databricks, and cloud services (Azure preferred).
* Proven ability to lead a portfolio of high\-impact data initiatives aligned with organizational strategy required.
* Experience building and maturing data engineering organizations, operating models, and delivery roadmaps.
* Demonstrated leadership through enterprise platform ownership, technical direction\-setting, mentoring, and/or formal people management.
* Experience operating effectively in complex, matrixed, and vendor\-supported environments.
**KNOWLEDGE, SKILLS, AND ABILITIES**
* Deep expertise in modern data engineering and cloud\-native architectures.
* Advanced understanding of distributed systems handling structured, semi\-structured, unstructured, and streaming data.
* Strong data modeling skills across relational, analytical, and NoSQL platforms.
* Proven ability to define and operationalize data governance, metadata, lineage, data quality, and MDM at scale.
* Executive\-level communication skills with the ability to influence senior leaders and drive enterprise alignment.
* Strong analytical thinking, problem\-solving, and operational judgment.
* Ability to lead with urgency, adaptability, and accountability in a fast\-paced, mission\-critical environment.
* Healthcare data, clinical workflows, and regulatory experience strongly desired.
**TYPICAL WORKING CONDITIONS**
* Non\-patient facing.
* May be either full time remote/telework or rotate working in the office and remote/telework.
* This job must be U.S. based.
* Indoor work; professional office environment.
* Operating computer.
* Reach outward.
**OTHER PHYSICAL REQUIREMENTS**
* Vision
* Sense of sound
* Sense of touch
**PERFORMANCE REQUIREMENTS**
Adhere to all organizational information security policies and protect all sensitive information including but not limited to ePHI and PHI (Protected Health Information) in accordance with organizational policy, Federal, State, and local regulations.
*The foregoing description is not intended and should not be construed to be an exhaustive list of all responsibilities, skills, efforts or working conditions associated with the job. It is intended to be an accurate reflection of the general nature of level of the job.*
Location: Pediatric Associates · Business Analytics  
Schedule: Full Time, Days</t>
        </is>
      </c>
    </row>
    <row r="28">
      <c r="A28" t="inlineStr">
        <is>
          <t>in-9cd6fc11ae2ece50</t>
        </is>
      </c>
      <c r="B28" t="inlineStr">
        <is>
          <t>Senior Data Engineer</t>
        </is>
      </c>
      <c r="C28" t="inlineStr">
        <is>
          <t>Zendesk</t>
        </is>
      </c>
      <c r="D28" t="inlineStr">
        <is>
          <t>indeed</t>
        </is>
      </c>
      <c r="E28">
        <f>HYPERLINK("https://www.indeed.com/viewjob?jk=9cd6fc11ae2ece50", "https://www.indeed.com/viewjob?jk=9cd6fc11ae2ece50")</f>
        <v/>
      </c>
      <c r="F28">
        <f>HYPERLINK("https://zendesk.wd1.myworkdayjobs.com/en-US/zendesk/job/Austin-Texas-United-States-of-America/Senior-Data-Engineer_R33343", "https://zendesk.wd1.myworkdayjobs.com/en-US/zendesk/job/Austin-Texas-United-States-of-America/Senior-Data-Engineer_R33343")</f>
        <v/>
      </c>
      <c r="G28" t="inlineStr">
        <is>
          <t>Austin, TX, US</t>
        </is>
      </c>
      <c r="H28" s="2" t="n">
        <v>46036</v>
      </c>
      <c r="I28" t="inlineStr">
        <is>
          <t>**Job Description**
-------------------
Our Enterprise Data \&amp; Analytics (EDA) is looking for an experienced Senior Data Engineer to join our growing data engineering team. You’ll work in a collaborative Agile environment using the latest engineering best practices with involvement in all aspects of the software development lifecycle.
You will craft and develop curated data products, applying standard architectural \&amp; data modeling practices to maintain the foundation data layer serving as a single source of truth across Zendesk . You will be primarily developing Data Warehouse Solutions in BigQuery/Snowflake using technologies such as dbt, Airflow, Terraform.
**What you get to do every single day:**
----------------------------------------
* Collaborate with team members and business partners to collect business requirements, define successful analytics outcomes and **design data models**
* Serve as Data Model subject matter expert and data model spokesperson, demonstrated by the ability to address questions quickly and accurately
* Implement Enterprise Data Warehouse by transforming raw data into schemas and data models **for various business domains** **using SQL \&amp;** **dbt**
* Design, build, and maintain ELT pipelines in Enterprise Data Warehouse to ensure reliable business reporting using Airflow, Fivetran \&amp; dbt
* Optimize data warehousing processes by refining naming conventions, enhancing data modeling, and implementing best practices for data quality testing
* Build analytics solutions that provide practical insights into customer 360, finance, product, sales and other key business domains
* Build and Promote best engineering practices in areas of version control system, CI/CD, code review, pair programming
* Identify, design, and implement internal process improvements: automating manual processes, optimizing data delivery
* Work with data and analytics experts to strive for greater functionality in our data systems
**What you bring to the role:**
-------------------------------
Basic Qualifications
* **5\+ years of data engineering** experience building, working \&amp; maintaining data pipelines \&amp; ETL processes on big data environments
* **5\+ years of experience in Data Modeling and Data Architecture** in a production environment
* **5\+ years in writing complex SQL queries**
* **5\+ years of experience with Cloud columnar databases** (We use Snowflake)
* **2\+ years of production experience working with** **dbt** and designing and implementing Data Warehouse solutions
* **Ability to work closely with data scientists, analysts, and other stakeholders to translate business requirements into technical solutions.** Strong documentation skills for pipeline design and data flow diagrams.
* Intermediate experience with any of the programming language: Python, Go, Java, Scala, we primarily use Python
* Integration with 3rd party API SaaS applications like Salesforce, Zuora, etc
* Ensure data integrity and accuracy by conducting regular data audits, identifying and resolving data quality issues, and implementing data governance best practices.
* Experience performing root cause analysis on internal and external data and processes to answer specific business questions and identify opportunities for improvement.
Preferred Qualifications
* Hands\-on experience with Snowflake data platform, including administration, SQL scripting, and query performance tuning
* Good Knowledge in modern as well as classic Data Modeling \- Kimball, Innmon, etc
* Demonstrated experience in one or many business domains (Finance, Sales, Marketing)
* 3\+ completed “production\-grade” projects with dbt
* Expert knowledge in python
**What does our data stack looks like:**
----------------------------------------
* ELT (Snowflake, Fivetran, dbt, Airflow, Kafka, HighTouch)
* BI (Tableau, Looker)
* Infrastructure (GCP, AWS, Kubernetes, Terraform, Github Actions)
The US annualized base salary range for this position is $151,000\.00\-$227,000\.00\. This position may also be eligible for bonus, benefits, or related incentives. While this range reflects the minimum and maximum value for new hire salaries for the position across all US locations, the offer for the successful candidate for this position will be based on job related capabilities, applicable experience, and other factors such as work location. Please note that the compensation details listed in US role postings reflect the base salary only (or OTE for commissions based roles), and do not include bonus, benefits, or related incentives.
Hybrid: In this role, our hybrid experience is designed at the team level to give you a rich onsite experience packed with connection, collaboration, learning, and celebration \- while also giving you flexibility to work remotely for part of the week. This role must attend our local office for part of the week. The specific in\-office schedule is to be determined by the hiring manager.
**The intelligent heart of customer experience**
Zendesk software was built to bring a sense of calm to the chaotic world of customer service. Today we power billions of conversations with brands you know and love.
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
As part of our commitment to fairness and transparency, we inform all applicants that artificial intelligence (AI) or automated decision systems may be used to screen or evaluate applications for this position, in accordance with Company guidelines and applicable law.
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 .
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is>
      </c>
    </row>
    <row r="29">
      <c r="A29" t="inlineStr">
        <is>
          <t>in-b064ff48dd0ab6e6</t>
        </is>
      </c>
      <c r="B29" t="inlineStr">
        <is>
          <t>Senior Data Engineer - N.I.</t>
        </is>
      </c>
      <c r="C29" t="inlineStr">
        <is>
          <t>Cleveland Clinic</t>
        </is>
      </c>
      <c r="D29" t="inlineStr">
        <is>
          <t>indeed</t>
        </is>
      </c>
      <c r="E29">
        <f>HYPERLINK("https://www.indeed.com/viewjob?jk=b064ff48dd0ab6e6", "https://www.indeed.com/viewjob?jk=b064ff48dd0ab6e6")</f>
        <v/>
      </c>
      <c r="F29">
        <f>HYPERLINK("https://clevelandclinic.contacthr.com/150639204", "https://clevelandclinic.contacthr.com/150639204")</f>
        <v/>
      </c>
      <c r="G29" t="inlineStr">
        <is>
          <t>Cleveland, OH, US</t>
        </is>
      </c>
      <c r="H29" s="2" t="n">
        <v>46036</v>
      </c>
      <c r="I29" t="inlineStr">
        <is>
          <t>Join the Cleveland Clinic team where you will work alongside passionate caregivers and make a lasting, meaningful impact on patient care. Here, you will receive endless support and appreciation while building a rewarding career with one of the most respected healthcare organizations in the world.  
The Senior Data Engineer will extract, transform, and integrate data from diverse clinical systems—including Epic Clarity, third\-party APIs, and other internal and external sources—using SQL, Python, and additional programming languages as needed. The role ensures seamless integration of structured, semi\-structured, and unstructured data within Snowflake and Databricks environments, with familiarity in REDCap databases considered a plus.
This position plays a key role in organizing, managing, and optimizing the organization’s data ecosystem, enabling enhanced decision\-making across clinical operations and research. You will be responsible for designing, building, and maintaining scalable data pipelines, data warehouses, and data lakes that support clinical and financial reporting.  
**The role is full time (****40 hours****per week), Monday through Friday from 8:00 a.m. to 5:00 p.m., with minimal weekend or holiday work and occasional on\-call coverage as needed. The caregiver must work onsite at Cleveland Main Campus, with eligibility for a hybrid work arrangement after****90 days****.**
A caregiver who excels in this role will:
* Analyze, design and coordinate the development of software systems.
* Develop new software and proof/test them to assure production of a quality product.
* Analyze current programs and processes.
* Make recommendations for more cost\-effective products and better streamlined workflows.
* Define and implement high performance software by leveraging a strong understanding of embedded hardware design.
* Provide technical support to other Developers when project support is needed, including the design of relational databases and client\-side programming strategies using the latest HTML, CSS and JavaScript frameworks.
* Determine and communicate the implications of system\-level decisions on subsystems and components and mitigate issues.
* Translate clinical problems into innovative healthcare solutions.
* Gather business and application specific requirements.
* Ensure all requirements are met as well as maintained within defined project scope.
* Determine whether a particular problem is caused by hardware, operating systems software, application programs or network failures and supporting as necessary.
Minimum qualifications for the ideal future caregiver include:
* Bachelor's Degree in Computer Science, Computer Engineering or a related field and 10 years of software development experience and healthcare software development
* OR High School Diploma/GED and 15 years of experience
* OR Associate’s Degree and 13 years of experience
* ITIL Foundations Certification within six months of hire
* Proven track record of enterprise architecture experience with large volume, high availability enterprise applications.
* Experience with Microsoft, Net Technology Stack and Relational Database Design
* Microsoft C\#, iOS Objective C, VBScript, Visual Basic, ColdFusion, Microsoft T\-SQL, JavaScript, CCSS3 and/or HTML5 experience
* Query, query Mobile, KnockoutJS, UnderscoreJS and/or YUI Compressor experience
* Experience in interfacing with internal and external customers
* SOA development using SOAP and REST; mobile application development and associated libraries experience
Preferred qualifications for the ideal future caregiver include:
* Experience with hospital or medical systems
 **Physical Requirements:**
* Ability to perform work in a stationary position for extended periods.
* Ability to travel throughout the hospital system.
* Ability to operate a computer and other office equipment.
* Ability to communicate and exchange accurate information.
**Personal Protective Equipment:**
* Follows Standard Precautions using personal protective equipment as required for procedures.
**Pay Range**
Minimum Annual Salary: $92,620\.00
Maximum Annual Salary: $141,265\.00
The pay range displayed on this job posting reflects the anticipated range for new hires. A successful candidate’s actual compensation will be determined after taking factors into consideration such as the candidate’s work history, experience, skill set and education. The pay range displayed does not include any applicable pay practices (e.g., shift differentials, overtime, etc.). The pay range does not include the value of Cleveland Clinic’s benefits package (e.g., healthcare, dental and vision benefits, retirement savings account contributions, etc.).</t>
        </is>
      </c>
    </row>
    <row r="30">
      <c r="A30" t="inlineStr">
        <is>
          <t>in-6685a1279a00200d</t>
        </is>
      </c>
      <c r="B30" t="inlineStr">
        <is>
          <t>Mgr. - Data Engineering</t>
        </is>
      </c>
      <c r="C30" t="inlineStr">
        <is>
          <t>Reliance Matrix</t>
        </is>
      </c>
      <c r="D30" t="inlineStr">
        <is>
          <t>indeed</t>
        </is>
      </c>
      <c r="E30">
        <f>HYPERLINK("https://www.indeed.com/viewjob?jk=6685a1279a00200d", "https://www.indeed.com/viewjob?jk=6685a1279a00200d")</f>
        <v/>
      </c>
      <c r="F30">
        <f>HYPERLINK("https://rsli.wd503.myworkdayjobs.com/en-US/RSLIJobs/job/Philadelphia-PA/Mgr----Data-Engineering_R6369", "https://rsli.wd503.myworkdayjobs.com/en-US/RSLIJobs/job/Philadelphia-PA/Mgr----Data-Engineering_R6369")</f>
        <v/>
      </c>
      <c r="G30" t="inlineStr">
        <is>
          <t>Philadelphia, PA, US</t>
        </is>
      </c>
      <c r="H30" s="2" t="n">
        <v>46036</v>
      </c>
      <c r="I30" t="inlineStr">
        <is>
          <t>**Job Responsibilities and Requirements**
=========================================
The Manager of Data Engineering is responsible for leading a high\-performing and inclusive team of data engineers within the Information Services department. This role oversees the technical vision, execution, and optimization of enterprise data solutions, ensuring robust, auditable, and compliant data pipelines and models. The manager collaborates across business units and IT stakeholders to drive impactful data initiatives, optimize processes, and support the organization’s financial and operational objectives.  
**Key Responsibilities:**
* Lead, coach, and develop a team of data engineers, fostering technical and professional growth.
* Implement and execute a strategic technical vision for enterprise\-wide data integration, modeling, and processing, encompassing all business subject areas such as policies, claims, billing, ratings, general ledger, and annuities.
* Design, build, and scale robust and compliant data pipelines and models, with a focus on data quality and JSOX compliance.
* Establish effective partnerships with stakeholders across Claims, Underwriting, Sales, Finance, Annuities, and internal IT teams, including application owners and middleware.
* Oversee key data initiatives, including new data asset ingestion for Billing and Commissions, onboarding of TPA partners, full line\-of\-business data conversion into new Admin Systems, and participation in data platform evaluations.
* Identify and implement opportunities to optimize existing data pipelines, improve nightly run times, enhance SDLC processes, strengthen controls and data quality checks, and reduce cloud spend through pipeline refactoring.
* Perform other duties as assigned.
**Technical Environment:**
* Enterprise Data Platform built on Oracle Cloud Infrastructure (OCI).
* Data Lake leveraging Spark Cluster; codebase primarily in Scala/SparkSQL, with Python and Shell scripting.
* Object Storage utilized for data storage solutions.
* Oracle RDBMS supporting the Data Warehouse.
* Job scheduling managed through Cisco Tidal.
**Required Knowledge, Skills, Abilities and/or Related Experience**
* Bachelor’s degree (BS/BA) in Information Systems or a related field.
* Minimum of 3 years’ experience leading data engineering teams.
* Proven technical expertise in data integrations, data warehousing, data modeling, and large\-scale data processing.
* Experience with JSOX\-compliant systems is preferred.
* Strong strategic thinking and ability to navigate and consolidate fragmented data spaces.
* Exceptional communication and stakeholder management skills, with the ability to build consensus and alignment across senior leadership.
* Attention to detail and commitment to data quality and financial accuracy through consistent design and coding practices.
* Experience in group insurance, annuities, and financial data systems is highly desirable.
* Cloud development experience, preferably with Oracle Cloud Infrastructure (OCI), including compute instances, object storage, and Big Data technologies (minimum 3 years).
* Experience with Spark Cluster (Scala/SparkSQL), Python, Shell scripting, and job scheduling tools such as Cisco Tidal.
**Preferred Knowledge, Skills, Abilities and/or Related Experience**
* Software and languages
	+ Oracle PL/SQL
	+ Toad
	+ Erwin
	+ SQL Server
	+ Cloudberry
* Oracle OFSAA application and underlying OIDF data model
* Data integration with Salesforce
* Insurance data experience
	+ Group preferred over P\&amp;C, LIMRA
* Financial data experience
	+ General Ledger, Sub\-ledger, Chart of Accounts
	+ IFRS
* Annuities data experience
**Ability to Travel:** Up to 10%  
The expected hiring range for this position is $127,440\.00 \- $170,120\.00 annually for work performed in the primary location (Philadelphia, PA). This expected hiring range covers only base pay and excludes any other compensation components such as commissions or incentive awards. The successful candidate’s starting base pay will be based on several factors including work location, job\-related skills, experience, qualifications, and market conditions. These ranges may be modified in the future.  
Work location may be flexible if approved by the Company.  
**What We Offer**
At Reliance Matrix, we believe that fostering an inclusive culture allows us to realize more of our potential. And we can’t do this without our most important asset—you.
That is why we offer a competitive pay package and a range of benefits to help team members thrive in their financial, physical, and mental wellbeing.
**Our Benefits:**
* An annual performance bonus for all team members
* Generous 401(k) company match that is immediately vested
* A choice of three medical plans (that include prescription drug coverage) to suit your unique needs. For High Deductible Health Plan enrollees, a company contribution to your Health Savings Account
* Multiple options for dental and vision coverage
* Company provided Life \&amp; Disability Insurance to ensure financial protection when you need it most
* Family friendly benefits including Paid Parental Leave \&amp; Adoption Assistance
* Hybrid work arrangements for eligible roles
* Tuition Reimbursement and Continuing Professional Education
* Paid Time Off – new hires start with at least 20 days of PTO per year in addition to nine company paid holidays. As you grow with us, your PTO may increase based on your level within the company and years of service.
* Volunteer days, community partnerships, and Employee Assistance Program
* Ability to connect with colleagues around the country through our Employee Resource Group program
**Our Values:**
* Integrity
* Empowerment
* Compassion
* Collaboration
* Fun
**EEO Statement**
Reliance Matrix is an equal opportunity employer. We adhere to a policy of making employment decisions without regard to race, color, religion, sex, national origin, citizenship, age or disability, or any other classification or characteristic protected by federal or state law or regulation. We assure you that your opportunity for employment depends solely on your qualifications.  
\#LI\-Hybrid .</t>
        </is>
      </c>
    </row>
    <row r="31">
      <c r="A31" t="inlineStr">
        <is>
          <t>in-7cddb8923e82d705</t>
        </is>
      </c>
      <c r="B31" t="inlineStr">
        <is>
          <t>Intermediate Enterprise Data Platform Engineer (Databricks Platform Administrator) - 26-00441</t>
        </is>
      </c>
      <c r="C31" t="inlineStr"/>
      <c r="D31" t="inlineStr">
        <is>
          <t>indeed</t>
        </is>
      </c>
      <c r="E31">
        <f>HYPERLINK("https://www.indeed.com/viewjob?jk=7cddb8923e82d705", "https://www.indeed.com/viewjob?jk=7cddb8923e82d705")</f>
        <v/>
      </c>
      <c r="F31">
        <f>HYPERLINK("https://navitasp.talentnest.com/en/posting/223212/location/268652?source=indeed", "https://navitasp.talentnest.com/en/posting/223212/location/268652?source=indeed")</f>
        <v/>
      </c>
      <c r="G31" t="inlineStr">
        <is>
          <t>Arlington, VA, US</t>
        </is>
      </c>
      <c r="H31" s="2" t="n">
        <v>46035</v>
      </c>
      <c r="I31" t="inlineStr">
        <is>
          <t>**Role Title:** **Intermediate Enterprise Data Platform Engineer (Databricks Platform Administrator)**
------------------------------------------------------------------------------------------------------
**Location:** Onsite – Washington, DC  
**Duration:** 11 months (with possible extension)
### **Position Summary**
The Enterprise Data Platform (EDP) supports advanced analytics and AI/ML workloads by enabling standardized, governed, and trusted data across the organization. The **Databricks Platform Administrator** serves as the technical owner responsible for end\-to\-end platform operations, security, governance, and performance optimization.
This role ensures the Databricks platform remains compliant, reliable, cost\-optimized, and scalable to support complex enterprise data workloads.
### **Core Responsibilities**
* Administer Databricks accounts and workspaces across SDLC environments, ensuring consistency and standardization
* Configure and maintain compute resources, including clusters, jobs, SQL warehouses, runtimes, repositories, and libraries
* Implement monitoring, alerting dashboards, and operational runbooks to ensure platform reliability
* Provide Tier 2/3 incident response support, including root cause analysis and preventive remediation
* Manage platform upgrades, feature rollouts, configuration changes, and formal change control processes
* Enforce least\-privilege access using IAM, SCIM, RBAC, and group\-based security controls
* Govern secrets, credential management, audit logging, and compliance evidence collection
* Administer Unity Catalog components including metastores, schemas, ownership, grants, and external storage
* Integrate Databricks with AWS services such as IAM, object storage, networking, monitoring, and PrivateLink
* Drive cost optimization through cluster policies, auto\-termination, scheduling, and usage analytics
* Automate platform configuration and environment promotion using Terraform, APIs, CLI, and CI/CD pipelines
* Collaborate with Security, Networking, and Governance teams on data lineage, classification, retention, and secure connectivity
### **Required Skills \&amp; Experience**
* **Databricks Administration:** Workspaces, compute resources, SQL warehouses, runtimes, repositories, jobs, Databricks CLI
* **Unity Catalog:** Metastores, catalogs and schemas, storage credentials, external locations, service principals
* **IAM \&amp; Security:** SSO, SCIM provisioning, RBAC, least\-privilege access, audit logging
* **AWS Expertise:** IAM, S3, KMS, VPC fundamentals, PrivateLink, CloudWatch, CloudTrail
* **Automation:** Terraform, REST APIs, scripting, CI/CD pipelines
* **Data Governance:** Data classification, lineage, metadata management, compliance frameworks (FedRAMP, SOC 2, HIPAA)
* **Data Engineering Fundamentals:** SQL performance tuning, ETL/ELT concepts, Python and/or Scala familiarity
### **Experience Requirements**
* Bachelor’s degree or equivalent professional experience
* 7\+ years of experience in cloud or data platform administration
* 4\+ years of hands\-on Databricks platform administration
### **Preferred Certifications**
* Databricks Platform Administrator or Architect
* Databricks Certified Data Engineer (Associate or Professional)
* AWS Solutions Architect (Associate or Professional)
### **Soft Skills**
* Strong stakeholder communication and executive\-level reporting skills
* Experience coordinating with vendors and platform providers
* Ability to create and maintain technical documentation, standards, runbooks, and operational baselines</t>
        </is>
      </c>
    </row>
    <row r="32">
      <c r="A32" t="inlineStr">
        <is>
          <t>in-ff9714bca37434be</t>
        </is>
      </c>
      <c r="B32" t="inlineStr">
        <is>
          <t>Intermediate Enterprise Data Platform Engineer (Databricks Platform Administrator) - 26-00441</t>
        </is>
      </c>
      <c r="C32" t="inlineStr"/>
      <c r="D32" t="inlineStr">
        <is>
          <t>indeed</t>
        </is>
      </c>
      <c r="E32">
        <f>HYPERLINK("https://www.indeed.com/viewjob?jk=ff9714bca37434be", "https://www.indeed.com/viewjob?jk=ff9714bca37434be")</f>
        <v/>
      </c>
      <c r="F32">
        <f>HYPERLINK("https://navitasp.talentnest.com/en/posting/223212/location/268652?source=indeed", "https://navitasp.talentnest.com/en/posting/223212/location/268652?source=indeed")</f>
        <v/>
      </c>
      <c r="G32" t="inlineStr">
        <is>
          <t>Washington, DC, US</t>
        </is>
      </c>
      <c r="H32" s="2" t="n">
        <v>46035</v>
      </c>
      <c r="I32" t="inlineStr">
        <is>
          <t>**Role Title:** **Intermediate Enterprise Data Platform Engineer (Databricks Platform Administrator)**
------------------------------------------------------------------------------------------------------
**Location:** Onsite – Washington, DC  
**Duration:** 11 months (with possible extension)
### **Position Summary**
The Enterprise Data Platform (EDP) supports advanced analytics and AI/ML workloads by enabling standardized, governed, and trusted data across the organization. The **Databricks Platform Administrator** serves as the technical owner responsible for end\-to\-end platform operations, security, governance, and performance optimization.
This role ensures the Databricks platform remains compliant, reliable, cost\-optimized, and scalable to support complex enterprise data workloads.
### **Core Responsibilities**
* Administer Databricks accounts and workspaces across SDLC environments, ensuring consistency and standardization
* Configure and maintain compute resources, including clusters, jobs, SQL warehouses, runtimes, repositories, and libraries
* Implement monitoring, alerting dashboards, and operational runbooks to ensure platform reliability
* Provide Tier 2/3 incident response support, including root cause analysis and preventive remediation
* Manage platform upgrades, feature rollouts, configuration changes, and formal change control processes
* Enforce least\-privilege access using IAM, SCIM, RBAC, and group\-based security controls
* Govern secrets, credential management, audit logging, and compliance evidence collection
* Administer Unity Catalog components including metastores, schemas, ownership, grants, and external storage
* Integrate Databricks with AWS services such as IAM, object storage, networking, monitoring, and PrivateLink
* Drive cost optimization through cluster policies, auto\-termination, scheduling, and usage analytics
* Automate platform configuration and environment promotion using Terraform, APIs, CLI, and CI/CD pipelines
* Collaborate with Security, Networking, and Governance teams on data lineage, classification, retention, and secure connectivity
### **Required Skills \&amp; Experience**
* **Databricks Administration:** Workspaces, compute resources, SQL warehouses, runtimes, repositories, jobs, Databricks CLI
* **Unity Catalog:** Metastores, catalogs and schemas, storage credentials, external locations, service principals
* **IAM \&amp; Security:** SSO, SCIM provisioning, RBAC, least\-privilege access, audit logging
* **AWS Expertise:** IAM, S3, KMS, VPC fundamentals, PrivateLink, CloudWatch, CloudTrail
* **Automation:** Terraform, REST APIs, scripting, CI/CD pipelines
* **Data Governance:** Data classification, lineage, metadata management, compliance frameworks (FedRAMP, SOC 2, HIPAA)
* **Data Engineering Fundamentals:** SQL performance tuning, ETL/ELT concepts, Python and/or Scala familiarity
### **Experience Requirements**
* Bachelor’s degree or equivalent professional experience
* 7\+ years of experience in cloud or data platform administration
* 4\+ years of hands\-on Databricks platform administration
### **Preferred Certifications**
* Databricks Platform Administrator or Architect
* Databricks Certified Data Engineer (Associate or Professional)
* AWS Solutions Architect (Associate or Professional)
### **Soft Skills**
* Strong stakeholder communication and executive\-level reporting skills
* Experience coordinating with vendors and platform providers
* Ability to create and maintain technical documentation, standards, runbooks, and operational baselines</t>
        </is>
      </c>
    </row>
    <row r="33">
      <c r="A33" t="inlineStr">
        <is>
          <t>in-c015d19b6efc5b1e</t>
        </is>
      </c>
      <c r="B33" t="inlineStr">
        <is>
          <t>Intermediate Enterprise Data Platform Engineer (Databricks Platform Administrator) - 26-00441</t>
        </is>
      </c>
      <c r="C33" t="inlineStr"/>
      <c r="D33" t="inlineStr">
        <is>
          <t>indeed</t>
        </is>
      </c>
      <c r="E33">
        <f>HYPERLINK("https://www.indeed.com/viewjob?jk=c015d19b6efc5b1e", "https://www.indeed.com/viewjob?jk=c015d19b6efc5b1e")</f>
        <v/>
      </c>
      <c r="F33">
        <f>HYPERLINK("https://navitasp.talentnest.com/en/posting/223212/location/268652?source=indeed", "https://navitasp.talentnest.com/en/posting/223212/location/268652?source=indeed")</f>
        <v/>
      </c>
      <c r="G33" t="inlineStr">
        <is>
          <t>Alexandria, VA, US</t>
        </is>
      </c>
      <c r="H33" s="2" t="n">
        <v>46035</v>
      </c>
      <c r="I33" t="inlineStr">
        <is>
          <t>**Role Title:** **Intermediate Enterprise Data Platform Engineer (Databricks Platform Administrator)**
------------------------------------------------------------------------------------------------------
**Location:** Onsite – Washington, DC  
**Duration:** 11 months (with possible extension)
### **Position Summary**
The Enterprise Data Platform (EDP) supports advanced analytics and AI/ML workloads by enabling standardized, governed, and trusted data across the organization. The **Databricks Platform Administrator** serves as the technical owner responsible for end\-to\-end platform operations, security, governance, and performance optimization.
This role ensures the Databricks platform remains compliant, reliable, cost\-optimized, and scalable to support complex enterprise data workloads.
### **Core Responsibilities**
* Administer Databricks accounts and workspaces across SDLC environments, ensuring consistency and standardization
* Configure and maintain compute resources, including clusters, jobs, SQL warehouses, runtimes, repositories, and libraries
* Implement monitoring, alerting dashboards, and operational runbooks to ensure platform reliability
* Provide Tier 2/3 incident response support, including root cause analysis and preventive remediation
* Manage platform upgrades, feature rollouts, configuration changes, and formal change control processes
* Enforce least\-privilege access using IAM, SCIM, RBAC, and group\-based security controls
* Govern secrets, credential management, audit logging, and compliance evidence collection
* Administer Unity Catalog components including metastores, schemas, ownership, grants, and external storage
* Integrate Databricks with AWS services such as IAM, object storage, networking, monitoring, and PrivateLink
* Drive cost optimization through cluster policies, auto\-termination, scheduling, and usage analytics
* Automate platform configuration and environment promotion using Terraform, APIs, CLI, and CI/CD pipelines
* Collaborate with Security, Networking, and Governance teams on data lineage, classification, retention, and secure connectivity
### **Required Skills \&amp; Experience**
* **Databricks Administration:** Workspaces, compute resources, SQL warehouses, runtimes, repositories, jobs, Databricks CLI
* **Unity Catalog:** Metastores, catalogs and schemas, storage credentials, external locations, service principals
* **IAM \&amp; Security:** SSO, SCIM provisioning, RBAC, least\-privilege access, audit logging
* **AWS Expertise:** IAM, S3, KMS, VPC fundamentals, PrivateLink, CloudWatch, CloudTrail
* **Automation:** Terraform, REST APIs, scripting, CI/CD pipelines
* **Data Governance:** Data classification, lineage, metadata management, compliance frameworks (FedRAMP, SOC 2, HIPAA)
* **Data Engineering Fundamentals:** SQL performance tuning, ETL/ELT concepts, Python and/or Scala familiarity
### **Experience Requirements**
* Bachelor’s degree or equivalent professional experience
* 7\+ years of experience in cloud or data platform administration
* 4\+ years of hands\-on Databricks platform administration
### **Preferred Certifications**
* Databricks Platform Administrator or Architect
* Databricks Certified Data Engineer (Associate or Professional)
* AWS Solutions Architect (Associate or Professional)
### **Soft Skills**
* Strong stakeholder communication and executive\-level reporting skills
* Experience coordinating with vendors and platform providers
* Ability to create and maintain technical documentation, standards, runbooks, and operational baselines</t>
        </is>
      </c>
    </row>
    <row r="34">
      <c r="A34" t="inlineStr">
        <is>
          <t>in-9ddd7b6ed4a8a2c1</t>
        </is>
      </c>
      <c r="B34" t="inlineStr">
        <is>
          <t>Intermediate Enterprise Data Platform Engineer (Databricks Platform Administrator) - 26-00441</t>
        </is>
      </c>
      <c r="C34" t="inlineStr"/>
      <c r="D34" t="inlineStr">
        <is>
          <t>indeed</t>
        </is>
      </c>
      <c r="E34">
        <f>HYPERLINK("https://www.indeed.com/viewjob?jk=9ddd7b6ed4a8a2c1", "https://www.indeed.com/viewjob?jk=9ddd7b6ed4a8a2c1")</f>
        <v/>
      </c>
      <c r="F34">
        <f>HYPERLINK("https://navitasp.talentnest.com/en/posting/223212/location/268652?source=indeed", "https://navitasp.talentnest.com/en/posting/223212/location/268652?source=indeed")</f>
        <v/>
      </c>
      <c r="G34" t="inlineStr">
        <is>
          <t>Silver Spring, MD, US</t>
        </is>
      </c>
      <c r="H34" s="2" t="n">
        <v>46035</v>
      </c>
      <c r="I34" t="inlineStr">
        <is>
          <t>**Role Title:** **Intermediate Enterprise Data Platform Engineer (Databricks Platform Administrator)**
------------------------------------------------------------------------------------------------------
**Location:** Onsite – Washington, DC  
**Duration:** 11 months (with possible extension)
### **Position Summary**
The Enterprise Data Platform (EDP) supports advanced analytics and AI/ML workloads by enabling standardized, governed, and trusted data across the organization. The **Databricks Platform Administrator** serves as the technical owner responsible for end\-to\-end platform operations, security, governance, and performance optimization.
This role ensures the Databricks platform remains compliant, reliable, cost\-optimized, and scalable to support complex enterprise data workloads.
### **Core Responsibilities**
* Administer Databricks accounts and workspaces across SDLC environments, ensuring consistency and standardization
* Configure and maintain compute resources, including clusters, jobs, SQL warehouses, runtimes, repositories, and libraries
* Implement monitoring, alerting dashboards, and operational runbooks to ensure platform reliability
* Provide Tier 2/3 incident response support, including root cause analysis and preventive remediation
* Manage platform upgrades, feature rollouts, configuration changes, and formal change control processes
* Enforce least\-privilege access using IAM, SCIM, RBAC, and group\-based security controls
* Govern secrets, credential management, audit logging, and compliance evidence collection
* Administer Unity Catalog components including metastores, schemas, ownership, grants, and external storage
* Integrate Databricks with AWS services such as IAM, object storage, networking, monitoring, and PrivateLink
* Drive cost optimization through cluster policies, auto\-termination, scheduling, and usage analytics
* Automate platform configuration and environment promotion using Terraform, APIs, CLI, and CI/CD pipelines
* Collaborate with Security, Networking, and Governance teams on data lineage, classification, retention, and secure connectivity
### **Required Skills \&amp; Experience**
* **Databricks Administration:** Workspaces, compute resources, SQL warehouses, runtimes, repositories, jobs, Databricks CLI
* **Unity Catalog:** Metastores, catalogs and schemas, storage credentials, external locations, service principals
* **IAM \&amp; Security:** SSO, SCIM provisioning, RBAC, least\-privilege access, audit logging
* **AWS Expertise:** IAM, S3, KMS, VPC fundamentals, PrivateLink, CloudWatch, CloudTrail
* **Automation:** Terraform, REST APIs, scripting, CI/CD pipelines
* **Data Governance:** Data classification, lineage, metadata management, compliance frameworks (FedRAMP, SOC 2, HIPAA)
* **Data Engineering Fundamentals:** SQL performance tuning, ETL/ELT concepts, Python and/or Scala familiarity
### **Experience Requirements**
* Bachelor’s degree or equivalent professional experience
* 7\+ years of experience in cloud or data platform administration
* 4\+ years of hands\-on Databricks platform administration
### **Preferred Certifications**
* Databricks Platform Administrator or Architect
* Databricks Certified Data Engineer (Associate or Professional)
* AWS Solutions Architect (Associate or Professional)
### **Soft Skills**
* Strong stakeholder communication and executive\-level reporting skills
* Experience coordinating with vendors and platform providers
* Ability to create and maintain technical documentation, standards, runbooks, and operational baselines</t>
        </is>
      </c>
    </row>
    <row r="35">
      <c r="A35" t="inlineStr">
        <is>
          <t>in-505fc06587e5eaf9</t>
        </is>
      </c>
      <c r="B35" t="inlineStr">
        <is>
          <t>Senior Data Engineer</t>
        </is>
      </c>
      <c r="C35" t="inlineStr">
        <is>
          <t>NEOGOV</t>
        </is>
      </c>
      <c r="D35" t="inlineStr">
        <is>
          <t>indeed</t>
        </is>
      </c>
      <c r="E35">
        <f>HYPERLINK("https://www.indeed.com/viewjob?jk=505fc06587e5eaf9", "https://www.indeed.com/viewjob?jk=505fc06587e5eaf9")</f>
        <v/>
      </c>
      <c r="F35">
        <f>HYPERLINK("https://www.governmentjobs.com/careers/neogovpe/jobs/5199194/senior-data-engineer", "https://www.governmentjobs.com/careers/neogovpe/jobs/5199194/senior-data-engineer")</f>
        <v/>
      </c>
      <c r="G35" t="inlineStr">
        <is>
          <t>Remote, US</t>
        </is>
      </c>
      <c r="H35" s="2" t="n">
        <v>46035</v>
      </c>
      <c r="I35" t="inlineStr">
        <is>
          <t>**Salary**
Depends on Qualifications
**Location**Remote
**Job Type**
Full\-Time
**Remote Employment**
Remote Optional
**Job Number**
00743\.1
**Department**
R\&amp;D Ops
**Division**
General
**Opening Date**
01/14/2026
**About**
---------
***This is a fully remote role within the US and Canada.***
NEOGOV is a fast\-growing SaaS leader in the Public Sector with a mission to serve the people who serve the people. Our clients use our software to manage their employee lifecycle from hire to retire by streamlining processes in our centralized platform. We are passionate about technology, focused on customer success, and have an entrepreneurial environment where innovation is encouraged and rewarded.
NEOGOV is one of the top 50 fastest growing private software companies in the U.S. — Sound like a company you'd like to join? We are looking for top talent to make significant contributions to our products, technology, and customers.  
We are looking for a Senior Data Engineer to join our data engineering team. The ideal candidate will be a hands\-on technical expert with strong experience in Snowflake and dbt, capable of designing, building, and maintaining modern data pipelines and architectures. You will play a key role in shaping our data infrastructure, enabling analytics, and ensuring scalable and efficient data solutions across the organization.
**What You Will do**
--------------------
* Design, develop, and optimize data pipelines and data models in Snowflake using dbt.
* Collaborate with data analysts, Product, and application teams to ensure high\-quality, reliable data delivery.
* Implement data lake architectures and manage ingestion, transformation, and orchestration workflows.
* Work with cloud infrastructure (preferably AWS) to design and manage scalable, secure, and cost\-effective data solutions.
* Integrate and manage data from various transactional systems (e.g., SQL Server, Oracle, PostgreSQL, etc.).
* Optimize data performance and query efficiency, ensuring scalability and maintainability.  
Maintain data governance, security, and compliance best practices.
* Provide technical mentorship and contribute to data engineering standards and best practices.
**Who You Are**
---------------
* Bachelor’s degree in Computer Science, a related field, or equivalent practical work experience.
* 7\+ years of experience in data engineering, with a strong focus on Snowflake (data modeling, optimization, and security).
* 3\+ years of hands\-on experience with AWS cloud services (S3, Glue, Lambda, Redshift, etc.).
* Proficiency with dbt for transformation, testing, and documentation.
* Mid\-level expertise in at least one transactional RDBMS such as SQL Server, Oracle, or PostgreSQL.
* Experience designing and managing data lake architectures.
* Deep expertise in SQL and Python (or similar scripting language).
* Strong understanding of the software development lifecycle and Devops practices, including CI/CD pipelines.
* Solid understanding of ETL/ELT pipelines, data orchestration, and data quality frameworks.
* Proficiency in data modeling techniques (e.g., dimensional, denormalized) and the ability to apply them appropriately.
* Excellent communication, problem\-solving, and collaboration skills.
**Preferred Qualifications**  
* Experience with CI/CD pipelines for data workflows.
* Knowledge of data cataloging, governance, and security frameworks  
Exposure to streaming data technologies (Kafka, Kinesis, etc.).
* Experience in a modern data stack environment.
**What NEOGOV Offers**
----------------------
* Comprehensive Benefits package (medical, dental, vision, etc.) for full\-time employees
* Generous PTO to support work\-life balance
* Remote working opportunities
* 401K Matching
* Autonomy to grow and find your career path with supportive leadership
* 12\-week Paid Parental Leave
* Inclusive and diverse environment
 *NEOGOV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factors.* *\#LI\-REMOTE*</t>
        </is>
      </c>
    </row>
    <row r="36">
      <c r="A36" t="inlineStr">
        <is>
          <t>in-f7cf1e1a3462dba2</t>
        </is>
      </c>
      <c r="B36" t="inlineStr">
        <is>
          <t>Enterprise Data Platform Engineer – Washington, DC</t>
        </is>
      </c>
      <c r="C36" t="inlineStr">
        <is>
          <t>Creative Information Technology India</t>
        </is>
      </c>
      <c r="D36" t="inlineStr">
        <is>
          <t>indeed</t>
        </is>
      </c>
      <c r="E36">
        <f>HYPERLINK("https://www.indeed.com/viewjob?jk=f7cf1e1a3462dba2", "https://www.indeed.com/viewjob?jk=f7cf1e1a3462dba2")</f>
        <v/>
      </c>
      <c r="F36">
        <f>HYPERLINK("https://workforcenow.adp.com/mascsr/default/mdf/recruitment/recruitment.html?cid=4c9a1f1d-ff7a-41e9-9b4a-aecb5ca84ec4&amp;jobId=556252", "https://workforcenow.adp.com/mascsr/default/mdf/recruitment/recruitment.html?cid=4c9a1f1d-ff7a-41e9-9b4a-aecb5ca84ec4&amp;jobId=556252")</f>
        <v/>
      </c>
      <c r="G36" t="inlineStr">
        <is>
          <t>Falls Church, VA, US</t>
        </is>
      </c>
      <c r="H36" s="2" t="n">
        <v>46035</v>
      </c>
      <c r="I36" t="inlineStr">
        <is>
          <t>**About us**Creative Information Technology Inc (CITI) is an esteemed IT enterprise renowned for its exceptional customer service and innovation. We serve both government and commercial sectors, offering a range of solutions such as Healthcare IT, Human Services, Identity Credentialing, Cloud Computing, and Big Data Analytics. With clients in the US and abroad, we hold key contract vehicles including GSA IT Schedule 70, NIH CIO\-SP3, GSA Alliant, and DHS\-Eagle II.  
Join us in driving growth and seizing new business opportunities.  
**Background**Databricks Administrator is the hands\-on technical owner of the agency’s Databricks platform supporting EDP. This role is accountable for platform operations, security, and governance configuration end\-to\-end—ensuring the environment is compliant, reliable, cost\-controlled, and enables secure analytics and AI/ML workloads at scale  
**Role and Responsibilities*** Hands\-on experience administering Databricks (workspace administration, clusters/compute policies, jobs, SQL warehouses, repos, runtime management) and expertise using Databricks CLI.
* Strong Unity Catalog administration: metastores; catalogs/schemas; grants; service principals; external locations; storage credentials; governed storage access.
* Identity \&amp; Access Management proficiency: SSO concepts, SCIM provisioning, groupbased RBAC, service principals, least\-privilege patterns.
* Security fundamentals: secrets management, secure connectivity, audit logging, access monitoring, and evidence\-ready operations.
* Cloud platform expertise (AWS ): IAM roles/policies, object storage security patterns,
* networking basics (VPC concepts), logging/monitoring integration.
* Automation skills: scripting and/or IaC using Terraform/CLI/REST APIs for repeatable configuration and environment promotion.
* Experience implementing data governance controls (classification/tagging, lineage/metadata integrations) in partnership with governance teams.
* CI/CD practices for jobs/notebooks/config promotion across SDLC environments.
* Understanding of lakehouse concepts (e.g., Delta, table lifecycle management, separation of storage/compute).
* SQL proficiency and data engineering fundamentals for troubleshooting query performance issues, understanding ETL/ELT workflow patterns, and debugging data pipeline failures; basic Python/Scala familiarity for notebook/code issue diagnosis.
* Experience with compliance and regulatory frameworks (FedRAMP, HIPAA, SOC2, or similar) including implementation of data residency requirements, retention policies, and audit\-ready evidence collection.
* Hands\-on experience with AWS security and networking services including PrivateLink, Secrets Manager/Systems Manager integration, CloudWatch/CloudTrail integration, S3 bucket policies, cross\-account access patterns, and KMS encryption key management.
* Experience administering Databricks serverless compute, Workspace Git integrations (GitLab), Databricks Asset Bundles (DABs) for deployment automation, and modern workspace features supporting DevOps workflows.
SLA/SLO management and stakeholder communication skills; ability to define platform service levels, produce operational reports, translate technical issues to business stakeholders, and manage vendor relationships (Databricks account teams).  
* 
**Minimum Qualification*** Bachelor’s degree in a related field or equivalent practical experience.
* 7\+ years in cloud/data platform administration and operations, including 4\+ years supporting Databricks or similar platforms.
* Databricks Platform Administrator/Databricks AWS Platform Architect
* Databricks Certified Data Engineer Associate/Professional
* AWS Certified Solutions Architect Associate or Professional
* Administer Databricks account and workspaces across SDLC environments; standardize configuration, naming, and operational patterns.
* Configure and maintain clusters/compute, job compute, SQL warehouses, runtime versions, libraries, repos, and workspace settings.
* Implement platform monitoring/alerting, operational dashboards, and health checks; maintain runbooks and operational procedures.
* Provide Tier 2/3 operational support: troubleshoot incidents, perform root\-cause analysis, and drive remediation and preventive actions.
* Manage change control for upgrades, feature rollouts, configuration changes, and integration changes; document impacts and rollback plans.
* Enforce least privilege across platform resources (workspaces, jobs, clusters, SQL warehouses, repos, secrets) using role/group\-based access patterns.
* Configure and manage secrets and secure credential handling (secret scopes / key management integrations) for platform and data connectivity.
* Enable and maintain audit logging and access/event visibility; support security reviews and evidence requests.
* Administer Unity Catalog governance: metastores, catalogs/schemas/tables, ownership, grants, and environment/domain patterns.
* Configure and manage external locations, storage credentials, and governed access to cloud object storage.
* Partner with governance stakeholders to support metadata/lineage integration, classification/tagging, and retention controls where applicable.
* Coordinate secure connectivity and guardrails with cloud/network teams: private connectivity patterns, egress controls, firewall/proxy needs.
* Configure cloud integrations required for governed data access and service connectivity (roles/permissions, endpoints, storage integrations).
* Implement cost guardrails: cluster policies, auto\-termination, scheduling, workload sizing standards, and capacity planning.
* Produce usage/cost insights and optimization recommendations; address waste drivers (idle compute, oversized clusters, inefficient jobs).
* Automate administration and configuration using APIs/CLI/IaC (e.g., Terraform) to reduce manual drift and improve repeatability.
* Maintain platform documentation: configuration baselines, security/governance standards, onboarding guides, and troubleshooting references.
* Design and implement backup and disaster recovery procedures for workspace configurations, notebooks, Unity Catalog metadata, and job definitions; maintain recovery runbooks and perform periodic DR testing aligned to RTO/RPO objectives.
* Monitor and optimize platform performance, including SQL warehouse query tuning, cluster autoscaling configuration, Photon enablement, and Delta Lake optimization guidance (OPTIMIZE, VACUUM, Z\-ordering strategies). Administer Delta Live Tables (DLT) pipelines and coordinate with data engineering teams on pipeline health, data quality monitoring, failed job remediation, and pipeline configuration best practices.
* Manage third\-party integrations and ecosystem connectivity, including BI tool integrations (e.g., Power BI), and external metadata catalog integrations.
* Implement Databricks Asset Bundles (DABs) for standardized deployment patterns; automate workspace resource deployment (jobs, pipelines, dashboards) across SDLC environments using bundle\-based CI/CD workflows.
* Conduct capacity planning and scalability analysis, including forecasting concurrent user/workload growth, platform scaling strategies, and proactive resource allocation during peak usage periods.
* Facilitate user onboarding and enablement, including new user/team onboarding procedures, training coordination, workspace access provisioning, and creation of selfservice documentation/guides.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li-4362891552</t>
        </is>
      </c>
      <c r="B2" t="inlineStr">
        <is>
          <t>Junior Data Engineer</t>
        </is>
      </c>
      <c r="C2" t="inlineStr">
        <is>
          <t>Mod Op</t>
        </is>
      </c>
      <c r="D2" t="inlineStr">
        <is>
          <t>linkedin</t>
        </is>
      </c>
      <c r="E2">
        <f>HYPERLINK("https://www.linkedin.com/jobs/view/4362891552", "https://www.linkedin.com/jobs/view/4362891552")</f>
        <v/>
      </c>
      <c r="F2" t="inlineStr"/>
      <c r="G2" t="inlineStr">
        <is>
          <t>Cleveland, OH</t>
        </is>
      </c>
      <c r="H2" t="inlineStr"/>
      <c r="I2" t="inlineStr">
        <is>
          <t>**Data Engineer Job Description:**
 Mod Op is a full\-service advertising agency with offices across several US locations, Panama City, Panama, and Canada. With continued growth and a dynamic leadership team, we offer a generous time\-off package, access to high\-quality healthcare options, and a collaborative team dedicated to career and personal development. We believe in teamwork, client collaboration, storytelling, stunning design, and solving complex problems with innovative solutions. We are a 360° agency providing strategy, design, and production across all channels, with clients representing a variety of industries, offering diverse and exciting challenges. We are committed to working smart and enjoying the work we do.
**About You:**
 As a Data Engineer with (1\-2\) years of experience, you will be responsible for designing and implementing robust data pipelines, optimizing data workflows, and supporting analytics initiatives. You will work with AWS and GCP cloud services, integrate with CRM and marketing platforms, and enable data\-driven decision\-making through visualization tools like Google Looker and Tableau.
**Key Responsibilities:**
* Data Pipeline Development: Design, develop, and maintain scalable ETL/ELT pipelines in GCP, Azure \&amp; AWS using various services including Data Flow, Composer, Azure Synapse, AWS Data Pipelines and etc
* Data Integration: Work with structured and unstructured data sources, including CRM and marketing data platforms.
* Database Management: Develop and optimize queries for SQL \&amp; NoSQL databases (Teradata, BigQuery, Cassandra, etc.).
* Data Science \&amp; ML: Implementing Models using GCP Vertex ai and utilizing Python and its data science libraries (Pandas, NumPy, Scikit\-learn, etc.) for data analysis and ML model deployment.
* Data Visualization: Build and manage dashboards using Google Looker and Tableau to provide business insights.
* Collaboration: Work closely with data analysts, marketing teams, and other stakeholders to understand business needs and implement effective data solutions.
* The position operates under a hybrid work model, requiring in\-office presence at the Grapevine, Texas location two days per week, with the remaining days worked remotely
**Requirements**
**Required Qualifications:**
* Cloud Expertise: GCP or AWS (Data Engineering or ML focus) experience.
* Programming Skills: Strong proficiency in Python and experience with its data science libraries.
* Database Management: Experience with SQL (Teradata, BigQuery, etc.) and NoSQL databases.
* Data Visualization: Hands\-on experience with Google Looker and Tableau for reporting and dashboards.
* CRM \&amp; Marketing Data: Experience working with CRM, marketing platforms, and analytics tools.
* Machine Learning Knowledge: working GCP/Azure/AWS Services with ML workflows, model training, AI Models and deployment.
* Data Automation \&amp; Transformation: Knowledge with Alteryx for workflow automation and data preparation.
**Preferred Qualifications:**
* Experience with data warehousing solutions (Snowflake, Redshift, etc.).
* GCP Certified focused on Data Engineering.
* Exposure to Apache Spark, Airflow, or other data orchestration tools.
* Strong understanding of data governance, security, and compliance.
**Benefits**
* Health and Life Insurance for employees and family, access to Vision benefits, Telemedicine services, Psychology support and others
* On the job training and career growth opportunities
* Access to LinkedIn courses
* Hybrid in\-office schedule
* Talented team environment, collaborative offices, fun company culture with a great balance of work and play
* Vacations are granted by day or weeks according to employee approved request
* Salary with yearly review and competitive benefits
* Competitive compensation based on experience and skill set
**When asked what they love about working at Mod Op, we hear:**
* "I feel I can be myself at work and it's fun!" \-MV
* "The caliber of the clients/brands we work with, knowing your work is seen by thousands of people, in many cases across the world." \-JC
* "We actually create videogames!" \-AC
* "We have an all\-star team, and it's like playing in the pro\-bowl every day!" \-MW
* "Opportunities to always learn from and work with the best and the brightest." HW
* "Mentors and opportunities for growth." \-KB
 Mod Op,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3">
      <c r="A3" t="inlineStr">
        <is>
          <t>li-4359171328</t>
        </is>
      </c>
      <c r="B3" t="inlineStr">
        <is>
          <t>Data Engineer - Health Sensing</t>
        </is>
      </c>
      <c r="C3" t="inlineStr">
        <is>
          <t>Apple</t>
        </is>
      </c>
      <c r="D3" t="inlineStr">
        <is>
          <t>linkedin</t>
        </is>
      </c>
      <c r="E3">
        <f>HYPERLINK("https://www.linkedin.com/jobs/view/4359171328", "https://www.linkedin.com/jobs/view/4359171328")</f>
        <v/>
      </c>
      <c r="F3" t="inlineStr"/>
      <c r="G3" t="inlineStr">
        <is>
          <t>Sunnyvale, CA</t>
        </is>
      </c>
      <c r="H3" t="inlineStr"/>
      <c r="I3" t="inlineStr">
        <is>
          <t>**Summary**
 We are a team of strong data engineers that build the scalable data infrastructure that powers health research at Apple. We develop high\-performance data pipelines and processing systems to support large\-scale health studies, clinical validations, and advanced analytics. Working closely with researchers, clinicians, and product teams, we ensure health data is accurate, accessible, and actionable — enabling science and product innovation that can improve lives.
**Description**
 We are looking for a passionate and experienced Data Engineer to join our team focused on powering cutting\-edge health research through scalable and reliable data systems. In this role, you’ll design and build high\-throughput, distributed data pipelines that ingest, process, and transform large volumes of sensor data collected from health studies. Your work will directly contribute to the advancement of health research and product development at Apple.nn\- Design and develop scalable, parallelized data systems to process complex, time\-series health data captured from consumer\-grade sensors.n\- Implement robust ETL pipelines using distributed computing frameworks such as Apache Spark to ingest and transform binary and proprietary data formats.n\- Collaborate with study stakeholders to gather requirements and contribute to the study design process, ensuring data architecture supports evolving research needs.n\- Build tools and dashboards to visualize health data and support data exploration, analysis, and research insights.n\- Work closely with cross\-functional teams including Software, Algorithms, and Quality Engineering to support design, integration, testing, and deployment of health data solutions.n\- Own and evolve data architecture by driving standardization and reusability across studies, contributing to the development of a company\-wide health data platform.
**Minimum Qualifications**
 BS degree in Computer Science, Engineering, Data Science, or a related technical field.nMinimum of 3 years relevant industry experience building and maintaining data pipelines or distributed data systems.nProficiency in Python and strong programming skills with a focus on writing clean, maintainable, and high\-performance code.nFamiliarity in SQL for querying, transforming, and analyzing structured data.nHands\-on experience with distributed computing frameworks like Apache Spark.nExperience with ETL development, data modeling, and data transformation workflows.
**Preferred Qualifications**
 Experience working with sensor data, time\-series data, or healthcare datasets.nExperience working in cloud\-based environments (e.g., AWS, GCP, or Azure) and with containerization tools like Docker and Kubernetes.nFamiliarity with job orchestration tools such as Apache Airflow or similar workflow schedulers.nComfort working in Linux\-based environments, including scripting, system navigation, and basic troubleshooting.nExposure to clinical studies, FDA validation processes, or working in regulated health environments.nStrong communication and collaboration skills; ability to work cross\-functionally with technical and non\-technical partners.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4">
      <c r="A4" t="inlineStr">
        <is>
          <t>li-4357658586</t>
        </is>
      </c>
      <c r="B4" t="inlineStr">
        <is>
          <t>Data Engineer - Camera Intelligence</t>
        </is>
      </c>
      <c r="C4" t="inlineStr">
        <is>
          <t>Apple</t>
        </is>
      </c>
      <c r="D4" t="inlineStr">
        <is>
          <t>linkedin</t>
        </is>
      </c>
      <c r="E4">
        <f>HYPERLINK("https://www.linkedin.com/jobs/view/4357658586", "https://www.linkedin.com/jobs/view/4357658586")</f>
        <v/>
      </c>
      <c r="F4" t="inlineStr"/>
      <c r="G4" t="inlineStr">
        <is>
          <t>Cupertino, CA</t>
        </is>
      </c>
      <c r="H4" t="inlineStr"/>
      <c r="I4" t="inlineStr">
        <is>
          <t>**Summary**
 Imagine the possibilities here. At Apple, new ideas swiftly transform into extraordinary products, services, and customer experiences. With passion and dedication, you can achieve remarkable things. Here, dynamic and hardworking individuals, coupled with inspiring and innovative technologies, are the norm.nnOur passion for innovation extends beyond our products to our practices, solidifying our commitment to leaving the world better than we found it. Join us in delivering the next groundbreaking Apple product.nnAre you passionate about tackling unsolved challenges? As a member of our dynamic group, you’ll have the unique and rewarding opportunity to design upcoming products that will delight and inspire millions of Apple’s customers daily.nnAre you passionate about building products that harness the power of artificial intelligence, machine learning, and computer vision? Do you have the expertise to apply cutting\-edge knowledge to create innovative AI camera features for Apple’s products, such as the iPhone or iPad? If you’re an exceptional data engineer, the Camera Intelligence team is seeking you to join us in building our next generation of camera features.
**Description**
 We are seeking a Data Engineer to join our team to leverage the potential of artificial intelligence in Apple's cameras. In this highly collaborative role, you will partner with data collection/annotation teams, ML researchers, and camera feature teams to integrate models, design data pipelines, and shape the data requirements for next\-generation camera intelligence features. An ideal candidate should possess experience with modern machine learning workflows, a solid grasp of deep learning and the data requirements of modern network architectures.
**Minimum Qualifications**
 Excellent written and verbal communication skills.nProven ability to collaborate across multiple teams including data collection/annotation, ML researchers, and camera feature teams.nStrong programming skills in Python with hands\-on experience with Dask for distributed data processingnFamiliarity with ML frameworks (TensorFlow, PyTorch) and modern deep learning architecturesnUnderstanding of imaging fundamentals: raw sensor data, ISP outputs, color spaces, and image quality metrics.nAbility to work independently and resolve infrastructure challenges with minimal support.nBachelor's degree in Computer Science, Engineering, or related field with relevant experience in data engineering and computer vision/imaging domains.
**Preferred Qualifications**
 Deep understanding of concurrency, parallelism, and working with S3\-like object storage systemsnExperience with efficient data storage formats for ML workflows (LMDB, HDF5, Parquet, or similar)nExperience building ETL pipelines for image/video datasets and ML training workflows.
**Pay \&amp; Benefits**
 At Apple, base pay is one part of our total compensation package and is determined within a range. This provides the opportunity to progress as you grow and develop within a role. The base pay range for this role is between $141,800 and $258,600,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5">
      <c r="A5" t="inlineStr">
        <is>
          <t>li-4359058657</t>
        </is>
      </c>
      <c r="B5" t="inlineStr">
        <is>
          <t>Data Analytics Engineer - Apple Services Engineering</t>
        </is>
      </c>
      <c r="C5" t="inlineStr">
        <is>
          <t>Apple</t>
        </is>
      </c>
      <c r="D5" t="inlineStr">
        <is>
          <t>linkedin</t>
        </is>
      </c>
      <c r="E5">
        <f>HYPERLINK("https://www.linkedin.com/jobs/view/4359058657", "https://www.linkedin.com/jobs/view/4359058657")</f>
        <v/>
      </c>
      <c r="F5" t="inlineStr"/>
      <c r="G5" t="inlineStr">
        <is>
          <t>Cupertino, CA</t>
        </is>
      </c>
      <c r="H5" t="inlineStr"/>
      <c r="I5" t="inlineStr">
        <is>
          <t>**Summary**
 The Apple Services Engineering team is one of the most exciting examples of Apple’s long\-held passion for combining art and technology! These are the people who power the App Store, Apple Music, Apple TV, Apple Games, and many others. And they do it on a massive scale, meeting Apple’s high expectations with high performance to deliver a huge variety of entertainment in over 35 languages to more than 150 countries. These engineers build secure, end\-to\-end solutions. They develop the custom software used to process all the creative work, the tools that providers use to deliver that media, all the server\-side systems, and the APIs for many Apple services. Thanks to Apple’s unique integration of hardware, software, and services, engineers here partner to get behind a single unified vision. That vision always includes a deep commitment to strengthening Apple’s privacy policy, one of Apple’s core values. Although services are a bigger part of Apple’s business than ever before, these teams remain small, forward\-thinking, and cross\-functional, offering greater exposure to the array of opportunities here.
**Description**
 As a team member of the ASE Data Engineering team, you will have significant responsibility and influence in shaping its future direction. This role is inherently cross\-functional and the ideal candidate will work across disciplines. We are looking for someone with a love for data and ability to iterate quickly on all stages of data pipeline. This position involves working on a small team to develop large scale data pipelines and analytical solutions using Big Data technologies. Successful candidates will have strong engineering skills and communication, as well as, a belief that data driven processes lead to phenomenal products. You will need to have a passion for quality and an ability to understand sophisticated systems.
**Minimum Qualifications**
 BS in Computer Science or a related field with 5\+ years experience.nStrong technical knowledge in Java, Scala, SQL.nMulti year experience with Big Data technologies like Spark batch, Spark streaming, Flink and Hadoop ecosystem.nExperience integrating messaging technologies like Kafka.nEffectively collaborate with engineers, product managers, designers, collaborators, partners, etc.nEnjoys deep technical and product discussions. Has attention to detail and can context switch across multiple projects.
**Preferred Qualifications**
 MS in Computer Science or a related field with 7\+ years experience.nExperience leading complex engineering projects from inception to production across organizational boundaries.nExceptional analytical skills combined with a deep knowledge of data structures and algorithms.nCan see the big picture, set a vision, and grow the team and platform in accordance to that vision.nExcellent communication skills. Can effectively communicate complex ideas and make compelling arguments \- guiding the team, partners and leadership.nDeep experience in designing and implementing scalable big data solutions that span multi\-functional teams.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6">
      <c r="A6" t="inlineStr">
        <is>
          <t>li-4353501108</t>
        </is>
      </c>
      <c r="B6" t="inlineStr">
        <is>
          <t>Data Engineer I</t>
        </is>
      </c>
      <c r="C6" t="inlineStr">
        <is>
          <t>Inroads</t>
        </is>
      </c>
      <c r="D6" t="inlineStr">
        <is>
          <t>linkedin</t>
        </is>
      </c>
      <c r="E6">
        <f>HYPERLINK("https://www.linkedin.com/jobs/view/4353501108", "https://www.linkedin.com/jobs/view/4353501108")</f>
        <v/>
      </c>
      <c r="F6" t="inlineStr"/>
      <c r="G6" t="inlineStr">
        <is>
          <t>Washington, DC</t>
        </is>
      </c>
      <c r="H6" t="inlineStr"/>
      <c r="I6" t="inlineStr">
        <is>
          <t>**About Inroads**
 Inroads applies data, analytics, technology, research, and content development to co\-create services and programs that are personalized, relevant, and engaging for the communities who rely on them. Our deep understanding of digital services, policy implementation, and ways communities consume information allows us to seamlessly integrate with organizations and public sector teams to revolutionize the ways they deliver complex services at scale.
**About The Role**
 We’re hiring an entry\-level Data Engineer to join our Data Engineering team. You’ll take ownership of building reliable ELT/ETL pipelines and strong analytical data models using dbt. You don’t need to know everything on day one, but you must be eager to learn, experiment, and grow quickly. Experience with Airflow and Snowflake is a plus, but not required.
**In This Position You Will**
* Build, test, and document dbt models (staging, intermediate, marts) aligned to Kimball dimensional modeling best practices.
* Implement data quality checks (dbt tests, sources, freshness) and contribute to monitoring data reliability.
* Collaborate with analytics, product, and domain stakeholders to translate business needs into well\-modeled datasets.
* Proactively audit, define, and standardize key business metrics in collaboration with stakeholders to ensure consistency and trust across reporting platforms.
* Support source onboarding and ingestion from APIs, files, or databases into the warehouse.
* Maintain clear documentation for datasets, lineage, and transformation logic.
* Assist with CI/CD for analytics code (Git workflows, PR reviews, environments).
* Optimize model performance (incremental strategies, partitions/clustering, query tuning).
* Troubleshoot pipeline/data issues and contribute to root\-cause analyses.
* Proactively identify improvement opportunities and drive them to completion with high ownership.
**What We Are Seeking**
* 2 years of experience in data engineering, analytics engineering, or related field (internships, coursework, and projects encouraged) OR an undergraduate degree or higher in a related field
* Proficiency in SQL; able to write clean, performant queries.
* Practical experience with dbt (models, tests, documentation, sources; familiarity with Jinja/macros is a plus).
* Solid grasp of Kimball dimensional modeling (star/snowflake schemas, facts and dimensions, SCDs).
* Demonstrated ability to translate complex business logic into efficient, technical data structures.
* Understanding of data warehousing and ELT/ETL patterns.
* Familiarity with Git and collaborative development workflows.
* Strong problem\-solving and communication skills; attention to detail.
* Demonstrated willingness to learn quickly and take ownership of outcomes.
**Nice To Have**
* Workflow orchestration experience (Airflow, Dagster, Prefect).
* Cloud data warehouse exposure (Snowflake preferred).
* Basic Python skills for data tasks (ETL scripts, API integrations).
* Experience with data testing/observability tools and lineage documentation.
* Experience designing and implementing data models specifically for consumption by internal technical teams (Data Analysts, Data Scientists).
* Exposure to CI/CD for analytics (dbt Cloud/Jobs, GitHub Actions).
* Domain knowledge of the U.S. healthcare insurance marketplace (Healthcare.gov) data and metrics.
**Culture \&amp; Ownership In The Role**
* Bias for action: you establish clear goals, participate in problem\-solving efforts, and take ownership of the outcomes
* Growth mindset: you learn new tools and concepts rapidly and share learnings with the team.
* Craftsmanship: you care about clean code, tests, documentation, and reproducibility.
* Collaboration: you give and receive constructive feedback and help raise the bar.
**Success Indicators**
* Delivers well\-tested, documented dbt models that meet stakeholder needs.
* Improves data reliability through effective testing and monitoring.
* Demonstrates ownership by driving initiatives from problem definition to solution.
* Learns and applies new concepts (tools, modeling patterns, domain context) quickly.
**What We Offer**
 Inroads offers a friendly work environment and competitive compensation and benefits package including:
* Salary: $85,000
* Premier health, dental, and vision insurance plans
* 401K matching
* Unlimited paid time off
* Paid personal and volunteer leave
* 13 paid holidays
* 15 weeks paid parental leave
* Professional development stipend \&amp; tuition reimbursement
* Macbook Pro laptop \&amp; tech accessories
* Bring Your Own Device (BYOD) stipend for mobile device
* Employee Assistance Program (EAP)
* Supportive \&amp; collaborative culture
* Flexible working hours
* Pre\-tax transportation options for commuting to our office in Washington, DC
* Lunches and snacks
 The salary range for candidates who meet the minimum posted qualifications reflects the Company’s good faith understanding and belief as to the wage range, and is accurate as of the date of this job posting.
 At Inroads, we celebrate, support and thrive on differences. Not only do they benefit our services, products, and community, but most importantly, they are to the benefit of our team. Qualified people of all races, ethnicities, ages, sex, genders, sexual orientations, national origins, gender identities, marital status, religions, veterans statuses, disabilities and any other protected classes are strongly encouraged to apply. Inroads endeavors to make reasonable accommodations for qualified applicants with a disability unless the accommodation would impose an undue hardship on the operation of our business. If an applicant believes they require such assistance to complete the application or to participate in an interview, or has any questions or concerns, they should contact the Senior Director, People Operations. Inroads participates in E\-verify. EEO is the Law.
**Collection Of Personal Information Notice**
 As you are likely aware, by submitting your job application, you are submitting personal information to our company. We collect various categories of personal information, including identifiers, protected classifications, professional or employment related information and sensitive personal information. We may retain and use this information for up to three years, in order to come to a decision on whether or not you are a good fit for our company. We may also retain or use some of this information to comply with any requirements under law, or for purposes of defending ourselves in any litigation. We do not use this information for any other purpose, or share it with third parties, unless you become an employee. To learn more, or to see our full Notice to Job Applicants, please click here.</t>
        </is>
      </c>
    </row>
    <row r="7">
      <c r="A7" t="inlineStr">
        <is>
          <t>li-4359163651</t>
        </is>
      </c>
      <c r="B7" t="inlineStr">
        <is>
          <t>AppleCare Data Engineer</t>
        </is>
      </c>
      <c r="C7" t="inlineStr">
        <is>
          <t>Apple</t>
        </is>
      </c>
      <c r="D7" t="inlineStr">
        <is>
          <t>linkedin</t>
        </is>
      </c>
      <c r="E7">
        <f>HYPERLINK("https://www.linkedin.com/jobs/view/4359163651", "https://www.linkedin.com/jobs/view/4359163651")</f>
        <v/>
      </c>
      <c r="F7">
        <f>HYPERLINK("https://jobs.apple.com/en-us/details/200630785&amp;urlHash=rlGX", "https://jobs.apple.com/en-us/details/200630785&amp;urlHash=rlGX")</f>
        <v/>
      </c>
      <c r="G7" t="inlineStr">
        <is>
          <t>Austin, TX</t>
        </is>
      </c>
      <c r="H7" t="inlineStr"/>
      <c r="I7" t="inlineStr">
        <is>
          <t>**Summary**
 The people here at Apple don’t just craft products \- they build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it.nnThe AppleCare Business Insights, Operations, and Systems (ACBIOS) team builds advanced analytics solutions that drive key decisions across Apple’s service and support ecosystem. As a Data Scientist, you will transform complex data into actionable insights that empower AppleCare leadership and product teams to enhance customer experience and operational excellence.n
**Description**
 You will work across the data lifecycle—from modeling and extraction to visualization and storytelling—partnering closely with cross\-functional teams to deliver scalable, high\-impact insights that uphold Apple’s standards of accuracy, usability, and security.nnDesign and implement advanced analytical models and pipelines using SQL and R/Python.nnDevelop and optimize data extraction and transformation processes to improve accessibility and performance.nnEnsure adherence to data quality, governance, and security protocols.nnBuild intuitive visualizations and dashboards to communicate insights effectively to technical and business audiences.nnDocument methodologies and share analytical best practices to strengthen data culture across teams.nnCollaborate with data scientists, product managers, and leadership to shape the future of analytics platforms within AppleCare.nnLead end\-to\-end analytics initiatives, from scoping and exploration to analysis, interpretation, and executive presentations.n
**Minimum Qualifications**
 7\+ years of applied experience in data science, business analytics, or business intelligence roles.nStrong proficiency in SQL and R/Python (pandas, NumPy, scikit\-learn).nExperience with data modeling, transformation, and analytics frameworks such as Snowflake.nSkilled in building data visualizations using Tableau, and presenting insights to diverse audiences.nStrong foundation in statistical analysis, including hypothesis testing and confidence intervals.nExperience delivering end\-to\-end analytical projects, from scoping to presentation.nExcellent communication and collaboration skills, including translating data insights for business stakeholders.nBachelor’s degree in a quantitative or technical discipline.n
**Preferred Qualifications**
 Hands\-on experience with Snowpark, PySpark, and streaming/interactive visualization tools such as Streamlit or Plotly.nBackground in SMB, product, or service analytics, including service performance, warranty trends, and support operations.nApplied experience with software engineering workflows, including Git, CI/CD, and producing maintainable, well\-documented code.nExperience developing custom Tableau extensions or deploying LLM\-powered analytics systems.nStrong experience in storytelling with data, translating complex analyses into actionable recommendations for leadership.nFamiliarity with large\-scale data platforms and scalable analytical pipelines.nMaster's degree in a quantitative or technical discipline.n
**Pay \&amp; Benefits**
 At Apple, base pay is one part of our total compensation package and is determined within a range. This provides the opportunity to progress as you grow and develop within a role. The base pay range for this role is between $172,100 and $258,600,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8">
      <c r="A8" t="inlineStr">
        <is>
          <t>li-4359028332</t>
        </is>
      </c>
      <c r="B8" t="inlineStr">
        <is>
          <t>Sr. Data Engineer</t>
        </is>
      </c>
      <c r="C8" t="inlineStr">
        <is>
          <t>Apple</t>
        </is>
      </c>
      <c r="D8" t="inlineStr">
        <is>
          <t>linkedin</t>
        </is>
      </c>
      <c r="E8">
        <f>HYPERLINK("https://www.linkedin.com/jobs/view/4359028332", "https://www.linkedin.com/jobs/view/4359028332")</f>
        <v/>
      </c>
      <c r="F8" t="inlineStr"/>
      <c r="G8" t="inlineStr">
        <is>
          <t>Seattle, WA</t>
        </is>
      </c>
      <c r="H8" t="inlineStr"/>
      <c r="I8" t="inlineStr">
        <is>
          <t>**Summary**
 As a Data Engineer on the Capacity Engineering team, you will help design, build, and operate the data foundation that drives capacity, cost, and power\-related decisions across Apple’s infrastructure footprint.nnIn this role, you will:nnArchitect, implement, and maintain large\-scale batch and streaming pipelines that ingest, process, and model infrastructure telemetry, cost, metering, utilization, forecasting, and power metrics from multiple clouds and bare metal environments.nnDesign and evolve robust data models (with a strong focus on dimensional modeling) and storage patterns that support analytics, internal billing, and efficiency use\-cases.nnTreat data as a product: define quality checks, SLAs, and observability to ensure data is accurate, timely, and trusted by stakeholders across Apple.nnIntegrate and enrich raw signals with metadata and attribution to power use cases such as internal billing/showback, usage understanding, efficiency and optimization, clawbacks, planning, and procurement.nnCollaborate closely with data scientists, software engineers, platform teams, finance partners, program managers, and leadership to translate requirements into scalable, reliable data solutions and services.nnImplement standard methodologies for data governance, lineage, metadata management, and security, in alignment with Apple’s standards for data protection and privacy.nnBuild end\-to\-end data solutions that include logging, anomaly detection, data validation, cleaning, and transformation, with strong emphasis on monitoring, debuggability, and continuous improvement.nnContribute to the evolution of our data and platform stack, including tooling, frameworks, and standards for development, testing, deployment, and operations (CI/CD, infrastructure as code, etc.).n
**Description**
 Apple’s Capacity data engineering team, within the Apple Services Engineering organization, is building the centralized data backbone that powers how Apple understands, plans, and optimizes its cloud and data center infrastructure.nnWe engineer a unified, trusted data lake that consolidates cost, metering, utilization, forecasting, and power metrics produced by Apple platforms and systems (including bare metal) across both third\-party and Apple internal clouds. Enriched with metadata and attribution, this becomes the single source of truth for internal billing, understanding usage and utilization, clawbacks, planning, procurement, and efficiency initiatives.nnWe collaborate with platform engineering, finance, capacity engineering, and leadership teams to build large\-scale data pipelines, enable descriptive and predictive analytics, and power dashboards and products that support critical business decisions. This is your opportunity to help design and operate highly visible, global\-scale systems processing petabytes of data and supporting hundreds of users across Apple.nnCome join us to help deliver the next generation of infrastructure insights at Apple.n
**Minimum Qualifications**
 Bachelors degree or equivalent experience in Computer Science, Information systems, Software Engineering, Data Science or related field.n5\+ years of experience in data engineering (or equivalent practical experience), including:nBuilding and maintaining large\-scale ETL/ELT data pipelinesnDistributed computing (e.g., Spark / PySpark) for data processing and automationnQuery performance optimization and tuning at scalenHands\-on experience with:nApache Spark and Airflow (or similar workflow/orchestration tools) for efficient large\-scale data pipelinesnData modeling, especially dimensional modeling, and designing schemas optimized for analytics and reportingnBig data platforms and/or data lake architecturesnExperience with CI/CD tooling such as Jenkins (or similar tools)nExperience with cloud technologies, AWS/GCP (e.g., S3, EMR, Lambda, Glue, RDS/Redshift, Big\-query, Kinesis or similar services)
**Preferred Qualifications**
 Advanced degree in a related field a plus.nExperience with data visualization / BI tools, such as Superset or Tableau (other tools like QuickSight, QlikView, Cognos, or Business Objects are a plus)nExperience with containerization and orchestration, such as Docker and Kubernetes/EKS is a plusnUnderstanding of authentication and authorization (AuthN/AuthZ) patternsnKnowledge of data governance principles, data security best practices, and data privacy regulations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9">
      <c r="A9" t="inlineStr">
        <is>
          <t>li-4359137576</t>
        </is>
      </c>
      <c r="B9" t="inlineStr">
        <is>
          <t>Senior Data Engineer</t>
        </is>
      </c>
      <c r="C9" t="inlineStr">
        <is>
          <t>Apple</t>
        </is>
      </c>
      <c r="D9" t="inlineStr">
        <is>
          <t>linkedin</t>
        </is>
      </c>
      <c r="E9">
        <f>HYPERLINK("https://www.linkedin.com/jobs/view/4359137576", "https://www.linkedin.com/jobs/view/4359137576")</f>
        <v/>
      </c>
      <c r="F9" t="inlineStr"/>
      <c r="G9" t="inlineStr">
        <is>
          <t>California, United States</t>
        </is>
      </c>
      <c r="H9" t="inlineStr"/>
      <c r="I9" t="inlineStr">
        <is>
          <t>**Summary**
 At Apple, we focus deeply on our customers’ experience. Apple Ads brings this same approach to advertising, helping people find exactly what they’re looking for and helping advertisers grow their businesses. Our technology powers ads and sponsorships across Apple Services, including the App Store, Apple News, and MLS Season Pass. Everything we do is designed for trust, connection, and impact: We respect user privacy, integrate advertising thoughtfully into the experience, and deliver value for advertisers of all sizes—from small app developers to big, global brands. Because when advertising is done right, it benefits everyone. Data Products Engineering team is seeking an ambitious and versatile Data engineer to help lead the design and scale of key data systems, delivering data products that solve exciting business problems. Responsibilities range from designing and implementing core stream\-processing and batch\-processing capabilities, to supporting privacy preserving critical pipelines. You will have the opportunity to define, refine, and refactor approaches, designs, and architectures to meet the data engineering challenges we must solve. You will join a team of world\-class data engineers with an appetite for applying leading\-edge technologies to deliver extraordinary experiences to our customers. You will play a meaningful role building data products that deliver on Apple's privacy commitments and change the way advertising works with data. You will be a leading voice in our technology strategy and its delivery, developing and mentoring team members. You will collaborate closely with the business to deliver relevant data and insight to inform our strategy and decisions. You should have 8\+ years experience in data engineering roles, ideally within the ads or media space. You will have an excellent understanding of scalable approaches and thrive working in Agile environments. The ability to be a good standout colleague under tight deadline constraints is key to success!
**Description**
 At Apple Ads, we are building the next generation of privacy\-focused advertising capabilities. As a part of the data organization, we work at the cutting edge of data engineering, machine learning, and privacy at Apple's scale. We are constantly developing data products to provide amazing user experiences and to drive value for developers and publishers. As a part of this team, as a Data Engineer, you will \* Engineer secure and scalable data processing systems across different execution contexts such as real\-time, near real\-time, and batch using Spark, Hadoop, Kafka, Cassandra and beyond \* Collaborate with a team of world\-class data engineers and product managers to apply leading\-edge techniques and technologies that process petabytes of realtime streaming and batch events \* Require a strong understanding of the intersection between business, analytics, and engineering resulting in a proactive approach, focusing on reusable solutions, to improve efficiency and time to insight \* Must be able to work in a rapidly changing environment and perform effectively in a sprint\-based, agile development environment \* Join and contribute to a culture that emphasizes reliability, resiliency, extensibility, scalability, and productivity. We are one team, nurturing each other’s growth and supporting each other in delivering for our customers and Apple
**Minimum Qualifications**
 8\+ years of industry experience building distributed, scalable data pipelines and data platformsnProven track record of successful and timely software product delivery with complex dependenciesnDemonstrated innovative, critical thinking and troubleshooting skillsnExcellent collaborative skillsnHistory of motivating teams to meet aggressive goals and innovatenProficiency with modern programming languages (e.g. Java/Scala/C\+\+) and ease with picking up new technologies independentlynStrong computer science and data engineering fundamentalsnExpertise in data modeling and Iceberg lake house implementationnProficiency in distributed systems and data processing technologies (e.g. Spark, Kafka, Flink)nExperience building and scaling systems on premise and in the cloudnStrong technical skills with proven experience developing, architecting, and supporting scalable data infrastructurenPassion for data quality, code elegance, clear documentation, cost saving and operational excellence
**Preferred Qualifications**
 Ability to communicate effectively with cross\-functional technical and non\-technical teamsnComfortable working in a rapidly changing environment with ambiguous requirementsnComfortable with rotating on\-call for mission\-critical applicationsnPrior experience in advertising industry is a huge plus!
**Pay \&amp; Benefits**
 At Apple, base pay is one part of our total compensation package and is determined within a range. This provides the opportunity to progress as you grow and develop within a role. The base pay range for this role is between $181,100 and $272,100,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10">
      <c r="A10" t="inlineStr">
        <is>
          <t>li-4362736594</t>
        </is>
      </c>
      <c r="B10" t="inlineStr">
        <is>
          <t>Data &amp; Analytics Engineer</t>
        </is>
      </c>
      <c r="C10" t="inlineStr">
        <is>
          <t>Zivian Health</t>
        </is>
      </c>
      <c r="D10" t="inlineStr">
        <is>
          <t>linkedin</t>
        </is>
      </c>
      <c r="E10">
        <f>HYPERLINK("https://www.linkedin.com/jobs/view/4362736594", "https://www.linkedin.com/jobs/view/4362736594")</f>
        <v/>
      </c>
      <c r="F10" t="inlineStr"/>
      <c r="G10" t="inlineStr"/>
      <c r="H10" t="inlineStr"/>
      <c r="I10" t="inlineStr">
        <is>
          <t>Zivian’s mission is to expand access to high\-quality healthcare. Our expert guidance and software solutions simplify compliance, improve clinical quality, and streamline management of healthcare teams. This helps independent providers and healthcare organizations stay focused on their core competence: patient care.
 We believe that a successful consumer product begins with a great experience for our users, and we are dedicated to building innovative tools and platforms that empower healthcare professionals and consumers alike, providing seamless access to resources, removing administrative burden, increasing compliance and insights that enhance health outcomes.
**Who You Are**
 You’re the person who actually enjoys the "puzzle" of data. While others are out chasing the latest "shiny object" tool, you’re in the trenches making sure the data actually works. You understand that a company of our size needs accurate, actionable data.
 We’re looking for a thorough, pragmatic, and action\-oriented person. You aren't just here to write code; you're here to solve problems. You’re motivated by the "lightbulb moment" when a business user finally understands a report because you spent the time to profile, clean, and model it into something beautiful.
 You’re a "forever student." You’re the type of person who stays curious, iterates fast, and isn't afraid to put in the focused time required to master a new skill. We’re a team of high\-performers who believe in hard work worth doing, and we’re looking for a partner who wants to build something that lasts.
**What You’ll Bring**
* 3–6 years of experience focused on data engineering or analytics.
* Proven experience diving deep into disparate data sources to perform cleaning, normalization, and complex data modeling. You should be able to explain why you chose a specific model for a specific business problem.
* Strong proficiency in SQL and Python for data manipulation. You should be comfortable writing code that automates the "grunt work" of data ingestion, transformation, and validation.
* A track record of being action\-oriented. You prefer a working solution shipped to production this week over a perfect "theoretical" solution next month.
* A technical curiosity. You don’t need to know everything but you must have the hunger to learn and apply new knowledge to your daily workflow.
* Strong and effective communication skills. The ability to translate "data speak" into "business speak" for non\-technical teammates.
**Bonus Points For**
* A background in a startup environment where you had to be a "generalist" in the data \&amp; analytics stack.
* Experience with dbt, SQLMesh, or similar modern transformation tooling.
**Where You’ll Be**
 We offer flexibility! This is a remote role, but you must be based within the US. Due to Data \&amp; Analytics team location there is a strong preference for EST hours.
**What’s In It For You**
 You won’t just be a cog in a machine; you are helping to build the engine. You will see your work directly impact our company’s ability to hit our growth milestones.
* Real Ownership: You aren’t just a ticket\-taker. You’re a foundational member of the team helping us architect our future.
* No Ego environment. If you have a better way to do something, we want to hear it.
* Great Humans: You’ll work with a team that is deeply committed and genuinely enjoys building our dynamic, diverse, and collaborative work environment.</t>
        </is>
      </c>
    </row>
    <row r="11">
      <c r="A11" t="inlineStr">
        <is>
          <t>li-4357628441</t>
        </is>
      </c>
      <c r="B11" t="inlineStr">
        <is>
          <t>Health Sensing Data Engineer</t>
        </is>
      </c>
      <c r="C11" t="inlineStr">
        <is>
          <t>Apple</t>
        </is>
      </c>
      <c r="D11" t="inlineStr">
        <is>
          <t>linkedin</t>
        </is>
      </c>
      <c r="E11">
        <f>HYPERLINK("https://www.linkedin.com/jobs/view/4357628441", "https://www.linkedin.com/jobs/view/4357628441")</f>
        <v/>
      </c>
      <c r="F11" t="inlineStr"/>
      <c r="G11" t="inlineStr">
        <is>
          <t>California, United States</t>
        </is>
      </c>
      <c r="H11" t="inlineStr"/>
      <c r="I11" t="inlineStr">
        <is>
          <t>**Summary**
 The Health Sensing HW team develops groundbreaking health sensors that are central to helping our customers live a healthier lifestyle.nnWe are looking for a data engineer with a desire to innovate in the space of optical sensors and health sensing features, with a passion for data pipelines/infrastructure and software development. You will develop system models of one or more health sensors to assess the performance of the sensor and inform design decisions. You will create tools to consume data from cloud\-based databases, run data quality analyses, and root cause outliers. You will also be responsible for building tools to streamline the data analyses with existing DL/ML algorithms. You will work closely with internal and cross\-functional teams to tackle challenges involving sensors, algorithms, and user behavior, and you will play a key role in developing and quantifying the performance of hardware solutions to enable optical sensing features.
**Description**
 The team you will join is responsible for designing and delivering health features for Apple's wearable devices. We are highly collaborative and partner with a variety of teams across Apple.
**Minimum Qualifications**
 Experience writing, debugging, and maintaining computer simulation code with strong software development skills, with proficiency in Python.nExperience developing data analytics systems for early\-stage projects to help team learn about unknown dependencies.nBS and a minimum of 3 years relevant industry experience
**Preferred Qualifications**
 Experience with unit test development.nCollaborative and willing to work in cross\-functional fast\-paced technology development.nExcellent written and verbal communications skills.nMS, or PhD in Computer Science, Electrical Engineering, Physics, or related field with 2\+ years of relevant hands\-on experience.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12">
      <c r="A12" t="inlineStr">
        <is>
          <t>li-4359181336</t>
        </is>
      </c>
      <c r="B12" t="inlineStr">
        <is>
          <t>Data Engineer, Apple Services Engineering</t>
        </is>
      </c>
      <c r="C12" t="inlineStr">
        <is>
          <t>Apple</t>
        </is>
      </c>
      <c r="D12" t="inlineStr">
        <is>
          <t>linkedin</t>
        </is>
      </c>
      <c r="E12">
        <f>HYPERLINK("https://www.linkedin.com/jobs/view/4359181336", "https://www.linkedin.com/jobs/view/4359181336")</f>
        <v/>
      </c>
      <c r="F12">
        <f>HYPERLINK("https://jobs.apple.com/en-us/details/200633566&amp;urlHash=8pyt", "https://jobs.apple.com/en-us/details/200633566&amp;urlHash=8pyt")</f>
        <v/>
      </c>
      <c r="G12" t="inlineStr">
        <is>
          <t>Cupertino, CA</t>
        </is>
      </c>
      <c r="H12" t="inlineStr"/>
      <c r="I12" t="inlineStr">
        <is>
          <t>**Summary**
 The Apple Services Engineering team (ASE) is one of the most exciting examples of Apple’s long\-held passion for combining art and technology. We are the people who power the App Store, AppleTV, Apple Music, iCloud, and many more. We’re idealists. Inventors. Forever tinkering with products and processes, always on the lookout for better. Does an exciting, dynamic, and fast\-paced environment catch your attention? Consider joining our team!nnWe are seeking a Data Engineer to join our team who brings deep passion for designing and building data platforms that power visualizations and insights that enable us to track and ship our projects to billions of customers worldwide. If you love data and creating beautiful, compelling, and intuitive visualizations, we want to hear from you.n
**Description**
 As a Data Engineer in ASE, you will be responsible for designing, developing, and maintaining robust data pipelines to support data science initiatives. Our team's task is to build a comprehensive aggregate data layer that enables efficient and flexible executive reporting, highly customized data applications, and powerful ML inference and analysis.nnIn this role, you will work closely with data scientists, engineers, and Quality teams to build scalable data pipelines and solutions. As a data engineer, you must effectively collaborate to bridge the gap between business needs, analytical solutions, and engineering requirements.n
**Minimum Qualifications**
 3\-5 years of experience in Data Engineering or similar role n3\-5 years of experience in Python and SQLn3\-5 years of experience with data schema design and data modelingnBachelors degree in Computer Science, Data Science, Mathematics, or related field, or equivalent experiencenExperience creating data visualizations that tell compelling stories using tools such as Tableau, D3, Plotly, or Observable n
**Preferred Qualifications**
 Experience with JavaScript/TypeScript, Swift, R, or Scala is a big plusnExperience with NoSQL datastores (such as HBase, Cassandra, MongoDB)nExperience integrating messaging technologies like Kafka or FlinknExperience with Big Data Tech such as Apache Spark or HadoopnObservability and telemetry tools such as CloudWatch, Splunk, Prometheus, OpenTelemetrynAbility to build CI pipelines and automation tools using tools such as Jenkins, GitHub Actions, CircleCI, etc.nExperience with mentoring, guiding, and motivating other team membersnExcellent presentation and communication skills, with strong attention to detail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13">
      <c r="A13" t="inlineStr">
        <is>
          <t>li-4362783562</t>
        </is>
      </c>
      <c r="B13" t="inlineStr">
        <is>
          <t>Data Engineer</t>
        </is>
      </c>
      <c r="C13" t="inlineStr">
        <is>
          <t>KAYAK</t>
        </is>
      </c>
      <c r="D13" t="inlineStr">
        <is>
          <t>linkedin</t>
        </is>
      </c>
      <c r="E13">
        <f>HYPERLINK("https://www.linkedin.com/jobs/view/4362783562", "https://www.linkedin.com/jobs/view/4362783562")</f>
        <v/>
      </c>
      <c r="F13">
        <f>HYPERLINK("https://jobs.ashbyhq.com/kayak/6105f74e-5ca2-4618-a3ae-d41b5b82f6ec/application?utm_source=JobWrapping&amp;urlHash=jmDs", "https://jobs.ashbyhq.com/kayak/6105f74e-5ca2-4618-a3ae-d41b5b82f6ec/application?utm_source=JobWrapping&amp;urlHash=jmDs")</f>
        <v/>
      </c>
      <c r="G13" t="inlineStr">
        <is>
          <t>Cambridge, MA</t>
        </is>
      </c>
      <c r="H13" t="inlineStr"/>
      <c r="I13" t="inlineStr">
        <is>
          <t>KAYAK, part of Booking Holdings (NASDAQ: BKNG), is the world’s leading travel search engine. With billions of queries across our platforms, we help people find their perfect flight, stay, rental car and vacation package. We’re also transforming business travel with a new corporate travel solution, KAYAK for Business.
 As an employee of KAYAK, you will be part of a travel company that operates a portfolio of global metasearch brands including momondo, Cheapflights and HotelsCombined, among others. From start\-up to industry leader, innovation is in our DNA and every employee has an opportunity to make their mark. Our focus is on building the best travel search engine to make it easier for everyone to experience the world.
 We’re looking for a Data Engineer with a solid foundation in building robust data pipelines and a collaborative mindset to join our Marketing Data Engineering team. If you thrive in a fast\-paced environment, enjoy working cross\-functionally, and are eager to embrace change (especially innovations like AI coding assistants), this could be your next adventure!
**In This Role You Will**
* Design, build, and maintain high\-performance data pipelines and orchestration workflows
* Write clean, modular Python code to transform, parse, clean, and enrich large datasets
* Support stakeholders by developing dashboards and visualizations
* Partner closely with marketing analysts, engineers, and data scientists to define and deliver data needs
* Actively participate in agile ceremonies, code reviews, and planning discussions
* Experiment with and use AI coding tools to boost productivity and code quality
 Our Tech Stack
* Languages: Python, SQL
* Workflow orchestration: Airflow
* Query engine: Trino
* Data warehouse: Vertica
* Source control: Git
* AI coding tools: Cursor
**Please Apply If You Have**
* 6\+ years of professional experience in data engineering
* Proficient in SQL and Python, and know how to write scalable, maintainable code
* Worked with AI coding tools and are excited about how they’re shaping the future of development
* Understand modern data architecture from ingestion to transformation to delivery
* Built and operated Airflow pipelines (or something similar)
* You’re comfortable estimating project scope, managing timelines, and delivering reliably
**Soft Skills We Value**
* Excellent collaborator and communicator, comfortable working with technical and non\-technical peers
* Solution\-oriented and driven by curiosity
* Welcome change and innovation, and you’re quick to adapt your tools and practices
* Thrive in an international, fast\-paced, and feedback\-driven environment
 There are a variety of factors that go into determining a salary range, including but not limited to external market benchmark data, geographic location, and years of experience sought/required. The base range for this United States located role is $115,000 \- 130,000\.00\.
 We offer a competitive base salary and benefits including: health benefits; flexible spending account; retirement benefits; life insurance; paid time off (including PTO, paid sick leave, medical leave, bereavement leave, floating holidays and paid holidays); and parental leave benefits. This role is eligible to be considered for an annual bonus.
**Inclusion**
 At KAYAK, we want everyone to have the space to grow, share ideas and do great work. That’s why we’re focused on hiring the best talent from all walks of life and experiences, supporting them well and making sure no one feels like they have to fit a mold to belong here.
 Need any adjustments for the interview, application or on the job? No problem \- just give us a heads\-up. We’ve got you.</t>
        </is>
      </c>
    </row>
    <row r="14">
      <c r="A14" t="inlineStr">
        <is>
          <t>li-4353440663</t>
        </is>
      </c>
      <c r="B14" t="inlineStr">
        <is>
          <t>Early Career Talent - Data Engineer</t>
        </is>
      </c>
      <c r="C14" t="inlineStr">
        <is>
          <t>Western Digital</t>
        </is>
      </c>
      <c r="D14" t="inlineStr">
        <is>
          <t>linkedin</t>
        </is>
      </c>
      <c r="E14">
        <f>HYPERLINK("https://www.linkedin.com/jobs/view/4353440663", "https://www.linkedin.com/jobs/view/4353440663")</f>
        <v/>
      </c>
      <c r="F14" t="inlineStr"/>
      <c r="G14" t="inlineStr">
        <is>
          <t>San Jose, CA</t>
        </is>
      </c>
      <c r="H14" t="inlineStr"/>
      <c r="I14" t="inlineStr">
        <is>
          <t>At Western Digital, our vision is to power global innovation and push the boundaries of technology to make what you thought was once impossible, possible.
 At our core, Western Digital is a company of problem solvers. People achieve extraordinary things given the right technology. For decades, we’ve been doing just that—our technology helped people put a man on the moon and capture the first\-ever picture of a black hole.
 We offer an expansive portfolio of technologies, HDDs, and platforms for business, creative professionals, and consumers alike under our Western Digital®, WD®, and WD\_BLACK™ brands.
 We are a key partner to some of the largest and highest\-growth organizations in the world. From enabling systems to make cities safer and more connected, to powering the data centers behind many of the world’s biggest companies and hyperscale cloud providers, to meeting the massive and ever\-growing data storage needs of the AI era, Western Digital is fueling a brighter, smarter future.
 Today’s exceptional challenges require your unique skills. Together, we can build the future of data storage.
**Job Description**
 We are seeking a Data Engineer with a strong background in data pipelines, automated testing, Data Analytics, and HDD systems. The ideal candidate will bridge the gap between software and hardware data environments—developing, validating, and maintaining data workflows that support HDD performance testing, analysis, and reporting.
**Essential Duties \&amp; Responsibilities:**
 Design, build, and maintain scalable data pipelines to collect, process, and analyze data with HDD testing systems
 Develop processes to ensure accurate and efficient data flow between tester, databases, and analytics tools
 Collaborate with SMEs to analyze HDD performance, reliability, and failure data
 Create automated test scripts and integrate testing results into data systems and dashboards
 Support root cause analysis and predictive modeling of HDD test data
 Integrate AI tools, such as chatbots or other interactive platforms, to facilitate access to summarized reports and knowledge bases
 Work closely with cross\-functional teams to ensure reporting systems are aligned with overall business goals
**Qualifications**
**Role begins Summer 2026**
**Required:**
* **Master’s degree or higher** 
 in
 **Computer Science, Data Science, Engineering** 
 , or a related field (
 **Graduating Mar 2026 \- May 2026** 
 ).
* Proficiency in
 **R** 
 and
 **Python** 
 , developed through coursework, research projects, or internships.
* Proven
 **analytical skills** 
 and a strong attention to detail, demonstrated in your academic work or applied projects.
* A demonstrated ability to communicate and collaborate with
 **SMEs** 
 and diverse, cross\-functional teams.
* Knowledge or curiosity about the
 **data storage (HDD) industry** 
 —even if your experience has been in academic projects or classes.
* Experience (even through academic projects) with
 **Generative AI** 
 ,
 **NLP** 
 , or other AI tools.
* Exposure to
 **business intelligence platforms** 
 and
 **cloud services** 
 like
 **Google Cloud** 
 or
 **AWS** 
 .
* Familiarity with
 **CICD toolchains** 
 like
 **Git, Jenkins, Docker** 
 (academic, project\-based, or internship experience).
* Experience with other programming languages like
 **C\+\+, Java, JavaScript/Node.js** 
 —even from side projects or research.
**Preferred:**
* Familiarity with large\-scale database concepts, with project or classroom experience
***What Sets You Apart***
 :
* You’re
 **forward\-thinking** 
 and eager to apply the latest trends to real\-world problems.
* You’re not just looking for a job—you’re looking to
 **grow and innovate** 
 , and you're driven by a desire to
 **make an impact** 
 .
* Your ability to communicate complex ideas, both to peers and non\-technical stakeholders, is a major asset.
* You thrive in a
 **collaborative environment** 
 where diverse perspectives are valued.
**Additional Information**
 Western Digital is committed to providing equal opportunities to all applicants and employees and will not discriminate against any applicant or employee based on their race, color, ancestry, religion (including religious dress and grooming standards), sex (including pregnancy, childbirth or related medical conditions, breastfeeding or related medical conditions), gender (including a person’s gender identity, gender expression, and gender\-related appearance and behavior, whether or not stereotypically associated with the person’s assigned sex at birth), age, national origin, sexual orientation, medical condition, marital status (including domestic partnership status), physical disability, mental disability, medical condition, genetic information, protected medical and family care leave, Civil Air Patrol status, military and veteran status, or other legally protected characteristics. We also prohibit harassment of any individual on any of the characteristics listed above. Our non\-discrimination policy applies to all aspects of employment. We comply with the laws and regulations set forth in the "Know Your Rights: Workplace Discrimination is Illegal” poster. Our pay transparency policy is available here.
 Western Digital thrives on the power and potential of diversity. As a global company, we believe the most effective way to embrace the diversity of our customers and communities is to mirror it from within. We believe the fusion of various perspectives results in the best outcomes for our employees, our company, our customers, and the world around us. We are committed to an inclusive environment where every individual can thrive through a sense of belonging, respect and contribution.
 Western Digital is committed to offering opportunities to applicants with disabilities and ensuring all candidates can successfully navigate our careers website and our hiring process. Please contact us at jobs.accommodations@wdc.com to advise us of your accommodation request. In your email, please include a description of the specific accommodation you are requesting as well as the job title and requisition number of the position for which you are applying.
 Based on our experience, we anticipate that the application deadline will be 4/7/26, although we reserve the right to close the application process sooner if we hire an applicant for this position before the application deadline. If we are not able to hire someone from this role before the application deadline, we will update this posting with a new anticipated application deadline.
**Compensation \&amp; Benefits Details**
* An employee’s pay position within the salary range may be based on several factors including but not limited to (1\) relevant education; qualifications; certifications; and experience; (2\) skills, ability, knowledge of the job; (3\) performance, contribution and results; (4\) geographic location; (5\) shift; (6\) internal and external equity; and (7\) business and organizational needs.
* The salary range is what we believe to be the range of possible compensation for this role at the time of this posting. We may ultimately pay more or less than the posted range and this range is only applicable for jobs to be performed in California, Colorado, New York or remote jobs that can be performed in California, Colorado and New York. This range may be modified in the future.
* If your position is non\-exempt, you are eligible for overtime pay pursuant to company policy and applicable laws. You may also be eligible for shift differential pay, depending on the shift to which you are assigned.
* You will be eligible to be considered for bonuses under
 **either** 
 Western Digital’s Short Term Incentive Plan (“STI Plan”) or the Sales Incentive Plan (“SIP”) which provides incentive awards based on Company and individual performance, depending on your role and your performance. You may be eligible to participate in our annual Long\-Term Incentive (LTI) program, which consists of restricted stock units (RSUs) or cash equivalents, pursuant to the terms of the LTI plan. Please note that not all roles are eligible to participate in the LTI program, and not all roles are eligible for equity under the LTI plan. RSU awards are also available to eligible new hires, subject to Western Digital’s Standard Terms and Conditions for Restricted Stock Unit Awards.
* We offer a comprehensive package of benefits including paid vacation time; paid sick leave; medical/dental/vision insurance; life, accident and disability insurance; tax\-advantaged flexible spending and health savings accounts; employee assistance program; other voluntary benefit programs such as supplemental life and AD\&amp;D, legal plan, pet insurance, critical illness, accident and hospital indemnity; tuition reimbursement; transit; the Applause Program; employee stock purchase plan; and the Western Digital Savings 401(k) Plan.
* **Note:** 
 No amount of pay is considered to be wages or compensation until such amount is earned, vested, and determinable.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**Notice To Candidates:** 
 Please be aware that Western Digital and its subsidiaries will never request payment as a condition for applying for a position or receiving an offer of employment. Should you encounter any such requests, please report it immediately to Western Digital Ethics Helpline or email compliance@wdc.com.</t>
        </is>
      </c>
    </row>
    <row r="15">
      <c r="A15" t="inlineStr">
        <is>
          <t>li-4353211721</t>
        </is>
      </c>
      <c r="B15" t="inlineStr">
        <is>
          <t>Data Engineer I</t>
        </is>
      </c>
      <c r="C15" t="inlineStr">
        <is>
          <t>Alterman, Inc.</t>
        </is>
      </c>
      <c r="D15" t="inlineStr">
        <is>
          <t>linkedin</t>
        </is>
      </c>
      <c r="E15">
        <f>HYPERLINK("https://www.linkedin.com/jobs/view/4353211721", "https://www.linkedin.com/jobs/view/4353211721")</f>
        <v/>
      </c>
      <c r="F15" t="inlineStr"/>
      <c r="G15" t="inlineStr">
        <is>
          <t>Live Oak, TX</t>
        </is>
      </c>
      <c r="H15" t="inlineStr"/>
      <c r="I15" t="inlineStr">
        <is>
          <t>**Overview**
*The Data Engineer I is a key technical resource for Alterman’s data pipelines and helps contextualize and provide easy access to data for the entire organization. The Data Engineer I designs, builds, and deploys data solutions that capture, explore, transform, and utilize data to support and drive business initiatives.*
**Essential Functions**
* 90%
* Constructs new data pipelines and optimizes existing ones to ensure resiliency and scalability.
* Designs data models for optimized reporting.
* Creates complex views specific for various operations groups.
* Creates Extract, Load, Transform (ELT) jobs from various data sources.
* Assists data team with data initiatives and automation needs.
* Maintains and enforces best practices with regards to data source control and queries.
* Contributes to data catalogs and dictionaries.
* Tests and debugs ELT functions.
* Performs other duties as assigned. 10%
**Education And Experience**
* 2 years of related experience engineering and operationalizing data pipelines within a cloud environment required.
* 2 years of related experience with ELT and Data Warehousing required.
* Experience with Azure DevOps and Snowflake required.
* Experience with SQL required; Python preferred for light transformations and automation.
* Experience with data engineering best practices for development required, including query optimization, version control, code reviews and documentation.
**Skills/Abilities**
* Excellent verbal and written communication skills, with a demonstrated ability to translate the stories found in the data.
* Strong analytical and critical thinking skills.
* Statistical modeling and/or data visualizations skills preferred.
* Proficient with Microsoft Office Suite, or other related software.
* Proficient in SQL and/or Python.
* Familiarity with data quality, lineage, and cataloging practices.
* Awareness of data governance and security (RBAC/roles, object tags, masking, RAPS).
* Able to learn corporate processes, standards, and technologies.
* Able to work adaptively and collaboratively.
* Able to cross\-train with other system owners and administrators to ensure adequate coverage across platforms.
**Work Environment**
* Office environment.
**Physical Demands**
* Prolonged periods of sitting at a desk and working on a computer.
* Manual dexterity associated with computer data entry required.</t>
        </is>
      </c>
    </row>
    <row r="16">
      <c r="A16" t="inlineStr">
        <is>
          <t>li-4362793171</t>
        </is>
      </c>
      <c r="B16" t="inlineStr">
        <is>
          <t>Senior Data Engineer</t>
        </is>
      </c>
      <c r="C16" t="inlineStr">
        <is>
          <t>Cerberus Capital Management</t>
        </is>
      </c>
      <c r="D16" t="inlineStr">
        <is>
          <t>linkedin</t>
        </is>
      </c>
      <c r="E16">
        <f>HYPERLINK("https://www.linkedin.com/jobs/view/4362793171", "https://www.linkedin.com/jobs/view/4362793171")</f>
        <v/>
      </c>
      <c r="F16" t="inlineStr"/>
      <c r="G16" t="inlineStr"/>
      <c r="H16" t="inlineStr"/>
      <c r="I16" t="inlineStr">
        <is>
          <t>**About the job** 
 Cerberus Technology Solutions
**Position Title:** 
 Associate/Sr. Associate, Sr. Data Engineer, CTS
**Functional / Industry Experience:** 
 Sr. Data Engineer (5 – 10 years)
**Position Type (Core/Consultant/BOD):** 
 Core
**Time Commitment:** 
 Full\-Time
**Summary** 
 We are looking to expand our Data Engineering team to build modern, scalable data platforms for our internal investment desks and portfolio companies. You will contribute to the firm’s objectives by delivering rapid and reliable data solutions that unlock value for Cerberus desks, portfolio companies, and other businesses. You’ll do this by designing and implementing robust data architectures, pipelines, and workflows that enable advanced analytics and AI applications. You may also support initiatives such as due diligence and pricing analyses by ensuring high\-quality, timely data availability.
**Responsibilities** 
 » Design, build, and maintain scalable, cloud\-based data pipelines and architectures to support advanced analytics and machine learning initiatives.
 » Develop robust ELT/ELT workflows using tools like Snowflake, MS Fabric, dbt, ADF, Airflow, and Relational DBs like SQL Server and PostgreSQL, to transform raw data into high\-quality, analytics\-ready datasets.
 » Collaborate with data scientists, analysts, and software engineers to ensure seamless data integration and availability for predictive modeling and business intelligence.
 » Optimize data storage and processing in Azure environments for performance, reliability, and cost\-efficiency.
 » Implement best practices for data modeling, governance, and security across all platforms.
 » Troubleshoot and enhance existing pipelines to improve scalability and resilience.
**Sample Projects You Work On** 
 Financial Asset Management Pipeline: Build and manage data ingestion from third\-party APIs, model data using dbt, and support machine learning workflows for asset pricing and prediction using Azure ML Studio. This includes ELT processes, data modeling, running predictions, and storing outputs for downstream analytics.
**Your Experience** 
 We’re a small, high\-impact team with a broad remit and diverse technical backgrounds. We don’t expect any single candidate to check every box below \- if your experience overlaps strongly with what we do and you’re excited to apply your skills in a fast\-moving, real\-world environment, we’d love to hear from you.
 »
 **Strong technical foundation** 
 : Degree in a STEM field (or equivalent experience) with hands\-on experience in production environments, emphasizing performance optimization and code quality.
 »
 **Python expertise:** 
 Advanced proficiency in Python for data engineering, data wrangling and pipeline development.
 »
 **Cloud Platforms** 
 : Hands\-on experience working with Azure. AWS experience is considered, however Azure exposure is preferred.
 »
 **Data Warehousing:** 
 Proven expertise with Snowflake – schema design, performance tuning, data ingestion, and security.
 »
 **Workflow Orchestration:** 
 Production experience with Apache Airflow (Prefect, Dagster or similar), including authoring DAGs, scheduling workloads and monitoring pipeline execution.
 »
 **Data Modeling:** 
 Strong theoretical and practical understanding of relational and dimensional modeling. Proficient in dbt, including writing modular SQL transformations, building data models, and maintaining dbt projects.
 »
 **SQL Databases:** 
 Extensive experience with PostgreSQL, SQL Server (or similar), including schema design, optimization, and complex query development.
 »
 **Version Control and CI/CD:** 
 Familiarity with Git\-based workflows and continuous integration/deployment practices (experience with Azure DevOps or Github Actions) to ensure seamless code integration and deployment processes.
 »
 **Communication and problem\-solving skills:** 
 Ability to articulate complex technical concepts to technical and non\-technical stakeholders alike. Excellent problem\-solving skills with a strong analytical mindset.
 »
 **Infrastructure as Code (
 *Nice to have* 
 ):** 
 Production experience with declarative infrastructure definition – e.g. Terraform, Pulumi or similar.
**Professional Experience \&amp; Education** 
 » Bachelor's or Master's degree in Computer Science, Engineering, or a related field.
 » Relevant certification from Azure, AWS, GCP, IBM, Snowflake, dbt
**Other Requirements** 
 » Cross industry exposure and experience preferred
 » 5 days a week in\-office: We believe in the power of in\-person collaboration to drive innovation, mentorship, and velocity. This role is based in our office five days a week – ideal for those who thrive in high\-energy, team\-centric environments.
 » Global exposure: Be ready to travel! This role offers occasional cross\-continental and international travel opportunities, giving you the chance to engage with global teams, portfolio companies, and cutting\-edge tech initiatives around the world.
**Work Authorization** 
 We are unable to sponsor or transfer employment visas at this time.
**Company Description** 
 Established in 1992, Cerberus Capital Management, L.P., together with its affiliates, is one of the world's leading private investment firms. Through its team of investment and operations professionals, Cerberus specializes in providing both financial resources and operational expertise to help transform undervalued and underperforming companies into industry leaders for long\-term success and value creation. Cerberus holds controlling or significant minority interests in companies around the world.
 Cerberus Technology Solutions is an operating company and subsidiary of Cerberus Capital Management. We are a new, but growing team of AI specialists \- data scientists, software engineers, and technology strategists \- working to transform how an alternative investment firm with $65B in assets under management leverages technology and data. Our remit is broad, spanning investment operations, portfolio companies, and internal systems, giving the team the opportunity to shape the way the firm approaches analytics, automation, and decision\-making.
 We operate with the creativity and agility of a small team, tackling diverse, high\-impact challenges across the firm. While we are embedded within a global investment platform, we maintain a collaborative, innovative culture where our AI talent can experiment, learn, and have real influence on business outcomes.</t>
        </is>
      </c>
    </row>
    <row r="17">
      <c r="A17" t="inlineStr">
        <is>
          <t>li-4359088756</t>
        </is>
      </c>
      <c r="B17" t="inlineStr">
        <is>
          <t>AppleCare Finance Data Engineer</t>
        </is>
      </c>
      <c r="C17" t="inlineStr">
        <is>
          <t>Apple</t>
        </is>
      </c>
      <c r="D17" t="inlineStr">
        <is>
          <t>linkedin</t>
        </is>
      </c>
      <c r="E17">
        <f>HYPERLINK("https://www.linkedin.com/jobs/view/4359088756", "https://www.linkedin.com/jobs/view/4359088756")</f>
        <v/>
      </c>
      <c r="F17" t="inlineStr"/>
      <c r="G17" t="inlineStr">
        <is>
          <t>Austin, TX</t>
        </is>
      </c>
      <c r="H17" t="inlineStr"/>
      <c r="I17" t="inlineStr">
        <is>
          <t>**Summary**
 Do you love thinking analytically? Are you passionate about using your financial knowledge to navigate complex challenges? Just as our customers find value in Apple products, the Finance group finds value for both Apple and its shareholders. As part of this group, you’ll play an integral role in ensuring our day\-to\-day financial health. You and your team will support Apple’s growth, both top and bottom line, by applying the same level of innovation toward financial matters as we do toward our products and services. You’ll also collaborate with Apple teams across the world to develop more effective investment strategies and risk management. Finance is essential to upholding our global commitment to excellence, and it is directly responsible for shaping the company’s future. Join us, and you’ll have a meaningful role in continuing Apple’s legacy of efficiency and success.
**Description**
 We are looking for a skilled Data Engineer with a proven track record in building and troubleshooting issues in complex data sets from multiple data sources. This role requires candidate with hands\-on expertise in advanced SQL scripting, ETL methodologies, data visualization, data validations, and problem\-solving skills to uncover insights and drive business decisions.
**Minimum Qualifications**
 7\+ years of applied experience in data engineering, business analytics, or business intelligence roles.nStrong proficiency in SQL and R/Python (pandas, NumPy, scikit\-learn).nHands\-on experience in Dataiku Data Modeling platform.nExperience with data modeling, transformation, and analytics frameworks such as Snowflake.nSkilled in building data visualizations using Tableau, and presenting insights to diverse audiences.nExperience delivering end\-to\-end analytical projects, from scoping to presentation.nExcellent communication and collaboration skills, including translating data insights for business stakeholders.nBachelor’s degree in a quantitative or technical discipline.
**Preferred Qualifications**
 Hands\-on experience with Snowpark, PySpark, and streaming/interactive visualization tools such as Streamlit or Plotly.nBackground in SMB, product, or service analytics, including service performance, warranty trends, and support operations.nApplied experience with software engineering workflows, including Git, CI/CD, and producing maintainable, well\-documented code.nExperience developing custom Tableau extensions or deploying LLM\-powered analytics systems.nStrong experience in storytelling with data, translating complex analyses into actionable recommendations for leadership.nFamiliarity with large\-scale data platforms and scalable analytical pipelines.nMaster's degree in a quantitative or technical discipline.
**Pay \&amp; Benefits**
 u003cpu003eApple accepts applications to this posting on an ongoing basis.u003c/pu003e</t>
        </is>
      </c>
    </row>
    <row r="18">
      <c r="A18" t="inlineStr">
        <is>
          <t>li-4362832033</t>
        </is>
      </c>
      <c r="B18" t="inlineStr">
        <is>
          <t>Data &amp; Analytics Engineer</t>
        </is>
      </c>
      <c r="C18" t="inlineStr">
        <is>
          <t>Turnberry Solutions</t>
        </is>
      </c>
      <c r="D18" t="inlineStr">
        <is>
          <t>linkedin</t>
        </is>
      </c>
      <c r="E18">
        <f>HYPERLINK("https://www.linkedin.com/jobs/view/4362832033", "https://www.linkedin.com/jobs/view/4362832033")</f>
        <v/>
      </c>
      <c r="F18" t="inlineStr"/>
      <c r="G18" t="inlineStr"/>
      <c r="H18" t="inlineStr"/>
      <c r="I18" t="inlineStr">
        <is>
          <t>**About The Company** 
 Turnberry Solutions is a leading consulting firm dedicated to delivering innovative technology solutions and strategic insights to a diverse range of clients. With a focus on fostering a collaborative and inclusive work environment, Turnberry prides itself on its commitment to excellence, integrity, and continuous growth. The company specializes in providing tailored services across various domains including data strategy, analytics, cloud computing, and digital transformation.
 Turnberry’s team of experienced professionals works closely with clients to understand their unique challenges and develop customized solutions that drive measurable business outcomes. As an organization, Turnberry values diversity, inclusion, and professional development, ensuring that every employee has the opportunity to thrive and contribute to the company's success.
**About The Role** 
 We are seeking a skilled Data \&amp; Analytics Engineer to join our Data Strategy and Intelligence practice on a 3\-month remote engagement. In this role, you will be instrumental in designing, developing, and maintaining scalable analytical data models and data pipelines that support advanced analytics and business intelligence initiatives. Your expertise will help turn complex data into actionable insights, enabling our clients to make data\-driven decisions.
 The ideal candidate will have a strong background in data modeling, pipeline development, and collaborative problem\-solving within an agile environment. This position offers an excellent opportunity to work remotely from anywhere while contributing to impactful projects that shape data strategies for diverse organizations.
**Qualifications** 
* Bachelor’s degree in Computer Science, Data Science, or a related field
* Proven experience in analytical data modeling using SQL and data modeling best practices
* Experience in building and optimizing ETL/ELT data pipelines, preferably with tools like dbt
* Strong troubleshooting and problem\-solving skills related to data issues
* Proficiency with version control systems such as Azure DevOps and GitHub
* Excellent communication and collaboration skills to work effectively with cross\-functional teams
* Experience participating in agile ceremonies and contributing to sprint goals
* Relevant certifications such as Microsoft Certified Power BI Data Analyst are preferred
**Responsibilities** 
* Design, test, and maintain scalable analytical data models independently, ensuring alignment with business needs
* Develop, optimize, and troubleshoot data pipelines, including conducting UAT for code releases
* Participate actively in agile ceremonies, contributing to sprint planning, reviews, and retrospectives
* Resolve data\-related issues promptly by diagnosing problems and implementing effective solutions
* Assist in designing and implementing dashboards that provide actionable insights, ensuring optimal performance
* Collaborate closely with analysts, data engineers, and business stakeholders to ensure data solutions meet strategic objectives
* Provide guidance and mentorship to junior engineers, fostering a collaborative team environment
* Translate complex business requirements into efficient data models and queries
**Benefits** 
* Competitive salary range of $80,000 to $160,000 or hourly equivalent
* Comprehensive healthcare coverage including medical, dental, and vision insurance
* Disability and group term life insurance
* Flexible spending and health savings accounts
* Utilization bonus and 401(k) plan with company match
* Flexible time off policies for salaried employees
* Parental leave for eligible employees
* Flexible work arrangements, including remote work options
* Opportunities for professional development and career growth
**Equal Opportunity** 
 Turnberry Solutions is an Equal Employment Opportunity employer. We are committed to creating a diverse and inclusive workplace where all employees are valued and respected. We recruit, employ, train, compensate, and promote individuals without regard to age, ancestry, family medical or genetic information, gender identity and expression, marital status, military or veteran status, national or ethnic origin, physical or mental disability, political affiliation, pregnancy, race, religion, sex, sexual orientation, or any other protected characteristic.</t>
        </is>
      </c>
    </row>
    <row r="19">
      <c r="A19" t="inlineStr">
        <is>
          <t>li-4359018804</t>
        </is>
      </c>
      <c r="B19" t="inlineStr">
        <is>
          <t>Analytics Engineer</t>
        </is>
      </c>
      <c r="C19" t="inlineStr">
        <is>
          <t>GEICO</t>
        </is>
      </c>
      <c r="D19" t="inlineStr">
        <is>
          <t>linkedin</t>
        </is>
      </c>
      <c r="E19">
        <f>HYPERLINK("https://www.linkedin.com/jobs/view/4359018804", "https://www.linkedin.com/jobs/view/4359018804")</f>
        <v/>
      </c>
      <c r="F19">
        <f>HYPERLINK("https://click.appcast.io/t/m98R-D9Sm87j7QCgWk24ZkCiiZ2bH_HO_85svjWxonw=?source=LinkedIn&amp;urlHash=61CQ", "https://click.appcast.io/t/m98R-D9Sm87j7QCgWk24ZkCiiZ2bH_HO_85svjWxonw=?source=LinkedIn&amp;urlHash=61CQ")</f>
        <v/>
      </c>
      <c r="G19" t="inlineStr">
        <is>
          <t>Chicago, IL</t>
        </is>
      </c>
      <c r="H19" t="inlineStr"/>
      <c r="I19"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We are looking to hire an Associate Analytics Engineer to support data and reporting needs of actuarial business units. You will work closely with Data Engineering teams to support development of and maintenance of data pipelines and maintain data quality. You will also work closely with business partners to support analytical and reporting data needs. Other responsibilities may include assisting with translating business requirements into technical design specifications for application system changes and new application systems, assist with coding, debugging, testing and documenting existing R Shiny applications, and assist with creating plans for project tasks.
**Qualifications**
* Must be able to multi\-task in a fast paced constantly changing work environment
* Ability to learn and apply large amounts of technical and procedural information, and follow processes
* Knowledgeable of infrastructure tools and management techniques and able to follow standards and processes that have been published
* Ability to provide system training to team members as needed
* Communicate in a clear, concise, professional oral or written manner, to be understood by customers, clients, co\-workers, and other employees of the organization
* Must be able to perform under pressure and stressful situations
* Must be able to concentrate and demonstrate a capacity for learning technical concepts and adapting to new technologies quickly
**Must Have The Following Education And Experience**
* 1\+ years of SQL, SAS, R, Python, Power BI, or C\# programming experience
* 1\+ years of experience with either Linux or Windows Server operating systems
* 1\+ years of experience with Cloud Products (Azure/Google Cloud/AWS) and Services
* Basic knowledge of Snowflake and/or other Enterprise Data Warehouse databases
* 1\+ years of IT infrastructure and DevOps teams experience is preferred
* 1\+ year of full\-time relevant work experience in the US
* BA/BS required in a STEM related field, or equivalent work experience
**Location:** 
 Chicago, IL \- This is a hybrid role that requires 3 days in office.
**Annual Salary**
 $69,700\.00 \- $108,650\.00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0">
      <c r="A20" t="inlineStr">
        <is>
          <t>li-4359153754</t>
        </is>
      </c>
      <c r="B20" t="inlineStr">
        <is>
          <t>Data Engineer</t>
        </is>
      </c>
      <c r="C20" t="inlineStr">
        <is>
          <t>AARATECH</t>
        </is>
      </c>
      <c r="D20" t="inlineStr">
        <is>
          <t>linkedin</t>
        </is>
      </c>
      <c r="E20">
        <f>HYPERLINK("https://www.linkedin.com/jobs/view/4359153754", "https://www.linkedin.com/jobs/view/4359153754")</f>
        <v/>
      </c>
      <c r="F20" t="inlineStr"/>
      <c r="G20" t="inlineStr"/>
      <c r="H20" t="inlineStr"/>
      <c r="I20" t="inlineStr">
        <is>
          <t>Job Title: Data Engineer – Healthcare
 🏢 Company: Aaratech Inc
 🛑 Eligibility: Only U.S. Citizens and Green Card holders are eligible.
 Please note that we do not offer visa sponsorship.
 Job Summary:
 Aaratech Inc. is seeking a skilled and detail\-oriented
 **Data Engineer – Healthcare** 
 to design, build, and maintain data pipelines that support healthcare analytics and reporting. The ideal candidate will work with large healthcare datasets to ensure data reliability, scalability, and availability for analytics and decision\-making.
 Key Responsibilities:
 🔹 Data Pipeline Development
 Design, build, and maintain scalable ETL/ELT pipelines for healthcare data.
 Integrate data from multiple internal and external sources.
 🔹 Data Engineering \&amp; Storage
 Develop and manage data warehouses and data lakes.
 Optimize data models for performance and analytics use cases.
 🔹 Data Quality \&amp; Reliability
 Ensure data accuracy, consistency, and integrity across systems.
 Implement monitoring and validation checks.
 🔹 Collaboration
 Work with data analysts, business teams, and IT stakeholders.
 Support analytics and reporting requirements.
 🔹 Tools \&amp; Technologies
 Use SQL, Python, cloud platforms, and ETL tools.
 Qualifications:
 ✅ Bachelor’s degree in Computer Science, Engineering, or related field
 ✅ Minimum 2 years of Data Engineering experience
 ✅ Strong SQL and Python skills
 ✅ Experience with data pipelines and data warehouses
 ✅ Knowledge of healthcare data is a plus
 ✅ Strong problem\-solving and communication skills</t>
        </is>
      </c>
    </row>
    <row r="21">
      <c r="A21" t="inlineStr">
        <is>
          <t>li-4357697562</t>
        </is>
      </c>
      <c r="B21" t="inlineStr">
        <is>
          <t>Data Engineer</t>
        </is>
      </c>
      <c r="C21" t="inlineStr">
        <is>
          <t>AARATECH</t>
        </is>
      </c>
      <c r="D21" t="inlineStr">
        <is>
          <t>linkedin</t>
        </is>
      </c>
      <c r="E21">
        <f>HYPERLINK("https://www.linkedin.com/jobs/view/4357697562", "https://www.linkedin.com/jobs/view/4357697562")</f>
        <v/>
      </c>
      <c r="F21" t="inlineStr"/>
      <c r="G21" t="inlineStr"/>
      <c r="H21" t="inlineStr"/>
      <c r="I21"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22">
      <c r="A22" t="inlineStr">
        <is>
          <t>li-4362746003</t>
        </is>
      </c>
      <c r="B22" t="inlineStr">
        <is>
          <t>Data Engineer</t>
        </is>
      </c>
      <c r="C22" t="inlineStr">
        <is>
          <t>TF Holdings</t>
        </is>
      </c>
      <c r="D22" t="inlineStr">
        <is>
          <t>linkedin</t>
        </is>
      </c>
      <c r="E22">
        <f>HYPERLINK("https://www.linkedin.com/jobs/view/4362746003", "https://www.linkedin.com/jobs/view/4362746003")</f>
        <v/>
      </c>
      <c r="F22" t="inlineStr"/>
      <c r="G22" t="inlineStr"/>
      <c r="H22" t="inlineStr"/>
      <c r="I22" t="inlineStr">
        <is>
          <t>TF Holdings, a FinTech company specializing in consumer lending, is currently looking for a Data Engineer with a strong background in Azure Databricks, Microsoft SQL and data warehousing to build and support data solutions for our enterprise level systems. The position’s primary responsibility is to design and develop data pipelines and ETL processes using Azure Databricks as we move from our legacy data warehouse to Databricks. The candidate must be comfortable with partnering with users from multiple departments and have a passion to learn the business and deliver complete solutions. The ideal candidate will have a deep understanding of data engineering and cloud computing, with a strong focus on Azure Databricks and SQL Server.
**Duties and Responsibilities:** 
* Partner with end users to learn the business, understand requirements and design complete solutions that meet user expectations.
* Design, Develop and Test data pipelines and advanced analytics solutions using Azure Databricks and other relevant tools.
* Assume responsibility and takes initiative to achieve desired results.
* Design and implement technical solutions based on business requirements.
* Develop complex stored procedures and SQL queries.
* Support production reporting and SSIS applications.
* Analyze and improve SQL performance.
* Collaborate with the data engineering team and foster a culture of continuous learning and improvement.
* Stay current with industry trends and advancements in Databricks and cloud technologies.
**Required Experience:** 
* Bachelor’s degree in Computer Science or a related field.
* 8\+ years of experience as a Data Engineer designing and developing data pipelines using SSIS/Azure Data Factory.
* 3\+ years of experience developing data pipelines with Databricks.
* Solid understanding and hands\-on experience with Delta Lake, and Azure Data Lake Storage Gen2, Databricks Dashboards and Genie.
* Strong understanding and hands\-on experience with Medallion Architecture, Unity Catalog, Delta Live Tables, Workflows and Databricks SQL.
* Strong T\-SQL and performance tuning skills.
* 3\+ years of experience working with Azure Cloud Services including Azure DevOps pipelines.
* Excellent written and verbal communication skills.
* Desire to learn modern technologies and tools to expand existing skill sets.
**Preferred Experience:** 
* Databricks Certification
* Python
* Power BI
* 3\+ years working in an Agile environment.
* History of working with financial data and loan processing.
* Azure Data Factory
* Database Administration
* Jira and Azure DevOps management tools</t>
        </is>
      </c>
    </row>
    <row r="23">
      <c r="A23" t="inlineStr">
        <is>
          <t>li-4362717949</t>
        </is>
      </c>
      <c r="B23" t="inlineStr">
        <is>
          <t>Sr. Databricks Data Engineer</t>
        </is>
      </c>
      <c r="C23" t="inlineStr">
        <is>
          <t>Digitive</t>
        </is>
      </c>
      <c r="D23" t="inlineStr">
        <is>
          <t>linkedin</t>
        </is>
      </c>
      <c r="E23">
        <f>HYPERLINK("https://www.linkedin.com/jobs/view/4362717949", "https://www.linkedin.com/jobs/view/4362717949")</f>
        <v/>
      </c>
      <c r="F23" t="inlineStr"/>
      <c r="G23" t="inlineStr"/>
      <c r="H23" t="inlineStr"/>
      <c r="I23" t="inlineStr">
        <is>
          <t>**Senior Databricks Data Engineer** 
**Preferably from the East Coast** 
**Role Summary** 
 Lirik is seeking a Senior D atabricks Data Ingestion Engineer to build production\-grade, compliant ingestion pipelines for a high\-growth technology company preparing for enterprise and SOX\-aligned readiness.
 This role focuses on reliable, auditable data ingestion on Databricks, aligned with the customer’s engineering standards, security controls, and operational requirements. The engineer will work closely with the customer’s data and platform teams to deliver pipelines built for scale, governance, and long\-term operations.
**Key Responsibilities** 
 · Design and implement Databricks\-based ingestion pipelines using Delta Lake
 · Build incremental, restartable, and schema\-aware ingestion patterns
 · Adhere to customer\-defined engineering standards (code structure, CI/CD, reviews, documentation)
 · Implement logging, monitoring, and operational controls for ingestion workflows
 · Ensure ingestion pipelines meet security, access control, and auditability requirements
 · Collaborate daily with customer engineers and escalate risks early
**Required Experience** 
 · 10\+ years in data engineering, with a strong focus on ingestion, preferably in the healthcare data domain
 · Hands\-on production experience with Databricks and Delta Lake
 · Experience ingesting data from databases, files, and APIs
 · Strong discipline around enterprise engineering standards and compliance
 · Experience operating in regulated or audit\-sensitive environments
**Nice to Have** 
 · SOX or IPO\-readiness experience
 · Data observability or data quality tooling exposure
 · Experience in an embedded or staff\-augmentation model</t>
        </is>
      </c>
    </row>
    <row r="24">
      <c r="A24" t="inlineStr">
        <is>
          <t>li-4357698696</t>
        </is>
      </c>
      <c r="B24" t="inlineStr">
        <is>
          <t>Data Engineer(Azure ,ARM template )(Bellevue, WA, USA) Onsite/FTE(Need Independent Visa Candidates)</t>
        </is>
      </c>
      <c r="C24" t="inlineStr">
        <is>
          <t>Damcosoft</t>
        </is>
      </c>
      <c r="D24" t="inlineStr">
        <is>
          <t>linkedin</t>
        </is>
      </c>
      <c r="E24">
        <f>HYPERLINK("https://www.linkedin.com/jobs/view/4357698696", "https://www.linkedin.com/jobs/view/4357698696")</f>
        <v/>
      </c>
      <c r="F24" t="inlineStr"/>
      <c r="G24" t="inlineStr">
        <is>
          <t>Bellevue, WA</t>
        </is>
      </c>
      <c r="H24" t="inlineStr"/>
      <c r="I24" t="inlineStr">
        <is>
          <t>**Title : Data Engineer(ARM)** 
**Work Location: Bellevue, WA, USA** 
**Job type : FTE** 
 Detailed Job description:
* Minimum 8\+ years of experience in the IT industry specializing in backend and database development.
* Hands\-on experience with Azure DevOps, PowerShell, Azure Application Insights, ARM template deployments, and working with Git repositories.
* Experience or working knowledge of Azure Synapse is a advantage.
* Solid understanding of Agile methodologies and DevOps practices.
* Strong analytical and problem\-solving abilities with the capability to design and implement complex data processing solutions.
* Excellent communication and teamwork skills, with the ability to collaborate effectively across cross\-functional teams.
-</t>
        </is>
      </c>
    </row>
    <row r="25">
      <c r="A25" t="inlineStr">
        <is>
          <t>li-4353070110</t>
        </is>
      </c>
      <c r="B25" t="inlineStr">
        <is>
          <t>Data Engineer - Trading</t>
        </is>
      </c>
      <c r="C25" t="inlineStr">
        <is>
          <t>Expand Energy</t>
        </is>
      </c>
      <c r="D25" t="inlineStr">
        <is>
          <t>linkedin</t>
        </is>
      </c>
      <c r="E25">
        <f>HYPERLINK("https://www.linkedin.com/jobs/view/4353070110", "https://www.linkedin.com/jobs/view/4353070110")</f>
        <v/>
      </c>
      <c r="F25" t="inlineStr"/>
      <c r="G25" t="inlineStr">
        <is>
          <t>Spring, TX</t>
        </is>
      </c>
      <c r="H25" t="inlineStr"/>
      <c r="I25" t="inlineStr">
        <is>
          <t>Our core values — Stewardship, Character, Collaborate, Learn, Disrupt — are the lens through which we evaluate every business decision. As a dynamic, growing company that offers extremely competitive compensation and benefits, our employees are our most valued assets and the foundation of Expand's performance among our E\&amp;P competitors.
 We seek applicants from all backgrounds to ensure we get the best, most creative talent on our team. We realize that, historically, underrepresented groups feel the need to be 100% qualified in order to apply. If you meet any combination of our requirements, we encourage you to apply. We strive to hire people from a wide variety of backgrounds, not just because it’s the right thing to do, but because it makes our company stronger.
**Job Summary**
 The Data Engineer – Trading Enablement will be re\-imagining and designing solutions tailored to the dynamic and market\-driven needs of the Marketing \&amp; Commercial division (analysts, traders, originators and executive leadership). This role involves building robust data models and solutions across natural gas, LNGs, power, and related commodities while understanding the unique challenges of energy market data \- from pipeline flows and storage dynamics to the explosion in AI\-driven power demand. You'll collaborate closely with data scientists and traders while having the autonomy to move quickly and define best practices. We operate strategically in collaboration with our IT teams, while serving as "special forces" for bespoke, short lead\-time data needs.
**Job Duties \&amp; Responsibilities**
* Design, implement, and manage data onboarding processes for diverse energy commodity datasets including gas flows, power generation, oil and gas production data, market pricing, weather, and other market fundamentals
* Design, develop, and maintain data pipelines and models across internal and external datasets for marketing and trading solutions
* Apply understanding of technology and energy market data, commodity flows, and trading applications to optimize data models, integration approaches, and integrity checks/alerting, including developing robust processes and technical documentation
* Scope out projects and implement efficiently to meet requirements of commercial stakeholders (trading, analytics)
* Contribute to technical decision\-making to balance speed and scalability with long\-term objectives, ensuring data architecture supports current needs and future applications including AI/ML and LLM technologies
* Develop and maintain data quality frameworks and validation processes critical for trading decisions
* Share knowledge with team members and help establish best practices for data engineering initiatives
**Job Specific Skills**
* Experience with Snowflake cloud data platforms, Python/Pandas, SQL, and orchestration tools (Airflow, dbt)
* Experience with diverse data integration methods including Snowflake data sharing, REST APIs, SFTP/FTP, web scraping, and automation scripting
* Proficient in PowerBI or similar front\-end visualization tools for energy market analysis
* Solid understanding of energy commodity data characteristics and market structures, with demonstrated ability to quickly learn and work with stakeholders to address the unique challenges of integrating energy datasets
* Proven ability to work effectively with business stakeholders, understand requirements quickly, and translate business needs into technical solutions
**Education**
 Minimum: High school diploma or GED
 Preferred: Bachelor’s degree \- from accredited university \- IT, MIS, Computer Science, Engineering or related field
**Experience**
 Minimum: 2 \- 5 years related work experience
 Preferred: Experience in data engineering for energy commodities (natural gas/NGL, power markets, crude oil, LNG, or related markets)
**Additional Qualifications**
* Natural Gas Market Experience: Experience with natural gas market data sources, pipeline flow data, storage reporting, and basis/location\-specific pricing datasets. Candidates from adjacent energy markets with strong technical skills will be considered
* Energy Trading Background: Experience at energy trading firms, oil \&amp; gas companies, or related commercially\-oriented energy organizations
* Real\-Time Data: Experience with streaming data and low\-latency requirements for trading applications
* Leadership Experience: Track record of building, operating, and supporting performant databases and data pipelines
 Expand Energy takes necessary action to ensure that all applicants are treated without regard to their race, color, religion, sex, sexual orientation, age, gender identity, national origin, genetic information, disability, pregnancy, military or veteran status or any other protected characteristic as established by law.
 Expand Energy Corporation's operations are focused on discovering and developing its large and geographically diverse resource base of unconventional oil and natural gas assets onshore in the United States.
**Nearest Major Market:** 
 Houston
**Job Segment:** 
 Pipeline, Front End, SQL, Database, Data Architect, Energy, Technology, Data</t>
        </is>
      </c>
    </row>
    <row r="26">
      <c r="A26" t="inlineStr">
        <is>
          <t>li-4362891075</t>
        </is>
      </c>
      <c r="B26" t="inlineStr">
        <is>
          <t>SQL Server Data Engineer</t>
        </is>
      </c>
      <c r="C26" t="inlineStr">
        <is>
          <t>SmartLight Analytics</t>
        </is>
      </c>
      <c r="D26" t="inlineStr">
        <is>
          <t>linkedin</t>
        </is>
      </c>
      <c r="E26">
        <f>HYPERLINK("https://www.linkedin.com/jobs/view/4362891075", "https://www.linkedin.com/jobs/view/4362891075")</f>
        <v/>
      </c>
      <c r="F26" t="inlineStr"/>
      <c r="G26" t="inlineStr"/>
      <c r="H26" t="inlineStr"/>
      <c r="I26" t="inlineStr">
        <is>
          <t>**Job Title:** 
 SQL Server Data Engineer
**Location:** 
 Hybrid \- Within 35 miles of Tulsa, Oklahoma
**Department:** 
 Information Technology and Product Development
**Reports To:** 
 Sr. Director of Engineering
**Job Summary**
 The Data Engineer is responsible for building and maintaining robust data processing solutions within our healthcare analytics platform. This role focuses on developing T\-SQL stored procedures, managing data transformations, and supporting our reporting infrastructure. The ideal candidate brings 8\-10 years of hands\-on experience with SQL Server and T\-SQL development, with a passion for working with healthcare data.
 We are seeking a talented Data Engineer to join our growing team. The ideal candidate will have solid experience with SQL Server database development and T\-SQL programming. While knowledge of healthcare claims processing and reporting tools is beneficial, we provide comprehensive on\-the\-job training in these areas. This position offers an excellent opportunity to grow your career in healthcare analytics while working with meaningful data that directly impacts healthcare cost reduction.
 Applicants for employment in the US must have work authorization that does not now or in the future require sponsorship of a visa for employment authorization in the United States.
**Key Responsibilities**
* Develop and maintain T\-SQL stored procedures for data processing and transformation
* Design and optimize SQL Server databases for healthcare analytics workflows
* Build data extraction and transformation processes using raw T\-SQL
* Collaborate with cross\-functional teams to understand data requirements and deliver solutions
* Support data quality initiatives and troubleshoot data processing issues
* Learn and utilize myDBR reporting tool for creating reports and visualizations
* Assist in developing healthcare claims processing workflows and data validation
* Participate in code reviews and maintain documentation for data processes
* Monitor and optimize database performance for large healthcare datasets
* Support ad\-hoc data analysis requests from stakeholders
**Qualifications**
* Bachelor's degree in Computer Science, Information Systems, or related field
* 8\-10 years of experience in data engineering or database development
* Strong proficiency in SQL Server and T\-SQL programming
* Experience writing complex stored procedures, functions, and triggers
* Solid understanding of database design principles and optimization techniques
* Experience with data transformation and ETL processes using T\-SQL
* Strong analytical and problem\-solving skills
* Excellent communication and collaboration abilities
* Ability to work independently and manage multiple priorities
**Preferred Qualifications**
* Experience with healthcare data, medical claims, or prescription claims processing
* Knowledge of myDBR or similar reporting tools
* Understanding of healthcare industry regulations and compliance requirements
* Experience with performance tuning and query optimization
* Background in data analysis or business intelligence
* Familiarity with Azure SQL Database or cloud platforms
* Knowledge of data visualization principles
**Who Is SmartLight Analytics**
 SmartLight Analytics was formed by a group of industry insiders who wanted to make a meaningful impact on the rising cost of healthcare. With this end in mind, SmartLight works for self\-funded employers to reduce the wasteful spend in their healthcare plan through our proprietary data analysis. Our process works behind the scenes to save money without interrupting employee benefits or requiring employee behavior changes.</t>
        </is>
      </c>
    </row>
    <row r="27">
      <c r="A27" t="inlineStr">
        <is>
          <t>li-4353491037</t>
        </is>
      </c>
      <c r="B27" t="inlineStr">
        <is>
          <t>Data Engineer</t>
        </is>
      </c>
      <c r="C27" t="inlineStr">
        <is>
          <t>The Daily Beast</t>
        </is>
      </c>
      <c r="D27" t="inlineStr">
        <is>
          <t>linkedin</t>
        </is>
      </c>
      <c r="E27">
        <f>HYPERLINK("https://www.linkedin.com/jobs/view/4353491037", "https://www.linkedin.com/jobs/view/4353491037")</f>
        <v/>
      </c>
      <c r="F27">
        <f>HYPERLINK("https://job-boards.greenhouse.io/thedailybeast31/jobs/8221369002&amp;urlHash=kYP-", "https://job-boards.greenhouse.io/thedailybeast31/jobs/8221369002&amp;urlHash=kYP-")</f>
        <v/>
      </c>
      <c r="G27" t="inlineStr"/>
      <c r="H27" t="inlineStr"/>
      <c r="I27" t="inlineStr">
        <is>
          <t>**About Us:** 
 The Daily Beast delivers award\-winning original reporting and sharp opinions in politics, pop culture, and world news. We reach more than 20 million readers per month and are based in New York as an operating business of IAC.
**The Role:** 
 Media on the internet is at an inflection point. Success requires data\-driven decision making in ways it never has before \- and we recognize that. We're looking for a Data Engineer to own how we collect, store, and use data across the organization.
 There's foundational infrastructure work to tackle first, but this role extends well beyond that \- you'll explore creative ways to leverage data once the foundation is solid. Your work will directly enable leadership to incorporate more data into strategic decisions across editorial, product, and revenue.
 This role reports directly to the CTO, who will be reviewing applications directly \- no recruiters in between. You'll have real ownership from day one, direct access to leadership, and the chance to work with smart people who care about getting things done. No endless meetings, no approval chains, no politics \- just interesting problems and the autonomy to solve them.
**Who You Are:** 
 You're pragmatic and outcome\-driven. You know when to build custom solutions and when to leverage existing tools. You thrive in environments where you can take ownership, make decisions, and see direct impact \- not ones where you're drowning in process.
 You're familiar with the modern data stack and can evaluate vendors intelligently. You're fluent with AI tools and use them to work faster and smarter \- writing code faster, debugging more efficiently, and exploring solutions more quickly.
 You're comfortable with ambiguity and prefer iterative approaches \- ship something that works, learn from it, and improve it. You want to work somewhere that respects your time and intelligence. You'd rather have one direct conversation with the CTO than ten status update meetings with middle management.
**What You'll Do:** 
* **Own Our Data Infrastructure** 
 – Take ownership of how we collect, store, and transform data. This includes migrating some data outliers to GCP and implementing a modern data stack using BigQuery, dbt, and Dagster—but it doesn't stop there.
* **Enable Data\-Driven Strategy** 
 – Your work will directly impact how leadership makes decisions about editorial content, revenue strategy, and product direction.
* **Evaluate and Implement Vendor Solutions** 
 – Research, test, and recommend tools for our data stack. We lean on vendors when it makes sense—you'll help us figure out what to build, what to buy, and what to integrate.
* **Define Our Data Future** 
 – Establish best practices, build reliable pipelines, and create the systems that will scale with us.
* **Drive Toward Outcomes** 
 – Take ownership of projects from start to finish. We care about impact, not perfection.
* **Find Creative Uses for Data** 
 – Look for opportunities to surface more sources of data and automate workflows to save everyone time.
**What You'll Bring:** 
* Several years of professional experience building data pipelines, ETL/ELT workflows, and working with production data systems
* Experience with cloud data warehouses, transformation tools, orchestration platforms, and ingestion tools
* You actively use AI tools to accelerate your work—you see AI as a productivity multiplier, not a crutch
* Pragmatic problem\-solving: you balance quick wins with long\-term architecture decisions
* Bias for action: you'd rather ship something and iterate than wait for the perfect plan
* Strong communication skills with both technical and non\-technical stakeholders
**More talent than tenure? We care about what you can build, not just your resume.** 
**Why Work for Us?** 
 The Daily Beast is a globally recognized publication at IAC HQ in New York City. As part of IAC, we offer best\-in\-class benefits, including:
* Flexible vacation
* Hybrid working model with flexibility for remote work
* Comprehensive, employer\-subsidized insurance plans
* Pre\-tax commuter benefits
* 401(k) matching
* Tuition reimbursement
**Pay Range Salary** 
 The pay range for this position is $150,000 \- $180,000\. The range represents the anticipated low and high end of the base salary range for this position. Actual salaries may vary and may be above or below the range based on various factors including but not limited to work location, experience, and other factors. The Daily Beast is a globally recognized publication at IAC with our headquarters in New York City.
**Additional Information** 
 Don’t meet every single requirement listed here? If you’re interested in joining the Beast but your past experience doesn’t align perfectly with this job description, we encourage you to give it a shot all the same. It might turn out that you’re just the right candidate for this or other roles. See more about our commitment to diversity at
 https://www.thedailybeast.com/company/diversity
 We are an equal opportunity employer and value diversity at our company. We do not discriminate on the basis of race, religion, color, national origin, gender identity or expression, sexual orientation, age, marital status, veteran status, or disability status.
 \#DataEngineering \#DataEngineer \#BigQuery \#dbt \#GCP \#DataStack \#MediaTech \#NewYorkJobs \#HybridWork \#DataInfrastructure \#AI \#CloudEngineering</t>
        </is>
      </c>
    </row>
    <row r="28">
      <c r="A28" t="inlineStr">
        <is>
          <t>li-4359129101</t>
        </is>
      </c>
      <c r="B28" t="inlineStr">
        <is>
          <t>Data Engineer</t>
        </is>
      </c>
      <c r="C28" t="inlineStr">
        <is>
          <t>The Hartford</t>
        </is>
      </c>
      <c r="D28" t="inlineStr">
        <is>
          <t>linkedin</t>
        </is>
      </c>
      <c r="E28">
        <f>HYPERLINK("https://www.linkedin.com/jobs/view/4359129101", "https://www.linkedin.com/jobs/view/4359129101")</f>
        <v/>
      </c>
      <c r="F28">
        <f>HYPERLINK("https://thehartford.wd5.myworkdayjobs.com/Careers_External/job/Hartford-CT/Data-Engineer_R2623735?source=LinkedIn&amp;urlHash=SC1x", "https://thehartford.wd5.myworkdayjobs.com/Careers_External/job/Hartford-CT/Data-Engineer_R2623735?source=LinkedIn&amp;urlHash=SC1x")</f>
        <v/>
      </c>
      <c r="G28" t="inlineStr">
        <is>
          <t>Columbus, OH</t>
        </is>
      </c>
      <c r="H28" t="inlineStr"/>
      <c r="I28" t="inlineStr">
        <is>
          <t>Data Engineer \- GE08AE
 We’re determined to make a difference and are proud to be an insurance company that goes well beyond coverages and policies. Working here means having every opportunity to achieve your goals – and to help others accomplish theirs, too. Join our team as we help shape the future.
 The Hartford is seeking a Data Engineer within Global Specialty Data Science \&amp; Analytics to design, develop, and implement modern and sustainable data assets to fuel machine learning and artificial intelligence solutions, as well as business intelligence assets and other analytic work across a wide range of strategic initiatives.
 As a Data Engineer, you will participate in the entire software development lifecycle process in support of continuous data delivery, while growing your knowledge of emerging technologies. We use the latest data technologies, software engineering practices, MLOPs, Agile delivery frameworks, and are passionate about building well\-architected and innovative solutions that drive business value. This cutting edge and forward focused organization presents the opportunity for collaboration, self\-organization within the team, and visibility as we focus on continuous business data delivery.
 This role will have a Hybrid work arrangement, with the expectation of working in an office location (Hartford, CT, Charlotte, NC, Chicago, IL, Columbus, OH) 3 days a week (Tuesday through Thursday).
**Responsibilities**
* Participate in developing high quality, scalable software modules for next generation analytics solution suite
* Engage in activities with cross\-functional IT unit stakeholders (e.g., database, operations, telecommunications, technical support, etc.)
* Formulates logical statements of business problems and devises, tests and implements efficient, cost\-effective application program solutions
* Identify and validate internal and external data sources for availability and quality. Work with SMEs to describe and understand data lineage and suitability for a use case.
* Create data assets and build data pipelines that align to modern software development principles for further analytical consumption. Perform data analysis to ensure quality of data assets.
* Perform preliminary exploratory analysis to evaluate nulls, duplicates and other issues with data sources.
* Assist in developing code that enables real\-time solutions to be ingested into front\-end systems and platforms
* Produce code artifacts and documentation using GitHub for reproducible results and hand\-off to other data science teams.
**Qualifications**
* 2\+ years of relevant experience recommended
* Bachelor’s degree in Computer Science, Engineering, IT, Management Information Systems, or a related discipline
* Experience in Python and SQL
* Experience in ingesting data from a variety of structures including relational databases, Hadoop/Spark, cloud data sources, XML, JSON
* Experience in ETL concerning metadata management and data validation
* Experience in Unix and Git
* Experience in Automation tools (Autosys, Cron, Airflow, etc.)
* Exposure to AWS or GCP services a plus
* Experience with Cloud data warehouses, automation, and data pipelines (i.e. Snowflake, Redshift) a plus
* Experience with ELT tools (i.e. DBT, Talend) a plus
* Able to communicate effectively with both technical and non\-technical teams
* Able to translate complex technical topics into business solutions and strategies
* Candidate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$100,960 \- $151,440
 Equal Opportunity Employer/Sex/Race/Color/Veterans/Disability/Sexual Orientation/Gender Identity or Expression/Religion/Age
 About Us \| Our Culture \| What It’s Like to Work Here \| Perks \&amp; Benefits</t>
        </is>
      </c>
    </row>
    <row r="29">
      <c r="A29" t="inlineStr">
        <is>
          <t>li-4359089181</t>
        </is>
      </c>
      <c r="B29" t="inlineStr">
        <is>
          <t>Data Engineer</t>
        </is>
      </c>
      <c r="C29" t="inlineStr">
        <is>
          <t>RemoteHunter</t>
        </is>
      </c>
      <c r="D29" t="inlineStr">
        <is>
          <t>linkedin</t>
        </is>
      </c>
      <c r="E29">
        <f>HYPERLINK("https://www.linkedin.com/jobs/view/4359089181", "https://www.linkedin.com/jobs/view/4359089181")</f>
        <v/>
      </c>
      <c r="F29">
        <f>HYPERLINK("https://www.remotehunter.com/apply-with-ai/cbc541cb-0314-4308-be9b-f74271d1faa8?utm_medium=job_posting&amp;utm_source=linkedin&amp;utm_campaign=data_engineer_remote&amp;utm_category=data_engineer&amp;utm_term=data_engineer&amp;urlHash=HZHH", "https://www.remotehunter.com/apply-with-ai/cbc541cb-0314-4308-be9b-f74271d1faa8?utm_medium=job_posting&amp;utm_source=linkedin&amp;utm_campaign=data_engineer_remote&amp;utm_category=data_engineer&amp;utm_term=data_engineer&amp;urlHash=HZHH")</f>
        <v/>
      </c>
      <c r="G29" t="inlineStr"/>
      <c r="H29" t="inlineStr"/>
      <c r="I29" t="inlineStr">
        <is>
          <t>About the Opportunity:
 This team is hiring a junior to mid\-level Data Engineer fluent in SQL and Python to build, debug, and maintain production data pipelines and system integrations. The role involves owning these pipelines end to end, partnering with the Business Intelligence team to deliver reliable data, actionable insights, and process automation across the business. The position requires comfort reading, understanding, and improving existing systems, not just building greenfield solutions. The technology stack includes SQL Server, Snowflake, Fivetran, and Python with an emphasis on the Pandas library. Experience with these exact tools is not required, but a solid foundation in SQL and Python is essential.
 Responsibilities:
 • Build and maintain ETL pipelines that ingest and validate source\-system data with minimal transformation.
 • Design and implement SQL transformation layers to create analyst\-ready data models.
 • Build and maintain data integrations via inbound and outbound APIs.
 • Troubleshoot data failures across the entire data pipeline independently.
 • Automate manual processes to improve data delivery and reliability.
 • Create clear documentation for ETL processes, object usage, and data models.
 • Test and validate code changes.
 Requirements:
 • Strong SQL skills to simplify complex logic and messy data into consistent models.
 • Practical experience with Python; familiarity with Pandas is beneficial.
 • Experience integrating external systems using inbound and outbound APIs.
 • Understanding of logging, error handling, and control flow in production data pipelines.
 • Solid knowledge of data architecture and modeling (normalized/denormalized, star/snowflake schemas).
 • Experience using version control with a team, preferably Git.
 • Excellent analytical thinking, problem solving, and communication skills.
 • Ability to work independently, manage priorities, and deliver in a rapidly changing environment.
 • Bachelor’s degree in Computer Science or equivalent experience; non\-traditional candidates encouraged to share relevant projects.
 • Experience maintaining data pipelines and integrations in SQL Server, Snowflake, or similar environments.
 • Experience supporting data ingestion from enterprise systems such as Workday, ERP, or HR platforms.
 • Experience with BI or reporting platforms; strong fundamentals valued over specific tool experience.
 • Relevant certifications are a plus but not required.
 Benefits \&amp; Perks:
 • Remote role based in the U.S. with working hours aligned to Eastern Time.
 • Candidates in Central Time are welcome if able to work an Eastern Time schedule.
 • Strong preference for candidates based in North Carolina.
 Compensation:
 • Determined by experience, skills, and role fit.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0">
      <c r="A30" t="inlineStr">
        <is>
          <t>li-4362832219</t>
        </is>
      </c>
      <c r="B30" t="inlineStr">
        <is>
          <t>Data Engineer</t>
        </is>
      </c>
      <c r="C30" t="inlineStr">
        <is>
          <t>CGI</t>
        </is>
      </c>
      <c r="D30" t="inlineStr">
        <is>
          <t>linkedin</t>
        </is>
      </c>
      <c r="E30">
        <f>HYPERLINK("https://www.linkedin.com/jobs/view/4362832219", "https://www.linkedin.com/jobs/view/4362832219")</f>
        <v/>
      </c>
      <c r="F30" t="inlineStr"/>
      <c r="G30" t="inlineStr">
        <is>
          <t>Atlanta, GA</t>
        </is>
      </c>
      <c r="H30" t="inlineStr"/>
      <c r="I30" t="inlineStr">
        <is>
          <t>Position Description
 Do you want to take your career to the next level? Are you ready for the responsibility of working with high\-profile clients? CGI is looking for a talented, driven, and experienced Data Engineer with regulatory reporting experience to join our team in Atlanta, GA. At CGI, you will solve challenging business and technical problems as a full\-time consultant serving local, enterprise clients. You'll be part of a team of smart, dedicated people like yourself and make an impact with both internal and client stakeholders. You also can work on cutting edge technologies and cloud native development. Tired of the same old thing? Take your talents to a world class consulting firm that inspires personal and professional growth and values your ideas.
 Your future duties and responsibilities
* Play key role in establishing and implementing migration patterns for the Data Lake Modernization project.
* Actively migrate use cases from our on premises SQL Server to Databricks.
* Using DataBricks, ensure proper data lineage and data sourcing to support Regulatory Reports for financial services clients
* Collaborate with Product Management and business partners to understand use case requirements and reporting.
* Implement Axiom to final reporting on regulatory matters
* Adhere to internal development best practices/lifecycle (e.g. Testing, Code Reviews, CI/CD, Documentation) .
* Document and showcase feature designs/workflows.
* Participate in team meetings and discussions around product development.
* Stay up to date on industry latest industry trends and design patterns
**Required Qualifications To Be Successful In This Role**
* Bachelor's in Computer Science, Computer Engineering or related field
* 6\+ yrs. Development experience with Spark (PySpark), Python and SQL.
* Extensive knowledge building data pipelines
* Hands on experience with Databricks Development
* Experience in Regulatory Reporting (2052A, CCAR, etc.) regulations
* Hands on experience implementing Axiom
* Experience with scheduling and orchestration (e.g. Databricks Workflows,airflow, prefect, control\-m).
* Solid understanding of distributed systems, data structures, design principles.
* Comfortable communicating with teams via showcases/demos.
 Nice to Have:
* 3\+ years experience with GIT.
* 3\+ years experience with CI/CD (e.g. Azure Pipelines).
* Experience with streaming technologies, such as Kafka, Spark.
* Experience building applications on Docker and Kubernetes.
* Cloud experience (e.g. Azure, Google).
 This position is located onsite in Atlanta, GA.
 CGI anticipates accepting applications for this position through January 30, 2025\.
 Other Information:
 CGI is required by law in some jurisdictions to include a reasonable estimate of the compensation range for this role. The determination of this range includes various factors not limited to skill set, level, experience, relevant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$79,600\.00 \- $156,700\.00\.
 CGI's benefits are offered to eligible professionals on their first day of employment to include:
* Competitive compensation
* Comprehensive insurance options
* Matching contributions through the 401(k) plan and the share purchase plan
* Paid time off for vacation, holidays, and sick time
* Paid parental leave
* Learning opportunities and tuition assistance
* Wellness and Well\-being programs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 here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t>
        </is>
      </c>
    </row>
    <row r="31">
      <c r="A31" t="inlineStr">
        <is>
          <t>li-4359108750</t>
        </is>
      </c>
      <c r="B31" t="inlineStr">
        <is>
          <t>Machine Learning Infrastructure and Data Engineer</t>
        </is>
      </c>
      <c r="C31" t="inlineStr">
        <is>
          <t>Apple</t>
        </is>
      </c>
      <c r="D31" t="inlineStr">
        <is>
          <t>linkedin</t>
        </is>
      </c>
      <c r="E31">
        <f>HYPERLINK("https://www.linkedin.com/jobs/view/4359108750", "https://www.linkedin.com/jobs/view/4359108750")</f>
        <v/>
      </c>
      <c r="F31">
        <f>HYPERLINK("https://jobs.apple.com/en-us/details/200639824&amp;urlHash=0TLB", "https://jobs.apple.com/en-us/details/200639824&amp;urlHash=0TLB")</f>
        <v/>
      </c>
      <c r="G31" t="inlineStr">
        <is>
          <t>Sunnyvale, CA</t>
        </is>
      </c>
      <c r="H31" t="inlineStr"/>
      <c r="I31" t="inlineStr">
        <is>
          <t>**Summary**
 The Video Computer Vision organization is working on exciting technologies for future Apple products. Our team delivers computer vision and machine learning algorithms that power many Apple technologies human understanding and human intelligence algorithms with applications for digital humans, health and AI. In this role, you will work closely with our team of experts in computer graphics, computer vision and machine learning to develop and extend pipeline infrastructure used for for solving large\-scale data challenges, to help deliver new algorithms for Apple products and bring high impact to millions of users.
**Description**
 Join us as an ML Data and Infrastructure Engineer and become the architect behind the data infrastructure that power tomorrow's breakthrough AI/ML innovations. You'll be the critical link between ambitious algorithmic vision and real\-world implementation—building the robust, scalable infrastructure that turns cutting\-edge research into production\-ready systems. We don't just use tools; we build them. You'll have complete ownership of the infrastructure that fuels our ML algorithms from conception to deployment, designing and orchestrating distributed compute systems that process massive datasets at scales few engineers ever encounter. Working shoulder\-to\-shoulder with AI/ML researchers and engineers in a small, agile team, you'll drive the creation of scalable infrastructure for ground truth data delivery, orchestrate massive distributed compute tasks across petabyte\-scale datasets, develop novel validation frameworks, and help define strategic data collection approaches that push the boundaries of what's achievable. Your contributions won't just support algorithms—they'll directly shape product direction, unlock entirely new AI/ML capabilities, and define what's possible at Apple.
**Minimum Qualifications**
 BS in computer science or related discipline and 3\+ years of relevant industry experience.nExperience developing or extending frameworks used for automating pipelines.nStrong software engineering skills with extensive experience in Python.nStrong foundational knowledge in Computer Science, with a deep understanding of algorithms and data structures.
**Preferred Qualifications**
 MS or PhD computer science or related discipline, or 5\+ years of related industry experience.nExperience processing large, complex, unstructured data.nExperience developing core infrastructure and frameworks for automating data pipelines.nExcellent communication and experience working with multi\-functional teams.nPassion for delivering high quality software to end\-users.nExperience with geometry or computer vision algorithms.nSelf\-motivated, with an ability to drive projects from concept to production, balancing requirements with technical quality and development timelines.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32">
      <c r="A32" t="inlineStr">
        <is>
          <t>li-4359171492</t>
        </is>
      </c>
      <c r="B32" t="inlineStr">
        <is>
          <t>Analytics Data Engineer, Siri AI Quality Engineering</t>
        </is>
      </c>
      <c r="C32" t="inlineStr">
        <is>
          <t>Apple</t>
        </is>
      </c>
      <c r="D32" t="inlineStr">
        <is>
          <t>linkedin</t>
        </is>
      </c>
      <c r="E32">
        <f>HYPERLINK("https://www.linkedin.com/jobs/view/4359171492", "https://www.linkedin.com/jobs/view/4359171492")</f>
        <v/>
      </c>
      <c r="F32" t="inlineStr"/>
      <c r="G32" t="inlineStr">
        <is>
          <t>Cupertino, CA</t>
        </is>
      </c>
      <c r="H32" t="inlineStr"/>
      <c r="I32" t="inlineStr">
        <is>
          <t>**Summary**
 Apple is where individual creativities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**Description**
 The Siri Quality Engineering team is seeking an Analytics Data Engineer to build a Curated, Accurate, Reliable data lake — a governed lakehouse with point\-in\-time and near\-real\-time pipelines, and a clear semantic layer — so teams trust and use data to help drive operational and business decisions. nnYou will ultimately be part of a collaborative team that's responsible for understanding how well our products work, advocating for critical changes, and representing how they'll be experienced by our customers. We deliver descriptive, diagnostic, prescriptive, and predictive analytics that show what’s happening, explain why, recommend what to do, and empower decision making automation. We publish certified metrics and models used in executive\-facing reports, raising product quality, accelerating releases, and reducing risk across all Apple platforms and locales. As a member of our passionate group in Siri, you will have the unique and rewarding opportunity to shape and improve our products to delight and inspire millions of Apple's customers every day.
**Minimum Qualifications**
 5\+ years in data engineering; expert SQL and Python knowledgenDeep Spark experience (batch \+ structured streaming)nHands\-on experience with a modern data lake technology: Iceberg or equivalent of object storagenProven pipeline orchestration (Airflow or equivalent) and Git\-based deliverynStrong data modeling, governance, lineage, and reliability practices
**Preferred Qualifications**
 Spark Streaming, Kafka, Flink or similar streaming; near\-real\-time analyticsnData\-quality frameworks and observabilitynExperience with feature stores and ML data pipelinesnBS/MS in an engineering or a related field (or equivalent)n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33">
      <c r="A33" t="inlineStr">
        <is>
          <t>li-4330705096</t>
        </is>
      </c>
      <c r="B33" t="inlineStr">
        <is>
          <t>Senior Data Engineer_</t>
        </is>
      </c>
      <c r="C33" t="inlineStr">
        <is>
          <t>Health Gorilla</t>
        </is>
      </c>
      <c r="D33" t="inlineStr">
        <is>
          <t>linkedin</t>
        </is>
      </c>
      <c r="E33">
        <f>HYPERLINK("https://www.linkedin.com/jobs/view/4330705096", "https://www.linkedin.com/jobs/view/4330705096")</f>
        <v/>
      </c>
      <c r="F33">
        <f>HYPERLINK("https://grnh.se/hvqi1v164us&amp;urlHash=H4Bv", "https://grnh.se/hvqi1v164us&amp;urlHash=H4Bv")</f>
        <v/>
      </c>
      <c r="G33" t="inlineStr"/>
      <c r="H33" t="inlineStr"/>
      <c r="I33" t="inlineStr">
        <is>
          <t>**Want to revolutionize healthcare?**
 To create a healthcare system with effective health information exchange, healthcare organizations need more than a series of connections between each other. They need assurance that the data being exchanged is meaningful and to know it will be delivered when and where they need it.
 Founded in 2014, Health Gorilla provides access to actionable patient data, supporting a diverse set of clinical use cases and improving outcomes across the country. We work with some of the leading companies in health IT, value\-based care, and digital health, including Virta Health, The Garage, Medhost, and many others. Health Gorilla is one of the five original organizations approved as a Qualified Health Information Network (QHIN) and the only QHIN to also be designated as a Qualified Health Information Organization (QHIO).
 Health Gorilla is looking for a savvy Senior Data Engineer to join our team. If you've ever wanted to get in on the ground floor, then this is the role for you. As a Data Engineer, this role will require you to be responsible for every step of the data flow, where you will architect, build and manage databases, data pipelines, and data warehouses. The ideal candidate will have a successful track record of creating and maintaining an analytics infrastructure and pipeline that enables almost every other data function at the company. You while also keeping an eye out for trends or inconsistencies that will impact business goals. This is a high\-impact role that combines deep technical expertise with strategic thinking — ideal for someone who can both design and deliver enterprise\-grade data infrastructure and mentor others along the way.
**What you will do at Health Gorilla:**
* Architect and maintain scalable, reliable data pipelines to support analytics and operational workloads.
* Assemble large, complex data sets that meet functional / non\-functional business requirements
* Partner with data scientists, analysts, and engineering teams to ensure data accessibility, consistency, and quality across the organization.
* Implement data governance, security, and compliance best practices aligned with healthcare and interoperability standards.
* Drive automation and observability in data workflows, ensuring resilience, transparency, and cost efficiency.
* Evaluate and introduce new technologies, frameworks, and tools to enhance data capabilities.
* Collaborate with leadership to shape the data strategy roadmap, ensuring scalability for the company’s growth.
**What you bring to the role:**
* Bachelor’s or Master’s in Computer Science, Engineering, Applied Mathematics, or a related technical field.
* 5\+ years of experience building and scaling data pipelines, warehouses, and analytics environments.
* Proven expertise with AWS data services — including EMR, Redshift, Glue, S3, Athena, and Lambda.
* Experience with Databricks and Spark, with demonstrated ability to migrate or integrate from these systems to AWS\-native solutions.
* Strong command of SQL, Python, and at least one compiled language (e.g., Java or Scala).
* Deep understanding of ETL/ELT frameworks, data modeling, and data lake architectures.
* Hands\-on experience implementing data quality frameworks, CI/CD for data pipelines, and infrastructure as code.
* Familiarity with HIPAA\-compliant data handling, FHIR, or other healthcare interoperability standards is a strong plus.
* Excellent communication and leadership skills, with a track record of collaborating across functions and influencing technical direction.
**What You Will Love About Us!**
* Health Gorilla takes a market\-based approach to pay, and the base salary range for this role is $162,400 to $181,000, based on experience. Please note that ranges may be modified at any time, and there is no guarantee offers will be at the top of a posted range.
* New hire stock option grant
* 401(k) plan with discretionary annual matching
* Medical, dental, and vision insurance
* Short\-, long\-term disability, life insurance, and mental health \&amp; wellness support
* Unlimited PTO plus 12 Holidays
* Paid parental leave (up to 12 weeks)
* Monthly stipend for phone and internet
* Stipend for home office equipment (we provide the laptop)
***Beware of job scams:***
* We will only contact you from our @healthgorilla.COM email address and communicate via phone or zoom
* We will never ask you for money or to purchase items such as a laptop to work with us
* If your resume has your home address listed, we recommend replacing with just a city, state
 Our goal is to be a diverse workforce that is representative, at all job levels as we know the more inclusive we are, the better our product will be.
 Health Gorilla is an equal opportunity employer. Applicants will not be discriminated against because of race, color, creed, sex, sexual orientation, gender identity or expression, age, religion, national origin, citizenship status, disability, ancestry, marital status, veteran status, medical condition, genetic information, or any protected category prohibited by local, state or federal laws.</t>
        </is>
      </c>
    </row>
    <row r="34">
      <c r="A34" t="inlineStr">
        <is>
          <t>li-4359008268</t>
        </is>
      </c>
      <c r="B34" t="inlineStr">
        <is>
          <t>Sr. Data Engineer, iCloud</t>
        </is>
      </c>
      <c r="C34" t="inlineStr">
        <is>
          <t>Apple</t>
        </is>
      </c>
      <c r="D34" t="inlineStr">
        <is>
          <t>linkedin</t>
        </is>
      </c>
      <c r="E34">
        <f>HYPERLINK("https://www.linkedin.com/jobs/view/4359008268", "https://www.linkedin.com/jobs/view/4359008268")</f>
        <v/>
      </c>
      <c r="F34" t="inlineStr"/>
      <c r="G34" t="inlineStr">
        <is>
          <t>Austin, TX</t>
        </is>
      </c>
      <c r="H34" t="inlineStr"/>
      <c r="I34" t="inlineStr">
        <is>
          <t>**Summary**
 Would you like to drive the future of Apple’s products, applications, and platform while having the unique opportunity to impact some of the most far\-reaching software applications in the world? iCloud Data organization enables Apple to ship better products for iCloud users to access all their content across apps (Photos, Mail, Messages, FaceTime, Calendar etc) from all of their devices all the time by providing consistent, scalable, timely, accurate, complete and fully integrated data infrastructure and capabilities to accurately surface relevant information. If this excites you and you are energized by solving hard, high\-leverage problems at scale, we'd love to hear from you! We’re looking for exceptional data engineers who have a strong background in distributed data processing, have great and demonstrable data intuition, and share our passion for continuously improving the ways we use data to make the Apple’s products, applications, and platform better.
**Description**
 What you will do: Engineer efficient, adaptable and scalable data pipelines to process structured and unstructured data Own and evolve extremely rich datasets on iCloud products and platform interactions to power a wide variety of use cases Build forward\-looking data solutions that interface well with existing systems and use judgement to bring cutting edge technologies in the industry to suit iCloud needs Understand how key technical decisions will drive business outcomes and deliver/aid data frameworks and platforms that improve delivery with high\-quality to those outcomes by partnering with cross functional teams Join a stunning team of data experts with diverse skill set, and deliver excellent solutions that better enable our decision\-making process
**Minimum Qualifications**
 8\+ years of experience working with Spark and other distributed data technologies (e.g. Hadoop, Presto, Flink, Druid) for building efficient u0026 large scale data pipelinesnHighly proficient in at least one of Java, Python or ScalanDeep expertise in Data Principles, Data Architecture u0026 Data Modeling, Strong SQL skillsnStrong problem solver with meticulous attention to detail, capable of taking on loosely defined problemsnExperience working in a complex, matrixed organization involving cross\-functional, and/or cross\-business projectsnStrong communication and collaboration skills u0026 ability to lead high\-level discussions on technology strategy and approachnConceptually familiar with AWS cloud resources (S3, EC2, RDS etc)nMS or BS or equivalent experience in Computer Science, Engineering, Mathematics, Statistics or a related field OR equivalent practical experience in Software or Data Engineeringn
**Preferred Qualifications**
 Experience with Cloud Computing platforms like Amazon AWS, Google CloudnExperience with building stream\-processing applications using Apache Flink, Spark\-Streaming, Apache Storm, Kafka Streams or othersnExperience with Search systems (such as ElasticSearch, Solr), NoSQL datastores (such as HBase, Cassandra, MongoDB)nExperience building distributed, high\-volume data services is a plus
**Pay \&amp; Benefits**
 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35">
      <c r="A35" t="inlineStr">
        <is>
          <t>li-4353610277</t>
        </is>
      </c>
      <c r="B35" t="inlineStr">
        <is>
          <t>Data Engineer</t>
        </is>
      </c>
      <c r="C35" t="inlineStr">
        <is>
          <t>US Tech Force</t>
        </is>
      </c>
      <c r="D35" t="inlineStr">
        <is>
          <t>linkedin</t>
        </is>
      </c>
      <c r="E35">
        <f>HYPERLINK("https://www.linkedin.com/jobs/view/4353610277", "https://www.linkedin.com/jobs/view/4353610277")</f>
        <v/>
      </c>
      <c r="F35">
        <f>HYPERLINK("https://techforce.gov/&amp;urlHash=Hbv0", "https://techforce.gov/&amp;urlHash=Hbv0")</f>
        <v/>
      </c>
      <c r="G35" t="inlineStr"/>
      <c r="H35" t="inlineStr"/>
      <c r="I35" t="inlineStr">
        <is>
          <t>**About US Tech Force** 
 The US Tech Force is recruiting an elite corps of engineers to build the next generation of government technology. Backed by the White House, Tech Force will tackle the most complex and large\-scale civic and defense challenges of our era – from administering critical financial infrastructure at the Treasury Department to advancing cutting\-edge programs at the Department of Defense – and everything in between.
 Through a two\-year program, participants will work in teams reporting directly to agency leadership. In collaboration with leading technology companies, participants will receive technical training, engage with industry leaders, and work closely with senior managers from companies partnering with the Tech Force.
 Upon completing the program, engineers can seek employment with the partnering private\-sector companies for potential full\-time roles – demonstrating the value of combining civil service with technical expertise.
 https://techforce.gov/
**About the Role** 
 The role involves leading the planning, coordination, and execution of major IT applications and software projects, ensuring high\-quality delivery and effective team collaboration.
**Responsibilities** 
* Leads the planning, coordination, and execution of major IT data engineering projects, including new data management initiatives, ensuring alignment with business and mission requirements.
* Leads the development and execution of complex system testing strategies, configuration management plans, and quality assurance protocols.
* Leads and mentors project teams composed of technical specialists, analysts, and support staff. Assigns tasks, monitors progress, and ensures deliverables meet quality expectations.
* Aligns project outcomes with agency\-wide IT strategies, digital modernization goals, and mission priorities. Serves as the primary liaison between project teams, business units, vendors, and executive leadership.
**Qualifications** 
 One cumulative year of experience related to each of the responsibilities below. This can include paid or unpaid internships, volunteer experiences, student organizations, and jobs. Demonstrated proficiency (e.g., skills) will be assessed through the structured evaluation process.
**Required Skills** 
* Utilizing Structured Query Language (SQL) to accomplish tasks, such as developing and refining SQL queries to facilitate efficient data extraction, transformation, and loading processes.
* Coordinating data engineering work, such as coordinating requirements gathering and resource planning through implementation, testing, and sustainment using technologies such as SQL, Python, R, Power BI, Tableau, or AWS/Azure analytics services.
* Running data management projects end to end, such as planning and delivering projects: creating a timeline, tracking risks, coordinating with teammates, or keeping work moving.
* Explaining technical ideas, such as sharing updates and tradeoffs with different audiences (e.g., data analysts, vendors, and senior leaders) through briefings, reports, or documentation.
* Solving problems with secure, scalable solutions, such as diagnosing issues (e.g., bugs, performance, integration), improving reliability, or building with security in mind (e.g., authentication/authorization, data protection) so systems can handle growth.</t>
        </is>
      </c>
    </row>
    <row r="36">
      <c r="A36" t="inlineStr">
        <is>
          <t>li-4353450477</t>
        </is>
      </c>
      <c r="B36" t="inlineStr">
        <is>
          <t>Data Engineer</t>
        </is>
      </c>
      <c r="C36" t="inlineStr">
        <is>
          <t>Alliance Consumer Group</t>
        </is>
      </c>
      <c r="D36" t="inlineStr">
        <is>
          <t>linkedin</t>
        </is>
      </c>
      <c r="E36">
        <f>HYPERLINK("https://www.linkedin.com/jobs/view/4353450477", "https://www.linkedin.com/jobs/view/4353450477")</f>
        <v/>
      </c>
      <c r="F36" t="inlineStr"/>
      <c r="G36" t="inlineStr">
        <is>
          <t>Roanoke, TX</t>
        </is>
      </c>
      <c r="H36" t="inlineStr"/>
      <c r="I36" t="inlineStr">
        <is>
          <t>**Summary / Position Purpose:** 
 The Data Engineer is responsible for designing, developing, and maintaining the company’s data infrastructure and analytics environment. This role plays a key part in enabling data\-driven decisions by ensuring data accuracy, consistency, and accessibility across all systems. The ideal candidate has hands\-on experience with data integration, transformation, and visualization tools, and enjoys solving complex data challenges in a collaborative environment.
**Duties, Functions and/or Responsibilities:** 
**Primary Responsibilities** 
* Design and develop the company’s data infrastructure, including pipelines, data flows, database objects, and system integrations within the application landscape.
* Maintain and enhance the company’s data repository to combine and normalize data from multiple sources with accuracy and consistency.
* Design, develop, and maintain reports and dashboards across various business systems using enterprise reporting tools and the centralized data repository.
* Implement and manage master data management (MDM) processes to ensure data integrity and synchronization across all systems.
* Write and optimize advanced SQL queries to support ad hoc data analysis, business inquiries, and reporting needs.
**Secondary Responsibilities** 
* Develop and maintain ancillary applications and integrations within the Salesforce environment.
* Support data governance and data quality initiatives across the organization.
* Collaborate with business stakeholders and IT partners to identify data requirements and design effective data solutions.
**Education and/or Work Experience Requirements:** 
**Skills \&amp; System Knowledge** 
* Power BI and Tableau \- report and dashboard development
* Microsoft Fabric and Microsoft Dataverse
* Boomi \- integration platform experience
* SQL Server and Oracle \- database management and optimization
* API integrations \- design and implementation experience
* Jet Analytics or similar business intelligence tools
**Qualifications** 
* Bachelor’s degree in computer science, Information Systems, Data Engineering, or related field.
* 2\-5 years of experience in data engineering, ETL development, or data integration.
* Strong understanding of relational databases, data modeling, and query optimization.
* Experience working in enterprise environments with multiple interconnected systems.
* Excellent problem\-solving and analytical skills with attention to detail.
* Effective communication skills and ability to collaborate across technical and business teams.
**Note:** 
 We do
 **not** 
 provide sponsorship or assistance for U.S. work authorization. Candidates must have valid work authorization at the time of application.
 Equal Opportunity Employer
 This employer is required to notify all applicants of their rights pursuant to federal employment laws.
 For further information, please review the Know Your Rights notice from the Department of Labor.</t>
        </is>
      </c>
    </row>
    <row r="37">
      <c r="A37" t="inlineStr">
        <is>
          <t>li-4359147001</t>
        </is>
      </c>
      <c r="B37" t="inlineStr">
        <is>
          <t>Data Engineer</t>
        </is>
      </c>
      <c r="C37" t="inlineStr">
        <is>
          <t>The Hartford</t>
        </is>
      </c>
      <c r="D37" t="inlineStr">
        <is>
          <t>linkedin</t>
        </is>
      </c>
      <c r="E37">
        <f>HYPERLINK("https://www.linkedin.com/jobs/view/4359147001", "https://www.linkedin.com/jobs/view/4359147001")</f>
        <v/>
      </c>
      <c r="F37" t="inlineStr"/>
      <c r="G37" t="inlineStr">
        <is>
          <t>Charlotte, NC</t>
        </is>
      </c>
      <c r="H37" t="inlineStr"/>
      <c r="I37" t="inlineStr">
        <is>
          <t>Data Engineer \- GE08AE
 We’re determined to make a difference and are proud to be an insurance company that goes well beyond coverages and policies. Working here means having every opportunity to achieve your goals – and to help others accomplish theirs, too. Join our team as we help shape the future.
 The Hartford is seeking a Data Engineer within Global Specialty Data Science \&amp; Analytics to design, develop, and implement modern and sustainable data assets to fuel machine learning and artificial intelligence solutions, as well as business intelligence assets and other analytic work across a wide range of strategic initiatives.
 As a Data Engineer, you will participate in the entire software development lifecycle process in support of continuous data delivery, while growing your knowledge of emerging technologies. We use the latest data technologies, software engineering practices, MLOPs, Agile delivery frameworks, and are passionate about building well\-architected and innovative solutions that drive business value. This cutting edge and forward focused organization presents the opportunity for collaboration, self\-organization within the team, and visibility as we focus on continuous business data delivery.
 This role will have a Hybrid work arrangement, with the expectation of working in an office location (Hartford, CT, Charlotte, NC, Chicago, IL, Columbus, OH) 3 days a week (Tuesday through Thursday).
**Responsibilities**
* Participate in developing high quality, scalable software modules for next generation analytics solution suite
* Engage in activities with cross\-functional IT unit stakeholders (e.g., database, operations, telecommunications, technical support, etc.)
* Formulates logical statements of business problems and devises, tests and implements efficient, cost\-effective application program solutions
* Identify and validate internal and external data sources for availability and quality. Work with SMEs to describe and understand data lineage and suitability for a use case.
* Create data assets and build data pipelines that align to modern software development principles for further analytical consumption. Perform data analysis to ensure quality of data assets.
* Perform preliminary exploratory analysis to evaluate nulls, duplicates and other issues with data sources.
* Assist in developing code that enables real\-time solutions to be ingested into front\-end systems and platforms
* Produce code artifacts and documentation using GitHub for reproducible results and hand\-off to other data science teams.
**Qualifications**
* 2\+ years of relevant experience recommended
* Bachelor’s degree in Computer Science, Engineering, IT, Management Information Systems, or a related discipline
* Experience in Python and SQL
* Experience in ingesting data from a variety of structures including relational databases, Hadoop/Spark, cloud data sources, XML, JSON
* Experience in ETL concerning metadata management and data validation
* Experience in Unix and Git
* Experience in Automation tools (Autosys, Cron, Airflow, etc.)
* Exposure to AWS or GCP services a plus
* Experience with Cloud data warehouses, automation, and data pipelines (i.e. Snowflake, Redshift) a plus
* Experience with ELT tools (i.e. DBT, Talend) a plus
* Able to communicate effectively with both technical and non\-technical teams
* Able to translate complex technical topics into business solutions and strategies
* Candidate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$100,960 \- $151,440
 Equal Opportunity Employer/Sex/Race/Color/Veterans/Disability/Sexual Orientation/Gender Identity or Expression/Religion/Age
 About Us \| Our Culture \| What It’s Like to Work Here \| Perks \&amp; Benefits</t>
        </is>
      </c>
    </row>
    <row r="38">
      <c r="A38" t="inlineStr">
        <is>
          <t>li-4359171249</t>
        </is>
      </c>
      <c r="B38" t="inlineStr">
        <is>
          <t>Senior ML Data Engineer, ISE</t>
        </is>
      </c>
      <c r="C38" t="inlineStr">
        <is>
          <t>Apple</t>
        </is>
      </c>
      <c r="D38" t="inlineStr">
        <is>
          <t>linkedin</t>
        </is>
      </c>
      <c r="E38">
        <f>HYPERLINK("https://www.linkedin.com/jobs/view/4359171249", "https://www.linkedin.com/jobs/view/4359171249")</f>
        <v/>
      </c>
      <c r="F38">
        <f>HYPERLINK("https://jobs.apple.com/en-us/details/200632081&amp;urlHash=Wsoy", "https://jobs.apple.com/en-us/details/200632081&amp;urlHash=Wsoy")</f>
        <v/>
      </c>
      <c r="G38" t="inlineStr">
        <is>
          <t>California, United States</t>
        </is>
      </c>
      <c r="H38" t="inlineStr"/>
      <c r="I38" t="inlineStr">
        <is>
          <t>**Summary**
 Do you believe Machine Learning and AI can change the world? We truly believe it can! We are the ML Data Team of the Intelligent System Experience (ISE) group at Apple. We are responsible for building high quality datasets at scale. Every year, our team produces datasets used in the training of ML and AI\-centric features for many Apple products, including iPhone, iPad, Mac, Apple Watch and even AirPods. Our work is used in very visible and critical features, from the wallpaper on your iPhone Lock Screen, to your personalized stickers on iMessage, to Apple Intelligence features such as on\-device Genmoji and other visual generative models, to the models that highlight the faces and memories of your loved ones in your Photos app. nnWe’re looking for an exceptional software u0026 data engineer who is passionate about Apple products and values, who has a passion for data operations at scale, is comfortable in a fast paced environment and who is committed to the hard work necessary to continuously improve our ML data pipelines.nnWe invite you to join us at this exciting time. Grow fast and positively impact multiple critical features from your first day at Apple!
**Description**
 Our team focuses on acquiring, synthesizing, annotating, and ensuring the quality of ML data, driving numerous features in collaboration with Ru0026D teams in Apple’s SWE organization.
**Minimum Qualifications**
 7\+ years of industry experience as a data engineer serving various ML applications (vision domain preferred)nBachelor's degree in Computer Science or related field
**Preferred Qualifications**
 Proven experience designing, automating and scaling large data pipelines (petabyte scale desired) using state of the art processing technologies (eg familiarity with Iceberg, BigQuery, Airflow, Spark, etc.)nExpertise in Python, Go or another modern programming language; you are expected to produce high quality, efficient code and participate in code reviewsnStrong ability to design and lead a technical roadmap, work with cross functional teams and a diversity of profiles, proven capacity to influence and build alignmentnDemonstrated prior experience in delivering large scale multimodal datasets for foundation modelsnSelf\-starter, able to handle ambiguity, comfortable in a fast\-pace environment, identify risks, mitigate, and autonomously find the right people and tools to get the job donenProven track record of mentoring and growing engineers, lift the level of software engineering excellence in a ML data ops team typically focused on short term deliveries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39">
      <c r="A39" t="inlineStr">
        <is>
          <t>li-4359109463</t>
        </is>
      </c>
      <c r="B39" t="inlineStr">
        <is>
          <t>Senior Data Engineer, Platform</t>
        </is>
      </c>
      <c r="C39" t="inlineStr">
        <is>
          <t>DraftKings Inc.</t>
        </is>
      </c>
      <c r="D39" t="inlineStr">
        <is>
          <t>linkedin</t>
        </is>
      </c>
      <c r="E39">
        <f>HYPERLINK("https://www.linkedin.com/jobs/view/4359109463", "https://www.linkedin.com/jobs/view/4359109463")</f>
        <v/>
      </c>
      <c r="F39">
        <f>HYPERLINK("https://draftkings.wd1.myworkdayjobs.com/DraftKings/job/Boston-MA/Senior-Data-Engineer\u002d\u002dPlatform_JR13338-3/apply?source=Applicant_Source_LinkedIn_Jobs&amp;urlHash=esZY", "https://draftkings.wd1.myworkdayjobs.com/DraftKings/job/Boston-MA/Senior-Data-Engineer\u002d\u002dPlatform_JR13338-3/apply?source=Applicant_Source_LinkedIn_Jobs&amp;urlHash=esZY")</f>
        <v/>
      </c>
      <c r="G39" t="inlineStr">
        <is>
          <t>Boston, MA</t>
        </is>
      </c>
      <c r="H39" t="inlineStr"/>
      <c r="I39" t="inlineStr">
        <is>
          <t>At DraftKings, AI is becoming an integral part of both our present and future, powering how work gets done today, guiding smarter decisions, and sparking bold ideas. It’s transforming how we enhance customer experiences, streamline operations, and unlock new possibilities. Our teams are energized by innovation and readily embrace emerging technology. We’re not waiting for the future to arrive. We’re shaping it, one bold step at a time. To those who see AI as a driver of progress, come build the future together.
 The Crown Is Yours
 As a Senior Data Engineer, Platform you will be a key contributor to a data team centered around the mission of providing a best\-in\-class experience for our products and customers. In this role, you'll be leveraging your technical expertise in all aspects of "Infrastructure as Code" (IaC) with a focus on building ingestion frameworks that support real time and batch pipelines into our lakehouse with high availability. You will be working across teams, informing business decisions, helping to expand our platform, and define standards and best practices for platform use.
 What You'll Do
* Demonstrate leadership and ownership of the platform to deliver services for projects and users.
* Demonstrate expertise on platform and ingestion patterns that accommodate a variety of business and technical use cases
* Leverage your strong communication skills to keep users informed and provide excellent quality of service.
* Automate and manage ingestion pipeline provisioning, including connector setup, schema handling, metadata registration, and infrastructure components
* Configure and manage monitoring/alerting around replication latency, performance (cluster \&amp; query), and Airflow.
* Coordinate and collaborate with dependent infrastructure and AWS services to implement Snowflake integration with services, such as S3, IAM, SSO, etc.
* Provide technical expertise, troubleshooting, and support for change management, governance compliance, internal audits, and remediations.
 What You'll Bring
* A proven track record of working in AWS, Terraform, Python, Kubernetes, and database replication tools/services (e.g., AWS DMS).
* Familiarity with Snowflake Snowpipes, Secure Data Sharing, and dynamic data masking.
* The ability to leverage new technologies to test, build, and optimize data pipelines, transformations, architectures, and data sets.
* Strong experience with SQL and knowledge in a variety of data engines (for example, SQL Server, MySQL, Amazon Aurora, Redshift) is a big plus.
* Excellent communication skills and interpersonal skills to effectively communicate and collaborate with both business and technical teams.
* Experience with real time or micro batch ingestion technologies (Kafka, Kinesis, Pub/Sub, or Dataflow) and data logging/monitoring tools (e.g., Datadog) is preferred.
 Join Our Team
 We’re a publicly traded (NASDAQ: DKNG) technology company headquartered in Boston. As a regulated gaming company, you may be required to obtain a gaming license issued by the appropriate state agency as a condition of employment. Don’t worry, we’ll guide you through the process if this is relevant to your role.
 The US base salary range for this full\-time position is 116,800\.00 USD \- 146,000\.00 USD, plus bonus, equity, and benefits as applicable. Our ranges are determined by role, level, and location. The compensation information displayed on each job posting reflects the range for new hire pay rates for the position across all US locations. Within the range, individual pay is determined by work location and additional factors, including job\-related skills, experience, and relevant education or training. Your recruiter can share more about the specific pay range and how that was determined during the hiring process. It is unlawful in Massachusetts to require or administer a lie detector test as a condition of employment or continued employment. An employer who violates this law shall be subject to criminal penalties and civil liability.</t>
        </is>
      </c>
    </row>
    <row r="40">
      <c r="A40" t="inlineStr">
        <is>
          <t>li-4353470017</t>
        </is>
      </c>
      <c r="B40" t="inlineStr">
        <is>
          <t>Senior Azure Data Engineer</t>
        </is>
      </c>
      <c r="C40" t="inlineStr">
        <is>
          <t>Matlen Silver</t>
        </is>
      </c>
      <c r="D40" t="inlineStr">
        <is>
          <t>linkedin</t>
        </is>
      </c>
      <c r="E40">
        <f>HYPERLINK("https://www.linkedin.com/jobs/view/4353470017", "https://www.linkedin.com/jobs/view/4353470017")</f>
        <v/>
      </c>
      <c r="F40" t="inlineStr"/>
      <c r="G40" t="inlineStr">
        <is>
          <t>Cincinnati, OH</t>
        </is>
      </c>
      <c r="H40" t="inlineStr"/>
      <c r="I40" t="inlineStr">
        <is>
          <t>**Position Title: Senior Azure Data Engineer**
**Location:  Cincinnati Ohio 45241 / Remote Role**
**Duration: 06\-12 Months (Possible Extension/Conversion)**
**\*\*\*Due to client requirements this role is only open to USC OR GC candidates\*\*\***
**Top 3 Skills**
* Azure Cloud Experience \- Must have
* Data Bricks
* Pyspark, Python
**Other important Info:**
* Object oriented programming concepts
* Passion for Data/Data Engineering as a career
* Teraform related work experience
**Nice to haves**
* Python Unit Testing
* Unity Catalog
* Databricks Asset Bundles
* Unit Testing/Mocking
**Job Description**
 We are seeking a Sr. Data Engineer who need to join our dynamic and fast\-paced team. The ideal candidate should excel in development or pipeline, orchestrating data, resolving connection issue, solve production issues, guide team members. The successful candidate will play a critical role in leading the development and design of Supply Chain Data Engineering solutions, maintaining high standards of code quality, and reducing technical debt and vulnerabilities across the project. The ideal candidate should be able to work in shared service team and work in multiple initiatives parallelly.
**Required Skills:**
* **Technical skill:** 
 Azure, Databricks, PySpark, Object Oriented programming concept, Python, Delta share and Terraform
* **GitHub Actions:** 
 Familiarity with setting up and managing CI/CD pipelines using GitHub Actions, ensuring smooth and automated deployment processes.
* **Agile Methodology:** 
 Experience working in an Agile/Scrum environment, with a focus on iterative development, continuous feedback, and delivery.
**Qualifications:**
* Proven experience in a similar role, with a strong track record as Sr. Data Engineer and has helped/lead development teams in delivering high\-quality data orchestration solutions with min 7\+ years’ experience.
**Key Responsibilities**
* Development: \- Working with varied data file formats (Avro, json, csv) using PySpark for ingesting and transformation, Terraform scripting and DevOps process.
* Lead Development Initiatives: Develop code with FTR and of quality. Also to take ownership of different development initiatives, ensuring timely delivery while meeting or exceeding quality standards.
* Code Quality and Maintenance: Oversee the maintenance of code quality and enforce best practices, including code reviews, unit testing, CICD, and adherence to coding standards.
* Reduce Technical Debt: Identify, prioritize, and implement strategies to reduce technical debt and address vulnerabilities in the codebase.
* Team Leadership: Provide mentorship and guidance to team members, fostering a collaborative, innovative, and high\-performance environment.
* Collaboration: Work closely with cross\-functional teams, including product management, Cloud Security, LOB, Network security, and DevOps, to integrate different features into broader solutions.
* Problem Solving: Address and troubleshoot complex technical issues, providing solutions that enhance system performance and user experience.
* Documentation: Ensure comprehensive documentation of systems, processes, and code to facilitate knowledge sharing and maintenance.
* Stakeholder Communication: Communicate progress, challenges, and solutions to stakeholders, ensuring transparency and alignment with business objectives.
**About Matlen Silver**
**Experience Matters. Let your experience be driven by our experience. For more than 40 years, Matlen Silver has delivered solutions for complex talent and technology needs to Fortune 500 companies and industry leaders. Led by hard work, honesty, and a trusted team of experts, we can say that Matlen Silver technology has created a solutions experience and legacy of success that is the difference in the way the world works.**
**Matlen Silver is an Equal Opportunity Employer and considers all applicants for all positions without regard to race, color, religion, gender, national origin, age, sexual orientation, veteran status, the presence of a non\-job\-related medical condition or disability, or any other legally protected status.**
**If you are a person with a disability needing assistance with the application or at any point in the hiring process, please contact us at email and/or phone at: info@matlensilver.com // 908\-393\-8600**
**At The Matlen Silver Group, Inc., W2 employees are eligible for the following benefits:**
* **Health, vision, and dental insurance (single and family coverage)**
* **401(k) plan (employee contributions only)**</t>
        </is>
      </c>
    </row>
    <row r="41">
      <c r="A41" t="inlineStr">
        <is>
          <t>li-4357638732</t>
        </is>
      </c>
      <c r="B41" t="inlineStr">
        <is>
          <t>Senior Backend Data Platform Engineer, Enterprise Technology Services</t>
        </is>
      </c>
      <c r="C41" t="inlineStr">
        <is>
          <t>Apple</t>
        </is>
      </c>
      <c r="D41" t="inlineStr">
        <is>
          <t>linkedin</t>
        </is>
      </c>
      <c r="E41">
        <f>HYPERLINK("https://www.linkedin.com/jobs/view/4357638732", "https://www.linkedin.com/jobs/view/4357638732")</f>
        <v/>
      </c>
      <c r="F41">
        <f>HYPERLINK("https://jobs.apple.com/en-us/details/200634976&amp;urlHash=XT_t", "https://jobs.apple.com/en-us/details/200634976&amp;urlHash=XT_t")</f>
        <v/>
      </c>
      <c r="G41" t="inlineStr">
        <is>
          <t>Sunnyvale, CA</t>
        </is>
      </c>
      <c r="H41" t="inlineStr"/>
      <c r="I41" t="inlineStr">
        <is>
          <t>**Summary**
 Get ready to do something great when you join the Apple Identity and Access Management team that’s responsible for providing enterprise class solution for both corporate and external business users. The people who work here have re\-invented and defined the security standards for protecting customer data with innovative software solutions. The same dedication to innovation is also applied to our business practices \- leaving the world a more secure place than we found it. Do you want to help deliver the next innovation in security and user experience for Apple ?nOur teams foster a collaborative environment with creative, smart u0026 fun people using state of the art technologies. Engineering excellence is expected. Come and join us in building solutions that have a worldwide impact. nWe are seeking an experienced Senior Backend Data Platform Engineer with 7 plus years of experience to design, implement, and optimize our data infrastructure. In this role, you will lead efforts to build scalable data architectures that power business insights while maintaining high performance and reliability standards.n
**Description**
 Identity Management Services (IdMS) provides mission critical authentication, authorization, customer profile, device identity, and trust services for Apple customers across macOS, iOS, watchOS, and tvOS. IdMS is integrated with hundreds of Apple services including iCloud, iTunes, Retail, Online stores, and processes transactions at internet\-scale. IdMS is also the centralized enterprise identity and access management platform for all applications serving Apple.nWe are seeking a skilled computer engineer with passion for security engineering. We desire a self\-motivated individual who can thrive in an Agile environment, while interacting and communicating effectively with other team members. This position requires extensive experience implementing advanced Computer Science paradigms and sound analytical ability.nYou should have the ability to handle conflicting project demands and thrive in a fast\-paced environment.nYou should enjoy challenging and innovative projects and thrive in a fast\-paced environment where accountability is paramount. nMaintain and improve existing applications in response to business needs.nStrong curiosity and a willingness to learn and talk about emerging technologies along with a positive and enthusiastic engagement style.nDemonstrate innovative and creative thinking capabilities and also have sharp troubleshooting skills.n
**Minimum Qualifications**
 6 years of experience in software engineering with a focus on data platformsnDeep expertise in relational database systems (Oracle, PostgreSQL) including schema design, query optimization, and performance tuningnStrong experience with big data technologies (Hadoop, Spark, etc.)nProficiency in Python and data processing frameworksnExperience deploying and managing data platforms on AWS and/or Google CloudnStrong understanding of data architecture principles and design patternsnExperience with data pipeline orchestration toolsnExcellent problem\-solving skills with a focus on system optimizationn
**Preferred Qualifications**
 Experience with AI\-assisted development tools (Claude, Gemini AI, GitHub Copilot)nKnowledge of real\-time data processing systems (Kafka, Kinesis)nExperience with containerization and orchestration (Docker, Kubernetes)nFamiliarity with data governance and compliance requirementsnExperience with NoSQL databases (MongoDB, Cassandra, etc.)nUnderstanding of data visualization tools and techniquesnExperience with CI/CD pipelines for data infrastructurenEducationnBS / MS in Computer Science or a related technical field or equivalent practical experience.n
**Pay \&amp; Benefits**
 At Apple, base pay is one part of our total compensation package and is determined within a range. This provides the opportunity to progress as you grow and develop within a role. The base pay range for this role is between $181,100 and $272,100,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42">
      <c r="A42" t="inlineStr">
        <is>
          <t>li-4362728178</t>
        </is>
      </c>
      <c r="B42" t="inlineStr">
        <is>
          <t>Lead Data Engineer</t>
        </is>
      </c>
      <c r="C42" t="inlineStr">
        <is>
          <t>Harnham</t>
        </is>
      </c>
      <c r="D42" t="inlineStr">
        <is>
          <t>linkedin</t>
        </is>
      </c>
      <c r="E42">
        <f>HYPERLINK("https://www.linkedin.com/jobs/view/4362728178", "https://www.linkedin.com/jobs/view/4362728178")</f>
        <v/>
      </c>
      <c r="F42" t="inlineStr"/>
      <c r="G42" t="inlineStr"/>
      <c r="H42" t="inlineStr"/>
      <c r="I42" t="inlineStr">
        <is>
          <t>**Lead Data Engineer** 
**Hybrid in NYC (also open to SF)** 
**$180,000 \- $250,000 Total Compensation** 
**Overview** 
 A fast\-growing, venture\-backed technology startup is seeking a
 **Lead Data Engineer** 
 to own and scale its core data platform. This role sits at the intersection of product, analytics, and customer impact and will be foundational to how data is modeled, trusted, and activated across the business.
 You’ll set technical direction, build production\-grade pipelines, and grow a small, high\-performing data team. This is a hands\-on leadership role with high expectations and real ownership.
**What You’ll Do** 
* Own the end\-to\-end data platform, including batch and streaming pipelines from APIs, product data, web sources, and business systems
* Design and maintain core analytical models that power company\-wide metrics and reporting
* Build and manage orchestration, transformations, testing, and CI workflows
* Establish data quality standards, SLAs, monitoring, and observability practices
* Optimize cloud data warehouses and transactional databases for performance and cost
* Deliver a clear metrics and semantic layer used by product, analytics, and leadership
* Partner closely with Product, Customer, and Growth teams on measurement and tracking
* Evaluate and integrate modern data tooling and vendors
* Hire, mentor, and lead a small team of data engineers
**What We’re Looking For** 
* 5\+ years of data engineering experience, including project or technical leadership
* Advanced SQL and Python experience in production environments
* Strong hands\-on experience with dbt and Airflow or Prefect
* Deep knowledge of dimensional and event\-based data modeling
* Experience with Snowflake or BigQuery and Postgres
* Proven background building analytics\-ready data products
* Cloud experience (AWS or GCP); Terraform or IaC exposure preferred
* Startup or early\-stage company experience strongly preferred
* Technical degree preferred
* Background supporting SaaS, payments, or high\-volume transactional data is a plus</t>
        </is>
      </c>
    </row>
    <row r="43">
      <c r="A43" t="inlineStr">
        <is>
          <t>li-4362479912</t>
        </is>
      </c>
      <c r="B43" t="inlineStr">
        <is>
          <t>Full Stack Data Engineer - EDA</t>
        </is>
      </c>
      <c r="C43" t="inlineStr">
        <is>
          <t>Proxima Aerospace</t>
        </is>
      </c>
      <c r="D43" t="inlineStr">
        <is>
          <t>linkedin</t>
        </is>
      </c>
      <c r="E43">
        <f>HYPERLINK("https://www.linkedin.com/jobs/view/4362479912", "https://www.linkedin.com/jobs/view/4362479912")</f>
        <v/>
      </c>
      <c r="F43" t="inlineStr"/>
      <c r="G43" t="inlineStr">
        <is>
          <t>Miami, FL</t>
        </is>
      </c>
      <c r="H43" t="inlineStr"/>
      <c r="I43" t="inlineStr">
        <is>
          <t>**Company Description** 
 Proxima Aerospace is an aerospace, geospatial intelligence, and advanced analytics company supporting U.S. Department of Defense and interagency customers across space, maritime, air, land, and cyber domains. Proxima specializes in Enhanced Domain Awareness (EDA), space domain awareness, data integration, and mission\-focused analytics in support of Combatant Commands and partner nations
**About the Job** 
 Proxima Aerospace is actively recruiting a Full Stack Data Engineer to develop and sustain secure, mission\-focused applications supporting SOUTHCOM Enhanced Domain Awareness operations. This role requires strong capabilities across backend data services, APIs, and frontend user interfaces, enabling analysts and operators to access, visualize, and interact with complex datasets in classified environments.
 The Full Stack Data Engineer works closely with data engineers, geospatial analysts, and mission stakeholders to translate operational requirements into reliable, user\-centered software solutions.
 U.S. citizenship and an active TS/SCI clearance are required
**Work Setting** 
* Onsite – US Army Garrison Miami / SOUTHCOM HQ
* Potential travel up to \&lt;20% of the time
**Responsibilities** 
* Develop, maintain, and optimize data integration pipelines, API services, and front\-end interfaces for accessing and visualizing geospatial and structured data.
* Demonstrate proficiency in DataLakes platforms such as Databricks, Kubernetes, ESRI ArcGIS environments, and cloud\-based data engineering.
* Expertise in building scalable, secure web applications, implementing metadata\-driven search and retrieval features, and integrating APIs for seamless data interoperability as required.
* Solve and articulate complex problems through application design, product development, and use experiences.
* Collaborate with other programmers and developers to ensure progress.
* Leverage the knowledge of peers to better understand trend and technology adoption patterns.
* Develop and deploy full\-stack applications that enable data visualization, dashboarding, and analytics within ESRI\-based GIS platforms, Unity Catalog, and cloud\-based databases.
* Implement RESTful and GraphQL APIs for seamless data retrieval and integration between Data Lake, ESRI ArcGIS, and external sources.
* Manage CI/CD pipelines, containerized deployments in Kubernetes, and API authentication mechanisms to ensure secure access to research products.
* Optimize database queries and indexing strategies for large\-scale geospatial and structured datasets.
**Qualifications** 
**Minimum Requirements** 
* Bachelor’s degree in Computer Science, Data Engineering, or a related field, or five (5\) years of equivalent experience in full\-stack development and data engineering.
* Demonstrated experience (typically 5\+ years) in full stack or data\-centric application development.
* Proficiency with Python and modern JavaScript/TypeScript frameworks.
* Working knowledge of Esri ArcGIS Enterprise systems.
* Working knowledge of the following databases: Elastic, Dgraph, ArangoDB, SQL Server, and PostgreSQL.
* Experience developing RESTful APIs and web\-based applications.
* Proficient in Data Lakes platforms such as Databricks, Kubernetes, and cloud\-based data engineering.
* Ability to manage deliverables within defined schedules and operational constraints.
**Preferred Qualifications** 
* Experience developing GIS\-enabled or geospatial applications.
* Portuguese or Spanish language skills.
* Experience supporting government or defense IT programs.
* Experience working in Agile or DevSecOps environments.
**Experience/Skills Preferred (in addition to requirements):** 
* AWS Certified Data Analytics –Specialty
* Microsoft Certified: Azure Data Engineer Associate
* ESRI ArcGIS Developer Certification
**Clearance Requirement** 
* Active TS/SCI
 Please be aware that some of our positions may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Proxima Aerospace offers a competitive compensation and benefits package including medical, dental, life insurance, FTO, 401(k), and professional development and advancement opportunities.
 Proxima Aerospace provides equal employment opportunities (EEO) to all applicants for employment without regard to race, color, religion, gender, sexual orientation, gender identity or expression, national origin, age, disability, genetic information, marital status, amnesty, or status as a covered veteran.
 This position is
 **contingent upon contract award** 
 . Employment offers and start dates are subject to the successful award of the contract and the continuation of government funding. Candidates may be considered for future opportunities should contract award or timing change.</t>
        </is>
      </c>
    </row>
    <row r="44">
      <c r="A44" t="inlineStr">
        <is>
          <t>li-4359128491</t>
        </is>
      </c>
      <c r="B44" t="inlineStr">
        <is>
          <t>Simulation Synthetic Data Engineer - Special Projects</t>
        </is>
      </c>
      <c r="C44" t="inlineStr">
        <is>
          <t>Apple</t>
        </is>
      </c>
      <c r="D44" t="inlineStr">
        <is>
          <t>linkedin</t>
        </is>
      </c>
      <c r="E44">
        <f>HYPERLINK("https://www.linkedin.com/jobs/view/4359128491", "https://www.linkedin.com/jobs/view/4359128491")</f>
        <v/>
      </c>
      <c r="F44" t="inlineStr"/>
      <c r="G44" t="inlineStr">
        <is>
          <t>Cupertino, CA</t>
        </is>
      </c>
      <c r="H44" t="inlineStr"/>
      <c r="I44" t="inlineStr">
        <is>
          <t>**Summary**
 Play a role in bringing Apple technology to the world. We are looking for a hardworking, dedicated, and results\-oriented Synthetic Data Engineer. You would join a team using simulation to generate synthetic data. Apple is where individual imaginations gather together, committing to the values that lead to great work. Every new product we build, service we create, or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**Description**
 As a Simulation Synthetic Data Engineer, you will help develop next\-generation simulation technology powering a broad range of AI/ML efforts at Apple. You will work on highly ambitious projects that transform ideas into production tools and datasets used across the organization to develop new Apple products.nnWe’re looking for an engineer who is both practical and inventive—comfortable extending existing simulation frameworks, experimenting with new approaches, and iterating quickly from prototype to high\-quality implementation. You will collaborate closely with engineers, technical artists, animators, and research teams to deliver scalable pipelines and compelling synthetic data. Your work will directly influence dataset quality and model performance across multiple product areas.
**Minimum Qualifications**
 Master’s degree in Computer Science or related field, or equivalent practical experience.n Strong programming skills in C\+\+ and Python, with solid software engineering fundamentals.n Experience with 3D graphics or game engines, including topics such as rendering, animation, scene graphs, or content pipelines.n Familiarity with machine learning workflows, especially perception tasks, generative models, or VLMs.n Ability to work collaboratively with cross\-functional partners including engineers, artists, and researchers; strong communication skills.
**Preferred Qualifications**
 Experience with real\-time simulation engines (Unreal, Unity, Godot, Omniverse, custom engines).n Familiarity with USD, MaterialX, or other modern 3D content standards.n Experience with real\-time and offline rendering, ray tracing, lighting, or shading.n Knowledge of physics simulation, sensor simulation, or physically\-based modeling.n Experience with industrial/commercial simulation tools or large\-scale data pipelines.
**Pay \&amp; Benefits**
 At Apple, base pay is one part of our total compensation package and is determined within a range. This provides the opportunity to progress as you grow and develop within a role. The base pay range for this role is between $126,800 and $220,900,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45">
      <c r="A45" t="inlineStr">
        <is>
          <t>li-4362726943</t>
        </is>
      </c>
      <c r="B45" t="inlineStr">
        <is>
          <t>Lead Data Engineer - NYC or SF</t>
        </is>
      </c>
      <c r="C45" t="inlineStr">
        <is>
          <t>Harnham</t>
        </is>
      </c>
      <c r="D45" t="inlineStr">
        <is>
          <t>linkedin</t>
        </is>
      </c>
      <c r="E45">
        <f>HYPERLINK("https://www.linkedin.com/jobs/view/4362726943", "https://www.linkedin.com/jobs/view/4362726943")</f>
        <v/>
      </c>
      <c r="F45" t="inlineStr"/>
      <c r="G45" t="inlineStr"/>
      <c r="H45" t="inlineStr"/>
      <c r="I45" t="inlineStr">
        <is>
          <t>**Title:** 
 Lead Data Engineer
**Location:** 
 Hybrid in NYC or San Fran
**Pay:** 
 $200k \- $280k \+ equity
 About the Company
 An early\-stage, product\-led technology company building data\-intensive features where analytics and machine learning are embedded directly into the customer experience. The data function is being built from scratch with high ownership, visibility, and influence on the product roadmap.
**Responsibilities** 
* Own core enriched data entities that power customer\-facing product features
* Design and build ETL pipelines ingesting data from multiple internal and external systems
* Deliver analytics and derived insights directly into the product
* Maintain high standards for data reliability, accuracy, freshness, and low latency
* Own internal BI, executive dashboards, and weekly business reporting
* Partner closely with Product and Engineering on roadmap planning and execution
* Establish scalable data foundations to support future team growth
**Role Focus** 
* \~40% hands\-on coding
* \~40% architecture and system design
* \~20% cross\-functional collaboration
**Must\-Have Qualifications:** 
* 4–5\+ years of hands\-on data engineering experience
* Strong experience building data pipelines that directly support product features
* Comfortable owning 0→1 systems in ambiguous environments
* Experience in early\-stage or high\-growth environments preferred
**Technical Environment** 
* AWS\-centric stack
* Tools such as Redshift, S3, AWS Glue, and ClickHouse
* Analytics and ML pipelines deployed directly into production products</t>
        </is>
      </c>
    </row>
    <row r="46">
      <c r="A46" t="inlineStr">
        <is>
          <t>li-4357657669</t>
        </is>
      </c>
      <c r="B46" t="inlineStr">
        <is>
          <t>Senior Data Engineer</t>
        </is>
      </c>
      <c r="C46" t="inlineStr">
        <is>
          <t>Wisdom Infotech</t>
        </is>
      </c>
      <c r="D46" t="inlineStr">
        <is>
          <t>linkedin</t>
        </is>
      </c>
      <c r="E46">
        <f>HYPERLINK("https://www.linkedin.com/jobs/view/4357657669", "https://www.linkedin.com/jobs/view/4357657669")</f>
        <v/>
      </c>
      <c r="F46" t="inlineStr"/>
      <c r="G46" t="inlineStr">
        <is>
          <t>Tampa, FL</t>
        </is>
      </c>
      <c r="H46" t="inlineStr"/>
      <c r="I46" t="inlineStr">
        <is>
          <t>**Job Title:** 
 Data Engineer/Architect
**Location: Tampa or Orlando, Florida** 
**Type:** 
 Full\-time
 No visa sponsorship available for this role
**General Description:** 
 The Data Engineer will play a critical role within the Information Technology organization, partnering closely with data and analytics leadership to build and optimize scalable, reliable data pipelines and platforms that support enterprise analytics and decision\-making. This role focuses on enabling data availability, quality, and accessibility across business domains, ensuring alignment with strategic data initiatives. The engineer will work with cross\-functional teams to gather and translate business data requirements into technical solutions, support data integration efforts, and uphold data governance standards. Responsibilities may include contributing to the development of data products, enhancing data infrastructure, and supporting data platform modernization efforts to ensure trusted, timely data is accessible for business use.
**Essential Duties and Responsibilities:** 
* Guidewire Data Warehouse Management: Continue to support and enhance the Guidewire Enterprise Data Warehouse, ensuring data availability, accuracy, and efficiency in ETL operations.
* Data Platform Implementation: Architect, design, and implement a scalable, on\-prem or cloud\-based enterprise data platform, integrating diverse data sources beyond Guidewire Insurance Suite.
* Data Integration \&amp; Engineering: Develop and oversee ETL/ELT pipelines to ingest, transform, and store data efficiently, leveraging modern tools.
* Data Modeling \&amp; Architecture: Design and implement optimized data models for structured and unstructured data, supporting reporting, analytics, and AI/ML initiatives.
* Data Governance \&amp; Security: Establish best practices for data governance, data quality, metadata management, and security compliance across all data assets.
* Advanced Analytics Support: Enable self\-service analytics, real\-time data processing, and AI/ML\-driven insights by integrating modern data technologies such as data lakes, streaming data, Graph and NoSQL databases.
* Collaboration \&amp; Leadership: Act as a strategic partner to IT, business units, and analytics teams, aligning data initiatives with organizational goals. Mentor junior team members and foster a culture of data\-driven decision\-making.
* Monitor the task queue, take, and update tickets as directed by your supervisor.
* Successfully engage in multiple initiatives simultaneously.
* Contributes to the development of project plans and may assign and monitor tasks.
* Assist in the development and generation of new reports to be provided to senior management across functional departments.
* Performs other duties as required.
**Education and / or Experience:** 
* Bachelor’s or Master’s degree in Computer Science, Information Systems, Data Science, or a related field.
* 5\+ years of experience in data architecture, engineering, or related roles, preferably within the insurance industry.
* Strong expertise in the Guidewire InsuranceSuite database schemas (PolicyCenter, BillingCenter, ClaimCenter) is a plus.
* Ability to analyze and learn new complex data sources models and integrate them into the data platform’s pipelines.
* Experience implementing cloud\-based data platforms in Azure and familiarity with data lakehouse architectures.
* Proficiency in modern ETL/ELT tools (e.g., MS SSIS and Azure Data Factory) and database technologies (SQL, Databricks, etc.).
* Hands\-on experience with big data processing, streaming technologies (Kafka, Spark, Flink), and API\-driven data integration.
* Strong understanding of data security, compliance, and governance best practices (GDPR, CCPA, SOC2, etc.).
* Familiarity with BI/reporting tools such as Power BI, Tableau, Looker.
* Strong knowledge and experience implementing Data Mesh architecture is a plus.
* Knowledge of machine learning frameworks and MLOps is a plus.
* Familiarity with ticketing systems like Atlassian Jira used to assign and track work amongst multiple team members.
* Must be resourceful, industrious, and willing to take on new tasks and proactively learn new technologies to keep up with business needs.
* Must be able to work under tight deadlines efficiently and with high quality.
* Must possess strong organizational skills with demonstrated attention to detail.
* Must be flexible and able to adapt in a changing business environment.
* Must possess a positive attitude and strong work ethic.
* Excellent verbal and written communication skills and the ability to interact professionally with a diverse group (executives, managers, and subject matter experts).
* Must be proficient in Microsoft Office (Excel, Word, Power Point).
**Licenses and / or Certifications:** 
 Azure Data Engineer Associate or higher preferred.</t>
        </is>
      </c>
    </row>
    <row r="47">
      <c r="A47" t="inlineStr">
        <is>
          <t>li-4362736329</t>
        </is>
      </c>
      <c r="B47" t="inlineStr">
        <is>
          <t>Senior Data Engineer</t>
        </is>
      </c>
      <c r="C47" t="inlineStr">
        <is>
          <t>CyberCoders</t>
        </is>
      </c>
      <c r="D47" t="inlineStr">
        <is>
          <t>linkedin</t>
        </is>
      </c>
      <c r="E47">
        <f>HYPERLINK("https://www.linkedin.com/jobs/view/4362736329", "https://www.linkedin.com/jobs/view/4362736329")</f>
        <v/>
      </c>
      <c r="F47" t="inlineStr"/>
      <c r="G47" t="inlineStr">
        <is>
          <t>New York, NY</t>
        </is>
      </c>
      <c r="H47" t="inlineStr"/>
      <c r="I47" t="inlineStr">
        <is>
          <t>**This is a full\-time hybrid role (2–3 days onsite) based in NYC.** 
 You’d help shape the future of their data platform, building high\-performance pipelines and scalable infrastructure that supports analytics and machine learning efforts across the business.
**What You’ll Do:** 
* Build and optimize real\-time and batch data pipelines
* Design large\-scale data architectures for analytics \&amp; ML
* Develop modern ETL/ELT solutions in the cloud
* Ensure data quality, integrity, and documentation
* Partner with teams across engineering, product, and analytics
**What They’re Looking For:** 
* Strong Python and SQL skills
* Experience with Snowflake, BigQuery, or Redshift
* Cloud knowledge (AWS or GCP), Kubernetes, and APIs
* Excellent communication and cross\-functional collaboration
* AdTech experience is a plus
**Comp \&amp; Perks:** 
* $150K–$180K base \+ 10% bonus \+ Equity
* Excellent health benefits, 401(k) with match
* Flexible PTO
* Inclusive culture with active ERG programs</t>
        </is>
      </c>
    </row>
    <row r="48">
      <c r="A48" t="inlineStr">
        <is>
          <t>li-4353630497</t>
        </is>
      </c>
      <c r="B48" t="inlineStr">
        <is>
          <t>Staff Data Engineer</t>
        </is>
      </c>
      <c r="C48" t="inlineStr">
        <is>
          <t>Postscript</t>
        </is>
      </c>
      <c r="D48" t="inlineStr">
        <is>
          <t>linkedin</t>
        </is>
      </c>
      <c r="E48">
        <f>HYPERLINK("https://www.linkedin.com/jobs/view/4353630497", "https://www.linkedin.com/jobs/view/4353630497")</f>
        <v/>
      </c>
      <c r="F48">
        <f>HYPERLINK("https://job-boards.greenhouse.io/postscript/jobs/8373297002&amp;urlHash=OMym", "https://job-boards.greenhouse.io/postscript/jobs/8373297002&amp;urlHash=OMym")</f>
        <v/>
      </c>
      <c r="G48" t="inlineStr"/>
      <c r="H48" t="inlineStr"/>
      <c r="I48" t="inlineStr">
        <is>
          <t>We’re seeking a
 **Staff Data Engineer** 
 to help lead our Data Engineering practice and take our data architecture into the future. You’ll be supporting our efforts to modernize our data stack and build our lakehouse to enable broad data access to BI, Machine Learning, and Engineering teams at Postscript. You’ll be creating an Apache Iceberg data lakehouse and prerequisite data pipelines to unlock global data access across Postscript.
 This is a fully remote position that can be based in the US or Canada.
**Primary Duties:** 
* Own and evolve our data platform, tooling, and architecture to meet growing analytical and product needs.
* Help lead the delivery of a v2 data architecture at Postscript via a data lakehouse
* Build stream and batch data ingestion pipelines to process source data
* Partner with Engineering, Product, and BI to support net new analytics use cases and migrations
* Support existing data engineering systems
* Mentor and coach other data engineers and backend software engineers in the data practice
**What We’ll Love About You:** 
* 8\+ years as a Data Engineer working on the modern data stack
* 2\+ years operating as a Staff or Lead engineer
* 5\+ years of experience writing production grade code
* You have familiarity with the JVM and at least one JVM language (Java/Scala/Kotlin)
* Passionate about data engineering and have strong software engineering skills
* You’ve worked in modern datalakes with open table formats such as Iceberg, Hudi, or Delta Lake
* You’ve built and operated stream processing pipelines with Apache Spark and/or Flink
* You have strong cloud architecture skills in the AWS ecosystem
* You’ve worked with a broad array of database technologies and understand how to select the right technology for the job (Postgres/OLAP/NoSQL/etc.)
* You’re seasoned in event\-driven distributed systems
* You have a track record of success at remote mid/late\-stage startups
* You’re able to build strong cross\-team partnerships and have strong communication \+ project management skills
* Proven upward trajectory or history of promotions and success
* Software\-as\-a\-Service (SaaS) startup experience specifically at successful growth companies (\&gt;200 employees, successful exits/fundraises with credible VCs, etc)
**What You’ll Love About Us:** 
* **Salary range of USD $200\-235k base plus significant equity (we do not have geo based salaries)**
* High growth startup \- plenty of room for you to directly impact the company and grow your career!
* Work from home (or wherever)
* Fun \- We’re passionate and enjoy what we do
* Competitive compensation and opportunity for equity
* Flexible paid time off
* Health, dental, vision insurance</t>
        </is>
      </c>
    </row>
    <row r="49">
      <c r="A49" t="inlineStr">
        <is>
          <t>li-4359088931</t>
        </is>
      </c>
      <c r="B49" t="inlineStr">
        <is>
          <t>Data Engineer</t>
        </is>
      </c>
      <c r="C49" t="inlineStr">
        <is>
          <t>Jobs via Dice</t>
        </is>
      </c>
      <c r="D49" t="inlineStr">
        <is>
          <t>linkedin</t>
        </is>
      </c>
      <c r="E49">
        <f>HYPERLINK("https://www.linkedin.com/jobs/view/4359088931", "https://www.linkedin.com/jobs/view/4359088931")</f>
        <v/>
      </c>
      <c r="F49" t="inlineStr"/>
      <c r="G49" t="inlineStr">
        <is>
          <t>Wilmington, DE</t>
        </is>
      </c>
      <c r="H49" t="inlineStr"/>
      <c r="I49" t="inlineStr">
        <is>
          <t>Dice is the leading career destination for tech experts at every stage of their careers. Our client, Tanisha Systems, Inc., is seeking the following. Apply via Dice today!
**Job description:\-
 Title: Data Engineer**
****Location:****
 Wilmington, DE (Local Profiles)
 Salary : $ 125K Annually,
 Additional Job Details:
 Python and Snowflake is required with Experties level.
**Primary Skill Set :** 
 AWS, Java/Python and Big Data experience.
**Roles \&amp; Reponsbility**
 Acquire and manage data from various sources and storage systems
 Transform existing ETL logic to AWS, Databricks, or equivalent cloud platforms
 Implement new or enhance existing services and components using both object\-oriented and functional programming
 Establish and enforce guidelines to ensure consistency, quality, and completeness of data assets
 Executes standard software solutions, design, development, and technical troubleshooting
 Writes secure and high\-quality code using the syntax of at least one programming language with limited guidance
 Designs, develops, codes, and troubleshoots with consideration of upstream and downstream systems and technical implications
 Applies knowledge of tools within the Software Development Life Cycle toolchain to improve the value realized by automation
 Formal training or certification on data engineering concepts
 Experience in data engineering, with a focus on cloud\-based solutions
 Hands\-on practical Experience in system design, application development, testing, and operational stability
**About Tanisha Systems, Inc.**
 Tanisha Systems, founded in 2002 in Massachusetts\-\*, is a leading provider of Custom Application Development and end\-to\-end IT Services to clients globally. We use a client\-centric engagement model that combines local on\-site and off\-site resources with the cost, global expertise and quality advantages of off\-shore operations. We deliver Custom Application Development, Application Modernization, Business Process Outsourcing and Professional IT Services from office locations in \* and \*.
 Tanisha Systems services clients in Government, Banking \&amp; Financial Markets, Insurance, Healthcare, Retail \&amp; Consumer Goods, Energy \&amp; Utilities, Life Sciences, Telecom, Manufacturing and Transportation Industries around the globe. Our engagement model provides a flexible operational environment that empowers our clients with the right levels of control.
 Want to read more about Tanisha Systems? Visit us at</t>
        </is>
      </c>
    </row>
    <row r="50">
      <c r="A50" t="inlineStr">
        <is>
          <t>li-4357608875</t>
        </is>
      </c>
      <c r="B50" t="inlineStr">
        <is>
          <t>Senior Data Engineer</t>
        </is>
      </c>
      <c r="C50" t="inlineStr">
        <is>
          <t>Jobs via Dice</t>
        </is>
      </c>
      <c r="D50" t="inlineStr">
        <is>
          <t>linkedin</t>
        </is>
      </c>
      <c r="E50">
        <f>HYPERLINK("https://www.linkedin.com/jobs/view/4357608875", "https://www.linkedin.com/jobs/view/4357608875")</f>
        <v/>
      </c>
      <c r="F50" t="inlineStr"/>
      <c r="G50" t="inlineStr"/>
      <c r="H50" t="inlineStr"/>
      <c r="I50" t="inlineStr">
        <is>
          <t>Dice is the leading career destination for tech experts at every stage of their careers. Our client, Sharpedge Solutions, is seeking the following. Apply via Dice today!
 Title: Senior Data Engineer
 Location: Remote
 12\+ Month contract
**7\+**
**Yes**
**A Senior Data Engineer will design and develop highly scalable and extensible data pipelines which enable collection, storage, distribution, modeling, and analysis of large data sets from many channels. This position requires an innovative software engineer who is passionate about data \&amp; data quality. The ideal candidate will have strong data warehousing and API integration experience and the ability to develop scalable data pipelines that make data management and analytics/reporting faster, more insightful, and more efficient.**
**Develop, test, document and support scalable data pipelines**
**Build out and evolve data integrations including APIs to support continuing increases in data volume and complexity**
**Establish and follow data governance processes and guidelines to ensure data availability, usability, consistency, integrity, and security**
**Build, implement, and maintain scalable solutions that align to our data governance standards and architectural road maps for data integrations, data storage, reporting, and analytic solutions**
**Collaborate with analytics and business teams to improve data models that feed business intelligence tools, increasing data accessibility, and fostering data\-driven decision making across the organization**
**Design and develop data integrations and a data quality framework. Write unit/integration/functional tests and document work**
**Design, implement, and automate deployment of our distributed system for collecting and processing streaming events from multiple sources**
**Perform data analysis needed to troubleshoot data\-related issues and aid in the resolution of data issues**
**Guide and mentor junior engineers on coding best practices and optimization**
**Qualifications:**
**Education: 4\-year college degree or equivalent combination of education and experience. Prefer an academic background in Computer Science, Mathematics, Statistics, or related technical field**
**5 years of relevant work experience in analytics, data engineering, business intelligence or related field**
**Skilled in object\-oriented programming (Python in particular)**
**Strong Experience In Python, PySpark And SQL**
**Strong Experience in Databricks**
**Experience Developing Integrations Across Multiple Systems And APIs**
**Experience with or knowledge of Agile software development methodologies**
**Experience with cloud\-based databases, specifically Azure technologies (e.g., Azure data lake, ADF, Azure DevOps and Azure Functions)**
**Experience using SQL queries as well as writing and perfecting SQL queries in a business environment with large\-scale, complex datasets**
**Experience with data warehouse technologies. Experience creating ETL and/or ELT jobs**
**Excellent Problem Solving And Troubleshooting Skills**
**Process oriented with great documentation skills**
**Experience designing data schemas and operating SQL/NoSQL database systems is a plus**
**Experience in Kafka, Flink ,Fivetran and Matillion is nice to have**
**Experience in Data Science and Machine Learning is nice to have**</t>
        </is>
      </c>
    </row>
    <row r="51">
      <c r="A51" t="inlineStr">
        <is>
          <t>li-4343872368</t>
        </is>
      </c>
      <c r="B51" t="inlineStr">
        <is>
          <t>Healthcare Senior Data Engineer, Analytics Hub</t>
        </is>
      </c>
      <c r="C51" t="inlineStr">
        <is>
          <t>ECG Management Consultants</t>
        </is>
      </c>
      <c r="D51" t="inlineStr">
        <is>
          <t>linkedin</t>
        </is>
      </c>
      <c r="E51">
        <f>HYPERLINK("https://www.linkedin.com/jobs/view/4343872368", "https://www.linkedin.com/jobs/view/4343872368")</f>
        <v/>
      </c>
      <c r="F51" t="inlineStr"/>
      <c r="G51" t="inlineStr">
        <is>
          <t>Chicago, IL</t>
        </is>
      </c>
      <c r="H51" t="inlineStr"/>
      <c r="I51" t="inlineStr">
        <is>
          <t>**Overview**
 ECG, the most experienced healthcare consulting firm working in the U.S., is ranked as a Best Midsized Firm to Work For 2025 by
 *Consulting Magazine* 
 . At ECG, our primary emphasis is on quality—in our people as well as our services—and we’re seeking others who appreciate our high standards of excellence.
**What’s in It for You: Work with Purpose**
 At ECG, your contribution will have meaningful impact. The work you do will ultimately help health systems optimize performance and meet the needs of the communities they serve—and that’s just the beginning. We’re looking for team players, culture builders, problem\-solvers, and self\-starters to collaborate, take on challenging projects, and find new ways to make a positive impact in the healthcare services sector. ECG is committed to ensuring a supportive, inclusive, and equitable work environment that embraces DEI, where we recognize performance, communicate openly and transparently, and value work\-life balance.
**Join Our Analytics Hub**
 Our growing Analytics Hub works with our consulting teams to deliver new insights, streamlined analysis, and world\-class intelligence to the healthcare organizations we serve as clients. Combined with our consulting teams, you will be helping physician and executive leadership make informed decisions that can alter the course of their enterprises in areas such as physician alignment, mergers and acquisitions, service line planning, provider compensation, financial performance, transforming care models, patient access, managed care portfolio optimization, digital health expansion, and more. ECG uses a Microsoft Azure and Microsoft 365 environment, with Microsoft Power BI as ECG’s current analytics visualization platform. The goal of the position is to further capitalize on the existing ECG infrastructure, as well as implement new features and technologies. The ideal candidate is open to new challenges, exceptional at multitasking, and proficient at implementing new solutions.
 Our detailed plans incorporate qualitative findings with data\-driven strategic, operational, and financial considerations that enable organizations to pursue realistic change. Our consultants bridge the gap between strategic thinking and operational implementation with sensible action plans and tactical recommendations. This approach allows us to stretch our clients’ thinking while ensuring that initiatives with the broadest and deepest impact are prioritized and implementable. Our wide\-ranging engagements often focus on helping our clients:
* Position themselves for value\-based care delivery.
* Align hospitals and physician organizations.
* Strengthen financial performance.
* Enhance clinical programs.
* Develop strategic partnerships and/or mergers.
**Your Opportunity with ECG: Senior Data Engineer**
 As a senior data engineer, you will support the firm’s client delivery and business development efforts, working with consultants and senior leaders to design and maintain a growing analytical infrastructure, manage large data sets, aggregate internal and external data, develop the infrastructure for scalable models and other analyses, and support data visualization and presentation sets. In addition, you will work directly with our internal support teams (IT, business development, and L\&amp;D) and associated vendors for data management and IT solutions, and you will assist with a range of innovative analytic opportunities. Here, no two days or projects are alike, which means you’ll have a lot to learn and plenty of support to help you succeed.
**Your Responsibilities May Include:**
* Gathering and synthesizing data from various sources (e.g., national surveys, proprietary research, client interviews, industries, markets).
* Designing, developing, and maintaining new data capabilities and infrastructure for utilizing ECG, third\-party, and partner data to enhance ECG’s data products and solutions related to consulting services.
* Creating new data pipelines, data transfers, and infrastructure to facilitate seamless data utilization within cloud environments (primarily Microsoft Azure).
* Optimizing and fine\-tuning data pipelines for improved speed, reliability, and efficiency.
* Creating and supporting the ETL to facilitate the accommodation of data in the data lakes.
* Designing and developing systems for the maintenance of ECG’s EDW and data lakes, ETL processes, and business intelligence.
* Identifying existing data capability and infrastructure gaps or opportunities within and across initiatives and providing subject matter expertise in support of remediation.
* Collaborating with the Analytics Hub peers, IT team, and consulting teams to understand data requirements and translate them into technical solutions.
* Working with large data sets, ensuring data quality, accuracy, and performance.
* Implementing data transformation, integration, and validation processes to support analytics and reporting needs.
* Implementing best practices for data storage, retrieval, and archival to ensure data accessibility and security.
* Troubleshooting and resolving data\-related issues, collaborating with the team to identify root causes.
* Documenting data processes, data lineage, and technical specifications for future reference.
* Participating in code reviews, ensuring adherence to coding standards and best practices.
* Collaborating with the Analytics Hub and IT teams to automate deployment and monitoring of data pipelines.
* Integrating into analytical roles to quickly and effectively dissect business requirements for analysis and reporting needs; establishing documentation and maintaining technical specifications for all reports and processes.
* Building relational databases using a Microsoft SQL Server or Microsoft Fabric.
* Communicating market insights to pursuit teams and supporting business development efforts.
* Partnering with various consulting units (strategy, academic healthcare, provider financial services, performance transformation, etc.) to gather requirements related to data analytics.
* Developing, configuring, and maintaining interfaces to exchange data among Microsoft Power BI, SQL databases, and other cloud\-based applications.
* Developing new and innovative methodologies and approaches.
* Contributing to internal education and learning opportunities for consultants and operations members for the Analytics Hub and analytics in general, and supporting education about ECG’s use cases related to analytics in work.
* Assisting the director of data analytics in developing analytics and data strategy to support data analytics capabilities at the firm.
**Our Expectations of You**
* A bachelor’s degree in either computer science or computer engineering, or a related degree that relies heavily on critical thinking, logic, and math
* Five\-plus years of proven experience in data engineering, with a strong track record of designing and implementing data solutions; experience working in the healthcare sector preferred
* Strong knowledge of SQL and NoSQL databases, as well as data integration and transformation tools
* Proficiency in programming languages, such as Python, R, Java, or Scala, and experience with data processing frameworks (Apache Spark, Apache Hadoop, etc.)
* Experience using Fabric
* In\-depth understanding of data warehousing concepts, cloud platforms (AWS, Azure, GCP), and data modeling techniques
* A passion for and engagement with emerging trends in data, AI/ML, analytics, and digital experiences
* Extensive working knowledge of API\- or stream\-based data extraction processes like bulk API
* Experience in data product development, analytical models, and model governance
* Experience in anonymizing data and managing the use of data
* Experience in data hygiene procedures, identity resolution capabilities, or data management a plus
* Comfort in unit testing, regression testing, and other test\-driven development methodologies
* Knowledge of BI tools and visualization tools like Power BI or Tableau a plus
* Comfort with manipulating and synthesizing large data sets
* Strong written and verbal communication skills
* Excellent organizational skills
**Job Locations**
* Boston, Chicago, or Washington, D.C.
* Hybrid work schedule, with a minimum of two days per week in office
**Schedule**
 Full time/exempt
**What You Can Expect Of Us**
 To reward our driven, innovative, and passionate employees, we’ve built a company culture that’s centered on performance. We offer an attractive compensation package, challenging work, and an entrepreneurial environment where you can take ownership of your career—and get out as much as you put in.
 The estimated base salary range for this job is $130,000 \- $160,000 annually. It represents a good faith estimate of the range that ECG reasonably expects to pay at the time of the job posting. The actual salary paid will vary based on multiple factors, including but not limited to years of experience, special skills, and market changes. This job is eligible to participate in ECG’s annual incentive compensation program, which reflects ECG’s pay\-for\-performance philosophy. The job is also eligible to participate in ECG’s benefit plans, which include medical, dental, and vision coverage; a 401(k) matching program; unlimited PTO; and other wellness programs.
**About ECG**
 With knowledge and expertise built over the course of 50\-plus years, ECG is a national consulting firm that is redefining healthcare together with its clients. ECG offers a broad range of strategic, financial, operational, and technology\-enabled consulting services encompassing health system performance improvement, ambulatory care planning, market consolidation, and physician enterprise optimization. ECG is an industry leader offering specialized expertise to clients across the full continuum of care, including hospitals, health systems, medical groups, academic medical centers, children’s hospitals, cancer centers, ambulatory surgery centers, investors, and payers/health plans.
**Apply now and make an impact for years to come.**
 To begin the recruitment process, please submit your resume via our career site at https://careers.ecgmc.com.
*ECG provides equal employment opportunities to all employees and applicants for employment without regard to sex, race, color, religion, national origin, citizenship, ancestry, age, disability, pregnancy, medical condition (cancer and genetic characteristics), genetic information, gender, gender identity or expression, sexual orientation, marital status, military or veteran status, or any other legally protected characteristic. We participate in E\-Verify as part of our onboarding process. Having the permanent legal right to work in the United States is a condition of employment. ECG is not currently able to provide assistance to candidates requiring sponsorship or a visa.*</t>
        </is>
      </c>
    </row>
    <row r="52">
      <c r="A52" t="inlineStr">
        <is>
          <t>li-4354702988</t>
        </is>
      </c>
      <c r="B52" t="inlineStr">
        <is>
          <t>Data Engineer</t>
        </is>
      </c>
      <c r="C52" t="inlineStr">
        <is>
          <t>Jobs via Dice</t>
        </is>
      </c>
      <c r="D52" t="inlineStr">
        <is>
          <t>linkedin</t>
        </is>
      </c>
      <c r="E52">
        <f>HYPERLINK("https://www.linkedin.com/jobs/view/4354702988", "https://www.linkedin.com/jobs/view/4354702988")</f>
        <v/>
      </c>
      <c r="F52">
        <f>HYPERLINK("https://click.appcast.io/t/lwkH0V_jTNOiWex03eV5GiM6ws0O_5wJVkgo6Kpaw7A=&amp;urlHash=_0mY", "https://click.appcast.io/t/lwkH0V_jTNOiWex03eV5GiM6ws0O_5wJVkgo6Kpaw7A=&amp;urlHash=_0mY")</f>
        <v/>
      </c>
      <c r="G52" t="inlineStr">
        <is>
          <t>Merrimack, NH</t>
        </is>
      </c>
      <c r="H52" t="inlineStr"/>
      <c r="I52" t="inlineStr">
        <is>
          <t>RESPONSIBILITIES:
 Kforce has a client in Merrimack, NH that is seeking a Data Engineer.
 Responsibilities:
* Deliver high quality, innovative and maintainable software solutions in an agile environment
* Actively contribute to test automation and practices
* Demonstrate strong leadership, communication, and presentation skills
* Experience working with distributed teams
* Understanding of fundamental data design principles and application design
* Strong troubleshooting and problem\-solving skills
* Ability to quickly learn, adapt and thrive to meet the needs of a fast paced, changing environment
* Performing application maintenance and ensure information security controls
* Provide timely status updates, issue resolutions, and step\-by\-step instructions on usability questions
* Collaborate with Product, Execution, and other support teams to resolve or escalate user inquiries
* Based on support queue trends, make recommendations for innovation and automation to reduce volume
 REQUIREMENTS:
* B.S. in Computer Science, Management Information Systems, or equivalent experience
* 6\+ years of IT experience
* Strong programming skills in SQL/Python/java
* Solid understanding of relational databases (PostgreSQL, SQL/Oracle)
* Experience in data pipelines ETL/ELT tools, control\-M
* Experience with Enterprise Data Lake e.g. Snowflake
* Experience with GitHub
* Good experience in Agile/Scrum methodologies
* Experience of Cloud technologies and automated deployments
* Ability to communicate software engineering and/or development concepts and principles
* Ability to take up new challenges and explore new technology/tools
* Can collaborate well with the business, your team members, work independently, and influence your technology peers
* Proficient in ability to identify and pull data from various applications and systems (e.g., Salesforce, Oracle, SQL Server)
* Experience in performing complex data analysis and data aggregation
* Troubleshooting and debugging skills
* Strong analytical and logical skills
* Ability to analyze trends and recommend improvements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53">
      <c r="A53" t="inlineStr">
        <is>
          <t>li-4362772819</t>
        </is>
      </c>
      <c r="B53" t="inlineStr">
        <is>
          <t>Sr. AWS Data Engineer - NC/NY (Hybrid) - W2 Full time</t>
        </is>
      </c>
      <c r="C53" t="inlineStr">
        <is>
          <t>TEK Hire Solutions</t>
        </is>
      </c>
      <c r="D53" t="inlineStr">
        <is>
          <t>linkedin</t>
        </is>
      </c>
      <c r="E53">
        <f>HYPERLINK("https://www.linkedin.com/jobs/view/4362772819", "https://www.linkedin.com/jobs/view/4362772819")</f>
        <v/>
      </c>
      <c r="F53" t="inlineStr"/>
      <c r="G53" t="inlineStr">
        <is>
          <t>New York, NY</t>
        </is>
      </c>
      <c r="H53" t="inlineStr"/>
      <c r="I53" t="inlineStr">
        <is>
          <t>**Job Title:** 
 AWS Data Engineer
**Location:** 
 Fort Mill, SC or New York City, NY (3\-4 days Hybrid)
**Work Authorization** 
 : H1B, GC, USC, OPT, CPT
**Note:** 
 Submission should be with all the candidate details on the resume. Submission should contain the resume, visa copy, and the DL copy of the candidate.
**Job Summary**
 We are seeking a highly skilled AWS Data Engineer to design, develop, and optimize large\-scale data pipelines and ETL workflows on AWS. The ideal candidate will have strong expertise in AWS cloud\-native data services, data modeling, and pipeline orchestration, with hands\-on experience building robust and scalable data solutions for enterprise environments.
**Key Responsibilities**
* Design, develop, and maintain ETL pipelines using AWS Glue, Glue Studio, and Glue Catalog.
* Ingest, transform, and load large datasets from structured and unstructured sources into AWS data lakes/warehouses.
* Work with S3, Redshift, Athena, Lambda, and Step Functions for data storage, query, and orchestration.
* Build and optimize PySpark/Scala scripts within AWS Glue for complex transformations.
* Implement data quality checks, lineage, and monitoring across pipelines.
* Collaborate with business analysts, data scientists, and product teams to deliver reliable data solutions.
* Ensure compliance with data security, governance, and regulatory requirements (BFSI preferred).
* Troubleshoot production issues and optimize pipeline performance.
**Required Qualifications**
* 12\+ years of experience in Data Engineering, with at least 5\+ years on AWS cloud data services.
* Strong expertise in AWS Glue, S3, Redshift, Athena, Lambda, Step Functions, CloudWatch.
* Proficiency in PySpark, Python, SQL for ETL and data transformations.
* Experience in data modeling (star, snowflake, dimensional models) and performance tuning.
* Hands\-on experience with data lake/data warehouse architecture and implementation.
* Strong problem\-solving skills and ability to work in Agile/Scrum environments.
**Preferred Qualifications**
* Experience in BFSI / Wealth Management domain.
* AWS Certified Data Analytics – Specialty or AWS Solutions Architect certification.
* Familiarity with CI/CD pipelines for data engineering (CodePipeline, Jenkins, GitHub Actions).
* Knowledge of BI/Visualization tools like Tableau, Power BI, QuickSight.
**Education**
* Bachelor’s degree in Computer Science, Information Technology, Engineering, or related field.
* Master’s degree preferred.
 Tekhire Solutions is a world\-class technology focused on customer\-driven solutions and has a deep dive knowledge of client requirements. Tekhire is best in connecting a bridge between highly skilled workers and the Fortune 500\. Always thrives to be up with the technology trends, Innovation and transforms our trusted clients with certified and enterprise solutions that makes difference in the business.</t>
        </is>
      </c>
    </row>
    <row r="54">
      <c r="A54" t="inlineStr">
        <is>
          <t>li-4359008409</t>
        </is>
      </c>
      <c r="B54" t="inlineStr">
        <is>
          <t>Software Readiness/Data Engineer, Enterprise Technology Services</t>
        </is>
      </c>
      <c r="C54" t="inlineStr">
        <is>
          <t>Apple</t>
        </is>
      </c>
      <c r="D54" t="inlineStr">
        <is>
          <t>linkedin</t>
        </is>
      </c>
      <c r="E54">
        <f>HYPERLINK("https://www.linkedin.com/jobs/view/4359008409", "https://www.linkedin.com/jobs/view/4359008409")</f>
        <v/>
      </c>
      <c r="F54">
        <f>HYPERLINK("https://jobs.apple.com/en-us/details/200627814&amp;urlHash=6-Wk", "https://jobs.apple.com/en-us/details/200627814&amp;urlHash=6-Wk")</f>
        <v/>
      </c>
      <c r="G54" t="inlineStr">
        <is>
          <t>Elk Grove, CA</t>
        </is>
      </c>
      <c r="H54" t="inlineStr"/>
      <c r="I54" t="inlineStr">
        <is>
          <t>**Summary**
 Apple is a place where extraordinary people gather to do their best work. Just be ready to dream big! The people here at Apple don’t just build products — they build the kind of wonder that’s revolutionized entire industries. It’s the diversity of those people and their ideas that encourages the innovation that runs through everything we do, from amazing technology to industry\-leading environmental efforts. Join Apple, and help us leave the world better than we found it. Imaging what you could do here! At Apple, creative ideas have a way of becoming wonderful products, services, and customer experiences very quickly. Bring passion and dedication to your job and there’s no telling what you could accomplish. Essential Fucntions Resolve technical and non\-technical issues through tickets, from understanding user problems to giving solutions and documenting root cause analysis. Effectively communicate to both technical and non\-technical customers the progress of the ticket. Identify and guide teams to understand users issue and help teams come up with solutions to address the concern. Collaborate with cross functional teams to fix issues like bugs and data quality. Ensure customer success through timely issue resolution, providing positive customer impact and experience. In this role you will be asked to lead through ambiguous tickets and issues on a big data system, working with cross functional teams on Apple’s manufacturing data platform. The expectation is that you will be able to independently drive ownership of the issue across all leadership levels of the business and provide guidance and direction when you may not have all the facts or data points. Teams across the organization are relying on the solutions we provide to make critical decisions with system availability being paramount to the success of many groups throughout the company, and with the ability to work weekends and holidays as required.
**Description**
 Customer\-oriented mindset with a focus on delivering quality support and ensuring high customer satisfaction Interact with end\-users to understand, clarify, and document issues, as well as to provide updates on issue resolution progress. Excellent communication skills to convey technical information to both technical and non\-technical stakeholders. Conducts research to understand how the organization functions and where it can improve. Being able to analyze this information and form a hypothesis of organization weaknesses and how to fix them. Prepares reports with excel or Similar tools. L2/L3 support on large enterprise applications with advance troubleshooting and root cause analysis. Stays current with latest trends in manufacturing and operations in industries and applies them to existing business models Travels to different job locations as required to maximize business knowledge and user feedback. Analyze and interpret data to support business in decision\-making, ensuring data accuracy and integrity. Performs requirements gathering for overall improvement of platform. Creates documentation for SOPs and process flows. Collaborate with the testing team to ensure that testing efforts align with business requirements and participate in user acceptance testing (UAT) and facilitate user feedback. Works with members of own team to offer different ideas Clarifies strategic and operational problems / successes / failures with management Implement strategies for gathering, reviewing and analyzing data to see the trend and patterns.
**Minimum Qualifications**
 5\+ years of experience working in L2/L3 support on large enterprise applications with advanced troubleshooting and root cause analysis across multiple technologies.nExposure to cloud technologies.nProgramming work experience in writing complex Sql to extract Data from a large Databases.n
**Preferred Qualifications**
 Python Scripting experience.nWorking knowledge on Linux Operating System and Unix/Shell Scripting.nExperience with Tableau (or other similar reporting tools) for data Visualisation and reporting.
**Pay \&amp; Benefits**
 At Apple, base pay is one part of our total compensation package and is determined within a range. This provides the opportunity to progress as you grow and develop within a role. The base pay range for this role is between $132,100 and $199,000,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55">
      <c r="A55" t="inlineStr">
        <is>
          <t>li-4359058982</t>
        </is>
      </c>
      <c r="B55" t="inlineStr">
        <is>
          <t>Java / Data Engineer</t>
        </is>
      </c>
      <c r="C55" t="inlineStr">
        <is>
          <t>Jobs via Dice</t>
        </is>
      </c>
      <c r="D55" t="inlineStr">
        <is>
          <t>linkedin</t>
        </is>
      </c>
      <c r="E55">
        <f>HYPERLINK("https://www.linkedin.com/jobs/view/4359058982", "https://www.linkedin.com/jobs/view/4359058982")</f>
        <v/>
      </c>
      <c r="F55" t="inlineStr"/>
      <c r="G55" t="inlineStr">
        <is>
          <t>Boca Raton, FL</t>
        </is>
      </c>
      <c r="H55" t="inlineStr"/>
      <c r="I55" t="inlineStr">
        <is>
          <t>Dice is the leading career destination for tech experts at every stage of their careers. Our client, Korn Ferry, is seeking the following. Apply via Dice today!
 We have partnered with our client in their search for a Java/ Data Engineer to work Remotely EST hours.
**Responsibilities**
 We are looking for candidates who possess strong analytical skills and are talented at solving complex problems with an interest in building unique data solutions related to Big Data technology. The Software Engineer\-III contractor position that we have in our mind is for anyone interested in data engineering, graph analytics and data science, with an emphasis on Data Engineering and JAVA experience.
* Design and implement models to transform complex, connected datasets into actionable business intelligence using graph analytics principles and technologies
* Core JAVA development including wrapper classes to support object\-oriented features
* Write Java classes, build JARs, perform unit testing, and optimize code for performance
* Create entity models based on raw data sources
* Build data pipelines for ingestion and incremental updates
* Build automated test suites
* Validate data quality and investigate data discrepancies
* Review complex requirements and translate them into software designs and solutions
* Write optimized code to clean, transform, and analyze large datasets
* Knowledge sharing through peer programming, group code reviews
* Adhere to code standardization and team best practices
* Collaborate with team members, technical peers and stakeholders
* Test data solutions, monitoring jobs, and fixing issues
* Document technical specs and processes
* Operate in various development environments (Agile, Kanban, Waterfall)
* All other duties as assigned.
**Skills Required**
* Meticulous attention to details and strong problem\-solving abilities
* Ability to apply logic and critical thinking to interpret data patterns and connections between different data sources
* Able to work with ambiguity, gaining clarity using independent analysis and thorough investigation
* Ability to work with complex data models and data modeling principles
* Understanding of relational database principles
* High proficiency in core JAVA development language OOP, Collections, Multithreading, Data Structures and Exception Handling
* Proficiency with JUNIT testing framework, Maven build tool, GitHub version control and IntelliJ IDE.
* Proficient in Big Data Frameworks such as Apache Spark (preferred) or Hadoop
* Knowledgeable in Azure Databricks, Delta Lake, Spark Core, Azure Data Factory (ADF) and Unity Catalog
* Knowledgeable in analyzing data, finding data patterns, data visualization
* Ability to ingest and transform data using PySpark in Azure Databricks
* Understanding of key Data Warehousing and ETL/ELT Processes such as data pipelines and database management
* Ability to design, build, and maintain robust Extract, Transform, Load (ETL) or Extract, Load, Transform (ELT) pipelines
* Proficient in SQL and NoSQL databases, MySQL and Azure Cosmos DB are preferred
* Knowledgeable in object\-oriented programming (OOP) concepts, design patterns, and general software architecture
* Knowledgeable in Cloud Platforms, such as Microsoft Azure (preferred) or AWS
* Experience in performance optimization, including multi\-threading, concurrency, and memory management
* Ability to interpret complex data, visualize results, and explain insights to technical and non\-technical stakeholders.
* Ability to collaborate with internal and external technology resources.
* Ability to write and review detailed technical specifications
* Knowledge of software development methodologies (e.g., Scrum, Kanban, Waterfall)
**Education \&amp; Work** 
**Experience**
* 10\+ years of Software Development experience B.S Engineering/Computer Science or equivalent required
**Title** 
 Java/ Data Engineer
**Location** 
 Remote EST
**Client Industry** 
 Insurance
**About Korn Ferry**
*Korn Ferry unleashes potential in people, teams, and organizations. We work with our clients to design optimal organization structures, roles, and responsibilities. We help them hire the right people and advise them on how to reward and motivate their workforce while developing professionals as they navigate and advance their careers. To learn more, please visit Korn Ferry at ;/span\&gt;*</t>
        </is>
      </c>
    </row>
    <row r="56">
      <c r="A56" t="inlineStr">
        <is>
          <t>li-4357658609</t>
        </is>
      </c>
      <c r="B56" t="inlineStr">
        <is>
          <t>Software Developer/Data Engineer - Apple Music</t>
        </is>
      </c>
      <c r="C56" t="inlineStr">
        <is>
          <t>Apple</t>
        </is>
      </c>
      <c r="D56" t="inlineStr">
        <is>
          <t>linkedin</t>
        </is>
      </c>
      <c r="E56">
        <f>HYPERLINK("https://www.linkedin.com/jobs/view/4357658609", "https://www.linkedin.com/jobs/view/4357658609")</f>
        <v/>
      </c>
      <c r="F56">
        <f>HYPERLINK("https://jobs.apple.com/en-us/details/200632618&amp;urlHash=ZbGs", "https://jobs.apple.com/en-us/details/200632618&amp;urlHash=ZbGs")</f>
        <v/>
      </c>
      <c r="G56" t="inlineStr">
        <is>
          <t>Cupertino, CA</t>
        </is>
      </c>
      <c r="H56" t="inlineStr"/>
      <c r="I56" t="inlineStr">
        <is>
          <t>**Summary**
 This team is more than a group of engineers — it’s a group of music lovers. That passion has made Apple Music the world’s most complete music experience, with over 60 million songs, thousands of playlists, and daily selections from music experts for 115 countries. The team’s data\-driven engineers focus relentlessly on the customer experience by running worldwide experiments and analyzing usage and latency, while collaborating with Apple’s product groups. As a result, someone can use the Shazam app to identify an intriguing song in a café in the morning, add it to their playlist from Apple Watch, listen to it through their AirPods on their commute, and share it with their family on HomePod at dinnertime. And there’s more where that came from, because personalization powered by machine learning and music science helps listeners discover more of what they love. Apple Music is a huge part of Apple’s business because it’s a big part of people’s lives.
**Description**
 We are seeking a hardworking, performance\-savvy, engineer to build out the big data platform and services, which power many of these customer features — existing and new. As a core member of the Data Engineering team you will be responsible for designing and implementing features that rely on processing and serving very large datasets with an awareness of scalability. This will include crafting systems to model, ingest, process and compute large\-scale, mission\-critical data across Apple Music. High\-throughput and reliability are essential. The computed datasets are produced for internal reporting used by executives and they are also shared across many teams within the ASE organization, such as the Search team, Recommendation team, AB team, Marketing team. You will also enjoy the benefits of working in a fast growing business where you are encouraged to “Think Different” to solve very interesting technical challenges and where your efforts play a key role in the success of Apple’s business. This is your opportunity to help engineer highly visible global\-scale systems with petabytes of data, supporting hundreds of millions of users. Come join us to help deliver the next amazing Apple product!
**Minimum Qualifications**
 Bachelor’s degree in Engineering, Computer Science, Business Information Systems, or related fieldnAt least 5\+ years relevant industry experiencenProficiency and hands\-on experience in at least one of Java or Scala.nExperience with Apache Flink or SparknSkilled at writing clean, performant and well\-tested code, as well as reviewing and debugging existing code.nSolid Computer Science fundamentals, including algorithms and data structures.nA strong command of distributed data processing fundamentals and patterns (e.g., partitioning, data locality, distributed consensus).nExcellent communication skills, with the ability to articulate complex technical designs and concepts to both technical and non\-technical stakeholders.nGood critical thinking skills.
**Preferred Qualifications**
 Experience with Apache Iceberg tablesnExperience with Apache BeamnFamiliarity with Docker and KubernetesnFamiliarity with Apache Airflow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2026-01-15T21:11:18Z</dcterms:created>
  <dcterms:modified xsi:type="dcterms:W3CDTF">2026-01-15T21:11:18Z</dcterms:modified>
</cp:coreProperties>
</file>