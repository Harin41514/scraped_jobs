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in-60cf0ccd51bbd6bd</t>
        </is>
      </c>
      <c r="B2" t="inlineStr">
        <is>
          <t>Staff, Data Scientist- Performance Measurements and Insights</t>
        </is>
      </c>
      <c r="C2" t="inlineStr">
        <is>
          <t>Sam's Club</t>
        </is>
      </c>
      <c r="D2" t="inlineStr">
        <is>
          <t>indeed</t>
        </is>
      </c>
      <c r="E2">
        <f>HYPERLINK("https://www.indeed.com/viewjob?jk=60cf0ccd51bbd6bd", "https://www.indeed.com/viewjob?jk=60cf0ccd51bbd6bd")</f>
        <v/>
      </c>
      <c r="F2">
        <f>HYPERLINK("https://click.appcast.io/t/1Mh2U4NXzH-XzTSESNyxae8T3Co1Qa6Ta25raBImITI=", "https://click.appcast.io/t/1Mh2U4NXzH-XzTSESNyxae8T3Co1Qa6Ta25raBImITI=")</f>
        <v/>
      </c>
      <c r="G2" t="inlineStr">
        <is>
          <t>Bentonville, AR, US</t>
        </is>
      </c>
      <c r="H2" s="2" t="n">
        <v>46036</v>
      </c>
      <c r="I2" t="inlineStr">
        <is>
          <t>**Position Summary...**
-----------------------
Why Sam’s Club MAP?
At Sam’s Club, we are member obsessed. We look to add value to Sam’s Club membership, and we partner with suppliers to bring unique and exciting values to our members. Sam’s Club Member Access Platform (MAP) is the nexus of the Supplier \-Marketer\- Merchant partnership and is responsible for delivering our suppliers (advertisers) impactful omnichannel advertising member experiences that are married with measurable insights.
Why MAP MINDS team?
The MAP Measurement, Insights and Data Strategy (MINDS) team is part of the Sam’s Club Member \&amp; Insights Center of Excellence org that is dedicated to supporting the retail media MAP business unit. It is comprised of two key workstreams \- Performance Measurement \&amp; Insights team and Media Science \&amp; Experimentation team. MAP MINDS plays a critical role in MAP’s accelerated growth by bringing the power of 1st party deterministic membership data and advanced data science and innovative measurement approaches together to offer trusted data and insights to MAP advertisers and MAP internal teams.**What you'll do...**
---------------------
**What will you do?**
Business Measurement \&amp; Reporting:
* Collaborate with leaders in Sales and other inter\-dependent teams to design, develop, and propose automation and AI solutions for reporting and measurement needs.
* Own and develop scaled reporting solutions for Sales team needs.
* Manage reporting collateral, including dashboards, to facilitate teams' understanding of business health and goal achievement levels.
Strategy Planning:
* Address ambiguous strategic questions facing the business and collaborate with leaders across MAP to build business cases for new business initiatives.
* Ensure smooth execution of these initiatives across diverse cross\-functional partners.
* Develop a profound understanding of MAP’s business and how our different ads products, media channels, and sales investments align with our broader strategy.
* Develop various input and output metrics we will use to evaluate our progress, which will serve as the backbone of our MAP MINDS reporting process. This role will also leverage strong data science skills to develop reporting deliverables, create ad hoc analyses on business results and sales performance, provide insights used to help business planning, develop and deploy ML models and drive process improvement.
Special Projects and In\-Depth Analysis:
* Build quick automaton tools to drive quick data synthesis  
Work with product on robust data analytical asks
* Act as the primary point of contact for Sales, offering insights into metric movements and trends and providing data\-driven insights.
* Support decision\-making by specifying requirements for developing analytic capabilities, platforms, pipelines, and metrics, and then use them to analyze trends and identify root causes.
* Lead and conduct ad hoc analyses, ranging from creating new metrics to identifying the root causes of revenue fluctuations.
* Operate independently as the go\-to analytics expert for day\-to\-day business needs.
* This role requires strong stakeholder management, comfort with ambiguity, attention to detail, and the ability to operate in a fast\-paced, entrepreneurial environment. As a staff data scientist, you will uphold high technical standards, deliver consistently, and lead by example.
**What****you’ll****bring****?**
* 5\+ years of experience in data science, analytics, or statistical analysis
* Strong executive presence and communication skills, with the ability to adapt messaging for different audiences
* Advanced SQL skills for complex data extraction and analysis
* Design, build, and maintain high\-quality dashboards and visualizations using Superset and other BI tools as needed.
* Experience partnering with data scientists, engineers, and product managers to design, train, test, and deploy ML models
* Ability to translate ambiguous business problems into clear analytical and ML roadmaps
* Experience conducting offline evaluations and A/B testing, causality, and communicating results to technical and non\-technical stakeholders
* Experience mentoring junior data scientists and acting as a technical leader
* Strong ability to gather business requirements, propose solutions, evaluate feasibility, and assess ROI
* Proven ability to manage multiple priorities independently in a cross\-functional environment
* Familiarity with sales processes and tools (e.g., Salesforce, quota and territory analytics)
**What are the qualifications?**
* Have a MS/PhD in relevant technical degree (preferably Computer Science, Machine Learning, Operations Research, Applied Mathematics, Statistics, Engineering etc.) with 5\+ years of relevant work experience.
* Strong prior experience in retail media and digital / in\-store advertising
* Strong knowledge of Python, SQL, PySpark, Tableau, Machine Learning Libraries, Big Data processing systems in cloud environment is expected.
* Experience working cross\-functionally product and technical teams
* Experience with large data sets and analytical tools e.g., Spark
* Sound knowledge of Ad tech and prior Retail Media working knowledge is required
* A track record of building ML models or delivering impactful customer\-facing products as tech lead and mentoring early\-career data scientists.
* Comfortable with ambiguity and thrive in an environment with rapid change
At Sam's Club,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Bentonville, Arkansas US\-09930: The annual salary range for this position is $110,000\.00 \- $220,000\.00
San Bruno, California US\-08848: The annual salary range for this position is $143,000\.00 \- $286,000\.00 Additional compensation includes annual or quarterly performance bonuses. Additional compensation for certain positions may also include Regional Pay Zone (RPZ) (based on location).
ㅤ
ㅤ
ㅤ
ㅤ
‎
**Minimum Qualifications...**
-----------------------------
*Outlined below are the required minimum qualifications for this position. If none are listed, there are no minimum qualifications.*
Option 1: Bachelors degree in Statistics, Economics, Analytics, Mathematics, Computer Science, Information Technology or related field and 4 years' experience in an analytics related field. Option 2: Masters degree in Statistics, Economics, Analytics, Mathematics, Computer Science, Information Technology or related field and 2 years' experience in an analytics related field. Option 3: 6 years' experience in an analytics or related field**Preferred Qualifications...**
-------------------------------
*Outlined below are the optional preferred qualifications for this position. If none are listed, there are no preferred qualifications.*
Data science, machine learning, optimization models, PhD in Machine Learning, Computer Science, Information Technology, Operations Research, Statistics, Applied Mathematics, Econometrics, Successful completion of one or more assessments in Python, Spark, Scala, or R, Using open source frameworks (for example, scikit learn, tensorflow, torch),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culture.**Primary Location...**
-----------------------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
      <c r="A3" t="inlineStr">
        <is>
          <t>in-fcb4c01ae6a7e54e</t>
        </is>
      </c>
      <c r="B3" t="inlineStr">
        <is>
          <t>Staff Data Scientist: Intelligent Process Automation Solutions Designer</t>
        </is>
      </c>
      <c r="C3" t="inlineStr">
        <is>
          <t>Intuit</t>
        </is>
      </c>
      <c r="D3" t="inlineStr">
        <is>
          <t>indeed</t>
        </is>
      </c>
      <c r="E3">
        <f>HYPERLINK("https://www.indeed.com/viewjob?jk=fcb4c01ae6a7e54e", "https://www.indeed.com/viewjob?jk=fcb4c01ae6a7e54e")</f>
        <v/>
      </c>
      <c r="F3">
        <f>HYPERLINK("https://dsp.prng.co/tynIdpb", "https://dsp.prng.co/tynIdpb")</f>
        <v/>
      </c>
      <c r="G3" t="inlineStr">
        <is>
          <t>San Diego, CA, US</t>
        </is>
      </c>
      <c r="H3" s="2" t="n">
        <v>46036</v>
      </c>
      <c r="I3" t="inlineStr">
        <is>
          <t>**Overview**
------------
Join Intuit’s Intelligent Process Automation (IPA) team within the Customer Success organization. As an Intelligent Process Automation Solutions Designer, you will bridge business strategy and technical execution — designing, automating, and optimizing end\-to\-end workflows that drive transformation across Intuit’s service and operational ecosystems.  
This role combines strategic systems architecture with deep technical implementation expertise in automation, AI/LLM integration, and cloud\-based process design. You will act as both a business process strategist and a hands\-on automation engineer, ensuring that every automation directly enhances business outcomes, scalability, and customer experience.
 **Responsibilities**
### **End\-to\-End Automation Design \&amp; Architecture**
* Lead the design and deployment of intelligent process automation solutions across Customer Success and adjacent business units.
* Architect integrated systems connecting CRM, data pipelines, APIs, and AI services using AWS infrastructure, Jenkins, and microservice (MSAAS) environments.
* Translate business requirements into solution blueprints and software design documentation that define data flow, integration points, and automation logic.
* Oversee solution design from conceptualization to production, ensuring alignment with the company’s automation strategy and governance frameworks.
### **AI and Agentic Systems Development**
* Build Agentic AI capabilities that can autonomously perform business processes or support human decision\-making.
* Design and implement LLM\-based interfaces and workflows for process orchestration, text understanding, and automation triggering.
* Prototype, evaluate, and deploy new AI/ML and natural language processing solutions, ensuring measurable business value and compliance with data governance standards.
### **Technical Implementation \&amp; Integration**
* Develop, test, and deploy Python\-based automation frameworks, scripts, and microservices for workflow optimization.
* Implement robust CI/CD pipelines using Jenkins and AWS tools for automated deployment and version control of process automations.
* Ensure automations are secure, compliant, and scalable, leveraging AWS security frameworks and best practices.
### **Business Partnership and Ownership**
* Collaborate closely with business leaders, product managers, and data engineers to identify automation opportunities and define success metrics.
* Act as a translator between business needs and technical execution, ensuring every automation aligns with key performance indicators (CSAT, efficiency, ROI).
* Exhibit strong ownership and accountability — from ideation through implementation and performance monitoring.
### **Continuous Innovation \&amp; Enablement**
* Contribute directly to a culture of continuous improvement and innovation across automation initiatives.
* Evaluate new technologies, frameworks, and AI capabilities relevant to intelligent process automation.
* Lead proof\-of\-concepts and pilot programs for cutting\-edge automation use cases.
* Mentor peers and contribute to the center of excellence for automation design, governance, and best practices.
 **Qualifications**
### **Technical Skills**
* Strong programming experience in Python (required); experience with JavaScript, Go, or similar languages a plus.
* Experience in process automation, process mining, data pipelines, and system integrations using APIs and cloud\-native tools.
* Expertise interfacing with Large Language Models (LLMs) and building Agentic AI systems that interact with APIs, data, and end\-users.
* Proficiency in AWS services (Lambda, S3, API Gateway, DynamoDB, Step Functions, CloudFormation, etc.).
* Experience with Jenkins, microservices, and MSAAS architectures.
* Understanding of event\-driven automation, and data governance/security principles.
### **Business \&amp; Leadership Skills**
* Proven ability to design solutions that blend technical feasibility with business impact.
* Strong business acumen and understanding of operational processes, metrics, and automation ROI.
* Skilled communicator — able to articulate technical strategies to non\-technical stakeholders.
* Demonstrated ownership, accountability, and influence in cross\-functional environments.
* Experience in driving process transformation initiatives across large\-scale organizations.
### **Preferred Experience**
* Exposure to contact center, CRM, or customer service technologies.
* Bachelor’s degree in Computer Science, Engineering, or related field; advanced degree or MBA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\- 252,000
Southern California $ 179,000\- 242,000</t>
        </is>
      </c>
    </row>
    <row r="4">
      <c r="A4" t="inlineStr">
        <is>
          <t>in-c1d051d33bfa78e4</t>
        </is>
      </c>
      <c r="B4" t="inlineStr">
        <is>
          <t>Staff Data Scientist: Intelligent Process Automation Solutions Designer</t>
        </is>
      </c>
      <c r="C4" t="inlineStr">
        <is>
          <t>Intuit</t>
        </is>
      </c>
      <c r="D4" t="inlineStr">
        <is>
          <t>indeed</t>
        </is>
      </c>
      <c r="E4">
        <f>HYPERLINK("https://www.indeed.com/viewjob?jk=c1d051d33bfa78e4", "https://www.indeed.com/viewjob?jk=c1d051d33bfa78e4")</f>
        <v/>
      </c>
      <c r="F4">
        <f>HYPERLINK("https://dsp.prng.co/nMJxmtb", "https://dsp.prng.co/nMJxmtb")</f>
        <v/>
      </c>
      <c r="G4" t="inlineStr">
        <is>
          <t>Tucson, AZ, US</t>
        </is>
      </c>
      <c r="H4" s="2" t="n">
        <v>46036</v>
      </c>
      <c r="I4" t="inlineStr">
        <is>
          <t>**Overview**
------------
Join Intuit’s Intelligent Process Automation (IPA) team within the Customer Success organization. As an Intelligent Process Automation Solutions Designer, you will bridge business strategy and technical execution — designing, automating, and optimizing end\-to\-end workflows that drive transformation across Intuit’s service and operational ecosystems.  
This role combines strategic systems architecture with deep technical implementation expertise in automation, AI/LLM integration, and cloud\-based process design. You will act as both a business process strategist and a hands\-on automation engineer, ensuring that every automation directly enhances business outcomes, scalability, and customer experience.
 **Responsibilities**
### **End\-to\-End Automation Design \&amp; Architecture**
* Lead the design and deployment of intelligent process automation solutions across Customer Success and adjacent business units.
* Architect integrated systems connecting CRM, data pipelines, APIs, and AI services using AWS infrastructure, Jenkins, and microservice (MSAAS) environments.
* Translate business requirements into solution blueprints and software design documentation that define data flow, integration points, and automation logic.
* Oversee solution design from conceptualization to production, ensuring alignment with the company’s automation strategy and governance frameworks.
### **AI and Agentic Systems Development**
* Build Agentic AI capabilities that can autonomously perform business processes or support human decision\-making.
* Design and implement LLM\-based interfaces and workflows for process orchestration, text understanding, and automation triggering.
* Prototype, evaluate, and deploy new AI/ML and natural language processing solutions, ensuring measurable business value and compliance with data governance standards.
### **Technical Implementation \&amp; Integration**
* Develop, test, and deploy Python\-based automation frameworks, scripts, and microservices for workflow optimization.
* Implement robust CI/CD pipelines using Jenkins and AWS tools for automated deployment and version control of process automations.
* Ensure automations are secure, compliant, and scalable, leveraging AWS security frameworks and best practices.
### **Business Partnership and Ownership**
* Collaborate closely with business leaders, product managers, and data engineers to identify automation opportunities and define success metrics.
* Act as a translator between business needs and technical execution, ensuring every automation aligns with key performance indicators (CSAT, efficiency, ROI).
* Exhibit strong ownership and accountability — from ideation through implementation and performance monitoring.
### **Continuous Innovation \&amp; Enablement**
* Contribute directly to a culture of continuous improvement and innovation across automation initiatives.
* Evaluate new technologies, frameworks, and AI capabilities relevant to intelligent process automation.
* Lead proof\-of\-concepts and pilot programs for cutting\-edge automation use cases.
* Mentor peers and contribute to the center of excellence for automation design, governance, and best practices.
 **Qualifications**
### **Technical Skills**
* Strong programming experience in Python (required); experience with JavaScript, Go, or similar languages a plus.
* Experience in process automation, process mining, data pipelines, and system integrations using APIs and cloud\-native tools.
* Expertise interfacing with Large Language Models (LLMs) and building Agentic AI systems that interact with APIs, data, and end\-users.
* Proficiency in AWS services (Lambda, S3, API Gateway, DynamoDB, Step Functions, CloudFormation, etc.).
* Experience with Jenkins, microservices, and MSAAS architectures.
* Understanding of event\-driven automation, and data governance/security principles.
### **Business \&amp; Leadership Skills**
* Proven ability to design solutions that blend technical feasibility with business impact.
* Strong business acumen and understanding of operational processes, metrics, and automation ROI.
* Skilled communicator — able to articulate technical strategies to non\-technical stakeholders.
* Demonstrated ownership, accountability, and influence in cross\-functional environments.
* Experience in driving process transformation initiatives across large\-scale organizations.
### **Preferred Experience**
* Exposure to contact center, CRM, or customer service technologies.
* Bachelor’s degree in Computer Science, Engineering, or related field; advanced degree or MBA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$ 186,500 \- 252,000
Southern California $ 179,000\- 242,000</t>
        </is>
      </c>
    </row>
    <row r="5">
      <c r="A5" t="inlineStr">
        <is>
          <t>in-f7469e75329ac331</t>
        </is>
      </c>
      <c r="B5" t="inlineStr">
        <is>
          <t>Data Scientist, Streaming Media</t>
        </is>
      </c>
      <c r="C5" t="inlineStr">
        <is>
          <t>Apple</t>
        </is>
      </c>
      <c r="D5" t="inlineStr">
        <is>
          <t>indeed</t>
        </is>
      </c>
      <c r="E5">
        <f>HYPERLINK("https://www.indeed.com/viewjob?jk=f7469e75329ac331", "https://www.indeed.com/viewjob?jk=f7469e75329ac331")</f>
        <v/>
      </c>
      <c r="F5">
        <f>HYPERLINK("https://jsv3.recruitics.com/redirect?rx_cid=3427&amp;rx_jobId=200632724-0836_rxr-660&amp;rx_url=https%3A%2F%2Fjobs.apple.com%2Fen-us%2Fdetails%2F200632724-0836%2Fdata-scientist-streaming-media%3Fboard_id%3DJB001%26rx_campaign%3Dindeed0%26rx_ch%3Djobp4p%26rx_group%3D122365%26rx_id%3Dae4a71a5-f1ee-11f0-b21a-d330a36621f9%26rx_job%3D200632724-0836_rxr-660%26rx_medium%3Dcpc%26rx_r%3Dnone%26rx_source%3Dindeed%26rx_ts%3D20260115T163810Z%26rx_vp%3Dcpc%26team%3DSFTWR", "https://jsv3.recruitics.com/redirect?rx_cid=3427&amp;rx_jobId=200632724-0836_rxr-660&amp;rx_url=https%3A%2F%2Fjobs.apple.com%2Fen-us%2Fdetails%2F200632724-0836%2Fdata-scientist-streaming-media%3Fboard_id%3DJB001%26rx_campaign%3Dindeed0%26rx_ch%3Djobp4p%26rx_group%3D122365%26rx_id%3Dae4a71a5-f1ee-11f0-b21a-d330a36621f9%26rx_job%3D200632724-0836_rxr-660%26rx_medium%3Dcpc%26rx_r%3Dnone%26rx_source%3Dindeed%26rx_ts%3D20260115T163810Z%26rx_vp%3Dcpc%26team%3DSFTWR")</f>
        <v/>
      </c>
      <c r="G5" t="inlineStr">
        <is>
          <t>Cupertino, CA, US</t>
        </is>
      </c>
      <c r="H5" s="2" t="n">
        <v>46036</v>
      </c>
      <c r="I5" t="inlineStr">
        <is>
          <t>Apple is where individual creativities gather together, committing to the values that lead to great work. Every new product we build, service we create, or Apple Store experience we deliver is the result of us making each other’s ideas stronger. Are you passionate about driving product impact through data, measurement, and rigorous evaluation\-at a scale that reaches hundreds of millions of users worldwide?  
The AMT Streaming Media Ecosystem team powers the streaming experiences across Apple’s platforms\-including iPhone, iPad, Apple TV, Apple Watch, macOS, and third\-party devices\-by building on foundational technologies such as Core Media and AVFoundation. As a Data Scientist on this team, you will collaborate with Big Data Engineers, Software Engineers, and fellow Data Scientists to leverage data for performance insights, shape new features, and help deliver the best audio and video experiences to Apple users around the world.  
**Description**  
As a Data Scientist, you will play a key role in evaluating and advancing Streaming Media technologies. You will partner closely with engineers and multi\-functional product leaders to apply analytics rigor, statistical methods, and innovative ML/AI techniques to drive product quality and deliver exceptional user experiences. Your work will shape how streaming frameworks are measured, monitored, and improved at scale.","responsibilities":"Collaborate closely with multi\-functional teams to uncover data\-driven insights and design new telemetry that measures both user experience and software performance.  
Develop innovative analytics methods to translate user experience challenges into actionable software development opportunities.  
Build robust internal tools and data pipelines to enable continuous monitoring of key metrics and KPIs across multiple applications and services.  
Partner with engineering teams to gain deep understanding of software systems and design analytics frameworks for new products and features.  
Leverage and innovate with Machine Learning and Generative AI technologies to enhance analytics capabilities, automate insights, and unlock new ways of understanding complex systems.  
**Preferred Qualifications**  
Experience designing and building scalable data systems and pipelines to support complex, large\-scale analytics initiatives.  
Software development experience in C, C\+\+, Objective\-C, or Swift, able to collaborate effectively with engineering teams and contribute to production\-grade systems.  
Master’s degree in a quantitative or technical field such as Statistics, Computer Science, Engineering, Mathematics, or a related discipline.  
**Minimum Qualifications**  
Proven track record to frame analytical questions, apply appropriate statistical techniques, and derive actionable insights from complex datasets.  
Proficiency in data querying using SQL, Spark, or equivalent technologies.  
Strong experience with a scripting language for data processing and analysis (e.g., Python, R, or Scala).  
Deep expertise in machine learning, statistical analysis, multivariate methods, A/B testing, and sampling techniques.  
Excellent communication and multi\-functional collaboration skills, with the ability to convey complex concepts to diverse audiences.  
Self\-motivated, intellectually curious, and adept at critical thinking, with a demonstrated ability to thrive in ambiguous problem spaces.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t>
        </is>
      </c>
    </row>
    <row r="6">
      <c r="A6" t="inlineStr">
        <is>
          <t>in-3a06134089703759</t>
        </is>
      </c>
      <c r="B6" t="inlineStr">
        <is>
          <t>Data Scientist II (US)</t>
        </is>
      </c>
      <c r="C6" t="inlineStr">
        <is>
          <t>TD Bank</t>
        </is>
      </c>
      <c r="D6" t="inlineStr">
        <is>
          <t>indeed</t>
        </is>
      </c>
      <c r="E6">
        <f>HYPERLINK("https://www.indeed.com/viewjob?jk=3a06134089703759", "https://www.indeed.com/viewjob?jk=3a06134089703759")</f>
        <v/>
      </c>
      <c r="F6">
        <f>HYPERLINK("https://td.wd3.myworkdayjobs.com/en-US/TD_Bank_Careers/job/New-York-New-York/Data-Scientist-II--US-_R_1466912", "https://td.wd3.myworkdayjobs.com/en-US/TD_Bank_Careers/job/New-York-New-York/Data-Scientist-II--US-_R_1466912")</f>
        <v/>
      </c>
      <c r="G6" t="inlineStr">
        <is>
          <t>New York, NY, US</t>
        </is>
      </c>
      <c r="H6" s="2" t="n">
        <v>46036</v>
      </c>
      <c r="I6" t="inlineStr">
        <is>
          <t>**Work Location:**
New York, New York, United States of America
**Hours:**
0
**Pay Details:**
$76,128 \- $124,800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Analytics, Insights, \&amp; Artificial Intelligence
**Job Description:**
*Our team currently operates under a primarily offsite work model, employees* ***must be available to come into a TD location for "moments that matter" at a frequency determined by the business.***
**Department Overview:**
The Data Scientist II is part of the FCRM Screening Capabilities team but also works with cross\-functional teams on various projects. He/she will resolve outstanding data issues and create innovative solutions; Conduct ongoing data mining to ensure artifacts provide value, including root cause variance analysis; Perform additional duties as assigned. SQL, Python (not required), Excel.
**Job Description Summary:**
The Data Scientist II is responsible for collecting data and using wide range of data science techniques, including but not limited to data wrangling, profiling and visualization, statistical inference, to uncover actionable insights or build analytics solutions that guide decision making and strategic planning.
**Depth \&amp; Scope:**
* Works autonomously within a specialized business management function and may provide work direction to others
* Provides seasoned specialized knowledge, advice and/or guidance to various stakeholders and team members
* Scope of role may have enterprise impact
* Focuses on short to medium \- term issues (e.g. 6\-12 months)
* Undertakes and completes a variety of complex projects and initiatives requiring specialist knowledge and/or the integration of cross functional processes within own area of expertise
* Oversees and/or independently performs tasks from end\-to\-end
**Education \&amp; Experience:**
* Undergraduate degree or advanced technical degree preferred (e.g., math, physics, engineering, finance or computer science) Graduate's degree preferred with either progressive project work experience, or;
* 3\+ years of relevant experience; higher degree education and research tenure can be counted
**Preferred Qualifications:**
* SQL Developer
* Python
* Previous AML/Sanctions Screening experience is preferred but not mandatory.
* Degree in a quantitative field (mathematics, statistics, computer science, data science, data analytics, etc.).
* Some experience navigating large data sets and ability to extrapolate technical/complex issues.
* Hands\-on experience in developing SQL relational tables, OLAP cubes, data marts.
* Ability to manage and optimize database and data warehouse systems.
* Critical thinking, analytical thinking, attention to detail, integrity.
**Customer Accountabilities:**
* Understands business context and data infrastructure and translates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Collaborates with other partners, such as data and business analysts, software engineers, data engineers, and application developers to develop scalable and sustainable data science solutions that retains long term benefit to the business.
**Shareholder Accountabilities:**
* Solicits and offers ideas for improving business processes through insights with the objective of improving effectiveness and efficiency.
* Educates the organization on approaches, such as testing hypotheses and statistical validation of result.
* Helps the organization understand the principles and the math behind the scientist process to drive organizational alignment.
* Translates up to date information into continuous improvement activities that enhance performance.
* Adheres to enterprise frameworks or methodologies that relate to activities for our business area.
* Ensures respective programs/policies/practices are well managed, meet business needs, comply with internal and external requirements, and align with business priorities.
* Participates in cross\-functional/enterprise initiatives as a subject matter expert helping to identify risk/provide guidance for complex situations.
* Monitors service, productivity and assesses efficiency levels within own function and implements continuous process/performance improvements where opportunities exist.
* Leads/facilitates and/or implements action/remediation plans to address performance/risk/governance issues.
* Actively manages relationships within and across various business lines, corporate and/or control functions and ensures alignment with enterprise and/or regulatory requirements.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Provides thought leadership and/or industry knowledge for own area of 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 Include your full name, best way to reach you and the accommodation needed to assist you with the applicant process.</t>
        </is>
      </c>
    </row>
    <row r="7">
      <c r="A7" t="inlineStr">
        <is>
          <t>in-f4cf2bf61051132b</t>
        </is>
      </c>
      <c r="B7" t="inlineStr">
        <is>
          <t>Staff Data Scientist – Generative AI / Forecasting</t>
        </is>
      </c>
      <c r="C7" t="inlineStr">
        <is>
          <t>Pioneer IT Systems</t>
        </is>
      </c>
      <c r="D7" t="inlineStr">
        <is>
          <t>indeed</t>
        </is>
      </c>
      <c r="E7">
        <f>HYPERLINK("https://www.indeed.com/viewjob?jk=f4cf2bf61051132b", "https://www.indeed.com/viewjob?jk=f4cf2bf61051132b")</f>
        <v/>
      </c>
      <c r="F7">
        <f>HYPERLINK("http://www.indeed.com/job/staff-data-scientist-generative-ai-forecasting-f4cf2bf61051132b", "http://www.indeed.com/job/staff-data-scientist-generative-ai-forecasting-f4cf2bf61051132b")</f>
        <v/>
      </c>
      <c r="G7" t="inlineStr">
        <is>
          <t>Bentonville, AR, US</t>
        </is>
      </c>
      <c r="H7" s="2" t="n">
        <v>46037</v>
      </c>
      <c r="I7" t="inlineStr">
        <is>
          <t>**Staff Data Scientist – Generative AI / Forecasting**
**Locations:** Sunnyvale, CA or Bentonville, AR (Relocation package for Bentonville only)  
**Job Type:** Full\-Time, Onsite / Hybrid
**Only USC, GC, H4 EAD, L2EAD**
**About the Role**
We're hiring **Staff Data Scientists** to build and deploy **cutting\-edge Generative AI (GenAI) and LLM systems** that drive actionable insights for financial planning and strategic decision\-making. You’ll work closely with Finance teams and product stakeholders to design, develop, and productionize advanced AI solutions.
This is a **high\-impact, staff\-level role** for someone with proven **technical leadership, hands\-on GenAI experience, and time series forecasting expertise**.
**Responsibilities**
* Lead design and development of **large\-scale Generative AI systems** and LLM\-powered applications.
* Apply **time series forecasting models** to complex financial datasets.
* Build and productionize AI/ML solutions that provide actionable business insights.
* Collaborate with Finance, Product, and Business teams to ensure successful implementation of AI solutions.
* Mentor and provide technical leadership to cross\-functional teams.
* Evaluate and implement advanced model optimization techniques (LoRA, PEFT, quantization, pruning, distillation) for cloud deployment.
**Required Qualifications**
* **Master’s or PhD** in Statistics, Mathematics, Computer Science, Economics, Analytics, or related field.
* **5\+ years** experience in Data Science, ML, or Analytics.
* Hands\-on experience with **Generative AI, LLMs, and time series forecasting models**.
* Expertise in **prompt engineering, fine\-tuning, and RAG (Retrieval\-Augmented Generation)**.
* Proficiency in **Python, machine learning frameworks, and AI model deployment**.
* Proven experience **leading projects or small teams**, delivering end\-to\-end AI solutions.
* Solid understanding of LLM ecosystems (GPT, BERT, LLaMA, Mistral, Claude, Gemini).
**Preferred Qualifications**
* Experience with **LangChain, LangGraph, AI agent development**.
* Knowledge of **Big Data processing, Spark, GCP, Azure, GPU\-based deep learning**.
* Financial services or retail analytics experience.
* Strong problem\-solving, collaboration, and communication skills.
**Work Authorization**
* Candidates must be **authorized to work in the U.S. without sponsorship**.
**How to Apply**
* Include your **current or most recent salary range**.
* Specify **work authorization** and **preferred location**.
* Be prepared for a **30\-minute SparkHire self\-screening interview**.
Job Type: Full\-time
Pay: $110,000\.00 \- $220,000\.00 per year
Application Question(s):
* Are you willing to work on W2 ?
Work Location: In person</t>
        </is>
      </c>
    </row>
    <row r="8">
      <c r="A8" t="inlineStr">
        <is>
          <t>in-09ff1066de722446</t>
        </is>
      </c>
      <c r="B8" t="inlineStr">
        <is>
          <t>Data Scientist II</t>
        </is>
      </c>
      <c r="C8" t="inlineStr">
        <is>
          <t>Alarm.com</t>
        </is>
      </c>
      <c r="D8" t="inlineStr">
        <is>
          <t>indeed</t>
        </is>
      </c>
      <c r="E8">
        <f>HYPERLINK("https://www.indeed.com/viewjob?jk=09ff1066de722446", "https://www.indeed.com/viewjob?jk=09ff1066de722446")</f>
        <v/>
      </c>
      <c r="F8">
        <f>HYPERLINK("https://grnh.se/vm8hy6wd2us", "https://grnh.se/vm8hy6wd2us")</f>
        <v/>
      </c>
      <c r="G8" t="inlineStr">
        <is>
          <t>Tysons, VA, US</t>
        </is>
      </c>
      <c r="H8" s="2" t="n">
        <v>46036</v>
      </c>
      <c r="I8" t="inlineStr">
        <is>
          <t>Candidate will be working as a Data Scientist on the Business Intelligence team. They will be responsible for completing complex analysis tasks to drive business decisions, designing and building customer models and neural networks, and creating AI powered tools for internal and external use. The ideal candidate will be confident working on large projects requiring independent research, problem solving, and decision making. Our work requires us to meet, discuss, and work with people from across the company to coordinate, share our expertise, and refine plans. We employ LLMs to accelerate our own work and build custom tools to improve efficiency throughout the company. Knowledge and experience leveraging LLMs and vibe coding tools is critical as well as the ability to learn new tools rapidly to keep up with the pace of innovation.
**Ideal Candidate:**  
2\+ Years of experience  
Degree in a quantitative field (Math, Physics, Statistics, etc.)  
Strong quantitative reasoning  
Experience with foundational software engineering technologies such as git, Kubernetes, and Docker  
Strong Python experience  
Experience with vibe coding tools such as Claude Code, Codex, or Copilot  
Experience working with the Machine Learning toolkit Pytorch, TensorFlow, scikit\-learn, Keras, Openai and Claude agents.  
Experience with SQL  
Strong communication skills for coordinating work across departments  
Enjoy solving complex problems and constant learning.
Please note that sponsorship of new applicants for employment authorization, or any other immigration\-related support, is not available for this position at this time.
**WHY WORK FOR ALARM.COM?**
* **Collaborate with outstanding people**: We hire only the best. Our standards are high and our employees enjoy working alongside other high achievers.
* **Make an immediate impact**: New employees can expect to be given real responsibility for bringing new technologies to the marketplace. You are empowered to perform as soon as you join the Alarm.com team!
* **Gain well rounded experience**: Alarm.com offers a diverse and dynamic environment where you will get the chance to work directly with executives and develop expertise across multiple areas of the business.
* **Focus on fun**: Alarm.com places high value on our team culture. We even have a committee dedicated to hosting a stand\-out holiday party, happy hours, and other fun corporate events.
* Alarm.com values working together and collaborating in person. Our employees work from the office 4 days a week.
**COMPANY INFO**
Alarm.com is the leading cloud\-based platform for smart security and the Internet of Things. More than 7\.6 million home and business owners depend on our solutions every day to make their properties safer, smarter, and more efficient. And every day, we're innovating new technologies in rapidly evolving spaces including AI, video analytics, facial recognition, machine learning, energy analytics, and more. We're seeking those who are passionate about creating change through technology and who want to make a lasting impact on the world around them.
For more information, please visit **www.alarm.com**.
**COMPANY BENEFITS**
Alarm.com offers competitive pay and benefits inclusive of subsidized medical plan options, an HSA with generous company contribution, a 401(k) with employer match, and paid holidays, wellness time, and vacation increasing with tenure. Paid maternity and bonding leave, company\-paid disability and life insurance, FSAs, well\-being resources and activities, and a casual dress work environment are also part of our outstanding total rewards package!
**Alarm.com** **is an Equal Opportunity Employer**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criminal record,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criminal background checks as permitted by law,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Alarm.com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**If you are interested in working with** **Alarm.com****, please email your company information and standard agreement to** RecruitingPartnerships@Alarm.com**.**</t>
        </is>
      </c>
    </row>
    <row r="9">
      <c r="A9" t="inlineStr">
        <is>
          <t>in-ac7f49629d3f25ce</t>
        </is>
      </c>
      <c r="B9" t="inlineStr">
        <is>
          <t>Associate Director, Data Scientist</t>
        </is>
      </c>
      <c r="C9" t="inlineStr">
        <is>
          <t>Johnson &amp; Johnson</t>
        </is>
      </c>
      <c r="D9" t="inlineStr">
        <is>
          <t>indeed</t>
        </is>
      </c>
      <c r="E9">
        <f>HYPERLINK("https://www.indeed.com/viewjob?jk=ac7f49629d3f25ce", "https://www.indeed.com/viewjob?jk=ac7f49629d3f25ce")</f>
        <v/>
      </c>
      <c r="F9">
        <f>HYPERLINK("https://www.careers.jnj.com/en/jobs/r-051926/associate-director-data-scientist/", "https://www.careers.jnj.com/en/jobs/r-051926/associate-director-data-scientist/")</f>
        <v/>
      </c>
      <c r="G9" t="inlineStr">
        <is>
          <t>Titusville, FL, US</t>
        </is>
      </c>
      <c r="H9" s="2" t="n">
        <v>46036</v>
      </c>
      <c r="I9" t="inlineStr">
        <is>
          <t>At Johnson \&amp; Johnson, we believe health is everything. Our strength in healthcare innovation empowers us to build a world where complex diseases are prevented, treated, and cured, where treatments are smarter and less invasive, and solutions are personal. Through our expertise in Innovative Medicine and MedTech, we are uniquely positioned to innovate across the full spectrum of healthcare solutions today to deliver the breakthroughs of tomorrow, and profoundly impact health for humanity. Learn more at https://www.jnj.com
**Job Function:**
Data Analytics \&amp; Computational Sciences**Job Sub Function:**
Data Science**Job Category:**
People Leader**All Job Posting Locations:**
Titusville, New Jersey, United States of America**Job Description:**
**Employer:** Johnson \&amp; Johnson Services, Inc.
**Job Title:** Associate Director, Data Scientist
**Job Code:** A011\.5429
**Job Location:** Titusville, NJ
**Job Type:** Full\-Time
**Rate of Pay:** $185,000 \- $210,000
**Job Duties:** Lead analytics/AI products development and management to accelerate business outcomes for Real World Evidence and Data Science within J\&amp;J globally. Apply engineering principles for data mining and visualization on EMR, registry data, and insurance claims. Review, shape, and measure the business value of solutions while managing competing stakeholder priorities and ambiguity. Generate real\-world insights in scientific and business application areas using novel modelling and visualization solutions, including application of specialized approaches in classification, regression, clustering, NLP, image analysis, graph theory and/or other techniques. Lead the design and development of building AI ready data on top of hundreds of real\-world datasets globally, to leverage cutting\-edge GenAI models for complex business questions. Translate unstructured, complex business problems into the appropriate data problem, model and analytical solutions across multiple projects. Oversee the research and development of predictive models and computational methods to guide and influence decision\-making outcomes. Act as a Data Science consultant to internal business stakeholders, to streamline data\-driven strategies in their business functions. Provide advanced data science expertise for multiple cross\-functional projects, and drive delivery of complex data science solutions that drive business value. Monitor trends, standard methodology and new developments in analytics and data science to influence functional practices. Collaborate across the J\&amp;J Data and AI community to develop best practices and identify cross functional opportunities that drive value. Oversee partnerships with multiple third parties, academic and/or outsourced partners to shape and drive project outcomes and knowledge building. Apply advanced AI\-type algorithms, including machine learning techniques such as regression, decision trees, probability networks, association rules, clustering, neural networks, and/or Bayesian models.
**Requirements:** Employer will accept a Master's degree in Information Technology, Data Analytics, Data Science, Bioinformatics or related field and 8 years of experience in the job offered or in an Associate Director, Data Scientist\-related occupation.
This job posting is anticipated to close on **3/1/2026\.**
Johnson \&amp; Johnson is an Equal Opportunity Employer. All qualified applicants will receive consideration for employment without regard to race, color, religion, sex, sexual orientation, gender identity, age, national origin, disability, protected veteran status or other characteristics protected by federal, state or local law. We actively seek qualified candidates who are protected veterans and individuals with disabilities as defined under VEVRAA and Section 503 of the Rehabilitation Act.
Johnson \&amp; Johnson is committed to providing an interview process that is inclusive of our applicants’ needs. If you are an individual with a disability and would like to request an accommodation, please contact us via https://www.jnj.com/contact\-us/careers or contact AskGS to be directed to your accommodation resource.
Subject to the terms of their respective plans, employees are eligible to participate in the Company’s consolidated retirement plan (pension) and savings plan (401(k)).
This position is eligible to participate in the Company’s long\-term incentive program.
Subject to the terms of their respective policies and date of hire, employees are eligible for the following time off benefits:
* Vacation –120 hours per calendar year
* Sick time \- 40 hours per calendar year; for employees who reside in the State of Colorado –48 hours per calendar year; for employees who reside in the State of Washington –56 hours per calendar year
* Holiday pay, including Floating Holidays –13 days per calendar year
* Work, Personal and Family Time \- up to 40 hours per calendar year
* Parental Leave – 480 hours within one year of the birth/adoption/foster care of a child
* Bereavement Leave – 240 hours for an immediate family member: 40 hours for an extended family member per calendar year
* Caregiver Leave – 80 hours in a 52\-week rolling period10 days
* Volunteer Leave – 32 hours per calendar year
* Military Spouse Time\-Off – 80 hours per calendar year
* This position is eligible for benefits to include medical, dental, vision and time off, as well as any others as provided for in the applicable Collective Bargaining Agreement.
* For additional general information on Company benefits, please go to: \- https://www.careers.jnj.com/employee\-benefits
**Required Skills:**
**Preferred Skills:**</t>
        </is>
      </c>
    </row>
    <row r="10">
      <c r="A10" t="inlineStr">
        <is>
          <t>in-8b3952833483a31d</t>
        </is>
      </c>
      <c r="B10" t="inlineStr">
        <is>
          <t>Data Scientist, Senior</t>
        </is>
      </c>
      <c r="C10" t="inlineStr">
        <is>
          <t>Booz Allen Hamilton</t>
        </is>
      </c>
      <c r="D10" t="inlineStr">
        <is>
          <t>indeed</t>
        </is>
      </c>
      <c r="E10">
        <f>HYPERLINK("https://www.indeed.com/viewjob?jk=8b3952833483a31d", "https://www.indeed.com/viewjob?jk=8b3952833483a31d")</f>
        <v/>
      </c>
      <c r="F10">
        <f>HYPERLINK("https://careers.boozallen.com/careers/JobDetail?jobId=119576", "https://careers.boozallen.com/careers/JobDetail?jobId=119576")</f>
        <v/>
      </c>
      <c r="G10" t="inlineStr">
        <is>
          <t>McLean, VA, US</t>
        </is>
      </c>
      <c r="H10" s="2" t="n">
        <v>46036</v>
      </c>
      <c r="I10" t="inlineStr">
        <is>
          <t>Data Scientist, Senior**The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using data science programming languages such as Python or R
* Experience creating ETL pipelines, including querying APIs, cleaning and conditioning data, and creating schemas for data storage
* Experience with version control tools, including git, GitLab, GitHub, or Bitbucket
* Knowledge of statistical analysis, predictive modeling, and machine learning methods
* Ability to design and develop automated analytic software, techniques, and algorithms
* Ability to develop solutions and integrate and extend free and open\-source software (FOSS) or COTS products
* Ability to generate data visualizations with tools such as Kibana, Tableau, or Power BI
* TS/SCI clearance
* Bachelor’s degree and 5\+ years of experience in data science, or 7\+ years of experience in data science in lieu of a degree
**Nice If You Have:**
* Experience working with GEOINT, HUMINT, MASINT, OSINT, and SIGINT, and the data and tools associated with these disciplines
* Experience with intelligence or operations analysis in the DoD or Intelligence Community
* Experience developing and implementing ontological frameworks
* Experience in the development of algorithms leveraging R, Python, or SQL and NoSQL
* Experience working with Deep Learning and AI frameworks including PyTorch, TensorFlow, and Keras
* Experience working with Retrieval\-Augmented Generation (RAG) and Large Language Models (LLM)
* Experience with Distributed data and computing tools, including MapReduce, Hadoop, Hive, EMR, Kafka, Spark, Gurobi, or MySQL
* Experience with visualization packages, including Plotly, Seaborn, or ggplot2
* Knowledge of DevOps, including CI/CD pipelines and Jenkins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1">
      <c r="A11" t="inlineStr">
        <is>
          <t>in-99110c84b434b1cb</t>
        </is>
      </c>
      <c r="B11" t="inlineStr">
        <is>
          <t>Data Scientist</t>
        </is>
      </c>
      <c r="C11" t="inlineStr">
        <is>
          <t>Booz Allen Hamilton</t>
        </is>
      </c>
      <c r="D11" t="inlineStr">
        <is>
          <t>indeed</t>
        </is>
      </c>
      <c r="E11">
        <f>HYPERLINK("https://www.indeed.com/viewjob?jk=99110c84b434b1cb", "https://www.indeed.com/viewjob?jk=99110c84b434b1cb")</f>
        <v/>
      </c>
      <c r="F11">
        <f>HYPERLINK("https://careers.boozallen.com/careers/JobDetail?jobId=119579", "https://careers.boozallen.com/careers/JobDetail?jobId=119579")</f>
        <v/>
      </c>
      <c r="G11" t="inlineStr">
        <is>
          <t>Macdill AFB, FL, US</t>
        </is>
      </c>
      <c r="H11" s="2" t="n">
        <v>46036</v>
      </c>
      <c r="I11" t="inlineStr">
        <is>
          <t>Data Scientist**The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 from fraud detection to cancer research, to national intelligence, 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within Data Science, Data Analytics, Data Engineering, or Intel Analytics
* Experience with programming languages, including Python, C\+\+, Java, or R
* Experience working with structured, unstructured, or semi\-structured data and conducting analysis
* Experience with data wrangling techniques to cleanse data for data science applications
* Experience with business intelligence or dashboarding tools, including Tableau, Power BI, or Qlik
* Knowledge of the software development life cycle, testing, and version control
* TS/SCI clearance
* Bachelor's degree
**Nice If You Have:**
* Experience with distributed programming languages, including Spark or Scala
* Experience with data orchestration tools, including Airflow
* Experience building statistical models and developing machine learning algorithms, including supervised, unsupervised, or reinforcement
* Experience designing and executing machine learning models and applications
* Experience with data engineering and data science tools, including Databricks, ElasticSearch, Apache NiFi, or StreamSets
* Experience with data lakes, data warehouses, or data lake houses
* Experience with cloud services such as AWS, Azure, or Google Cloud
* Experience with Agile development
* Experience with CI/CD, including Git, Jenkins, and Docker
* Ability to quickly learn new skill sets to solve challenging problems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2">
      <c r="A12" t="inlineStr">
        <is>
          <t>in-817b584a7c3f522f</t>
        </is>
      </c>
      <c r="B12" t="inlineStr">
        <is>
          <t>Data Scientist, Senior</t>
        </is>
      </c>
      <c r="C12" t="inlineStr">
        <is>
          <t>Booz Allen Hamilton</t>
        </is>
      </c>
      <c r="D12" t="inlineStr">
        <is>
          <t>indeed</t>
        </is>
      </c>
      <c r="E12">
        <f>HYPERLINK("https://www.indeed.com/viewjob?jk=817b584a7c3f522f", "https://www.indeed.com/viewjob?jk=817b584a7c3f522f")</f>
        <v/>
      </c>
      <c r="F12">
        <f>HYPERLINK("https://careers.boozallen.com/careers/JobDetail?jobId=119575", "https://careers.boozallen.com/careers/JobDetail?jobId=119575")</f>
        <v/>
      </c>
      <c r="G12" t="inlineStr">
        <is>
          <t>McLean, VA, US</t>
        </is>
      </c>
      <c r="H12" s="2" t="n">
        <v>46036</v>
      </c>
      <c r="I12" t="inlineStr">
        <is>
          <t>Data Scientist, Senior**The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8\+ years of experience using data science programming languages such as Python or R
* Experience creating ETL pipelines, including querying APIs, cleaning and conditioning data, and creating schemas for data storage
* Experience with version control tools, including git, GitLab, GitHub, or Bitbucket
* Knowledge of statistical analysis, predictive modeling, and machine learning methods
* Ability to design and develop automated analytic software, techniques, and algorithms
* Ability to develop solutions and integrate and extend free and open\-source software (FOSS) or COTS products
* Ability to generate data visualizations with tools such as Kibana, Tableau, or Power BI
* TS/SCI clearance
* Bachelor’s degree and 5\+ years of experience in data science, or 7\+ years of experience in data science in lieu of a degree
**Nice If You Have:**
* Experience working with GEOINT, HUMINT, MASINT, OSINT, and SIGINT, and the data and tools associated with these disciplines
* Experience with intelligence or operations analysis in the DoD or Intelligence Community
* Experience developing and implementing ontological frameworks
* Experience in the development of algorithms leveraging R, Python, or SQL and NoSQL
* Experience working with Deep Learning and AI frameworks including PyTorch, TensorFlow, and Keras
* Experience working with Retrieval\-Augmented Generation (RAG) and Large Language Models (LLM)
* Experience with Distributed data and computing tools, including MapReduce, Hadoop, Hive, EMR, Kafka, Spark, Gurobi, or MySQL
* Experience with visualization packages, including Plotly, Seaborn, or ggplot2
* Knowledge of DevOps, including CI/CD pipelines and Jenkins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3">
      <c r="A13" t="inlineStr">
        <is>
          <t>in-8f57401e86b41a52</t>
        </is>
      </c>
      <c r="B13" t="inlineStr">
        <is>
          <t>Data Scientist, Senior</t>
        </is>
      </c>
      <c r="C13" t="inlineStr">
        <is>
          <t>Booz Allen Hamilton</t>
        </is>
      </c>
      <c r="D13" t="inlineStr">
        <is>
          <t>indeed</t>
        </is>
      </c>
      <c r="E13">
        <f>HYPERLINK("https://www.indeed.com/viewjob?jk=8f57401e86b41a52", "https://www.indeed.com/viewjob?jk=8f57401e86b41a52")</f>
        <v/>
      </c>
      <c r="F13">
        <f>HYPERLINK("https://careers.boozallen.com/careers/JobDetail?jobId=119574", "https://careers.boozallen.com/careers/JobDetail?jobId=119574")</f>
        <v/>
      </c>
      <c r="G13" t="inlineStr">
        <is>
          <t>McLean, VA, US</t>
        </is>
      </c>
      <c r="H13" s="2" t="n">
        <v>46036</v>
      </c>
      <c r="I13" t="inlineStr">
        <is>
          <t>Data Scientist, Senior**The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5\+ years of experience using data science programming languages such as Python or R
* Experience creating ETL pipelines, including querying APIs, cleaning and conditioning data, and creating schemas for data storage
* Experience with version control tools, including git, GitLab, GitHub, or Bitbucket
* Knowledge of statistical analysis, predictive modeling, and machine learning methods
* Ability to design and develop automated analytic software, techniques, and algorithms
* Ability to develop solutions and integrate and extend free and open\-source software (FOSS) or COTS products
* Ability to generate data visualizations with tools such as Kibana, Tableau, or Power BI
* TS/SCI clearance
* Bachelor’s degree and 5\+ years of experience in data science, or 7\+ years of experience in data science in lieu of a degree
**Nice If You Have:**
* Experience working with GEOINT, HUMINT, MASINT, OSINT, and SIGINT, and the data and tools associated with these disciplines
* Experience with intelligence or operations analysis in the DoD or Intelligence Community
* Experience developing and implementing ontological frameworks
* Experience in the development of algorithms leveraging R, Python, or SQL and NoSQL
* Experience working with Deep Learning and AI frameworks including PyTorch, TensorFlow, and Keras
* Experience working with Retrieval\-Augmented Generation (RAG) and Large Language Models (LLM)
* Experience with Distributed data and computing tools, including MapReduce, Hadoop, Hive, EMR, Kafka, Spark, Gurobi, or MySQL
* Experience with visualization packages, including Plotly, Seaborn, or ggplot2
* Knowledge of DevOps, including CI/CD pipelines and Jenkins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4">
      <c r="A14" t="inlineStr">
        <is>
          <t>in-d83d3eb73c20504c</t>
        </is>
      </c>
      <c r="B14" t="inlineStr">
        <is>
          <t>Data Scientist, Senior</t>
        </is>
      </c>
      <c r="C14" t="inlineStr">
        <is>
          <t>Booz Allen Hamilton</t>
        </is>
      </c>
      <c r="D14" t="inlineStr">
        <is>
          <t>indeed</t>
        </is>
      </c>
      <c r="E14">
        <f>HYPERLINK("https://www.indeed.com/viewjob?jk=d83d3eb73c20504c", "https://www.indeed.com/viewjob?jk=d83d3eb73c20504c")</f>
        <v/>
      </c>
      <c r="F14">
        <f>HYPERLINK("https://careers.boozallen.com/careers/JobDetail?jobId=119578", "https://careers.boozallen.com/careers/JobDetail?jobId=119578")</f>
        <v/>
      </c>
      <c r="G14" t="inlineStr">
        <is>
          <t>McLean, VA, US</t>
        </is>
      </c>
      <c r="H14" s="2" t="n">
        <v>46036</v>
      </c>
      <c r="I14" t="inlineStr">
        <is>
          <t>Data Scientist, Senior**The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leadership skills and data science expertise to create real\-world impact. You’ll work closely with clients to understand their questions and needs and then dig into their data\-rich environments to find the pieces of their information puzzle. You’ll guide teammates and lead the development of algorithms and systems. You’ll use the right combination of tools and frameworks to turn sets of disparate data points into objective answers to advise your clients as they make informed decisions. Ultimately, you’ll provide a deep understanding of the data, what it all means, and how it can be used.
Work with us as we use data science for good.
Join us. The world can’t wait.
**You Have:**
* 8\+ years of experience using data science programming languages such as Python or R
* Experience creating ETL pipelines, including querying APIs, cleaning and conditioning data, and creating schemas for data storage
* Experience with version control tools, including git, GitLab, GitHub, or Bitbucket
* Knowledge of statistical analysis, predictive modeling, and machine learning methods
* Ability to design and develop automated analytic software, techniques, and algorithms
* Ability to develop solutions and integrate and extend free and open\-source software (FOSS) or COTS products
* Ability to generate data visualizations with tools such as Kibana, Tableau, or Power BI
* TS/SCI clearance
* Bachelor’s degree and 5\+ years of experience in data science, or 7\+ years of experience in data science in lieu of a degree
**Nice If You Have:**
* Experience working with GEOINT, HUMINT, MASINT, OSINT, and SIGINT, and the data and tools associated with these disciplines
* Experience with intelligence or operations analysis in the DoD or Intelligence Community
* Experience developing and implementing ontological frameworks
* Experience in the development of algorithms leveraging R, Python, or SQL and NoSQL
* Experience working with Deep Learning and AI frameworks including PyTorch, TensorFlow, and Keras
* Experience working with Retrieval\-Augmented Generation (RAG) and Large Language Models (LLM)
* Experience with Distributed data and computing tools, including MapReduce, Hadoop, Hive, EMR, Kafka, Spark, Gurobi, or MySQL
* Experience with visualization packages, including Plotly, Seaborn, or ggplot2
* Knowledge of DevOps, including CI/CD pipelines and Jenkins
* TS/SCI clearance with a polygraph
 **Clearance:**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15">
      <c r="A15" t="inlineStr">
        <is>
          <t>in-19465b29aa2fc69d</t>
        </is>
      </c>
      <c r="B15" t="inlineStr">
        <is>
          <t>Junior Data Scientist</t>
        </is>
      </c>
      <c r="C15" t="inlineStr">
        <is>
          <t>CALIBRE Systems</t>
        </is>
      </c>
      <c r="D15" t="inlineStr">
        <is>
          <t>indeed</t>
        </is>
      </c>
      <c r="E15">
        <f>HYPERLINK("https://www.indeed.com/viewjob?jk=19465b29aa2fc69d", "https://www.indeed.com/viewjob?jk=19465b29aa2fc69d")</f>
        <v/>
      </c>
      <c r="F15">
        <f>HYPERLINK("https://jobs.silkroad.com/CalibreSys/httpscalibresyscareerssilkroadcom/jobs/5254?embedded=true", "https://jobs.silkroad.com/CalibreSys/httpscalibresyscareerssilkroadcom/jobs/5254?embedded=true")</f>
        <v/>
      </c>
      <c r="G15" t="inlineStr">
        <is>
          <t>Remote, US</t>
        </is>
      </c>
      <c r="H15" s="2" t="n">
        <v>46036</v>
      </c>
      <c r="I15" t="inlineStr">
        <is>
          <t>Junior Data Scientist
﻿
LinkedIn
Twitter
Email
Message
Share  
Category
Information Technology  
Tracking Code
HLS 5254\-585  
Position Type
Full\-Time/Regular  
CALIBRE Systems, Inc., an employee\-owned mission focused solutions and digital transformation company, is looking for a highly motivated **Junior** **Data Scientist** to join our dynamic team supporting a federal client. This role requires an innovative and collaborative mindset, with the ability to work closely with designers, back\-end engineers, and business stakeholders to deliver high\-quality, scalable digital solutions.
**Responsibilities include, but are not limited to:**
* Assist in collecting and analyzing data from multiple sources to identify trends and provide actionable insights.
* Support the development of reports and visualizations to communicate findings to business and IT stakeholders.
* Help strategize and explore new data sources under guidance from senior team members.
* Participate in building and maintaining datasets and data pipelines for scalable research solutions.
* Contribute to statistical modeling, experiment design, and validation of predictive models.
* Develop basic data visualizations and dashboards to present insights clearly.
* Collaborate with database engineers and senior data scientists to refine data workflows and best practices.
* Assist in implementing software tools for efficient data access and handling.
* Document processes and support training initiatives for data management teams\[JC1] .
* Support ML feature development, model training, and evaluation under senior guidance.
* Validate datasets and flag data quality issues impacting analysis or models.
* Assist with model deployment preparation and monitoring analysis.
Support ML feature development, model training, and evaluation under senior guidance.
* Validate datasets and flag data quality issues impacting analysis or models.
Assist with model deployment preparation and monitoring analysis.
Required Skills
* Proficiency in data visualization tools (e.g., Tableau, Power BI).
* Basic knowledge of statistical analysis and predictive modeling.
* Understanding of data governance principles and compliance standards.
* Ability to communicate technical insights to non\-technical audiences.
* Strong collaboration skills and willingness to learn in a team environment.
* Ability to properly handle and mask sensitive healthcare data to meet Federal data compliance standards
Required Experience
* **Bachelor’s degree in Data Science**, Statistics, Computer Science, or a related field (Master’s preferred).
* 1–3 years of experience in data analysis, visualization, or related roles.
* 1\+ years’ experience working with a Federal agency (preferably a healthcare agency)
* Experience working in an AWS environment (AWS certification preferred)
* Familiarity with quantitative research and statistical modeling techniques.
* **Active Secret Clearance at the Department of Defense (or eligibility to obtain a clearance)**
* Ability to work east coast business hours (8am\-5pm)
* Active Security\+ certification
**CALIBRE and its subsidiaries are an Equal Opportunity Employer and supports transitioning service members, veterans and individuals with disabilities. We offer a competitive salary and full benefits package. To be considered, please apply via our website at** **www.calibresys.com****. Come join our dynamic team. \#CALIBRECareers**</t>
        </is>
      </c>
    </row>
    <row r="16">
      <c r="A16" t="inlineStr">
        <is>
          <t>in-baef11efa6c88fa3</t>
        </is>
      </c>
      <c r="B16" t="inlineStr">
        <is>
          <t>Staff Data Scientist</t>
        </is>
      </c>
      <c r="C16" t="inlineStr">
        <is>
          <t>Unity Technologies</t>
        </is>
      </c>
      <c r="D16" t="inlineStr">
        <is>
          <t>indeed</t>
        </is>
      </c>
      <c r="E16">
        <f>HYPERLINK("https://www.indeed.com/viewjob?jk=baef11efa6c88fa3", "https://www.indeed.com/viewjob?jk=baef11efa6c88fa3")</f>
        <v/>
      </c>
      <c r="F16">
        <f>HYPERLINK("https://grnh.se/o4onchbc1us", "https://grnh.se/o4onchbc1us")</f>
        <v/>
      </c>
      <c r="G16" t="inlineStr">
        <is>
          <t>San Francisco, CA, US</t>
        </is>
      </c>
      <c r="H16" s="2" t="n">
        <v>46036</v>
      </c>
      <c r="I16" t="inlineStr">
        <is>
          <t>**The opportunity**  
At Unity, we foster a culture of collaboration and innovation. In our fast\-paced environment, we tackle complex challenges that create real impact for creators and users across our ecosystem.
Our Ads Data Science team supports product and business success by transforming large\-scale data into actionable insights, defining success metrics, guiding product decisions, and measuring impact. In partnership with PM, Engineering, Sales, and Finance, the team informs every stage of the product lifecycle \- from identifying opportunities to evaluating performance and shaping long\-term strategy across supply, demand, and customer insights.
As a founding Data Scientist on this team, you will have strong ownership to company revenue growth and overall business success and work across multiple areas within Ads, including Vector initiatives, supply\-side analytics, and Sales insights. You'll establish a product analytics culture, take ownership of high\-impact ML products, and define how data drives decisions.
If you're excited about turning data into insights, driving real impact, and contributing to Unity's mission, this is your opportunity to make a lasting difference.
**What you'll be doing**
* Collaborate closely with PM, Engineering, Sales, and other cross\-functional leaders to inform strategy and support decisions across our Ads group.
* Transform large\-scale datasets into actionable insights, using quantitative analysis, experimentation, and data mining to support product and business success.
* Define success metrics, track performance, and measure the impact of ML and product initiatives.
* Guide product decisions by uncovering trends, identifying opportunities, providing data\-driven recommendations and driving product roadmaps.
* Serve as a subject matter expert, translating business questions into analytical work that drives decisions and identifies process improvements.
**What we're looking for**
* Advanced degree (MS or Ph.D.) in Computer Science, Machine Learning, Statistics, Mathematics, related field, or equivalent practical experience.
* 7\+ years of experience in statistical analysis and experimentation using Python, R, or equivalent, with strong skills in quantitative problem solving and understanding user behaviors and ecosystems.
* Strong experience transforming large\-scale data into actionable insights
* Bias for action, curiosity, and proactiveness, with the ability to break down ambiguous problems and explore patterns.
* Resilient and adaptable, navigating uncertainty and learning from setbacks, with an optimistic, solution\-focused approach grounded in first\-principles thinking.
**You might also have**
* Experience in AdTech, performance marketing, mobile games industry or SaaS (marketplace) products is a plus.
* Hands\-on experience developing, deploying, or analyzing ML products and models in a production environment.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\#LI\-AR1</t>
        </is>
      </c>
    </row>
    <row r="17">
      <c r="A17" t="inlineStr">
        <is>
          <t>in-8f2d75da4ae9661f</t>
        </is>
      </c>
      <c r="B17" t="inlineStr">
        <is>
          <t>Sr Data Scientist</t>
        </is>
      </c>
      <c r="C17" t="inlineStr">
        <is>
          <t>Cultura Technologies</t>
        </is>
      </c>
      <c r="D17" t="inlineStr">
        <is>
          <t>indeed</t>
        </is>
      </c>
      <c r="E17">
        <f>HYPERLINK("https://www.indeed.com/viewjob?jk=8f2d75da4ae9661f", "https://www.indeed.com/viewjob?jk=8f2d75da4ae9661f")</f>
        <v/>
      </c>
      <c r="F17">
        <f>HYPERLINK("https://volarisgroup.wd3.myworkdayjobs.com/en-US/Cultura/job/Remote-United-States/Sr-Data-Scientist_R59856", "https://volarisgroup.wd3.myworkdayjobs.com/en-US/Cultura/job/Remote-United-States/Sr-Data-Scientist_R59856")</f>
        <v/>
      </c>
      <c r="G17" t="inlineStr">
        <is>
          <t>US</t>
        </is>
      </c>
      <c r="H17" s="2" t="n">
        <v>46036</v>
      </c>
      <c r="I17" t="inlineStr">
        <is>
          <t>The company where you can make an impact and bring value.
**Job Summary:**
BIG Consulting LLC, a Cultura company, is looking for a Senior Data Scientist to design, develop, implement, and maintain leading\-edge analytic solutions that transform data into actionable insights to drive business growth and efficiency for the agriculture sector. Reporting to the Director of BIG Consulting, the ideal candidate possesses proven leadership skills, exhibits high integrity, demonstrates analytical creativity, and emphasizes customer satisfaction.
BIG Consulting provides solutions for transforming complex agricultural data into actionable insights through customized dashboards, advanced reporting, and strategic consulting. With expertise across agronomy, energy, feed, grain, retail, and financials, BIG has helped Agribusinesses across the Midwest US improve performance, identify risks, and enhance operational efficiency. Learn more at www.bigurus.net.
**Job Description:**
**Essential Responsibilities:**
===============================
* Oversee the creation of robust, scalable dashboards, reports, and data products that ***Transform Data into Decisions***
* Develop and implement a comprehensive data strategy aligned with business goals, that identifies marketable opportunities for enhanced analytic solutions for agricultural businesses
* Establish processes and maintain protocols for data governance and quality that deliver effective solutions and ensure data integrity, security, and compliance
* Champion a collaborative and creative data culture across the organization
* Review data source documentation and understand database structure to generate data sets
* Provide quality assurance of imported data
* Integrate various components from multiple data sources
* Work with clients to gather requirements, provide status updates, and build relationships
* Gain a comprehensive understanding of the client's specific operational practices to properly evaluate analytic needs and develop appropriate solutions
* Select the appropriate combination of methods and tools to ensure optimal scalability and performance of the delivered solution
* Create best\-practice reports based on data analysis and visualization
* Identify trends and opportunities for growth through analysis of complex data sets
* Work with leadership to identify critical metrics and KPIs
* Investigate and communicate areas for efficiency and productivity improvement
* Other duties as assigned
**Skills and Abilities**
**Technology**
* High level of competency in building and designing Tableau visualizations
* Proven analytical skills including data mining, evaluation, analysis, and visualization
* Strong SQL knowledge and ability to learn other analytic tools
* Experience with Python and database management is a plus
* Experience with multiple VPN connections, remote connections, and general computer skills
**Personal Skills**
* Excellent verbal and written communication
* Strong interpersonal and customer service skills
* Excellent organizational skills and attention to detail
* Effective time management skills and ability to meet deadlines
* Ability to apply strategic thinking and make sound judgement calls
* Work well independently and within a team
**Business**
* Passionate about data and analyzing business needs
* Strong analytical and problem\-solving skills
* Ability to understand and analyze business metrics to create valuable management reports
* Commitment to self\-improvement and education related to tools of business
* Experience with Financial Accounting and Operations reporting is a plus
**Education and Experience:**
=============================
* Bachelor’s degree in related field
* Substantial Tableau experience required
* Substantial experience in data engineering
* Background in agriculture is a huge plus
**Physical/Work Demands:**
==========================
* Must be able to walk, sit, or stand for extended periods of time
* Must be able to occasionally work long hours at a computer to meet commitments
* Attend regularly held client meetings over a web meeting platform (MS Teams)
* Occasional travel may be required
**Worker Type:**
Regular
**Number of Openings Available:**
1</t>
        </is>
      </c>
    </row>
    <row r="18">
      <c r="A18" t="inlineStr">
        <is>
          <t>in-8fff3a93ccbc35e3</t>
        </is>
      </c>
      <c r="B18" t="inlineStr">
        <is>
          <t>Research Data Scientist</t>
        </is>
      </c>
      <c r="C18" t="inlineStr">
        <is>
          <t>University of Pittsburgh</t>
        </is>
      </c>
      <c r="D18" t="inlineStr">
        <is>
          <t>indeed</t>
        </is>
      </c>
      <c r="E18">
        <f>HYPERLINK("https://www.indeed.com/viewjob?jk=8fff3a93ccbc35e3", "https://www.indeed.com/viewjob?jk=8fff3a93ccbc35e3")</f>
        <v/>
      </c>
      <c r="F18">
        <f>HYPERLINK("https://cfopitt.taleo.net/careersection/pitt_staff_external/jobdetail.ftl?job=26000154&amp;tz=GMT-06%3A00&amp;tzname=America%2FChicago", "https://cfopitt.taleo.net/careersection/pitt_staff_external/jobdetail.ftl?job=26000154&amp;tz=GMT-06%3A00&amp;tzname=America%2FChicago")</f>
        <v/>
      </c>
      <c r="G18" t="inlineStr">
        <is>
          <t>Pittsburgh, PA, US</t>
        </is>
      </c>
      <c r="H18" s="2" t="n">
        <v>46036</v>
      </c>
      <c r="I18" t="inlineStr">
        <is>
          <t>**Research Data Scientist**
GSPH\-Epidemiology \- Pennsylvania\-Pittsburgh \- (26000154\)**Job Summary**
Provides subject matter expertise in data manipulation, statistical data methodologies, data analysis, and development of new data science methods. Collaborates with principal investigators or study sponsors on high\-level study design, data collection, data set analysis, protocol development, statistical analysis and inference, and report writing and presentations for internal and external audience. Leads development of complex analytical plans, creates systems for data monitoring, provides high\-level statistical support, utilizes statistical software, creates research study reports, and contributes to manuscripts, grants, and scientific presentations. Adheres to all protocols.
**Essential Functions**
The individual will develop and apply innovative machine learning methods for analyzing genetic, transcriptomic, proteomic, metabolomic, and clinical data from epidemiological cohorts, collaborate with a multidisciplinary team of researchers to investigate complex biological and epidemiological questions, and write up the research findings for publication in top\-tier scientific journals and conferences
**Physical Effort**
Generally sedentary
 *The University of Pittsburgh is an equal opportunity employer / disability / veteran.*
**Assignment Category** Full\-time regular**Job Classification** Staff.Data Scientist IV**Job Family** Research**Job Sub\-Family** Data Science**Campus** Pittsburgh**Minimum Education Level Required** Master's Degree**Minimum Years of Experience Required** 9**Will this position accept substitution in lieu of education or experience?** Combination of education and relevant experience will be considered in lieu of education and/ or experience requirement.**Work Schedule** 8:30 am \- 5:00 pm, M\-F**Work Arrangement** On\-Campus: Teams that work on campus, in an office, or in a lab.**Hiring Range** TBD Based Upon Qualifications**Relocation Offered** No**Visa Sponsorship Provided** No**Background Check** For position finalists, employment with the University will require successful completion of a background check**Child Protection Clearances** Not Applicable**Required Documents** Resume, Cover Letter**Optional Documents** Not Applicable</t>
        </is>
      </c>
    </row>
    <row r="19">
      <c r="A19" t="inlineStr">
        <is>
          <t>in-8e768c4710c8c386</t>
        </is>
      </c>
      <c r="B19" t="inlineStr">
        <is>
          <t>Sr. Data Scientist</t>
        </is>
      </c>
      <c r="C19" t="inlineStr">
        <is>
          <t>Skyworks Solutions</t>
        </is>
      </c>
      <c r="D19" t="inlineStr">
        <is>
          <t>indeed</t>
        </is>
      </c>
      <c r="E19">
        <f>HYPERLINK("https://www.indeed.com/viewjob?jk=8e768c4710c8c386", "https://www.indeed.com/viewjob?jk=8e768c4710c8c386")</f>
        <v/>
      </c>
      <c r="F19">
        <f>HYPERLINK("https://careers.skyworksinc.com/job/Irvine-Sr_-Data-Scientist-CA-92602/1350111000/?feedId=177100&amp;utm_source=Indeed&amp;utm_campaign=Skyworks_Indeed", "https://careers.skyworksinc.com/job/Irvine-Sr_-Data-Scientist-CA-92602/1350111000/?feedId=177100&amp;utm_source=Indeed&amp;utm_campaign=Skyworks_Indeed")</f>
        <v/>
      </c>
      <c r="G19" t="inlineStr">
        <is>
          <t>Irvine, CA, US</t>
        </is>
      </c>
      <c r="H19" s="2" t="n">
        <v>46036</v>
      </c>
      <c r="I19" t="inlineStr">
        <is>
          <t>If you are looking for a challenging and exciting career in the world of technology, then look no further. Skyworks is an innovator of high\-performance analog semiconductors whose solutions are powering the wireless networking revolution. Through our broad technology expertise and one of the most extensive product portfolios in the industry, we are Connecting Everyone and Everything, All the Time.
At Skyworks, you will find a fast\-paced environment with a strong focus on global collaboration, minimal layers of management, and the freedom to make meaningful contributions in a setting that encourages creative thinking. We are excited about the opportunity to work with you and glad you want to be part of a team of talented individuals who together are changing the way the world communicates.
Requisition ID: 76745
**Description**
---------------
Skyworks Solutions is seeking a **Machine Learning Engineer (MLE)** to join our rapidly growing AI/ML team in Irvine, CA. This is a highly technical, hands\-on role designed for individuals who thrive at the intersection of cutting\-edge machine learning, signal processing, and semiconductor innovation. If you’re looking to apply your ML expertise to high\-impact, real\-world engineering challenges in the analog and RF domain, this is your opportunity.
Skyworks is an innovator of high\-performance analog semiconductors enabling next\-generation wireless communications. From 5G to IoT to automotive, our technologies are helping to connect the world. At Skyworks, you’ll find a fast\-paced environment with a flat organizational structure and global collaboration. We value open communication, creativity, mutual respect, and technical excellence.
**Responsibilities**
--------------------
As a Machine Learning Engineer on the Data Analytics and AI Enablement team, you will lead and contribute to projects that apply advanced ML and deep learning to a variety of use cases across the company—including design automation, yield prediction, anomaly detection, signal classification, and device modeling. You will collaborate with world\-class engineers across electrical, RF, product, and manufacturing domains to deliver real business impact through data and AI.
* Predictive analytics for yield and quality improvement
* Optimization of circuit or device parameters
* RF signal modeling and anomaly detection
* Root\-cause analysis across test and manufacturing data
* Own the end\-to\-end ML pipeline: data acquisition, feature engineering, model selection, training, evaluation, deployment, and monitoring.
* Collaborate with cross\-functional stakeholders including design engineers, process experts, and product owners to understand problem statements and translate them into ML solutions.
* Work on both research\-oriented prototypes and production\-grade deployments.
Stay up\-to\-date with current trends in ML, especially those relevant to semiconductor, signal processing, or high\-dimensional time\-series data.  
* 
**Required Experience and Skills**
----------------------------------
* BS and 8 years experience (Ph.D. preferred) in Machine Learning, Computer Science, Electrical Engineering, Applied Mathematics, or a related field.
* Strong theoretical and practical experience in machine learning and deep learning, including CNNs, transformers, time\-series models, or probabilistic methods.
* Proficiency in Python and ML frameworks such as PyTorch, TensorFlow, Scikit\-learn.
* Solid understanding of statistics, optimization, and model evaluation techniques.
* Excellent communication and collaboration skills, with the ability to work across disciplines and teams.
**Desired Experience and Skills**
---------------------------------
* Exposure to semiconductor, electronics, or RF system domains (e.g., basic understanding of circuit behavior, test data, signal integrity).
* Experience working with large, complex datasets (e.g., sensor, waveform, or EDA simulation outputs).
* Familiarity with data infrastructure and workflow orchestration (e.g., Airflow, MLflow, or cloud platforms).
* Contributions to peer\-reviewed research, patents, or open\-source ML projects.
\#LI\-JR1
The typical base pay range for this role across the U.S. is currently USD $114,400 \- $220,200 per year. Starting base pay will depend on relevant experience and skills, training and education, business needs, market demands, the ultimate job duties and requirements, and work location. Skyworks has different base pay ranges for different work locations in the U.S. Benefits include access to healthcare benefits (including a premium\-free medical plan option), a 401(k) plan and company match, an employee stock purchase plan, paid time off (including vacation, sick/wellness, parental leave), among others. Employees are eligible to participate in an incentive plan, and certain roles are also eligible for additional awards, including recognition and stock. These incentives and awards are based on individual and/or company performance.
Skyworks is an Equal Opportunity Employer. All qualified applicants will receive consideration for employment without regard to race, color, religion, age, sex, sexual orientation, gender identity, national origin, disability, protected veteran status, or any other characteristic protected by law. Skyworks strives to create an accessible workplace; if you need an accommodation due to a disability, please contact us at accommodations@skyworksinc.com.</t>
        </is>
      </c>
    </row>
    <row r="20">
      <c r="A20" t="inlineStr">
        <is>
          <t>in-24310137264c785e</t>
        </is>
      </c>
      <c r="B20" t="inlineStr">
        <is>
          <t>Don’t Just Analyze—Influence: Join EVOQ as Our Data Scientist</t>
        </is>
      </c>
      <c r="C20" t="inlineStr">
        <is>
          <t>BRANDON</t>
        </is>
      </c>
      <c r="D20" t="inlineStr">
        <is>
          <t>indeed</t>
        </is>
      </c>
      <c r="E20">
        <f>HYPERLINK("https://www.indeed.com/viewjob?jk=24310137264c785e", "https://www.indeed.com/viewjob?jk=24310137264c785e")</f>
        <v/>
      </c>
      <c r="F20">
        <f>HYPERLINK("https://thebrandonagency.isolvedhire.com/jobs/1686157-114390.html", "https://thebrandonagency.isolvedhire.com/jobs/1686157-114390.html")</f>
        <v/>
      </c>
      <c r="G20" t="inlineStr">
        <is>
          <t>Charlotte, NC, US</t>
        </is>
      </c>
      <c r="H20" s="2" t="n">
        <v>46036</v>
      </c>
      <c r="I20" t="inlineStr">
        <is>
          <t>**Don't Just Analyze\-Influence: Join EVOQ as Our Data Scientist**
As our **Data Scientist**, you will be responsible for developing an integrated data ecosystem across our agencies and client portfolios. You'll aggregate, clean, and analyze data from disparate systems (e.g., Shopify, Amazon Seller Central, TikTok Shop, Meta, Google Ads, GA4, HubSpot, and CRM systems) to deliver deep, actionable insights that drive revenue growth. This role is not about generating more data. Our clients need more signal and less noise. You will identify and articulate the strategic implications and deliver recommendations that are specific, actionable, and designed to influence behavior across organizations.
You will be at the intersection of data science, strategy, and storytelling.
You'll play a pivotal role in helping our clients answer complex questions such as:
* Are TikTok Shop or Amazon sales cannibalizing our DTC website sales?
* What is the true blended ROAS across all channels?
* How do paid, owned, and earned investments correlate with lifetime value and margin by channel?
* Which creative and influencer strategies drive incremental lift\-not just clicks?
* How can we accurately calculate marketing attribution across channels\-and build custom attribution models that reveal true incremental value?"
You'll partner with our analytics, media, and strategy teams across all EVOQ agencies to create models, dashboards, and methodologies that help clients understand, predict, and optimize performance across channels.
**Let us introduce ourselves:**
EVOQ is not a holding company.
It is a strategic collective of best\-in\-class, independently owned marketing agencies that share a common standard of excellence, a culture of innovation, and a commitment to client success. Each agency operates independently but is united by a shared belief: that collaboration, specialization, and strategic alignment can create marketing that outperforms expectations.
**EVOQ offers:**
* Access to elite, discipline\-specific expertise across the marketing ecosystem
* A flexible model: a la carte services or fully integrated solutions
* Scalable resources without the red tape of traditional holding companies
* A culture grounded in ownership, accountability, and entrepreneurial energy
The freedom to innovate, evolve, and lead* \-not follow
**What you'll do as Data Scientist:**
**Lead our data strategy:**
* Design and maintain a unified data infrastructure connecting systems like Amazon, Shopify, GA4, TikTok Shop, and more
* Build robust ETL pipelines and APIs to centralize multi\-channel data
* Develop a scalable data lake/warehouse for cross\-agency analytics
* Establish strategic measurement frameworks that go beyond vanity metrics
**Build models that matter:**
* Create econometric and attribution models (MMM, MTA) to decode marketing performance
* Analyze incrementality, channel cannibalization, and blended ROAS
* Deliver predictive models that uncover efficiency, margin growth, and ROI
* Translate complex data into insights that directly influence brand and business strategies
**Communicate for impact:**
* Develop intuitive dashboards (Power BI, Looker Studio, etc.)
* Synthesize data into clear, compelling stories for both technical and non\-technical audiences
* Define KPIs that align with client success and agency growth
* Help evolve our analytics culture with storytelling at its core
**Be a strategic leader:**
* Serve as the group\-wide data science expert across all EVOQ agencies
* Mentor analysts and build data fluency across functions
* Lead data governance and standardization efforts
* Stay ahead of trends in AI, marketing analytics, and e\-commerce intelligence
**Knowledge and skills required for the position are:**
* Bachelor's Degree in Data Science, Statistics, Applied Mathematics, Computer Science, Economics, or a related quantitative field.
* 7\+ years of experience in data science, marketing analytics, or quantitative marketing roles, preferably in an advertising agency, performance marketing, or e\-commerce environment.
* Proficiency with Python, R, SQL, and modern ETL tools (e.g., Airflow, dbt, Fivetran).
* Experience with data warehousing solutions (e.g., BigQuery, Snowflake, Redshift).
* Experience with marketing intelligence and attribution platforms (e.g., Northbeam, TripleWhale, Funnel)
* Familiarity with API integrations and marketing data connectors
* Hands\-on experience with visualization platforms like Power BI, Tableau, or Looker Studio.
* Experience developing MMM, MTA, and causal inference models.
* Deep understanding of marketing and commerce platforms including Google Ads, Meta Ads, Amazon, TikTok Shop, Shopify, Klaviyo, GA4, and CRM systems.
* Experience analyzing blended ROAS, attribution, and incrementality in omnichannel campaigns.
**Preferred Qualifications**
* Previous experience working with or within a digital or performance marketing agency.
* Proven ability to balance hands\-on analysis with leadership and cross\-team collaboration.
* Strong understanding of data privacy, governance, and compliance standards.
* Excellent communication and presentation skills\-able to make the complex simple and strategic.
* Experience in influencing brand or media strategy through insight storytelling.
* Ability to simplify complex systems into frameworks, models, and stories that non\-technical stakeholders can understand and act on.
Join EVOQ as a Data Scientist and advance your career! EVOQ offers a competitive benefits package, including top\-tier insurance, flexible PTO, and a 401k match. Apply Now!</t>
        </is>
      </c>
    </row>
    <row r="21">
      <c r="A21" t="inlineStr">
        <is>
          <t>in-f08ae46cfdae9bef</t>
        </is>
      </c>
      <c r="B21" t="inlineStr">
        <is>
          <t>Data Scientist</t>
        </is>
      </c>
      <c r="C21" t="inlineStr">
        <is>
          <t>Apogee Solutions, Inc.</t>
        </is>
      </c>
      <c r="D21" t="inlineStr">
        <is>
          <t>indeed</t>
        </is>
      </c>
      <c r="E21">
        <f>HYPERLINK("https://www.indeed.com/viewjob?jk=f08ae46cfdae9bef", "https://www.indeed.com/viewjob?jk=f08ae46cfdae9bef")</f>
        <v/>
      </c>
      <c r="F21">
        <f>HYPERLINK("http://recruit.hirebridge.com/v3/careercenter/v2/details.aspx?jid=904435&amp;cid=8224&amp;locvalue=1013", "http://recruit.hirebridge.com/v3/careercenter/v2/details.aspx?jid=904435&amp;cid=8224&amp;locvalue=1013")</f>
        <v/>
      </c>
      <c r="G21" t="inlineStr">
        <is>
          <t>Arlington, VA, US</t>
        </is>
      </c>
      <c r="H21" s="2" t="n">
        <v>46036</v>
      </c>
      <c r="I21" t="inlineStr">
        <is>
          <t>For Talented, Motivated Individuals Who Want To Become Part Of A Growing Company And A Winning Team.
**Our Employees Work Across The Country.**
As a leader in delivering innovative solutions for our nation’s highest\-priority defense and homeland security initiatives, we provide talented individuals with the opportunity to:
* Work with the latest tools and technologies
* Perform important work that contributes to the well\-being of the nation
* Join an organization that values people and teamwork, and offers career growth and training
We offer our employees a competitive compensation, vacation, and benefits package, including a Safe Harbor company match 401(k), as well as a fast\-paced and exciting work environment with nationwide opportunities.
Our ongoing commitment to the Military Spouse Employment Partnership and Women in Defense demonstrates our ongoing emphasis as a Woman\-Owned Small Business.  
**Apogee Solutions is an Equal Opportunity and Affirmative Action Employer. We welcome and encourage diversity in our workforce.**
Apogee Solutions is seeking a Data Scientist to support the United States Air Force’s Deputy Chief of Staff for Training and Readiness at the Pentagon. Qualified candidates must have a Top Secret clearance.
The Data Scientist will assist the Senior Data Scientist in all aspects and is the Assistant Team Lead. The Training and Readiness Directorate is the Air Staff’s focal point to assist, orchestrate, and implement readiness analysis actions for current and future operations across the Air Force, to include weapons system sustainment, operational training infrastructure, critical skills personnel shortages, flying hour analysis, and deployment ratios.
The Data Scientist will:
* Explain and defend AF readiness analytic models, conclusions, projections, and data during annual audits from OSD Capabilities (CAPE), Government Accounting Office, and Office of Management and Budget (OMB).
* Assist by directing team to modify, update, and use appropriate model, computer program, database, or similar tool, to include Government\-owned models and tools; commercial analytic tools; and Microsoft office and other graphic and presentation programs.
* Assist in updating products determined by Government lead, to include senior leader guidance, budgetary, strategy, policy or other variable changes, as required.
* Assist the Senior Data Scientist by representing AF Readiness Division and team's predictive analytics to peer, military, Op Research community professional conferences, cross\-talks, seminars and other events. Interacts with academic and analytic organizations (military and civilian) such as universities RAND, and IDA to keep current with the latest trends and techniques in the analytic industry.
* Provide expertise on use and implementation of an agile model and analytical software.
* Demonstrate proficiency in adaptation, verification, validation, and accreditation of core readiness.
* Maintain and improve emerging technologies and respective databases to provide adaptive predictive readiness and readiness reporting analysis that enables data exchange automation with authoritative data sources.
* Maintain a configuration management plan and system documentation activity.
* Maintain document change proposals and emerging requirements.
* Maintain and update the current model and database sustained with required authoritative databases, as appropriate.
* Update and maintain requirements document based on current and future format and standards with each module's current and future capability.
* Provide software management to update and maintain adaptability to emerging requirements.
* Monitor the state of the authoritative databases used to incorporate DRRS lexicon and associated predictive analysis relevant data environments.
* Review, update, and provide the necessary self\-paced guides and user manuals for system users to operate the system.
* Maintain and provide comprehensive support to a predictive readiness system users/user group.
* Maintain and provide support to increase predictive capability breadth and depth expanding tools, techniques, and expertise to fielded systems and/or systems matured in operational concept during this period.
* Maintain and provide dedicated effort to refinement and enhancements of the model/tool with focus on impacts resulting from resourcing and policy decisions under consideration in the flying hours, operational training, aircraft availability and weapons system sustainment trade space, comparing to and aligning with real world collected data.
* Maintain and update a predictive modeling approach with the necessary breadth and depth to analyze Combat Air Force (CAF), Mobility Air Force (MAF), Intelligence Surveillance and Reconnaissance (ISR), Special Operations (SOF), Personnel Recovery (PR), Command and Control (C2\), Remotely Piloted Aircraft (RPA), Space, Cyberspace, and any other force elements.
* Recommends, identifies, and selects appropriate model, computer program, database, or similar tool to employ in order to answer questions characterized by variable which are multidisciplinary, cross\-domain, complex, non\-linear, and ever\- changing.
* Provide means and methods to generate legitimate representations of the readiness phenomena in environments characterized by ambiguous and incomplete data.
* Identifies the role of non\-linear influences and to adequately consider interdependency and co\-dependency within the variable sets.
* Addresses feedback loops and the influences they have on the generation of vicious and virtuous cycles.
Required Experience
* Active DOD Top Secret Clearance
* Masters in modeling and simulation, operations research, or an equivalent mix of analysis experience combined with an advanced academic degree
* Minimum of 10 years of combined experience to include analysis and military service at the tactical, operational, and strategic levels
* Minimum of 5 years of experience in the analysis of operational readiness matters including relating corporate processes to operational readiness outcomings
* Minimum of 5 years of experience leading analytics teams and Air Force operations teams
* Minimum of 5 years of experience in USAF operations units (squadron, group, wing) including aircraft, space, nuclear, cyber, C5ISR missions; experience will include training, operations scheduler, instructor/evaluator positions
* Minimum 3 years of experience on or supporting the Air Staff or an equivalent strategic level staff
* Experience in joint, combined, inter\-agency positions such as operations, strategy, planning, policy, exercises, and international security cooperation/partnership
* Ability to direct team members in modifying, updating, and using computer generated models
* Capable of explaining and defending Air Force readiness analytic models, conclusions, projections, and data during annual audits
* An active profile in the field publishing papers, attending conferences, and serving on advisory panels in the interest of AF readiness is desired
**Apogee Solutions is an Equal Opportunity and Affirmative Action Employer. We welcome and encourage diversity in our workforce.**  
Apogee Solutions provides equal employment opportunity to all employees and qualified applicants without regard to race, color, religion, national origin, sex, age, disability, pregnancy, sexual orientation, gender identity, genetic information, protected veteran status, or any other protected characteristic under federal, state or local laws.  
Apogee Solutions proudly supports a culture of inclusion that encourages a work environment that honors diverse opinions. Employees can flourish here: they know their individual skills, abilities and viewpoints are honored. Our diverse business is united by a common goal of being the best in the business, delivering value, and being a good corporate citizen in each of the communities where we do business</t>
        </is>
      </c>
    </row>
    <row r="22">
      <c r="A22" t="inlineStr">
        <is>
          <t>in-82ee54acf131d316</t>
        </is>
      </c>
      <c r="B22" t="inlineStr">
        <is>
          <t>Senior Data Scientist</t>
        </is>
      </c>
      <c r="C22" t="inlineStr">
        <is>
          <t>Apogee Solutions, Inc.</t>
        </is>
      </c>
      <c r="D22" t="inlineStr">
        <is>
          <t>indeed</t>
        </is>
      </c>
      <c r="E22">
        <f>HYPERLINK("https://www.indeed.com/viewjob?jk=82ee54acf131d316", "https://www.indeed.com/viewjob?jk=82ee54acf131d316")</f>
        <v/>
      </c>
      <c r="F22">
        <f>HYPERLINK("http://recruit.hirebridge.com/v3/careercenter/v2/details.aspx?jid=904432&amp;cid=8224&amp;locvalue=1013", "http://recruit.hirebridge.com/v3/careercenter/v2/details.aspx?jid=904432&amp;cid=8224&amp;locvalue=1013")</f>
        <v/>
      </c>
      <c r="G22" t="inlineStr">
        <is>
          <t>Arlington, VA, US</t>
        </is>
      </c>
      <c r="H22" s="2" t="n">
        <v>46036</v>
      </c>
      <c r="I22" t="inlineStr">
        <is>
          <t>For Talented, Motivated Individuals Who Want To Become Part Of A Growing Company And A Winning Team.
**Our Employees Work Across The Country.**
As a leader in delivering innovative solutions for our nation’s highest\-priority defense and homeland security initiatives, we provide talented individuals with the opportunity to:
* Work with the latest tools and technologies
* Perform important work that contributes to the well\-being of the nation
* Join an organization that values people and teamwork, and offers career growth and training
We offer our employees a competitive compensation, vacation, and benefits package, including a Safe Harbor company match 401(k), as well as a fast\-paced and exciting work environment with nationwide opportunities.
Our ongoing commitment to the Military Spouse Employment Partnership and Women in Defense demonstrates our ongoing emphasis as a Woman\-Owned Small Business.  
**Apogee Solutions is an Equal Opportunity and Affirmative Action Employer. We welcome and encourage diversity in our workforce.**
Apogee Solutions is seeking a Senior Data Scientist to support the United States Air Force’s Deputy Chief of Staff for Training and Readiness at the Pentagon. Qualified candidates must have a Top Secret clearance.
The Senior Data Scientist will serve as the Team Lead and Project Manager and is responsible for directing, assigning, and supervising readiness and data analytic projects. The Training and Readiness Directorate is the Air Staff’s focal point to assist, orchestrate, and implement readiness analysis actions for current and future operations across the Air Force, to include weapons system sustainment, operational training infrastructure, critical skills personnel shortages, flying hour analysis, and deployment ratios.
The Senior Data Scientist will:
* Serve as the Project Manager, responsible for workload distribution and contract deliverables.
* Serve as the direct supervisor for the entire team, responsible for hiring and personnel management.
* Direct team to modify, update, and use appropriate models, computer programs, databases, or similar tools based on the direction of the Government.
* Provide support and operationalize a fully functional responsive model consistent with changing conditions, readiness reporting, forecasting requirements, and data analytics.
* Conduct detailed research and analyses to assist in development and support of implementation plans, executive reports, and existing reports and projects.
* Identify change management initiatives for readiness projects and incorporate into a plan of action to research, address, and document root causes for not meeting Air Force readiness requirements.
* Serve as the Air Force Readiness Division’s representative at predictive analytics and operations research community professional conferences, cross\-talks, seminars, and other professional events.
* Interact with academic and analytic organizations to keep current with latest trends and techniques in the industry.
* Assist in force structure assessments, joint and regional issues, congressional matters and hearing questions for record, and senior leader congressional correspondences.
* Provide technical and analytical support capable of addressing routine and complex readiness reporting and prediction questions using agile predictive readiness modeling and simulation tools as well as predictive readiness analysis methodologies.
* Assist with providing briefings, conferences, and demonstrations on the Readiness
* Analysis and Decision Support Enterprise, to include DRRS readiness reporting analysis of Air Force units, key personnel, force structure, funding/ resourcing, logistics/maintenance/sustainment, equipment, training, and operational interactions in the context
* Coordinate and communicate forecasting readiness assignments and suspense actions to applicable staff functions, tracks actions, and assist in crafting or completing the staff products.
* Monitor staff actions and other readiness requirements, including requests from Major Commands (MAJCOMs), the Air Staff including the SecAF, the JS, and the OSD.
* Updates five\-year readiness level projections for Air Force units regularly, including force structure, end strength/personnel/manning, active/ reserve mix, training resources, support/sustainment resourcing, operations resources, force presentation/management.
* Conducts analysis of Aircraft Availability calculations for MAJCOMs and all MDSs in the Air Force inventory
* Conducts analysis to support policy and funding changes to the Air Force Flying Hour Program. Delivers briefings and papers explaining the impacts to AF readiness if various courses of action are pursued in terms of funding levels for all required aircraft Mission Design Series (MDS).
* Prepares draft bi\-monthly Congressional testimony, written statements, and recommended questions for record.
* Incorporate the Space, Cyber, and ISR readiness analyses improvements into the overall adaptable predictive system of tools, techniques, and procedures.
* Provide technical insights and assist to resolve problems and issues involving the modification of mathematical models and computer programs to evaluate and predict the ability to support assigned missions.
Required Experience
* Active DOD Top Secret Clearance
* PhD in modeling and simulation, operations research, or other related field is highly desired; Master's Degree in similar discipline combined with additional experience may also be accepted
* Minimum of 15 years of combined experience to include readiness analysis at the tactical, operational, and strategic levels as well as prior military staff experience
* Minimum of 10 years of experience in predictive analysis including corporate processes to operational readiness
* Minimum of 5 years of experience leading analytics teams and Air Force operations teams
* Extensive knowledge of Air Force Operations to include 5 years of experience in supporting Air Staff or an equivalent strategic level
* Active profile through published papers, conference attendance, or serving on advisory panels
* Understanding of DRRS, readiness authoritative data systems, and related readiness systems
* Prior work experience using data gathering and modeling methodology to include fuzzy set theory, neural networks, multi\-attribute decision support methods, and statistical or mathematical problem solving
* Capable of explaining and defending Air Force readiness analytic models, conclusions, projections, and data during annual audits
**Apogee Solutions is an Equal Opportunity and Affirmative Action Employer. We welcome and encourage diversity in our workforce.**  
Apogee Solutions provides equal employment opportunity to all employees and qualified applicants without regard to race, color, religion, national origin, sex, age, disability, pregnancy, sexual orientation, gender identity, genetic information, protected veteran status, or any other protected characteristic under federal, state or local laws.  
Apogee Solutions proudly supports a culture of inclusion that encourages a work environment that honors diverse opinions. Employees can flourish here: they know their individual skills, abilities and viewpoints are honored. Our diverse business is united by a common goal of being the best in the business, delivering value, and being a good corporate citizen in each of the communities where we do business</t>
        </is>
      </c>
    </row>
    <row r="23">
      <c r="A23" t="inlineStr">
        <is>
          <t>in-410ba1aa6d4f6a04</t>
        </is>
      </c>
      <c r="B23" t="inlineStr">
        <is>
          <t>Data Scientist II</t>
        </is>
      </c>
      <c r="C23" t="inlineStr">
        <is>
          <t>American Equity Investment Life Holding Company</t>
        </is>
      </c>
      <c r="D23" t="inlineStr">
        <is>
          <t>indeed</t>
        </is>
      </c>
      <c r="E23">
        <f>HYPERLINK("https://www.indeed.com/viewjob?jk=410ba1aa6d4f6a04", "https://www.indeed.com/viewjob?jk=410ba1aa6d4f6a04")</f>
        <v/>
      </c>
      <c r="F23">
        <f>HYPERLINK("https://www.american-equity.com/about/careers/openings?gh_jid=5025184007", "https://www.american-equity.com/about/careers/openings?gh_jid=5025184007")</f>
        <v/>
      </c>
      <c r="G23" t="inlineStr">
        <is>
          <t>West Des Moines, IA, US</t>
        </is>
      </c>
      <c r="H23" s="2" t="n">
        <v>46036</v>
      </c>
      <c r="I23" t="inlineStr">
        <is>
          <t>At American Equity we offer leading annuity products that help empower our clients to fulfill their needs and wants in retirement. Our success comes from hiring high\-energy individuals who embody the beliefs that drive our unique culture. We currently fund over half a million retirements nationwide, and have been headquartered in West Des Moines, Iowa, for over twenty\-five years with satellite offices in Charlotte, NC and New York, NY.
**GENERAL PURPOSE OF THE JOB****:**
The Data Scientist II, as a member of the Data Science team within IT Sales Technology, applies their skills in artificial intelligence, machine learning, advanced analytics, statistical analysis and programming to develop data\-driven solutions to support corporate initiatives. This role uses large and disparate data sets, advanced analytical techniques and machine learning to build and analyze models that predict the best course of action to impact business results. He/she collaborates with business partners to define the technical problem statement, develop efficient and accurate analytical models and incorporate them into analytical data products or tools with the support of a cross\-functional team.
**\*\*Position sits in Des Moines and will work an onsite schedule\*\***
**ESSENTIAL DUTIES AND RESPONSIBILITIES****:**
* Works within a Center of Excellence (COE) model for supporting business enablement by leveraging company data to drive decisions.
* Provides subject matter expertise in advanced analytics across variety of techniques, including data aggregation, statistical modeling, predictive modeling and machine learning.
* Leads, executes and analyzes complex data related analytical projects that drive business decisions and efficiencies.
* Creates repeatable, interpretable, dynamic and scalable models that are seamlessly incorporated into analytic data products.
* Collaborates with business partners to develop novel ways to meet objectives utilizing data, cutting edge techniques, and tools.
* Effectively communicates the analytics approach and how it will meet and address objectives to business partners.
* Identifies and develop long\-term processes, frameworks, tools, methods and standards.
* Shares passion for data science with the broader enterprise community.
* Uplifts the capabilities of the Data Science team through collaboration and coaching.
* Ensures adherence to data management and data governance policies and standards.
* Works with a wide range of stakeholders and functional teams and utilizes passion for providing data\-driven insights to improve business outcomes.
* Performs other related duties as assigned.
**SUPERVISORY RESPONSIBILITIES****:**
**Direct Reports:** None
**General Description of Indirect Reports (2 and 3\-downs**): None
**EDUCATION AND/OR EXPERIENCE****:**
Bachelor’s degree in a quantitative field such as statistics, mathematics, computer science, data science OR Graduate degree in a quantitative discipline and demonstrated Data Science skill set; plus, three (3\) years of progressively responsible related experience; or equivalent combination of education and/or experience.
Strong experience with writing advanced SQL queries, feature engineering, data analysis, data tools, building prototypes, deploying and maintaining production models, using and creating algorithms and creating simulations.
**CERTIFICATES, LICENSES, PROFESSIONAL DESIGNATIONS****:** N/A
**KNOWLEDGE, SKILLS AND ABILITIES****:**
* Experienced using statistical computer languages such as Python/R.
* Knowledge and experience in statistical and machine learning techniques including GLM/Regression, Random Forest, Boosting, Trees, text mining, social network analysis, etc.
* Experience writing advanced SQL to query databases.
* Experience creating and using advanced machine learning algorithms and statistics including regression, classification, anomaly detection, simulation, scenario analysis, modeling, clustering, decision trees, neural networks, etc. on large data sets.
* Experience merging and transforming disparate internal \&amp; external data sets together.
* Experience with Big Data technologies such as Hadoop, Spark, H20\.ai, Cloud AI platforms, containerization.
* Experience visualizing data for business stakeholders using tools such as Tableau (preferred), Power BI, MicroStrategy, Domo, Qlik.
* Experience with ML Ops best practices for deployment, monitoring, maintenance and enhancement of models.
* Participate in Data Science code reviews, lead machine learning code reviews.
* Strong customer service orientation and ability to build strong relationships across the Business.
* Strong organizational and planning skills.
* Excellent communication skills and ability to effectively present information to stakeholders and respond to questions.
* Ability to successfully handle pressure and meet deadlines in a fast\-paced work environment.
\_\_\_
*This description covers the major purpose and essential functions of the job. It is not intended to give all details or a step\-by\-step account of the way each task is to be performed. Employees may receive other job related instructions and be required to perform other job related work requested by their manager. All requirements are subject to possible modification to provide reasonable accommodation to qualified individuals with disabilities**.*
\#LI\-PL1
At American Equity, our core values—**E**mpowered, **P**assion, **I**ntegrity, and **C**aring—are more than words. They guide how we support one another and how we serve our clients every day. To learn more about American Equity, our culture, and our values, visit the Careers site.
Iowa Best Companies to Work for 2025 \| Top Workplaces
For more information about how your information is processed, please click on the Privacy tab at the bottom of the page and then click on the Applicant Privacy Policy.</t>
        </is>
      </c>
    </row>
    <row r="24">
      <c r="A24" t="inlineStr">
        <is>
          <t>in-63c9b619935c878f</t>
        </is>
      </c>
      <c r="B24" t="inlineStr">
        <is>
          <t>Data Scientist II</t>
        </is>
      </c>
      <c r="C24" t="inlineStr">
        <is>
          <t>American Equity Investment Life Holding Company</t>
        </is>
      </c>
      <c r="D24" t="inlineStr">
        <is>
          <t>indeed</t>
        </is>
      </c>
      <c r="E24">
        <f>HYPERLINK("https://www.indeed.com/viewjob?jk=63c9b619935c878f", "https://www.indeed.com/viewjob?jk=63c9b619935c878f")</f>
        <v/>
      </c>
      <c r="F24">
        <f>HYPERLINK("https://grnh.se/6uouvr8z7us", "https://grnh.se/6uouvr8z7us")</f>
        <v/>
      </c>
      <c r="G24" t="inlineStr">
        <is>
          <t>Des Moines, IA, US</t>
        </is>
      </c>
      <c r="H24" s="2" t="n">
        <v>46036</v>
      </c>
      <c r="I24" t="inlineStr">
        <is>
          <t>At American Equity we offer leading annuity products that help empower our clients to fulfill their needs and wants in retirement. Our success comes from hiring high\-energy individuals who embody the beliefs that drive our unique culture. We currently fund over half a million retirements nationwide, and have been headquartered in West Des Moines, Iowa, for over twenty\-five years with satellite offices in Charlotte, NC and New York, NY.
**GENERAL PURPOSE OF THE JOB****:**
The Data Scientist II, as a member of the Data Science team within IT Sales Technology, applies their skills in artificial intelligence, machine learning, advanced analytics, statistical analysis and programming to develop data\-driven solutions to support corporate initiatives. This role uses large and disparate data sets, advanced analytical techniques and machine learning to build and analyze models that predict the best course of action to impact business results. He/she collaborates with business partners to define the technical problem statement, develop efficient and accurate analytical models and incorporate them into analytical data products or tools with the support of a cross\-functional team.
**\*\*Position sits in Des Moines and will work an onsite schedule\*\***
**ESSENTIAL DUTIES AND RESPONSIBILITIES****:**
* Works within a Center of Excellence (COE) model for supporting business enablement by leveraging company data to drive decisions.
* Provides subject matter expertise in advanced analytics across variety of techniques, including data aggregation, statistical modeling, predictive modeling and machine learning.
* Leads, executes and analyzes complex data related analytical projects that drive business decisions and efficiencies.
* Creates repeatable, interpretable, dynamic and scalable models that are seamlessly incorporated into analytic data products.
* Collaborates with business partners to develop novel ways to meet objectives utilizing data, cutting edge techniques, and tools.
* Effectively communicates the analytics approach and how it will meet and address objectives to business partners.
* Identifies and develop long\-term processes, frameworks, tools, methods and standards.
* Shares passion for data science with the broader enterprise community.
* Uplifts the capabilities of the Data Science team through collaboration and coaching.
* Ensures adherence to data management and data governance policies and standards.
* Works with a wide range of stakeholders and functional teams and utilizes passion for providing data\-driven insights to improve business outcomes.
* Performs other related duties as assigned.
**SUPERVISORY RESPONSIBILITIES****:**
**Direct Reports:** None
**General Description of Indirect Reports (2 and 3\-downs**): None
**EDUCATION AND/OR EXPERIENCE****:**
Bachelor's degree in a quantitative field such as statistics, mathematics, computer science, data science OR Graduate degree in a quantitative discipline and demonstrated Data Science skill set; plus, three (3\) years of progressively responsible related experience; or equivalent combination of education and/or experience.
Strong experience with writing advanced SQL queries, feature engineering, data analysis, data tools, building prototypes, deploying and maintaining production models, using and creating algorithms and creating simulations.
**CERTIFICATES, LICENSES, PROFESSIONAL DESIGNATIONS****:** N/A
**KNOWLEDGE, SKILLS AND ABILITIES****:**
* Experienced using statistical computer languages such as Python/R.
* Knowledge and experience in statistical and machine learning techniques including GLM/Regression, Random Forest, Boosting, Trees, text mining, social network analysis, etc.
* Experience writing advanced SQL to query databases.
* Experience creating and using advanced machine learning algorithms and statistics including regression, classification, anomaly detection, simulation, scenario analysis, modeling, clustering, decision trees, neural networks, etc. on large data sets.
* Experience merging and transforming disparate internal \&amp; external data sets together.
* Experience with Big Data technologies such as Hadoop, Spark, H20\.ai, Cloud AI platforms, containerization.
* Experience visualizing data for business stakeholders using tools such as Tableau (preferred), Power BI, MicroStrategy, Domo, Qlik.
* Experience with ML Ops best practices for deployment, monitoring, maintenance and enhancement of models.
* Participate in Data Science code reviews, lead machine learning code reviews.
* Strong customer service orientation and ability to build strong relationships across the Business.
* Strong organizational and planning skills.
* Excellent communication skills and ability to effectively present information to stakeholders and respond to questions.
* Ability to successfully handle pressure and meet deadlines in a fast\-paced work environment.
\_\_\_
*This description covers the major purpose and essential functions of the job. It is not intended to give all details or a step\-by\-step account of the way each task is to be performed. Employees may receive other job related instructions and be required to perform other job related work requested by their manager. All requirements are subject to possible modification to provide reasonable accommodation to qualified individuals with disabilities**.*
\#LI\-PL1
At American Equity, our core values—**E**mpowered, **P**assion, **I**ntegrity, and **C**aring—are more than words. They guide how we support one another and how we serve our clients every day. To learn more about American Equity, our culture, and our values, visit the Careers site.
Iowa Best Companies to Work for 2025 \| Top Workplaces
For more information about how your information is processed, please click on the Privacy tab at the bottom of the page and then click on the Applicant Privacy Policy.</t>
        </is>
      </c>
    </row>
    <row r="25">
      <c r="A25" t="inlineStr">
        <is>
          <t>in-5cf2275ad8e3c4f6</t>
        </is>
      </c>
      <c r="B25" t="inlineStr">
        <is>
          <t>Data Scientist I</t>
        </is>
      </c>
      <c r="C25" t="inlineStr">
        <is>
          <t>Zoro</t>
        </is>
      </c>
      <c r="D25" t="inlineStr">
        <is>
          <t>indeed</t>
        </is>
      </c>
      <c r="E25">
        <f>HYPERLINK("https://www.indeed.com/viewjob?jk=5cf2275ad8e3c4f6", "https://www.indeed.com/viewjob?jk=5cf2275ad8e3c4f6")</f>
        <v/>
      </c>
      <c r="F25">
        <f>HYPERLINK("https://grnh.se/j9ffr1c56us", "https://grnh.se/j9ffr1c56us")</f>
        <v/>
      </c>
      <c r="G25" t="inlineStr">
        <is>
          <t>Chicago, IL, US</t>
        </is>
      </c>
      <c r="H25" s="2" t="n">
        <v>46036</v>
      </c>
      <c r="I25" t="inlineStr">
        <is>
          <t>**Company Summary**
Zoro.com is a leading eCommerce platform offering nearly 12 million tools, parts and supplies for our business customers. Launched in 2011, we brought a B2C\-like experience to the B2B industry, and continue to be at the forefront of digital innovation at the intersection of technology and distribution. We have rapidly grown to over $1 billion in annual revenue and we're just getting started!
**Position Description:**
As a Data Scientist at Zoro, you'll apply your expertise in machine learning, statistical modeling, and data analysis to solve a variety of business challenges. From forecasting and customer segmentation to improving onsite search and recommendations, our team directly enhances our customers' experiences and informs critical business decisions. At Zoro, every day brings new challenges and opportunities to innovate.
**Duties and Responsibilities:**
* Build, validate, and deploy predictive and inference models using Python to support key business initiatives.
* Review relevant academic research and collaborate with other data scientists to identify and implement suitable algorithms.
* Partner with stakeholders to understand business objectives, gather requirements and design tailored data solutions.
* Write and maintain high\-quality code, including unit and integration tests.
* Debug production issues and update existing processes to meet evolving needs.
* Write clear documentation for transparency and maintainability.
* Communicate findings to business leaders and colleagues using visualizations, presentations, and reports.
**Minimum Qualifications:**
* Bachelor's degree in a technical field (e.g., Data Science, Computer Science, Mathematics, Statistics, Physics, or Engineering).
* 2\+ years of experience in applied data analytics/data science or a master's degree in a relevant field.
* 2\+ years of experience utilizing Python for data exploration, visualization and predictive modeling.
* Demonstrated proficiency in SQL.
* Strong knowledge of statistical methods, hypothesis testing and regression analysis.
* Experience with deep learning frameworks, NLP and data mining techniques.
* Strong communication skills. Must be able to interact cross\-functionally and engage in both business and technical discussions.
**Preferred Qualifications:**
* Experience using data science in an internet retailer or a top\-tier consumer\-focused company.
* Experience with deep learning frameworks, LLMs, fine\-tuning, and evaluation tasks for LLMs.
* Domain knowledge and experience building models for recommendation or search systems.
* Experience using containerization tools like Docker and Kubernetes in production environments.
* Experience using orchestration tools such as Airflow or Kubeflow for production workloads.
* Experience with cloud\-hosted data platforms (AWS, Google Cloud Platform, etc.)
* Knowledge of web tracking technology and web analytics tools (Google Analytics, Adobe Analytics, etc.).
**Our Culture**
Zoro was founded in 2011 with a simple idea: make it easy for businesses to get the tools, parts, and supplies they need to keep things running. We've grown by staying curious, moving quickly, and solving everyday challenges in smart, practical ways. Backed by W.W. Grainger and inspired by our endless assortment business model, we're on a clear path toward our next big milestone: $2 billion in revenue—and beyond.
At Zoro, we don't just follow a playbook—we help build it. You'll get to work on real problems with a supportive team that shares ideas freely, learns from each other, and celebrates wins together. Our culture is grounded in values that guide how we show up every day: **Winning \&amp; Learning Together**, **Being Customer Obsessed**, **Being Transparent**, and **Taking Ownership**. We don't have all the answers, but we're always asking good questions.
Zoro's culture has been recognized by Fortune, Best Places to Work, and Built In Chicago—but the recognition we care about most comes from our team members, who make this place what it is.
We also know that flexibility matters. Our hybrid work model gives you space to focus and the flexibility to live your life — asking team members to be onsite at least two days a week. Our Chicago HQ (right above Ogilvie Transportation Center in the Accenture Tower) is always open and ready for connection, collaboration, or just a good cup of coffee.
At Zoro, we're growing fast toward big aspirations — and we're continuously excited about the new challenges we get to solve together.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also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26">
      <c r="A26" t="inlineStr">
        <is>
          <t>in-56fdf64b7d298d7d</t>
        </is>
      </c>
      <c r="B26" t="inlineStr">
        <is>
          <t>Data Scientist</t>
        </is>
      </c>
      <c r="C26" t="inlineStr">
        <is>
          <t>US Office of Inspector General</t>
        </is>
      </c>
      <c r="D26" t="inlineStr">
        <is>
          <t>indeed</t>
        </is>
      </c>
      <c r="E26">
        <f>HYPERLINK("https://www.indeed.com/viewjob?jk=56fdf64b7d298d7d", "https://www.indeed.com/viewjob?jk=56fdf64b7d298d7d")</f>
        <v/>
      </c>
      <c r="F26">
        <f>HYPERLINK("https://www.usajobs.gov:443/job/854541700", "https://www.usajobs.gov:443/job/854541700")</f>
        <v/>
      </c>
      <c r="G26" t="inlineStr">
        <is>
          <t>Salt Lake City, UT, US</t>
        </is>
      </c>
      <c r="H26" s="2" t="n">
        <v>46036</v>
      </c>
      <c r="I26" t="inlineStr">
        <is>
          <t>**Summary**
-----------
This position is located at Department of Housing and Urban Development Office of Inspector General, Inspector General. As a Data Scientist, you will be responsible for supporting the work of the OIG within the Office of Information Technology. Tasks include planning and executing data and analytical studies of HUD Program areas, developing scripts, algorithms and models, and performing data management functions.
**This job is open to**
-----------------------
### **The public**
U.S. Citizens, Nationals or those who owe allegiance to the U.S.
### **Career transition (CTAP, ICTAP, RPL)**
Federal employees whose job, agency or department was eliminated and are eligible for priority over other applicants.
### **Clarification from the agency**
U.S. citizens and U.S. Nationals; no prior Federal experience is required.
**Duties**
----------
As a Data Scientist, you will:  
The following are the duties of this position at the GS\-14:
* Perform sensitive duties and assignments of special importance to the IG and support HUD OIG mission components with data and trends analysis and provide statistical analysis of individual component challenges and needs.
* Optimize joint production, development and training efforts and project design, with the ability to articulate and implement best practices for machine learning and AI with focus on automation, productization, reusability and modularity, across modern data tools
* Provide highly skilled and authoritative expertise to all levels of OIG and the Director in collaborating with partners across government in relation to OIG work.
* Advise on work efforts and makes recommendation to resolve operation problems by influencing, motivating, or negotiating with individuals or groups where there is conflict to accept changes in established procedures, and to write succinct technical reports in a clear, concise, and well\-organized manner and to present findings to varied audiences who may not be technical experts in statistics or data analysis.
**Requirements**
----------------
### **Conditions of employment**
The experience may have been gained in either the public, private sector or volunteer service. One year of experience refers to full\-time work; part\-time work is considered on a prorated basis. To ensure full credit for your work experience, please indicate dates of employment by month/day/year, and indicate number of hours worked per week on your résumé.
**Key Requirements:**
* Click "Print Preview" to review the entire announcement before applying.
* Must be U.S. Citizen or U.S. National.
### **Qualifications**
**You must meet the following requirements by the closing date of this announcement:**  
For the GS\-14, you must have one year of specialized experience at a level of difficulty and responsibility equivalent to the GS\-13 grade level in the Federal service. Specialized experience for this position is defined as the following:  
* Collaborates with staff in creating advanced analytic products, such as numerical and statistical analyses or AI algorithms.
AND  
* Researches and develops statistical learning models for data analysis and advancing analytic methodologies.
AND  
* Experience using and delivering both supervised and unsupervised modeling to make business decisions and forecasting outcomes for customer and/or stakeholders.
### **Education**
**To be qualified for this position, you must meet the basic educational and/or work experience requirements for Data Scientist positions in the federal government. These requirements are:**  
A) A degree in mathematics, statistics, computer science, data science or field directly related to the position. The degree must be in a major field of study (at least at the baccalaureate level) that is appropriate for the position.  
OR  
B) A combination of education and experience with courses equivalent to a major field of study (30 semester hours/45 quarter hours) as shown in paragraph A above, plus additional education or appropriate experience.  
The education generally must be from an accredited (or pre\-accredited) college or university recognized by the U.S. Department of Education. If you are qualifying based on foreign education, you must submit proof of creditability of education as evaluated by a credentialing agency. Refer to the OPM instructions.
### **Additional information**
**Other Information:**  
* This is a Direct Hire Authority announcement; selections may be made from this announcement or any other source to fill one or more vacancies.
* Relocation expenses will not be paid.
* This is a non\-bargaining unit position.
* A recruitment incentive will not be offered.
* We offer opportunities for telework per agency policy.
* We offer opportunities for flexible work schedules.
**CONDITIONS OF EMPLOYMENT (CONTINUED)**:  
* A one\-year probationary period may be required. Continued employment is contingent upon supervisory certification that continued employment will benefit the Federal Service; the certification will occur no less than 30 days before the end of the probationary/trial period..
* Background Investigation will be required.
* Complete a Declaration for Federal Employment to determine your suitability for Federal employment, at the time requested by the agency.
* If you are a male applicant born after December 31, 1959, certify that you have registered with the Selective Service System or are exempt from having to do so.
* Have your salary sent to a financial institution of your choice by Direct Deposit/Electronic Funds Transfer.
* Go through a Personal Identity Verification (PIV) process that requires two forms of identification from the Form I\-9\. Federal law requires verification of the identity and employment eligibility of all new hires in the U.S.
* Obtain and use a government\-issued charge card for business\-related travel.
* File a Confidential Financial Disclosure Report within 30 days of appointment and annually from then on.
* Pass a detailed background investigation.
* Be willing to travel an average of 5 days per month.
Candidates should be committed to improving the efficiency of the Federal government, passionate about the ideals of our American republic, and committed to upholding the rule of law and the United States Constitution.
Benefits
========
A career with the U.S. government provides employees with a comprehensive benefits package. As a federal employee, you and your family will have access to a range of benefits that are designed to make your federal career very rewarding. Opens in a new windowLearn more about federal benefits.
Eligibility for benefits depends on the type of position you hold and whether your position is full\-time, part\-time or intermittent. Contact the hiring agency for more information on the specific benefits offered.
**How you will be evaluated**
-----------------------------
You will be evaluated for this job based on how well you meet the qualifications above.
Your application includes your résumé, responses to the online questions, and required supporting documents. Please be sure that your résumé includes detailed information to support your qualifications for this position; failure to provide sufficient evidence in your résumé may result in a "not qualified" determination.  
**Referral:** **This announcement is issued under "direct\-hire" authority**. Consistent with 5 U.S.C3304(a)(3\) and OPM regulations (5 CFR 337 Subpart B) on direct\-hire: All candidates who meet all the qualification and other eligibility requirements may be referred for consideration. Competitive examining rules providing for rating and ranking and veterans' preference do not apply. You may be required to participate in a selection interview. We will not reimburse costs related to the interview such as travel to and from the interview site.  
If you are a displaced or surplus Federal employee (eligible for the Career Transition Assistance Plan(CTAP)/Interagency Career Transition Assistance Plan (ICTAP)) you must meet the definition below to be considered "well qualified" and receive special selection priority.  
**GS\-14 Well Qualified Statement:** Provides guidance to high\-level executives on analytics and AI development while delivering analytic projects, statistical models, AI algorithms, and visualization strategies to support mission related work. Has demonstrated experience partnering with multiple stakeholders and high\-level officials to meet goals and objectives, make feasible of recommendations that directly impact programs and operations. Drives organizational capacity\-building by promoting best practices, identifying training needs, and introducing innovative technologies to enhance efficiency and deliver exceptional customer experiences.  
To preview the application questionnaire: https://apply.usastaffing.gov/ViewQuestionnaire/12865215
**Required Documents**
----------------------
**A complete application includes 1\. A résumé, 2\. Vacancy question responses, and 3\. Submission of any required documents.** Please note that if you do not provide all required information, as specified in this announcement, you may not be considered for this position (or may not receive the special consideration for which you may be eligible).  
**All applicants** **are required to submit a résumé** either by creating one in USAJOBS or uploading one of their own choosing. (Cover letters are optional.) **Please limit your résumé to 2 pages**. If more than **2 pages** are submitted, your resume will still be accepted, ***however*** only the **first 2 pages** will be reviewed and considered for qualifications and eligibility determination in whether or not the minimum qualifications for the position have been met. To receive full credit for relevant experience, please list the month/date/year and number of hours worked for experience listed on your résumé. We suggest that you preview the online questions, as you may need to customize your résumé to ensure that it supports your responses to these questions. For resume writing guidance, please visit USAJOBS Help Center \- How do I write a resume for a federal job?  
**VETERANS' PREFERENCE DOCUMENTATION:** If you are claiming veterans' preference, please see applicant guide for required documentation. In order to be considered for veterans' preference, you must submit all required documentation as outlined in the applicant guide.  
**CAREER TRANSITION ASSISTANCE PLAN (CTAP) OR INTERAGENCY CAREER TRANSITION ASSISTANCE PLAN (ICTAP) DOCUMENTATION**: If you are a displaced or surplus Federal employee, click CTAP/ICTAP for eligibility and a detailed list of required documents you must submit in order to be eligible.  
**EDUCATION DOCUMENTATION:** For positions with an education requirement, or if you are qualifying for this position by substituting education or training for experience, it is highly recommended that you submit a copy of your transcripts or equivalent at the time of application. An official transcript will be required if you are selected. A college or university degree generally must be from an accredited (or pre\-accredited) college or university recognized by the U.S. Department of Education. For a list of schools which meet these criteria, please refer to Department of Education Accreditation page. If you are qualifying based on foreign education, you must submit proof of creditability of education as evaluated by a credentialing agency. Refer to the OPM instructions.
### **If you are relying on your education to meet qualification requirements:**
Education must be accredited by an accrediting institution recognized by the U.S. Department of Education in order for it to be credited towards qualifications. Therefore, provide only the attendance and/or degrees from schools accredited by accrediting institutions recognized by the U.S. Department of Education.
Failure to provide all of the required information as stated in this vacancy announcement may result in an ineligible rating or may affect the overall rating.
**How to Apply**
----------------
*HUD OIG has partnered with the Treasury's Common Service Center to provide certain personnel services to its organization. Fiscal Service's responsibilities include advertising vacancies, accepting and handling applications, and extending job offers.*  
The following instructions outline our application process. You must complete this application process and submit any required documents by 11:59 p.m. Eastern Time (ET) on the closing date of this announcement. We are available to assist you during business hours (normally 8:00 a.m. \- 5:00 p.m. ET, Monday \- Friday). If applying online poses a hardship, please contact us by noon ET on the announcement's closing date.  
The Bureau provides reasonable accommodation to applicants with disabilities on a case\-by\-case basis. Please contact us if you require this for any part of the application and hiring process.
* To begin, click Apply to access the online application. You will need to be logged into your USAJOBS account to apply. If you do not have a USAJOBS account, you will need to create one before beginning the application.
* Follow the prompts to select your résumé and/or other supporting documents to be included with your application package. You will have the opportunity to upload additional documents to include in your application before it is submitted. Your uploaded documents may take several hours to clear the virus scan process.
* After acknowledging you have reviewed your application package, complete the Include Personal Information section as you deem appropriate and click to continue with the application process.
* You will be taken to the online application which you must complete in order to apply for the position. Complete the online application, verify the required documentation is included with your application package, and submit the application.
**To update your application, including supporting documentation:** During the announcement open period, return to your USAJOBS account, find your application record, and click Edit my application. This option will no longer be available once the announcement has closed.  
For more information regarding the job and applicant status, please refer to USAJOBS Help Center \- How to see your application and job status. Your application status page is where you can view your application status, USA Hire assessment completion status, and review your notifications sent by the hiring agency regarding your application.  
Please notify us if your contact information changes after the closing date of the announcement. Also, note that if you provide an email address that is inaccurate or if your mailbox is full or blocked (e.g., spam\-blocker), you may not receive important communication that could affect your consideration for this position.  
For additional information on how to apply, please visit the Partnership for Public Service's Go Government website.  
### **Agency contact information**
Applicant Call Center
Phone
304\-480\-7300
Email
hudiginquiries@fiscal.treasury.gov
Address
*Inspector General*  
*Treasury Common Services Center*  
*Parkersburg, WV 26101*  
*US*### **Next steps**
Once the online questionnaire is received, you will receive an acknowledgement email that your submission was successful. We will review your résumé and transcript(s) (if appropriate) to ensure you meet the basic qualification requirements. We will evaluate each applicant who meets the basic qualifications on the information provided and may interview the best\-qualified applicants. After making a tentative job offer, we will conduct any required suitability and/or security background investigation.
To check the status of your application for this position, please follow these steps:  
1\. Login to your USAJOBS account, select the "Applications" section and click on the vacancy you would like to view and have already applied for.  
2\. Under "application status," click "Track this application" and you will be taken to the agency website where you can check your application status. For more information regarding the job and applicant status, please refer to https://www.usajobs.gov/Help/how\-to/application/status/  
If you wish to make changes/updates to your application and the vacancy is still open, you can click on the job announcement and "Update Application" to be taken back to that portion of the application. No updates can be made once the announcement has closed. Please notify us if your contact information changes after the closing date of the announcement. Also, note that if you provide an email address that is inaccurate or if your mailbox is full or blocked (e.g., spam\-blocker), you may not receive important communication that could affect your consideration for this position.
**Overview**
------------
Accepting applications
Open \&amp; closing dates
01/15/2026 to 01/29/2026
Salary
$127,829 to \- $197,200 per year
Pay scale \&amp; grade
GS 14
Location
1 vacancy in the following location:
Location Negotiable After Selection
Remote job
No
Telework eligible
Yes—as determined by the agency policy.
Travel Required
Occasional travel \- You may be expected to travel for this position.
Relocation expenses reimbursed
No
Appointment type
Permanent
Work schedule
Full\-time
Service
Competitive
Promotion potential
14
Job family (Series)
* 1560 Data Science Series
Supervisory status
No
Security clearance
Not Required
Drug test
No
Position sensitivity and risk
High Risk (HR)
Trust determination process
* Suitability/Fitness
Financial disclosure
Yes
Bargaining unit status
No
Announcement number
26\-HUDIG\-12865215\-DH
Control number
854541700</t>
        </is>
      </c>
    </row>
    <row r="27">
      <c r="A27" t="inlineStr">
        <is>
          <t>in-415c803a7def3be5</t>
        </is>
      </c>
      <c r="B27" t="inlineStr">
        <is>
          <t>Stage data scientist F/H</t>
        </is>
      </c>
      <c r="C27" t="inlineStr">
        <is>
          <t>Dassault Aviation</t>
        </is>
      </c>
      <c r="D27" t="inlineStr">
        <is>
          <t>indeed</t>
        </is>
      </c>
      <c r="E27">
        <f>HYPERLINK("https://www.indeed.com/viewjob?jk=415c803a7def3be5", "https://www.indeed.com/viewjob?jk=415c803a7def3be5")</f>
        <v/>
      </c>
      <c r="F27">
        <f>HYPERLINK("https://carriere.dassault-aviation.com/offre-de-emploi/emploi-stage-data-scientist-f-h_15020.aspx", "https://carriere.dassault-aviation.com/offre-de-emploi/emploi-stage-data-scientist-f-h_15020.aspx")</f>
        <v/>
      </c>
      <c r="G27" t="inlineStr">
        <is>
          <t>Saint Cloud, MN, US</t>
        </is>
      </c>
      <c r="H27" s="2" t="n">
        <v>46036</v>
      </c>
      <c r="I27" t="inlineStr">
        <is>
          <t>Informations générales  
Dassault Aviation est un groupe aéronautique français, concepteur et fabricant d’avions militaires, d’avions d’affaires et de systèmes spatiaux.  
Architecte du futur, le Groupe est le créateur, depuis plus d'un siècle, d’une centaine de prototypes et de plus de 10\.000 avions vendus dans 90 pays.
Riche de ses 12\.000 collaborateurs, Dassault Aviation prône une identité forte marquée par la dynamique du collectif et la passion d’entreprendre au sein d’un environnement technologique innovant.  
Au sein de la Direction Générale des Opérations Industrielles, l'équipe DATA a pour mission de développer l'utilisation de la donnée au sein des sites de production.
Cette mission est réalisée en facilitant l'accès à la donnée tout en respectant sa sécurité, en déclinant la stratégie Qualité de données et en valorisant cette donnée à travers son analyse et le déploiement de modèles de machine learning et d'IA.  
Vous rejoignez l'équipe DATA composée de trois personnes à Saint\-Cloud et êtes sous la responsabilité du référent de l'équipe.
L'objectif principal de ce stage est de développer un système d'agents IA permettant de générer des analyses de données complexes à partir de requêtes en langage naturel.  
Pour cela, vos missions sont les suivantes :
* Effectuer un état de l'art sur l'utilisation des LLMs dans le cadre de système agentique
* Développer une solution s'appuyant sur les ressources internes et les exigences métiers
* S'assurer de la cohérence des analyses générées avec les métiers et qualifier la solution proposée
* Proposer une méthode cohérente pour la mise en production de ce système IA.
Ce stage vous permettra de mettre en œuvre vos compétences sur l'utilisation des LLMs appliqués à un cas concret et de développer vos connaissances sur les problématiques industrielles. Vous aurez l'occasion de travailler avec la Direction du Système d'Information, la Direction Technique et les experts métier.
Quelques déplacements sur nos sites de production pourraient être demandés durant le stage.  
Vous êtes en dernière année d'école d'ingénieur avec une spécialisation en data science \- IA ou en deuxième année de Master.
Vous maitrisez au moins l'un des langages informatiques utilisés en data science (Python, C, C\+\+, ...) et comprenez la structure et le fonctionnement des réseaux de neurones. Vous avez développez un ou des cas d'usage d'application des LLMs.
Vous avez des capacités d'analyse, de synthèse et un sens critique y compris vis\-à\-vis de vos propres activités. Vous êtes curieux.se et force de proposition.  
**\#EnsemblePlusLoin**  
Dassault Aviation est un groupe aéronautique français, concepteur et fabricant d'avions militaires, d'avions d'affaires et de systèmes spatiaux.  
Architecte du futur, le Groupe est le créateur, depuis plus d'un siècle, d'une centaine de prototypes et de plus de 10\.000 avions vendus dans 90 pays.  
Riche de près de 14\.000 collaboratrices et collaborateurs, Dassault Aviation prône une identité forte marquée par la dynamique du collectif et la passion d'entreprendre au sein d'un environnement technologique innovant.  
*Le processus de sélection s’appuie sur les compétences et la motivation, sans distinction de genre, d’âge, d’origine ou de critères sans lien direct avec l’emploi proposé, et tous les postes sont ouverts aux personnes en situation de handicap.*  
*Dassault Aviation œuvre pour l’égalité des chances, ce qui permet de définir les adaptations aux situations de travail envisageables pour l’intégration et l’évolution professionnelle dans l’entreprise.*  
**Localisation**
France, Ile de France, 92 \- Saint\-Cloud  
**Domaine professionnel / métier**
Ingénierie industrielle  
**Type de contrat**
Stage  
**Durée du stage**
6 mois  
**Niveau du stage**
M2/Ingé3  
**Type de diplôme préparé**
BAC\+5  
**Langues**  
**Compétences**
Informatique méthodes et outils, Production  
**Référence de l'offre**
2026\-15020  
**Nombre de postes à pourvoir**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3"/>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li-4359128584</t>
        </is>
      </c>
      <c r="B2" t="inlineStr">
        <is>
          <t>Data Scientist</t>
        </is>
      </c>
      <c r="C2" t="inlineStr">
        <is>
          <t>Apple</t>
        </is>
      </c>
      <c r="D2" t="inlineStr">
        <is>
          <t>linkedin</t>
        </is>
      </c>
      <c r="E2">
        <f>HYPERLINK("https://www.linkedin.com/jobs/view/4359128584", "https://www.linkedin.com/jobs/view/4359128584")</f>
        <v/>
      </c>
      <c r="F2" t="inlineStr"/>
      <c r="G2" t="inlineStr">
        <is>
          <t>Seattle, WA</t>
        </is>
      </c>
      <c r="H2" t="inlineStr"/>
      <c r="I2" t="inlineStr">
        <is>
          <t>**Summary**
 Join Apple Maps, where our mission is to build the best map in the world. As a Data Scientist in the Maps Evaluation organization, you will be instrumental in harnessing the power of user data to inform critical decisions across the Maps organization. We work in a highly collaborative, fast\-paced environment where you’ll have runway to own significant projects, make a tangible impact, and contribute your unique perspective to a team committed to creating something truly wonderful.
**Description**
 We are seeking a talented and experienced Data Scientist to join our cross\-functional team dedicated to understanding and optimizing user engagement, retention, and growth within Apple Maps. You will partner closely with Product and Program teams, leveraging data to inform strategic direction and prioritization. This role offers significant scope to define and build the next generation of metrics and analytical frameworks. We're looking for a creative problem\-solver who can innovate within our robust privacy commitments, evolving our current metrics foundation into a comprehensive insights platform. Your day\-to\-day responsibilities will span the full data lifecycle, from exploratory data analysis and metrics design to conducting deep dives, crafting executive reports and presentations, and building intuitive dashboards.
**Minimum Qualifications**
 MS/PhD in Computer Science, Statistics, Data Science, Physics, Operations Research, or similar quantitative domainn2\+ years experience with data analysis at web scale or relevant work experiencenProficient in PythonnProficient in at least one database language (e.g., SQL, Snowflake)nStrong communication and presentation skillsn
**Preferred Qualifications**
 Prior industry experience with user engagement analytics and/or causal inferencenPrior proven industry experience with large data sets using technologies like Hadoop and SparknExperience writing pipelines for automating analytics tasks at scalenExperience working in highly cross\-functional teamsnExperience leading projects of varying sizes and scopes
**Pay \&amp; Benefits**
 At Apple, base pay is one part of our total compensation package and is determined within a range. This provides the opportunity to progress as you grow and develop within a role. The base pay range for this role is between $134,800 and $245,800,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
      <c r="A3" t="inlineStr">
        <is>
          <t>li-4359146332</t>
        </is>
      </c>
      <c r="B3" t="inlineStr">
        <is>
          <t>Data Scientist - Strategic Data Solutions</t>
        </is>
      </c>
      <c r="C3" t="inlineStr">
        <is>
          <t>Apple</t>
        </is>
      </c>
      <c r="D3" t="inlineStr">
        <is>
          <t>linkedin</t>
        </is>
      </c>
      <c r="E3">
        <f>HYPERLINK("https://www.linkedin.com/jobs/view/4359146332", "https://www.linkedin.com/jobs/view/4359146332")</f>
        <v/>
      </c>
      <c r="F3" t="inlineStr"/>
      <c r="G3" t="inlineStr">
        <is>
          <t>Austin, TX</t>
        </is>
      </c>
      <c r="H3" t="inlineStr"/>
      <c r="I3" t="inlineStr">
        <is>
          <t>**Summary**
 Apple’s Strategic Data Solutions (SDS) team leads efforts to mitigate monetary losses, optimize various business processes, and provide investigation support for our Business Assurance and Compliance (BAC) team. nnOur team applies data analytics to drive impact across multiple lines of business at Apple. We are looking for an outstanding data scientist who is interested in working closely with our Finance and BAC partner teams; understanding their processes and analytic needs; and developing technical solutions along the way. They will partner with our data scientists and business analysts to analyze complex business problems, have access to internal and external data sources, and be expected to communicate relevant insights to leadership. The ideal candidate works well in collaborative environments with minimal formal structure and is comfortable in uncertain environments with competing priorities. They must possess proven business acumen, a strong quantitative / technical background, natural curiosity, and the ability to effectively shift between communications styles based on the audience.n
**Description**
* Support discovery of business problems n
* Manage program performance metrics n
* Perform data discovery and create proof of concepts n
* Perform ad\-hoc and reoccurring analytics n
* Work with Machine learning engineers and software developers to generate solutionsn
* Present results of analyses to business partners and leadership
**Minimum Qualifications**
 BS / MS in technical field (math, statistics, engineering, computer science, analytics, or similar)nMinimum 3 years of experience working as a data scientist/data analyst, auditor, or related rolenCompetent with SQL, big data systems and tools. Ability to do statistical analysis in any one of these languages: Python, R, Java, etc.nExperience applying analytical techniques to provide solutions to real business problemsnDocumenting features and functions of technical systemsnValidating functional specifications against business requirementsnCompetent with Tableau or similar applicationnProject management experience nStrong interpersonal skills with ability to connect and develop strong partnerships
**Preferred Qualifications**
 Creativity to go beyond current tools to deliver best solution to the problemnInquisitiveness and a desire for continued self\-improvement and development of new skillsnComfort working independently and making key decisions on projectsnAbility to tell meaningful stories with datanStrong verbal / written communication skillsnSome experience with Finance organizations and fraud preferred
**Pay \&amp; Benefits**
 u003cpu003eApple accepts applications to this posting on an ongoing basis.u003c/pu003e</t>
        </is>
      </c>
    </row>
    <row r="4">
      <c r="A4" t="inlineStr">
        <is>
          <t>li-4359190062</t>
        </is>
      </c>
      <c r="B4" t="inlineStr">
        <is>
          <t>Data Scientist - Health</t>
        </is>
      </c>
      <c r="C4" t="inlineStr">
        <is>
          <t>Apple</t>
        </is>
      </c>
      <c r="D4" t="inlineStr">
        <is>
          <t>linkedin</t>
        </is>
      </c>
      <c r="E4">
        <f>HYPERLINK("https://www.linkedin.com/jobs/view/4359190062", "https://www.linkedin.com/jobs/view/4359190062")</f>
        <v/>
      </c>
      <c r="F4" t="inlineStr"/>
      <c r="G4" t="inlineStr">
        <is>
          <t>California, United States</t>
        </is>
      </c>
      <c r="H4" t="inlineStr"/>
      <c r="I4" t="inlineStr">
        <is>
          <t>**Summary**
 Come join a team of passionate, purpose\-driven professionals on the Health team at Apple. We’re an experienced team of doctors, clinicians, designers, PMs, engineers, business leaders, and data scientists working at the intersection of health and technology. We work in a collaborative and dynamic environment where we are constantly pushing ourselves to redefine the industry and create life changing user experiences. nnAs a Data Scientist on this team you will partner closely with doctors, clinicians, designers, and product managers to drive the future of health. You will have the opportunity to work on a wide variety of fascinating problems, applying deep analytic techniques to derive insights that will drive future products.
**Description**
 We are looking for an experienced data scientist who is equally strong with their interpersonal skills as they are with their technical chops. This individual has to be intensely curious, have strong data and product intuition, practice both ownership and accountability, be an expert communicator, iterate quickly with the data, and treat every day like it’s their first day. In this role you will: nn
* Apply statistical methods, machine learning, and advanced analytics to derive insights and share findings with relevant teams nn
* Work with big data, including Apple Watch sensor data nn
* Drive feature evaluation product roadmap decisions via insights
**Minimum Qualifications**
 Masters in Statistics, Computer Science, Mathematics, Economics, Engineering or equivalentn5\+ years applying data science principles in product analytics, health outcomes and evaluation, causal analytics or behavioral analysisn5\+ years of practical experience applying statistical methods and modelingnExpertise working in Python, SQL, SparknExpert communicator and collaborator
**Preferred Qualifications**
 PhD in Statistics, Computer Science, Mathematics, Economics, Engineering or equivalentn8\+ years applying data science principles in product analytics, health outcomes and evaluation, causal analytics or behavioral analysisn8\+ years of practical experience applying statistical methods and modeling, causal analysis, ML, AI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
      <c r="A5" t="inlineStr">
        <is>
          <t>li-4357658392</t>
        </is>
      </c>
      <c r="B5" t="inlineStr">
        <is>
          <t>Data Scientist - Strategic Data Solutions</t>
        </is>
      </c>
      <c r="C5" t="inlineStr">
        <is>
          <t>Apple</t>
        </is>
      </c>
      <c r="D5" t="inlineStr">
        <is>
          <t>linkedin</t>
        </is>
      </c>
      <c r="E5">
        <f>HYPERLINK("https://www.linkedin.com/jobs/view/4357658392", "https://www.linkedin.com/jobs/view/4357658392")</f>
        <v/>
      </c>
      <c r="F5" t="inlineStr"/>
      <c r="G5" t="inlineStr">
        <is>
          <t>Austin, TX</t>
        </is>
      </c>
      <c r="H5" t="inlineStr"/>
      <c r="I5" t="inlineStr">
        <is>
          <t>**Summary**
 Apple’s Strategic Data Solutions (SDS) team leads efforts to mitigate monetary losses, optimize various business processes, and improve the customer journey across our online and retail stores! Our team applies data science and machine learning to drive strategic impact across multiple lines of business at Apple. We are looking for an outstanding analyst who is interested in working closely with our Apple Online Store (AOS) partner teams; understanding their processes and analytic needs; and developing technical solutions along the way. They will sit side\-by\-side with our data scientists and analyze complex business problems, have access to internal and external data sources, and be expected to communicate relevant insights to senior leadership and key decision\-makers. The ideal candidate works well in collaborative environments with minimal formal structure and is comfortable in uncertain environments with competing priorities. They must possess proven business acumen, a strong quantitative / technical background, natural curiosity, and the ability to effectively shift between communications styles based on the audience (technical peer review through leadership update).
**Description**
* Support discovery of business problems n
* Manage program performance metrics n
* Perform data discovery and create proof of concepts n
* Perform ad\-hoc and reoccurring statistical analyses n
* Work with data warehouse architects and software developers to generate seamless business intelligence solutions for business partners n
* Present results of analyses to business units and executive leadership
**Minimum Qualifications**
 BS / MS in technical field (math, statistics, engineering, computer science, analytics, or similar) preferrednAt least 3 years experience working as a data/business analyst, auditor, or related rolenCompetent with SQL, big data systems and tools. Ability to do statistical analysis in any one of these languages: Python, R, Java, etc.nExperience applying analytical techniques to provide solutions to real business problems
**Preferred Qualifications**
 Competent with TableaunExperience providing business intelligence to drive better decision\-makingnExperience eliciting business requirements and executive metricsnExperience building executive level business cases and project plansnStrong interpersonal skills with ability to connect and develop strong partnershipsnCreativity to go beyond current tools to deliver best solution to the problemnInquisitiveness and a desire for continued self\-improvement and development of new skillsnComfort working independently and making key decisions on projectsnAbility to tell meaningful stories with datanStrong verbal / written communication skillsnAny experience with Python is preferrednAny experience working in fraud (retail, payments, shipping, identity, etc.) is a bonus
**Pay \&amp; Benefits**
 u003cpu003eApple accepts applications to this posting on an ongoing basis.u003c/pu003e</t>
        </is>
      </c>
    </row>
    <row r="6">
      <c r="A6" t="inlineStr">
        <is>
          <t>li-4359128448</t>
        </is>
      </c>
      <c r="B6" t="inlineStr">
        <is>
          <t>Data Scientist - Payments Marketing</t>
        </is>
      </c>
      <c r="C6" t="inlineStr">
        <is>
          <t>Apple</t>
        </is>
      </c>
      <c r="D6" t="inlineStr">
        <is>
          <t>linkedin</t>
        </is>
      </c>
      <c r="E6">
        <f>HYPERLINK("https://www.linkedin.com/jobs/view/4359128448", "https://www.linkedin.com/jobs/view/4359128448")</f>
        <v/>
      </c>
      <c r="F6">
        <f>HYPERLINK("https://jobs.apple.com/en-us/details/200632932&amp;urlHash=xebE", "https://jobs.apple.com/en-us/details/200632932&amp;urlHash=xebE")</f>
        <v/>
      </c>
      <c r="G6" t="inlineStr">
        <is>
          <t>Cupertino, CA</t>
        </is>
      </c>
      <c r="H6" t="inlineStr"/>
      <c r="I6" t="inlineStr">
        <is>
          <t>**Summary**
 Apple is where individual imaginations gather together, committing to the values that lead to great work. Every new product we build, service we create, or Apple Store experience we deliver is the result of us making each other’s ideas stronger. That happens because every one of us shares a belief that we can make something wonderful and share it with the world, changing lives for the better. It’s the diversity of our people and their thinking that inspires the innovation that runs through everything we do. When we bring everybody in, we can do the best work of our lives. Here, you’ll do more than join something — you’ll add something.nnIn today’s fast\-paced, data\-centric marketplace, we are seeking a dedicated, curious, passionate, and results\-oriented individual who excels in critical thinking and brings deep expertise in analyzing marketing data to join our Marketing Data Science team.
**Description**
 The Data Scientist will play a key role in enabling insights for marketing campaign performance. This individual will provide measurement and campaign optimization insights for Apple’s payment products to inform and shape marketing strategy and user experience. The successful candidate be a thought partner to the marketing team, will work closely with the collaborators to understand their goals and critical metrics, and then analyze data to provide actionable recommendations. nnOur culture is about getting things done iteratively and rapidly, with open feedback and discussion. We believe analytics is a team sport, but we strive for independent decision\-making and taking smart risks.
**Minimum Qualifications**
 Strong technical skills in SQL and PythonnStrong understanding of AI/ML techniques, including regression, classification, clustering, segmentation, and predictive modeling, deep learning models, and LLMs.nExperienced with GenAI capabilities to scale analyses and shorten lead timesnProficient experience with Tableau to visualize and deliver actionable insights.nn
**Preferred Qualifications**
 Proficiency in SQL and PythonnExpertise in causal inference modeling and advanced statistical/ econometrics models, including regression and time series modeling.nExperience with GenAI/Agentic AI capabilities and models, including but not limited to: GenAI (Claude, Gemini, GPT), LLM ‘text\-to\-feature’, Agentic AInExperience integrating AI/ML outputs into marketing or business processes to drive automation and performance.nOutstanding verbal and written communication skills.nRelevant background in Analytics and Data Science in Marketing, Financial Products and Services,Payments, or Customer Analytics.nMaster’s or Ph.D. in:u2028Data Science, Statistics, Economics/Econometrics, Computer Science, Marketing Science, Operations Research, Mathematics, Engineering, or a related quantitative field.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7">
      <c r="A7" t="inlineStr">
        <is>
          <t>li-4357648851</t>
        </is>
      </c>
      <c r="B7" t="inlineStr">
        <is>
          <t>Data Scientist, Streaming Media</t>
        </is>
      </c>
      <c r="C7" t="inlineStr">
        <is>
          <t>Apple</t>
        </is>
      </c>
      <c r="D7" t="inlineStr">
        <is>
          <t>linkedin</t>
        </is>
      </c>
      <c r="E7">
        <f>HYPERLINK("https://www.linkedin.com/jobs/view/4357648851", "https://www.linkedin.com/jobs/view/4357648851")</f>
        <v/>
      </c>
      <c r="F7">
        <f>HYPERLINK("https://jobs.apple.com/en-us/details/200632724&amp;urlHash=zJ__", "https://jobs.apple.com/en-us/details/200632724&amp;urlHash=zJ__")</f>
        <v/>
      </c>
      <c r="G7" t="inlineStr">
        <is>
          <t>Cupertino, CA</t>
        </is>
      </c>
      <c r="H7" t="inlineStr"/>
      <c r="I7" t="inlineStr">
        <is>
          <t>**Summary**
 Apple is where individual creativities gather together, committing to the values that lead to great work. Every new product we build, service we create, or Apple Store experience we deliver is the result of us making each other’s ideas stronger. Are you passionate about driving product impact through data, measurement, and rigorous evaluation—at a scale that reaches hundreds of millions of users worldwide?nnThe AMT Streaming Media Ecosystem team powers the streaming experiences across Apple’s platforms—including iPhone, iPad, Apple TV, Apple Watch, macOS, and third\-party devices—by building on foundational technologies such as Core Media and AVFoundation. As a Data Scientist on this team, you will collaborate with Big Data Engineers, Software Engineers, and fellow Data Scientists to leverage data for performance insights, shape new features, and help deliver the best audio and video experiences to Apple users around the world.
**Description**
 As a Data Scientist, you will play a key role in evaluating and advancing Streaming Media technologies. You will partner closely with engineers and multi\-functional product leaders to apply analytics rigor, statistical methods, and innovative ML/AI techniques to drive product quality and deliver exceptional user experiences. Your work will shape how streaming frameworks are measured, monitored, and improved at scale.
**Minimum Qualifications**
 Proven track record to frame analytical questions, apply appropriate statistical techniques, and derive actionable insights from complex datasets.nProficiency in data querying using SQL, Spark, or equivalent technologies.nStrong experience with a scripting language for data processing and analysis (e.g., Python, R, or Scala).nDeep expertise in machine learning, statistical analysis, multivariate methods, A/B testing, and sampling techniques.nExcellent communication and multi\-functional collaboration skills, with the ability to convey complex concepts to diverse audiences.nSelf\-motivated, intellectually curious, and adept at critical thinking, with a demonstrated ability to thrive in ambiguous problem spaces.
**Preferred Qualifications**
 Experience designing and building scalable data systems and pipelines to support complex, large\-scale analytics initiatives.nSoftware development experience in C, C\+\+, Objective\-C, or Swift, able to collaborate effectively with engineering teams and contribute to production\-grade systems.nMaster’s degree in a quantitative or technical field such as Statistics, Computer Science, Engineering, Mathematics, or a related discipline.
**Pay \&amp; Benefits**
 At Apple, base pay is one part of our total compensation package and is determined within a range. This provides the opportunity to progress as you grow and develop within a role. The base pay range for this role is between $121,300 and $213,700,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8">
      <c r="A8" t="inlineStr">
        <is>
          <t>li-4359137871</t>
        </is>
      </c>
      <c r="B8" t="inlineStr">
        <is>
          <t>ML Data Scientist - Marketplace, Apple Ads</t>
        </is>
      </c>
      <c r="C8" t="inlineStr">
        <is>
          <t>Apple</t>
        </is>
      </c>
      <c r="D8" t="inlineStr">
        <is>
          <t>linkedin</t>
        </is>
      </c>
      <c r="E8">
        <f>HYPERLINK("https://www.linkedin.com/jobs/view/4359137871", "https://www.linkedin.com/jobs/view/4359137871")</f>
        <v/>
      </c>
      <c r="F8" t="inlineStr"/>
      <c r="G8" t="inlineStr">
        <is>
          <t>Cupertino, CA</t>
        </is>
      </c>
      <c r="H8" t="inlineStr"/>
      <c r="I8" t="inlineStr">
        <is>
          <t>**Summary**
 At Apple, we believe in the power of technology to enrich people's lives. Everything we build is designed to empower people, including our advertising platform. We deliver ads in a way that benefits both consumers and advertisers — helping people discover content, supporting creators, and protecting and respecting everyone’s privacy. nnOur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in a brand\-safe environment, while supporting publishers and journalists. Sponsorship integrations and experiences in live sports on Apple TV help advertisers connect with captivated audiences. Everything we do is with the unwavering commitment to privacy you expect from Apple. Because when advertising is done right, it benefits everyone.
**Description**
 Our platforms are highly performant, deployed at scale, and set new standards for enabling effective advertising while protecting user privacy. The Ad Platforms Data Insights team is seeking a Data Scientist to join in developing the next generation of analytical solutions in collaboration with Engineering, Product, Sales, Marketing, and Finance. In this role you will work as a key member of a data\-centric team to drive the exploration, analysis, development, execution, and measurement solutions that are essential to running and growing the ads marketplace. Responsibilities include turning the huge amounts of data generated by user searches, app content, and App Store context into business insights that improve the customer experience for the end\-user as well as drive discovery and efficiency for app developers. nnThis role requires both a broad knowledge of statistics and creativity to invent and customize when vital. You'll dig in and get into the details. The theory behind the techniques are just the beginning. You'll be working on projects where practical applications of these approaches get applied in real\-world scenarios. Successful analytics teams involve data scientists and data engineers working hand in hand to build insightful and efficient solutions. In your role, you will be a key player in a multi\-functional team that delivers insights that have direct and measurable impact. We're looking for an inquisitive, collaborative, and passionate person to join this amazing team.
**Minimum Qualifications**
 2\+ years of recent experience in a data science role.nProgramming skills in Python and SQL, and familiarity with machine learning, such as scikit\-learn, xgboost, PyTorch, SciPy is necessary.nFamiliar with statistical analysis methods, most notably regression analysis, causal inference, statistical learning and A/B and quasi\-experimentation methods.nDemonstrated experience in applying statistics and machine learning to generate clear actionable insights.nComfortable with a variety of data stores such as Hadoop, and Snowflake, familiar with distributed analytics engines such as Spark/PySpark.nPossess exceptional communication skills to communicate analyses in a clear and effective manner to technical audience and executive leadership.nDemonstrated ability to partner with engineering, meet the data needs of the business, finding creative analytical solutions and develop initial prototypes to address messy business problems.nProven ability to operate comfortably and optimally in a fast\-paced and constantly evolving environment.nBachelor's degree in Data Science, Applied Mathematics, Statistics, Computer Science or relevant field/experience
**Preferred Qualifications**
 4\+ years of recent experience in a data science role.nExperience in the mobile advertising industry or related field.nFamiliarity with job orchestration frameworks such as Airflow.nDemonstrated ability to build visualizations, dashboards and enable broader consumption of insights and tools for investigations.nPost\-Bachelor's degree in Data Science, Applied Mathematics, Statistics, Computer Science or relevant field/experience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9">
      <c r="A9" t="inlineStr">
        <is>
          <t>li-4359078506</t>
        </is>
      </c>
      <c r="B9" t="inlineStr">
        <is>
          <t>Machine Learning - Data Scientist</t>
        </is>
      </c>
      <c r="C9" t="inlineStr">
        <is>
          <t>Apple</t>
        </is>
      </c>
      <c r="D9" t="inlineStr">
        <is>
          <t>linkedin</t>
        </is>
      </c>
      <c r="E9">
        <f>HYPERLINK("https://www.linkedin.com/jobs/view/4359078506", "https://www.linkedin.com/jobs/view/4359078506")</f>
        <v/>
      </c>
      <c r="F9" t="inlineStr"/>
      <c r="G9" t="inlineStr">
        <is>
          <t>Sunnyvale, CA</t>
        </is>
      </c>
      <c r="H9" t="inlineStr"/>
      <c r="I9" t="inlineStr">
        <is>
          <t>**Summary**
 Do you have a passion for computer vision and solving deep learning problems? The Video Engineering Data Analytics and Quality group is seeking an expert in evaluating machine learning and deep learning models, including foundation models and multimodal systems. nnThis role will play a critical part in crafting robust evaluation frameworks, using both traditional statistical methods and modern techniques like LLM\-as\-a\-Judge! The ideal candidate combines strong analytical thinking, expertise in Python, and advanced knowledge of statistical methodologies and data quality standards. nnThis role involves collaboration with teams at Apple passionate about developing foundation models, including ML engineers, data scientists, and ML Infrastructure engineers to deliver amazing user experiences!
**Description**
 Develop robust methodologies to assess the performance of foundation models (e.g., LLMs, vision\-language models, etc.) across diverse tasks. Leverage LLMs as judges to perform subjective and open\-ended model evaluations (e.g., for summarization, reasoning, or multimodal generation tasks). Build, curate, and lead evaluation datasets and benchmarks. Advanced proficiency in at least one scripting language, preferably Python. Collaborate with research, engineering, and product teams to define evaluation goals aligned with user experience and product quality. Conduct failure analysis and uncover edge cases to improve model robustness. Contribute to our tools and infrastructure to automate and scale evaluation processes.
**Minimum Qualifications**
 BS and a minimum of 10 years relevant industry experience.nStrong experience in evaluating supervised, unsupervised, and deep learning models.nHands\-on experience evaluating LLMs (e.g., GPT, Claude, PaLM) and using them as scoring/judging mechanisms.nFamiliarity with multimodal models (e.g., image \+ text, video \+ audio) and related evaluation challenges.nProficiency in Python and libraries such as NumPy, pandas, scikit\-learn, PyTorch, or TensorFlow.nSolid understanding of statistical testing, sampling, confidence intervals, and metrics (e.g., precision/recall, BLEU, ROUGE, FID, etc.).nStrong documentation skills, including the ability to write technical reports and present to non\-technical audiences.
**Preferred Qualifications**
 Experience working with open\-source evaluation tools like OpenEval, ELO\-based ranking, or LLM\-as\-a\-Judge frameworks.nFamiliarity with prompt engineering, few\-shot or zero\-shot evaluation techniques.nExperience evaluating generative models (e.g., text generation, image generation).nPrior contributions to ML benchmarks or public evaluations.nStrong interpersonal skills.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0">
      <c r="A10" t="inlineStr">
        <is>
          <t>li-4355198720</t>
        </is>
      </c>
      <c r="B10" t="inlineStr">
        <is>
          <t>Machine Learning - Data Scientist</t>
        </is>
      </c>
      <c r="C10" t="inlineStr">
        <is>
          <t>Apple</t>
        </is>
      </c>
      <c r="D10" t="inlineStr">
        <is>
          <t>linkedin</t>
        </is>
      </c>
      <c r="E10">
        <f>HYPERLINK("https://www.linkedin.com/jobs/view/4355198720", "https://www.linkedin.com/jobs/view/4355198720")</f>
        <v/>
      </c>
      <c r="F10" t="inlineStr"/>
      <c r="G10" t="inlineStr">
        <is>
          <t>Boulder, CO</t>
        </is>
      </c>
      <c r="H10" t="inlineStr"/>
      <c r="I10" t="inlineStr">
        <is>
          <t>**Summary**
 Do you have a passion for computer vision and solving deep learning problems? The Video Engineering Data Analytics and Quality group is seeking an expert in evaluating machine learning and deep learning models, including foundation models and multimodal systems. nnThis role will play a critical part in crafting robust evaluation frameworks, using both traditional statistical methods and modern techniques like LLM\-as\-a\-Judge! The ideal candidate combines strong analytical thinking, expertise in Python, and advanced knowledge of statistical methodologies and data quality standards. nnThis role involves collaboration with teams at Apple passionate about developing foundation models, including ML engineers, data scientists, and ML Infrastructure engineers to deliver amazing user experiences!
**Description**
 Develop robust methodologies to assess the performance of foundation models (e.g., LLMs, vision\-language models, etc.) across diverse tasks. nLeverage LLMs as judges to perform subjective and open\-ended model evaluations (e.g., for summarization, reasoning, or multimodal generation tasks). nBuild, curate, and lead evaluation datasets and benchmarks. nAdvanced proficiency in at least one scripting language, preferably Python. nCollaborate with research, engineering, and product teams to define evaluation goals aligned with user experience and product quality. nConduct failure analysis and uncover edge cases to improve model robustness. nContribute to our tools and infrastructure to automate and scale evaluation processes.
**Minimum Qualifications**
 BS and a minimum of 3 years relevant industry experiencenStrong experience in evaluating supervised, unsupervised, and deep learning models.nHands\-on experience evaluating LLMs and using them as scoring/judging mechanisms.nFamiliarity with multimodal models (e.g., image \+ text, video \+ audio) and related evaluation challenges.nProficiency in Python and libraries such as NumPy, pandas, scikit\-learn, PyTorch, or TensorFlow.nSolid understanding of statistical testing, sampling, confidence intervals, and metrics (e.g., precision/recall, BLEU, ROUGE, FID, etc.).nStrong documentation skills, including the ability to write technical reports and present to non\-technical audiences.
**Preferred Qualifications**
 Experience working with open\-source evaluation tools like OpenEval, ELO\-based ranking, or LLM\-as\-a\-Judge frameworks.nFamiliarity with prompt engineering, few\-shot or zero\-shot evaluation techniques.nExperience evaluating generative models (e.g., text generation, image generation).nPrior contributions to ML benchmarks or public evaluations.nStrong interpersonal skills.
**Pay \&amp; Benefits**
 At Apple, base pay is one part of our total compensation package and is determined within a range. This provides the opportunity to progress as you grow and develop within a role. The base pay range for this role is between $132,100 and $244,600,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1">
      <c r="A11" t="inlineStr">
        <is>
          <t>li-4357648835</t>
        </is>
      </c>
      <c r="B11" t="inlineStr">
        <is>
          <t>ML Data Scientist - Marketplace, Apple Ads</t>
        </is>
      </c>
      <c r="C11" t="inlineStr">
        <is>
          <t>Apple</t>
        </is>
      </c>
      <c r="D11" t="inlineStr">
        <is>
          <t>linkedin</t>
        </is>
      </c>
      <c r="E11">
        <f>HYPERLINK("https://www.linkedin.com/jobs/view/4357648835", "https://www.linkedin.com/jobs/view/4357648835")</f>
        <v/>
      </c>
      <c r="F11" t="inlineStr"/>
      <c r="G11" t="inlineStr">
        <is>
          <t>Cupertino, CA</t>
        </is>
      </c>
      <c r="H11" t="inlineStr"/>
      <c r="I11" t="inlineStr">
        <is>
          <t>**Summary**
 At Apple, we believe in the power of technology to enrich people's lives. Everything we build is designed to empower people, including our advertising platform. We deliver ads in a way that benefits both consumers and advertisers — helping people discover content, supporting creators, and protecting and respecting everyone’s privacy. nnOur technology makes advertising possible on the App Store, Apple News, Stocks, and Apple TV. We help developers and marketers of all sizes drive app discovery across the App Store. Our display ads on Apple News and Stocks let advertisers promote their products alongside trusted content in a brand\-safe environment, while supporting publishers and journalists. Sponsorship integrations and experiences in live sports on Apple TV help advertisers connect with captivated audiences. Everything we do is with the unwavering commitment to privacy you expect from Apple. Because when advertising is done right, it benefits everyone.
**Description**
 Our platforms are highly performant, deployed at scale, and set new standards for enabling effective advertising while protecting user privacy. The Ad Platforms Data Insights team is seeking a Data Scientist to join in developing the next generation of analytical solutions in collaboration with Engineering, Product, Sales, Marketing, and Finance. In this role you will work as a key member of a data\-centric team to drive the exploration, analysis, development, execution, and measurement solutions that are essential to running and growing the ads marketplace. Responsibilities include turning the huge amounts of data generated by user searches, app content, and App Store context into business insights that improve the customer experience for the end\-user as well as drive discovery and efficiency for app developers. nnThis role requires both a broad knowledge of statistics and creativity to invent and customize when vital. You'll dig in and get into the details. The theory behind the techniques are just the beginning. You'll be working on projects where practical applications of these approaches get applied in real\-world scenarios. Successful analytics teams involve data scientists and data engineers working hand in hand to build insightful and efficient solutions. In your role, you will be a key player in a multi\-functional team that delivers insights that have direct and measurable impact. We're looking for an inquisitive, collaborative, and passionate person to join this amazing team.
**Minimum Qualifications**
 2\+ years of recent experience in a data science role.nProgramming skills in Python and SQL, and familiarity with machine learning, such as scikit\-learn, xgboost, PyTorch, SciPy is necessary.nFamiliar with statistical analysis methods, most notably regression analysis, causal inference, statistical learning and A/B and quasi\-experimentation methods.nDemonstrated experience in applying statistics and machine learning to generate clear actionable insights.nComfortable with a variety of data stores such as Hadoop, and Snowflake, familiar with distributed analytics engines such as Spark/PySpark.nPossess exceptional communication skills to communicate analyses in a clear and effective manner to technical audience and executive leadership.nDemonstrated ability to partner with engineering, meet the data needs of the business, finding creative analytical solutions and develop initial prototypes to address messy business problems.nProven ability to operate comfortably and optimally in a fast\-paced and constantly evolving environment.nBachelor's degree in Data Science, Applied Mathematics, Statistics, Computer Science or relevant field/experience
**Preferred Qualifications**
 4\+ years of recent experience in a data science role.nExperience in the mobile advertising industry or related field.nFamiliarity with job orchestration frameworks such as Airflow.nDemonstrated ability to build visualizations, dashboards and enable broader consumption of insights and tools for investigations.nPost\-Bachelor's degree in Data Science, Applied Mathematics, Statistics, Computer Science or relevant field/experience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2">
      <c r="A12" t="inlineStr">
        <is>
          <t>li-4359128383</t>
        </is>
      </c>
      <c r="B12" t="inlineStr">
        <is>
          <t>ML Data Scientist - Business Analytics</t>
        </is>
      </c>
      <c r="C12" t="inlineStr">
        <is>
          <t>Apple</t>
        </is>
      </c>
      <c r="D12" t="inlineStr">
        <is>
          <t>linkedin</t>
        </is>
      </c>
      <c r="E12">
        <f>HYPERLINK("https://www.linkedin.com/jobs/view/4359128383", "https://www.linkedin.com/jobs/view/4359128383")</f>
        <v/>
      </c>
      <c r="F12">
        <f>HYPERLINK("https://jobs.apple.com/en-us/details/200625646&amp;urlHash=4_N6", "https://jobs.apple.com/en-us/details/200625646&amp;urlHash=4_N6")</f>
        <v/>
      </c>
      <c r="G12" t="inlineStr">
        <is>
          <t>Austin, TX</t>
        </is>
      </c>
      <c r="H12" t="inlineStr"/>
      <c r="I12" t="inlineStr">
        <is>
          <t>**Summary**
 At Apple, we focus deeply on our customers’ experience. Apple Ads brings this same approach to advertising, helping people find exactly what they’re looking for and helping advertisers grow their businesses. Our technology powers ads and sponsorships across Apple Services, including the App Store, Apple News, and MLS Season Pass. Everything we do is designed for trust, connection, and impact. We respect user privacy, integrate advertising thoughtfully into the experience, and deliver value for advertisers of all sizes—from small app developers to big, global brands. Because when advertising is done right, it benefits everyone. nnThe Apple Ads Data Insights team is seeking a dedicated Data Scientist who will innovate while developing the next generation of analytical solutions working multi\-functionally with Sales, Marketing, Finance, Product, and Engineering. Analytics is a team sport, and in your role, you will be a key part of data\-centric team that delivers insights that have direct and measurable impact. What makes this role exciting is the opportunity to shape how large language models and data science drive business decisions.
**Description**
 Responsibilities include turning the huge amounts of data generated by user searches, app content, and App Store context into business insights that improve the customer experience for the end\-user as well as drive discovery and efficiency for app developers. This role requires both a broad knowledge of statistics and creativity to invent and customize when vital. Dig in and get into the details. The theory behind the techniques are just the beginning. Work on projects where practical applications of these approaches get applied in real\-world scenarios. Successful analytics teams involve data scientists and data engineers working hand in hand to build insightful and efficient solutions. We're looking for an inquisitive, collaborative, and passionate person to join this amazing team.nnSupport Product, Engineering, and the Executive Team with analyses, and data products to improve product performance, deepen customer insight and deliver business impact.
**Minimum Qualifications**
 3\+ years of recent experience in a data science role. nnExperience in statistical analysis, machine learning models, and advanced quantitative methods with a strong focus in causal inference. Must include experience with regression, classification, clustering, time\-series analysis, and LLMs.nnExceptional programming skills in Python and SQL. Comfort with advanced analytics and data visualization tools and libraries such as Pandas, R, Spark, and Tableau.nnDeep familiarity with commonly used Statistics and ML libraries such as ScikitLearn, SparkMLLib, SciPy, and/or StatsModels. nnDemonstrated experience in applying statistics and machine learning to generate clear actionable insights.nnComfortable with a variety of data stores such as Hadoop, and Snowflake, familiar with distributed analytics engines such as Spark/PySpark. nnPosses exceptional communication skills to communicate analyses in a clear and effective manner to technical audience and executive leadership. nnDemonstrated ability to partner with engineering, meet the data needs of the business, finding creative analytical solutions and develop initial prototypes to address complex business problems.nnDemonstrated ability to operate comfortably and optimally in a fast\-paced and constantly evolving environment.nnBachelor's degree in a related field of study, or equivalent industry experience.
**Preferred Qualifications**
 Experience in the mobile advertising industry or related field.nnFamiliarity of Causal Inference packages such as CausalImpact, DoubleML, DoWhy, and EconML.nnFamiliarity with job orchestration frameworks such as Airflow.nnDemonstrated ability to build visualizations, dashboards and enable broader consumption of insights and tools for investigations.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3">
      <c r="A13" t="inlineStr">
        <is>
          <t>li-4362844014</t>
        </is>
      </c>
      <c r="B13" t="inlineStr">
        <is>
          <t>Consumer Product Data Scientist</t>
        </is>
      </c>
      <c r="C13" t="inlineStr">
        <is>
          <t>Gridiron IT</t>
        </is>
      </c>
      <c r="D13" t="inlineStr">
        <is>
          <t>linkedin</t>
        </is>
      </c>
      <c r="E13">
        <f>HYPERLINK("https://www.linkedin.com/jobs/view/4362844014", "https://www.linkedin.com/jobs/view/4362844014")</f>
        <v/>
      </c>
      <c r="F13" t="inlineStr"/>
      <c r="G13" t="inlineStr"/>
      <c r="H13" t="inlineStr"/>
      <c r="I13" t="inlineStr">
        <is>
          <t>**Consumer Product Data Scientist** 
**Role Description:** 
 As a Consumer Product Data Scientist, you will be using the Databricks platform to analyze complex datasets, identify trends, uncover patterns, and provide meaningful interpretations for a highly visible online product. You will leverage skills in big data collection, cleaning, and exploratory analysis to discover patterns, anomalies, and relationships using statistical methods and visualization techniques. Requires strong experience applying statistical tests and models to validate hypotheses and identify significant trends in customer retention and churn. Requires advanced expertise in Python and SQL to manipulate data, implement analytical solutions and machine learning.
**Technical Skills
 :** 
* Predictive Modeling and Analytics
* Data Visualization
* Databricks Platform
* Big Data Engineering
* Data Science
**Clearance** 
 Applicants selected will be subject to a security investigation and may need to meet eligibility requirements for access to classified information. Requires Public Trust clearance.
**Compensation and Benefits** 
 Salary Range: $70\-80/hr (Compensation is determined by various factors, including but not limited to location, work experience, skills, education, certifications, seniority, and business needs. This range may be modified in the future.)
 Benefits: Gridiron offers a comprehensive benefits package including medical, dental, vision insurance, HSA, FSA, 401(k), disability \&amp; ADD insurance, life and pet insurance to eligible employees. Full\-time and part\-time employees working at least 30 hours per week on a regular basis are eligible to participate in Gridiron’s benefits programs.
 Gridiron IT Solutions is an Equal Opportunity Employer. All qualified applicants will receive consideration for employment without regard to race, color, religion, sex, pregnancy, sexual orientation, gender identity, national origin, age, protected veteran status or disability status.
 Gridiron IT is a Women Owned Small Business (WOSB) headquartered in the Washington, D.C. area that supports our clients' missions throughout the United States. Gridiron IT specializes in providing comprehensive IT services tailored to meet the needs of federal agencies. Our capabilities include IT Infrastructure \&amp; Cloud Services, Cyber Security, Software Integration \&amp; Development, Data Solution \&amp; AI, and Enterprise Applications. These capabilities are backed by Gridiron IT's experienced workforce and our commitment to ensuring we meet and exceed our clients' expectations.</t>
        </is>
      </c>
    </row>
    <row r="14">
      <c r="A14" t="inlineStr">
        <is>
          <t>li-4362910036</t>
        </is>
      </c>
      <c r="B14" t="inlineStr">
        <is>
          <t>Data Scientist</t>
        </is>
      </c>
      <c r="C14" t="inlineStr">
        <is>
          <t>Volkswagen Financial Services</t>
        </is>
      </c>
      <c r="D14" t="inlineStr">
        <is>
          <t>linkedin</t>
        </is>
      </c>
      <c r="E14">
        <f>HYPERLINK("https://www.linkedin.com/jobs/view/4362910036", "https://www.linkedin.com/jobs/view/4362910036")</f>
        <v/>
      </c>
      <c r="F14">
        <f>HYPERLINK("https://www.wiraa.com/job-description/us52D42F7A919C8132ED8A41DDC48EAE3B?source=Linkedin&amp;urlHash=c5rK", "https://www.wiraa.com/job-description/us52D42F7A919C8132ED8A41DDC48EAE3B?source=Linkedin&amp;urlHash=c5rK")</f>
        <v/>
      </c>
      <c r="G14" t="inlineStr"/>
      <c r="H14" t="inlineStr"/>
      <c r="I14" t="inlineStr">
        <is>
          <t>**About The Company**
 Volkswagen Financial Services, a wholly\-owned subsidiary of Volkswagen Group, is a leading provider of innovative mobility solutions and financial services. Dedicated to supporting renowned brands such as Audi, Ducati, and Volkswagen, the company specializes in offering accessible mobility options through retail leasing, retail financing, commercial financing for both new and used vehicles, and end\-of\-term vehicle disposition. With a focus on customer\-centric solutions, Volkswagen Financial Services aims to enhance the overall mobility experience by leveraging advanced technology and data\-driven insights. The organization is committed to fostering a diverse and inclusive workplace, promoting innovation, and maintaining high standards of integrity and professionalism across all operations.
**About The Role**
 The Staff Data Scientist role is a pivotal position within VWFS’s Data Science team, based in Reston, VA, operating under a hybrid work model. This career\-level 29P position involves leading complex machine learning projects from conception to deployment. The ideal candidate will utilize their extensive expertise in data science to develop innovative AI and machine learning solutions that directly impact business decisions. The role requires a strategic thinker with strong collaborative skills, capable of translating business challenges into analytical requirements and deploying scalable models into production environments. The successful candidate will serve as a key liaison between technical teams and business stakeholders, ensuring that data\-driven insights are effectively integrated into operational processes and strategic initiatives.
**Qualifications**
* Bachelor’s degree in Computer Science, Statistics, Economics, Engineering, Operations Research, or a related quantitative field
* Minimum of 10 years of professional work experience in data science or related fields
* At least 5 years of experience specifically in data science roles
* Extensive experience (5\+ years) in leveraging algorithms, tuning parameters, and back\-testing validation
* Proven expertise (5\+ years) in extracting, curating, exploring, and analyzing large datasets
* Strong background (5\+ years) in developing, integrating, and deploying machine learning solutions into business decision\-making processes
* Proficiency in building, deploying, and maintaining scalable AI models
* Knowledge of machine learning models, evaluation techniques, and causal analysis
* Excellent communication skills for translating technical insights into business language
* Ability to collaborate effectively with cross\-functional teams including product owners and stakeholders
* Research acumen to explore new data sources and analytical tools for continuous improvement
* Passion for data analysis, problem solving, and innovative thinking
**Responsibilities**
* Extract, curate, explore, and analyze data from large and complex data sources to uncover actionable insights (30%)
* Develop, test, and deploy AI and machine learning models that influence strategic business decisions (30%)
* Collaborate with stakeholders, product management, and leadership to translate business problems into detailed analytical requirements (20%)
* Introduce and advocate for new machine learning methods and drive organizational change (5%)
* Research new data sources, analytical tools, and contribute to the development of new applications and data quality initiatives (5%)
* Provide ongoing business support through data\-driven insights and analytical expertise (10%)
**Benefits**
* Competitive salary and performance\-based incentives
* Comprehensive health insurance plans including medical, dental, and vision coverage
* Retirement savings plans with company matching contributions
* Paid time off and holiday leave
* Professional development opportunities and continuous learning support
* Flexible work arrangements in accordance with company policies
* Inclusive and diverse workplace culture
* Employee assistance programs and wellness resources
 Equal Opportunity
 Volkswagen Financial Services is an Equal Opportunity Employer. We welcome and encourage applicants from all backgrounds and do not discriminate based on race, sex, age, disability, sexual orientation, national origin, religion, color, gender identity or expression, marital status, veteran status, or any other characteristic protected by applicable laws. We are committed to fostering an inclusive environment where all employees can thrive and contribute to our shared success.</t>
        </is>
      </c>
    </row>
    <row r="15">
      <c r="A15" t="inlineStr">
        <is>
          <t>li-4359171130</t>
        </is>
      </c>
      <c r="B15" t="inlineStr">
        <is>
          <t>Data Scientist - AI Enablement Team</t>
        </is>
      </c>
      <c r="C15" t="inlineStr">
        <is>
          <t>Balyasny Asset Management L.P.</t>
        </is>
      </c>
      <c r="D15" t="inlineStr">
        <is>
          <t>linkedin</t>
        </is>
      </c>
      <c r="E15">
        <f>HYPERLINK("https://www.linkedin.com/jobs/view/4359171130", "https://www.linkedin.com/jobs/view/4359171130")</f>
        <v/>
      </c>
      <c r="F15" t="inlineStr"/>
      <c r="G15" t="inlineStr">
        <is>
          <t>New York, NY</t>
        </is>
      </c>
      <c r="H15" t="inlineStr"/>
      <c r="I15" t="inlineStr">
        <is>
          <t>**Role Overview**
 The Data Science \&amp; AI organization is building an elite AI enablement team to accelerate adoption of BAM’s in\-house generative AI and data science products across investment strategies. In this role, you will embed directly with portfolio managers and analysts, training users, evangelizing new features, and implementing agentic solutions that measurably improve traders’ decision speed and research processes. You will act as the “last mile” between our platform and the investment desk – driving adoption of in\-house tools, rapidly prototyping agentic workflows, and funneling feedback back to BAM’s Data Science and AI teams.
**Key Responsibilities**
* **Drive Adoption:** 
 Embed with trading desks to maximize the value derived from BAM’s in\-house generative AI and data science tools
* **Partner Closely:** 
 Translate PM and analyst requirements into concrete technical solutions
* **Train \&amp; Enable:** 
 Deliver demos, host office hours, and create cheat\-sheets to simplify every PM \&amp; analysts’ journey with our solutions
* **Streamline Processes:** 
 Continuously evaluate the workflows of our investment teams and use LLMs and data science techniques to improve efficiency and investment decision making
* **Relay Feedback:** 
 Capture on\-desk insights and relay them to the appropriate Data Science and AI teams to sharpen and extend existing products.
* **Maintain Edge:** 
 Track emerging LLM techniques and machine learning methods, pilot promising ideas, and feed proven wins back into the platform.
**Qualifications**
**Education:** 
* Master’s degree in Data Science, Computer Science, Statistics, Mathematics, or equivalent work experience. Advanced degrees are preferred.
* Academic training in computer science, statistics and data science techniques (including machine learning methods) is required
* Preference for candidates with academic training in generative AI techniques
**Experience:** 
* At least 3 years of experience in a customer facing role, scoping, developing and deploying LLM\-based and data science solutions Candidates must have demonstrable experience building LLM\-based applications
* Preference for candidates with prior buy\-side or equity research experience – hands\-on company analysis and direct collaboration with portfolio managers
**Technical Skills** 
* Highly proficient in the use of Python for data manipulation, statistical modeling and machine learning, along with strong SQL skills for database querying.
* Experience integrating LLMs and AI models into production workflows is a must
* Familiarity with OpenAI APIs and LLM frameworks such as LangChain and LlamaIndex.
* Familiarity with AWS or other cloud platforms, Git for version control, and Airflow (or similar orchestration tools) is a strong plus.
**Soft Skills** 
* Strong problem\-solving and analytical skills
* Excellent communication and interpersonal skills
* Ability to work independently and as part of a team
* Demonstrated ability to manage multiple projects and meet deadlines</t>
        </is>
      </c>
    </row>
    <row r="16">
      <c r="A16" t="inlineStr">
        <is>
          <t>li-4353470532</t>
        </is>
      </c>
      <c r="B16" t="inlineStr">
        <is>
          <t>Sr. Data Scientist (Fraud Analyst)</t>
        </is>
      </c>
      <c r="C16" t="inlineStr">
        <is>
          <t>Achieve</t>
        </is>
      </c>
      <c r="D16" t="inlineStr">
        <is>
          <t>linkedin</t>
        </is>
      </c>
      <c r="E16">
        <f>HYPERLINK("https://www.linkedin.com/jobs/view/4353470532", "https://www.linkedin.com/jobs/view/4353470532")</f>
        <v/>
      </c>
      <c r="F16" t="inlineStr"/>
      <c r="G16" t="inlineStr">
        <is>
          <t>San Mateo, CA</t>
        </is>
      </c>
      <c r="H16" t="inlineStr"/>
      <c r="I16" t="inlineStr">
        <is>
          <t>Achieve is a leading digital personal finance company. We help everyday people move from struggling to thriving by providing innovative, personalized financial solutions. By leveraging proprietary data and analytics, our solutions are tailored for each step of our member's financial journey to include personal loans, home equity loans, debt consolidation, financial tools and education. Every day, we get to help our members move their finances forward with care, compassion, and empathetic touch. We put people first and treat them like humans, not account numbers.
**Job Description**
 We’re seeking a highly analytical, proactive Sr. Data Scientist / Fraud Rules \&amp; Strategy Analyst to join our fraud\-prevention team. In this role you will own the development, maintenance and continuous improvement of our fraud rulesets, working in an agile manner to respond quickly to evolving fraud patterns. You will also engage external vendors and partners to bring the latest industry intelligence and emerging fraud\-strategy thinking into our program. Your technical toolkit (Python, SQL, Tableau) will ensure data\-driven rule design, performance monitoring and dashboarding. If you have 3 years of experience in fraud management, plus strong analytical and communication skills, this is an exciting opportunity to help shape a leading fraud\-prevention capability.
**Key Responsibilities**
* Design, implement and maintain the fraud\-detection and prevention rulesets across our transaction flows, updates made iteratively in an agile fashion (frequent, incremental rule releases).
* Monitor rule performance (false\-positives, false\-negatives, operational metrics) and adjust rules to optimize detection and minimize business friction.
* Execute ad hoc analysis of fraud trends, emerging typologies, and root‐cause investigations to identify opportunities for new or updated rules.
* Work closely with vendors (fraud\-detection/analytics platform providers, third\-party intelligence services) to incorporate current industry thinking and best practices into our strategy.
* Develop dashboards and reports in Tableau to visualize key fraud metrics, rule performance, business impact and risk exposure.
* Write SQL queries and Python scripts to interrogate transaction, alert and case data; build prototypes of new rules, test and deploy them.
* Collaborate cross\-functionally with Product, Operations and Compliance teams to align fraud\-prevention initiatives with business goals and regulatory requirements.
* Participate in sprint planning, retrospectives and backlog grooming to ensure fraud\-rule work is aligned with the agile roadmap.
* Maintain documentation of rule logic, assumptions, test results and versioning; ensure auditability and traceability of rule changes.
* Stay apprised of fraud\-prevention industry trends, vendor technology updates, and regulatory developments; provide recommendations to senior leadership for strategy refinement.
**Qualifications**
**Minimum Qualifications**
* Bachelor’s degree in quantitative discipline (e.g., Computer Science, Data Science, Finance, Economics, Mathematics) or equivalent.
* Minimum of 3 years of hands\-on experience in fraud detection, fraud analytics, risk management or a related role (preferably in payments, fintech, e\-commerce or banking).
* High level of proficiency in SQL and Python for data manipulation, data interrogation, scripting and rule prototyping.
* Proven experience with Tableau (or equivalent business\-intelligence tools) to build dashboards and visualizations.
* Experience designing, deploying and maintaining fraud\-detection rules/rule engines (or equivalent controls) and analyzing the results.
* Experience interacting with vendor solutions, engaging external partners or bringing in external intelligence to inform strategy.
* Excellent analytical, problem\-solving and critical\-thinking skills with attention to detail.
* Strong verbal and written communication skills – able to translate technical detail into actionable insights for business stakeholders.
* Comfortable working in an agile environment: attending sprint ceremonies, prioritizing tasks, responding to changing requirements.
* Ability to work independently, manage multiple concurrent rule\-updates and investigations, while balancing business\-friction vs risk mitigation trade\-offs.
**Preferred Qualifications**
* Experience in rule\-engine platforms specific to fraud (e.g., real\-time transaction scoring, device/fingerprint, anomaly detection).
* Familiarity with account\-takeover, synthetic identity and first and third party fraud typologies.
* Experience working with vendor\-provided fraud intelligence or external data sources (device data, IP intelligence, user behavior).
* Knowledge of regulatory requirements relevant to fraud prevention (e.g., AML, KYC) or internal controls frameworks.
* Experience with machine\-learning/advanced analytics used in fraud detection.
**Additional Information**
**Achieve well\-being with:**
* Hybrid and remote work opportunities
* 401 (k) with employer match
* Medical, dental, and vision with HSA and FSA options
* Competitive vacation and sick time off, as well as dedicated volunteer days
* Access to wellness support through Employee Assistance Program, Talkspace, and fitness discounts
* Up to $5,250 paid back to you on eligible education expenses
* Pet care discounts for your furry family members
* Financial support in times of hardship with our Achieve Care Fund
* A safe place to connect and a commitment to diversity and inclusion through our six employee resource groups
**Note: We will be unable to facilitate H1\-B Visa transfer or sponsorship, along with STEM\-OPT Visa.**
**Work from home/hybrid:**
 We are proudly offering hybrid options in the Phoenix, AZ and San Francisco, CA metro market. We are offering 100% remote work in other approved locations.
**Salary Range** 
 : $150,000 to $185,000 salary \+ bonus \+ benefits.
 This information represents the expected salary range for this role. Should we decide to make an offer for employment, we'll consider your location, experience, and other job\-related factors.
**Join Achieve, change the future.**
**At Achieve, we’re changing millions of lives.**
 From the single parent trying to catch up on bills to the entrepreneur needing a loan for the next phase of growth, you’ll get to be a part of their journey to a better financial future. We’re proud to have over 3,000 employees in mostly hybrid and 100% remote roles across the United States with hubs in Arizona, California, and Texas. We are strategically growing our teams with more remote, work\-from\-home opportunities every day to better serve our members. A career at Achieve is more than a job—it’s a place where you can make a true impact, have a sense of belonging, establish a fulfilling career, and put your well\-being first.
**Attention Agencies \&amp; Search Firms:** 
 We do not accept unsolicited candidate resumes or profiles. Please do not reach out to anyone within Achieve to market your services or candidates. All inquiries should be directed to Talent Acquisition only. We reserve the right to hire any candidates sent unsolicited and will not pay any fees without a contract signed by Achieve’s Talent Acquisition leader.</t>
        </is>
      </c>
    </row>
    <row r="17">
      <c r="A17" t="inlineStr">
        <is>
          <t>li-4359154532</t>
        </is>
      </c>
      <c r="B17" t="inlineStr">
        <is>
          <t>AppleCare Data Scientist</t>
        </is>
      </c>
      <c r="C17" t="inlineStr">
        <is>
          <t>Apple</t>
        </is>
      </c>
      <c r="D17" t="inlineStr">
        <is>
          <t>linkedin</t>
        </is>
      </c>
      <c r="E17">
        <f>HYPERLINK("https://www.linkedin.com/jobs/view/4359154532", "https://www.linkedin.com/jobs/view/4359154532")</f>
        <v/>
      </c>
      <c r="F17">
        <f>HYPERLINK("https://jobs.apple.com/en-us/details/200630978&amp;urlHash=8iSq", "https://jobs.apple.com/en-us/details/200630978&amp;urlHash=8iSq")</f>
        <v/>
      </c>
      <c r="G17" t="inlineStr">
        <is>
          <t>Austin, TX</t>
        </is>
      </c>
      <c r="H17" t="inlineStr"/>
      <c r="I17" t="inlineStr">
        <is>
          <t>**Summary**
 The people here at Apple don’t just craft products \- they build the kind of wonder that’s revolutionized entire industries. It’s the diversity of those people and their ideas that inspires the innovation that runs through everything we do, from amazing technology to industry\-leading environmental efforts. Join Apple, and help us leave the world better than we found it.nnThe AppleCare Business Insights, Operations, and Systems (ACBIOS) team builds advanced analytics solutions that drive key decisions across Apple’s service and support ecosystem. As a Data Scientist, you will transform complex data into actionable insights that empower AppleCare leadership and product teams to enhance customer experience and operational excellence.n
**Description**
 You will work across the data lifecycle—from modeling and extraction to visualization and storytelling—partnering closely with cross\-functional teams to deliver scalable, high\-impact insights that uphold Apple’s standards of accuracy, usability, and security.nnDesign and implement advanced analytical models and pipelines using SQL and R/Python.nnDevelop and optimize data extraction and transformation processes to improve accessibility and performance.nnEnsure adherence to data quality, governance, and security protocols.nnBuild intuitive visualizations and dashboards to communicate insights effectively to technical and business audiences.nnDocument methodologies and share analytical best practices to strengthen data culture across teams.nnCollaborate with data scientists, product managers, and leadership to shape the future of analytics platforms within AppleCare.nnLead end\-to\-end analytics initiatives, from scoping and exploration to analysis, interpretation, and executive presentations.n
**Minimum Qualifications**
 7\+ years of applied experience in data science, business analytics, or business intelligence roles.nStrong proficiency in SQL and R/Python (pandas, NumPy, scikit\-learn).nExperience with data modeling, transformation, and analytics frameworks such as Snowflake.nSkilled in building data visualizations using Tableau, and presenting insights to diverse audiences.nStrong foundation in statistical analysis, including hypothesis testing and confidence intervals.nExperience delivering end\-to\-end analytical projects, from scoping to presentation.nExcellent communication and collaboration skills, including translating data insights for business stakeholders.nBachelor’s degree in a quantitative or technical discipline.n
**Preferred Qualifications**
 Hands\-on experience with Snowpark, PySpark, and streaming/interactive visualization tools such as Streamlit or Plotly.nBackground in SMB, product, or service analytics, including service performance, warranty trends, and support operations.nApplied experience with software engineering workflows, including Git, CI/CD, and producing maintainable, well\-documented code.nExperience developing custom Tableau extensions or deploying LLM\-powered analytics systems.nStrong experience in storytelling with data, translating complex analyses into actionable recommendations for leadership.nFamiliarity with large\-scale data platforms and scalable analytical pipelines.nMaster's degree in a quantitative or technical discipline.n
**Pay \&amp; Benefits**
 At Apple, base pay is one part of our total compensation package and is determined within a range. This provides the opportunity to progress as you grow and develop within a role. The base pay range for this role is between $172,100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8">
      <c r="A18" t="inlineStr">
        <is>
          <t>li-4359008384</t>
        </is>
      </c>
      <c r="B18" t="inlineStr">
        <is>
          <t>Machine Learning Data Scientist - Computer Vision</t>
        </is>
      </c>
      <c r="C18" t="inlineStr">
        <is>
          <t>Apple</t>
        </is>
      </c>
      <c r="D18" t="inlineStr">
        <is>
          <t>linkedin</t>
        </is>
      </c>
      <c r="E18">
        <f>HYPERLINK("https://www.linkedin.com/jobs/view/4359008384", "https://www.linkedin.com/jobs/view/4359008384")</f>
        <v/>
      </c>
      <c r="F18">
        <f>HYPERLINK("https://jobs.apple.com/en-us/details/200624524&amp;urlHash=-LPp", "https://jobs.apple.com/en-us/details/200624524&amp;urlHash=-LPp")</f>
        <v/>
      </c>
      <c r="G18" t="inlineStr">
        <is>
          <t>Sunnyvale, CA</t>
        </is>
      </c>
      <c r="H18" t="inlineStr"/>
      <c r="I18" t="inlineStr">
        <is>
          <t>**Summary**
 The Video Engineering organization is at the forefront of developing innovative technologies for future Apple products, with a strong focus on real\-time video processing powered by foundation models.nnOur team has contributed to impactful projects such as FaceID for iOS and OpticID for Apple Vision Pro. We are currently looking for a hardworking Data Scientist to evaluate and craft Apple’s machine learning based products in the field of computer vision, solutions that touch the lives of millions of users around the world.nnYou'll be tasked to collaborate with multi\-functional teams including deep learning, quality assurance, cloud infrastructure, and user research. You will drive improvements in algorithm performance and guide feature development through data driven insights, helping to deliver outstanding user experiences across Apple’s product ecosystem.
**Description**
 Video Engineering DAQ (Data Analytics and Quality) team is seeking a self\-motivated and diligent Data Scientist to research and develop evaluation methods that support the continuous improvement of Apple’s diverse computer vision projects. nnIn this role, you will gain deep insight into Apple’s algorithms and conduct in\-depth failure analyses using data from on\-device to large\-scale user studies to uncover root causes of unexpected algorithm behavior. You will regularly and directly present your findings to Apple senior leadership and multi\-functional teams, playing a key role in guiding product development. A strong programming background is essential, as you will also be responsible for building and maintaining automated pipelines that run on cluster machines to analyze and visualize data at scale.
**Minimum Qualifications**
 Minimum requirement of a bachelors degreenExtensive experience in data science, machine learning, computer vision and statistical data analysisnProven experience in\-depth analysis of machine learning model failuresnProficient in crafting, conducting, analyzing, and interpreting experiments and investigationsnAdvanced programming skills in data manipulation u0026 processing (SQL u0026 Python preferred) nExpertise in data wrangling and developing data visualizations u0026 reporting with toolings such as Tableau, Superset, AWS etc.nExperience presenting data to stakeholders
**Preferred Qualifications**
 Familiar with machine learning interpretability methods is a huge plusnOutstanding verbal and written communication skills, along with strong collaborative abilitiesnSelf\-motivated and curious with creative and critical thinking capabilities
**Pay \&amp; Benefits**
 At Apple, base pay is one part of our total compensation package and is determined within a range. This provides the opportunity to progress as you grow and develop within a role. The base pay range for this role is between $126,800 and $190,900,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19">
      <c r="A19" t="inlineStr">
        <is>
          <t>li-4362471409</t>
        </is>
      </c>
      <c r="B19" t="inlineStr">
        <is>
          <t>Data Scientist I</t>
        </is>
      </c>
      <c r="C19" t="inlineStr">
        <is>
          <t>Boston Scientific</t>
        </is>
      </c>
      <c r="D19" t="inlineStr">
        <is>
          <t>linkedin</t>
        </is>
      </c>
      <c r="E19">
        <f>HYPERLINK("https://www.linkedin.com/jobs/view/4362471409", "https://www.linkedin.com/jobs/view/4362471409")</f>
        <v/>
      </c>
      <c r="F19" t="inlineStr"/>
      <c r="G19" t="inlineStr">
        <is>
          <t>Maple Grove, MN</t>
        </is>
      </c>
      <c r="H19" t="inlineStr"/>
      <c r="I19"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Data Scientist I
**About The Role**
 Boston Scientific is a leading company in the healthcare industry, specializing in the development and manufacturing of cutting\-edge medical devices. We are dedicated to transforming lives through innovative medical solutions that improve the health of patients around the world.
 We are seeking a motivated Data Scientist I to join our dynamic team within the Process Development division. As a Data Scientist I, you will work closely with senior data scientists and engineers to help leverage data analytics to drive insights, inform decision\-making processes, derive actionable insights, and optimize performance within our medical device organization. You will collaborate closely with cross\-functional teams to assist in the development and implementation of data analytics solutions that support our mission of delivering high\-quality products and improving patient outcomes.
**Your Responsibilities Will Include**
* Collaborate with cross\-functional teams to understand project requirements and objectives.
* Assess manufacturing processes for automation and analytics opportunities.
* Collect, clean, and preprocess large datasets from various sources, ensuring data quality and integrity.
* Develop and implement statistical models, machine learning algorithms, and data mining techniques to analyze data.
* Assist in designing and conducting experiments to test hypotheses and validate models.
* Generate and visualize insights from data analysis, creating detailed reports and presentations for stakeholders.
* Prepares and presents technical data and recommendations at technical reviews.
* Continuously monitor and improve the performance of existing models and algorithms.
* Stay up\-to\-date with the latest advancements in data science, machine learning, and healthcare technology.
**Required Qualifications**
* 0 \- 2 years of experience in the medical device space.
* Bachelors degree in Data Science.
* Must be eligible to work in the U.S. without company sponsorship, now or in the future, for employment\-based work authorization.
* Previous internship experience with Boston Scientific.
**Preferred Qualifications**
* Proficiency in Python programming language as well as other languages (e.g. R, Matlab, Julia, C\+\+, Java, etc.)
* Experience with data analysis and visualization tools such as Pandas, NumPy, Matplotlib, Plotly, Seaborn, or similar.
* Excellent familiarity with machine learning frameworks and libraries such as PyTorch, Scikit\-learn, TensorFlow, or similar.
* Robust understanding of large language models (LLM) and frameworks including retrieval\-augmented generation (RAG). (e.g. LangChain, LlaMA, GPT, Bard, etc.)
* Basic understanding of statistical modeling, machine learning algorithms, and predictive analytics techniques.
* Experience with cloud platforms such as AWS, Azure, or Google Cloud.
* Basic understanding of database management systems.
* Experience with version control systems such as Git.
* Strong problem\-solving skills and attention to detail.
* Excellent communication skills, with the ability to convey complex technical concepts to non\-technical stakeholders.
* Ability to work independently as well as collaboratively in a team environment.
**Requisition ID: 622164**
**Minimum Salary: $ 59900**
**Maximum Salary: $ 113800**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
 Among other requirements, Boston Scientific maintains specific prohibited substance test requirements for safety\-sensitive positions. This role is deemed safety\-sensitive and, as such, candidates will be subject to a prohibited substance test as a requirement. The goal of the prohibited substance testing is to increase workplace safety in compliance with the applicable law.</t>
        </is>
      </c>
    </row>
    <row r="20">
      <c r="A20" t="inlineStr">
        <is>
          <t>li-4359008423</t>
        </is>
      </c>
      <c r="B20" t="inlineStr">
        <is>
          <t>AI Engineer/ Data Scientist</t>
        </is>
      </c>
      <c r="C20" t="inlineStr">
        <is>
          <t>Apple</t>
        </is>
      </c>
      <c r="D20" t="inlineStr">
        <is>
          <t>linkedin</t>
        </is>
      </c>
      <c r="E20">
        <f>HYPERLINK("https://www.linkedin.com/jobs/view/4359008423", "https://www.linkedin.com/jobs/view/4359008423")</f>
        <v/>
      </c>
      <c r="F20" t="inlineStr"/>
      <c r="G20" t="inlineStr">
        <is>
          <t>California, United States</t>
        </is>
      </c>
      <c r="H20" t="inlineStr"/>
      <c r="I20" t="inlineStr">
        <is>
          <t>**Summary**
 Are you a builder and problem\-solver who thrives in cross\-functional environments? Do you possess a deep knowledge of the legal industry and a passion for innovation? As a part of our legal operations AIML team, you’ll help drive AI solutions across the legal domain. Working for a company that invents entire categories and industries means you’ll be challenged to creatively apply your expertise to rare and often unexplored aspects of the legal industry.nnWe are seeking an AI Engineer to join our Legal Operations team and lead the design, development and deployment of AI\-powered tools and automation solutions that transform how our Legal Department operates.nThis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life.nnThe ideal candidate combines strong software engineering and AI expertise with excellent communication skills, product sensibility and a curiosity about legal workflows and technology.n
**Description**
 As a Senior Data Scientist/ AI Engineer, you will be responsible for overseeing the design and execution of key tool development programs. This is a unique opportunity for a technically skilled and product\-minded professional who can bridge the gap between engineering, legal, and business functions. You will work closely with attorneys, legal ops specialists, and other engineering teams to identify opportunities for AI\-driven efficiency, develop prototypes and bring scalable solutions to life.nnThe ideal candidate combines strong software engineering and AI expertise with excellent communication skills, product sensibility and a curiosity about legal workflows and technology. Key responsibilities may include:nn\* Develop and deploy AI solutions that enhance legal workflows, including contract review, document classification, knowledge management and workflow automation.n\* Collaborate cross\-functionally with attorneys, legal operations, compliance and engineering teams to identify and prioritize AI use cases.n\* Act as a product developer and owner from concept to rollout—defining requirements, developing proofs of concept, collecting feedback and iterating solutions.n\* Integrate large language models (LLMs) and other AI technologies into existing systems (e.g., document management, eDiscovery, CLM, or knowledge bases).n\* Evaluate and integrate third\-party legal AI tools and platforms as needed, ensuring compatibility and compliance with internal systems.n\* Maintain strong documentation and governance around data usage, model performance and ethical AI standards.n\* Stay current on emerging trends in AI, machine learning and legal tech to help shape the department’s AI strategy.n
**Minimum Qualifications**
 Bachelor’s degree in Computer Science, Data Science, Engineering, or related field (or equivalent experience).n5\+ years of experience building and deploying AI/ML or automation solutions in production environments.nStrong programming skills in Python (proven ability to quickly master new frameworks and tools).nDemonstrated experience with modern AI architectures including context engineering, tool use and retrieval augmented generation.nProven ability to communicate complex technical concepts to non\-technical stakeholders.nStrong product development mindset—able to translate business needs into practical, scalable AI tools.nPrior experience in or exposure to legal tech or legal operations.
**Preferred Qualifications**
 Familiarity with DMS, document intelligence and CLM systems (e.g., Ironclad, Icertis, DocuSign CLM), document management platforms (e.g., iManage, NetDocuments) or legal AI tools (e.g., Harvey, Luminance, Casetext, Spellbook, etc.).nExperience building internal AI assistants or chatbots for enterprise knowledge retrieval.nUnderstanding of data privacy, compliance and governance frameworks relevant to legal data.
**Pay \&amp; Benefits**
 At Apple, base pay is one part of our total compensation package and is determined within a range. This provides the opportunity to progress as you grow and develop within a role. The base pay range for this role is between $203,300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1">
      <c r="A21" t="inlineStr">
        <is>
          <t>li-4353581134</t>
        </is>
      </c>
      <c r="B21" t="inlineStr">
        <is>
          <t>Data Scientist</t>
        </is>
      </c>
      <c r="C21" t="inlineStr">
        <is>
          <t>United States Postal Service</t>
        </is>
      </c>
      <c r="D21" t="inlineStr">
        <is>
          <t>linkedin</t>
        </is>
      </c>
      <c r="E21">
        <f>HYPERLINK("https://www.linkedin.com/jobs/view/4353581134", "https://www.linkedin.com/jobs/view/4353581134")</f>
        <v/>
      </c>
      <c r="F21" t="inlineStr"/>
      <c r="G21" t="inlineStr">
        <is>
          <t>Raleigh, NC</t>
        </is>
      </c>
      <c r="H21" t="inlineStr"/>
      <c r="I21" t="inlineStr">
        <is>
          <t>Serves as a senior data scientist for technology and/or architecture analytics projects and/or initiatives within an assigned domain. This role will primarily support the improvement of technology devices, applications, and/or operations using exploratory data analysis processes, techniques, and tools including statistical modeling, data exploration, and machine learning. Depending upon assignment, this role will support one of the following organizations: Technology Applications, Network and Compute Technology, or Endpoint Technology.
 DUTIES AND RESPONSIBILITIES:
 1\. Serves as a senior data scientist; leads the research, analysis, and interpretation of data for various large sized projects within an assigned domain; provides project oversight and technical guidance to others. Develops algorithms to evaluate domain data (e.g., customer, finance, operational) to address business questions or issues.
 2\. Provides guidance to others on statistical and computational methodologies (e.g., probability sampling, experimental design, data quality) to analyze, interpret, and display data.
 3\. Develops and presents background material on procedures, concepts, policy, statistical models, results, and proposed designs. Leads the development of scalable, efficient, and automated processes for data analyses and model development using programming languages.
 4\. Uses statistical and exploratory data analysis techniques, methods and tools to measure and track performance and identify opportunities for improvement. Interprets results and translates findings into actionable recommendations.
 5\. Develops recommendations for new policies, systems, procedures and training programs; coordinates procedural and technical instructions into a cohesive, operational, documentation of system operations. Coordinates the communication of new policies and procedures with employees and stakeholders.
 6\. Collaborates with Information and Technology related business units to coordinate the integration and implementation of new developments to applications and technologies.
 7\. Researches industry best practices, trends, and insights; identifies opportunities to incorporate emerging tools, techniques and methods into existing processes. Develops and implements recommendations based on findings.
 SUPERVISION: MANAGER OF UNIT TO WHICH ASSIGNED.
 REQUIREMENTS:
 1\. Ability to conduct data analysis and modeling sufficient to gather data, identify trends and insights, apply analytical method and techniques, and develop actionable recommendations on a project basis for technology applications and/or operations initiatives.
 2\. Ability to use statistical and business intelligence software packages such as SPSS, SAS, OLAP, SQL, VBA, or standard MS Office products at a level sufficient to analyze, interpret, and display complex data results.
 3\. Ability to use statistical and/or exploratory data analysis methods, tools, techniques sufficient to develop recommendations that summarize trends and insights.
 4\. Ability to use common programming languages sufficient to maintain and troubleshoot statements and queries.
 5\. Ability to communicate orally and in writing to provide feedback, technical guidance, and instruction to cross functional teams in the development of data science tools and processes.
 6\. Ability to lead projects, including organizing and coordinating the activities of project team members, and ensuring tasks are completed in a timely manner.
 7\. Ability to develop and present reports and presentations that summarize recommendations and explain data in a manner appropriate for technical and non\-technical audiences.
 8\. EDUCATION/EXPERIENCE REQUIREMENT: Applicants must possess one of the following: 1\. Bachelor's or Graduate degree in Information Technology, Data Science, or a closely related field from an accredited college or university by a national or regional accreditation organization recognized and sanctioned by the U.S. Department of Education. OR 2\. Possess four (4\) years of professional experience which includes facilitating Information Technology projects using data exploration techniques, machine learning, or statistical modeling.</t>
        </is>
      </c>
    </row>
    <row r="22">
      <c r="A22" t="inlineStr">
        <is>
          <t>li-4362744722</t>
        </is>
      </c>
      <c r="B22" t="inlineStr">
        <is>
          <t>Data Scientist</t>
        </is>
      </c>
      <c r="C22" t="inlineStr">
        <is>
          <t>Atmospheric G2</t>
        </is>
      </c>
      <c r="D22" t="inlineStr">
        <is>
          <t>linkedin</t>
        </is>
      </c>
      <c r="E22">
        <f>HYPERLINK("https://www.linkedin.com/jobs/view/4362744722", "https://www.linkedin.com/jobs/view/4362744722")</f>
        <v/>
      </c>
      <c r="F22" t="inlineStr"/>
      <c r="G22" t="inlineStr"/>
      <c r="H22" t="inlineStr"/>
      <c r="I22" t="inlineStr">
        <is>
          <t>**Company Overview:** 
 For over twenty years, Atmospheric G2 has provided our customers market\-leading weather intelligence software that enables them to confidently assess the impacts of weather on their markets. Our flagship product is up on monitors throughout the trading day across the majority of trade floors in North America and Europe. AG2 is at the forefront of utilizing cutting\-edge ML technologies in the context of forecasting renewable power generation and energy demand (load). Our mission is to harness the power of data to drive innovation in the renewable energy sector.
**Job Description** 
 We are seeking a highly skilled and experienced Data Scientist to join our growing Data Science Team. The ideal candidate will have a strong background in Python ML model development, preferably in the context of renewable power generation and energy demand (load) forecasting.
**Responsibilities** 
* Develop and implement advanced machine learning models to predict renewable energy generation and support demand forecasting.
* Analyze large\-scale datasets spanning meteorological conditions, energy generation, and consumption patterns to improve forecast accuracy and reliability.
* Partner cross\-functionally with data science, engineering, product, and weather science teams to integrate meteorological signals into production forecasting systems.
* Monitor, evaluate, and continuously improve model performance over time, incorporating new data, evolving industry trends, and business needs.
* Interrogate and validate model behavior through performance diagnostics, error analysis, and bias checks to drive measurable improvements.
* Communicate results through clear visualizations and actionable insights for both technical and non\-technical stakeholders.
**Qualifications** 
* Proven experience developing machine learning models, ideally in renewable energy, power markets, weather\-driven forecasting, or related domains.
* Strong programming skills in Python, including experience with TensorFlow and PyTorch, and large\-scale geospatial/time\-series datasets using xarray.
* Experience building scalable, reliable data science workflows with large datasets.
* Strong understanding of ML best practices across the model lifecycle (data preparation, training, evaluation, deployment), with an emphasis on reproducibility and documentation.
* Strong analytical and problem\-solving skills, with attention to detail and a structured approach to debugging and improvement.
* Ability to communicate complex results clearly using data visualization and analysis tools.
**What We Offer:** 
* A competitive salary and comprehensive benefits package.
* A supportive work environment where you can thrive both as a leader and a contributor.
* A forward\-thinking environment that values innovation and creativity, allowing you to bring new ideas to the table and see them implemented.
* Flexible remote or hybrid work options, supporting a healthy balance between professional responsibilities and personal life.
* Well\-established company with a start\-up mindset, where everyone can contribute ideas, take ownership, and make a meaningful impact on the mission.</t>
        </is>
      </c>
    </row>
    <row r="23">
      <c r="A23" t="inlineStr">
        <is>
          <t>li-4362950186</t>
        </is>
      </c>
      <c r="B23" t="inlineStr">
        <is>
          <t>Data Scientist</t>
        </is>
      </c>
      <c r="C23" t="inlineStr">
        <is>
          <t>KMM Technologies, Inc.</t>
        </is>
      </c>
      <c r="D23" t="inlineStr">
        <is>
          <t>linkedin</t>
        </is>
      </c>
      <c r="E23">
        <f>HYPERLINK("https://www.linkedin.com/jobs/view/4362950186", "https://www.linkedin.com/jobs/view/4362950186")</f>
        <v/>
      </c>
      <c r="F23" t="inlineStr"/>
      <c r="G23" t="inlineStr">
        <is>
          <t>Reston, VA</t>
        </is>
      </c>
      <c r="H23" t="inlineStr"/>
      <c r="I23" t="inlineStr">
        <is>
          <t>**Position: Data Scientist** 
**Location: Reston, VA (Onsite: Reston, VA 3 days)** 
**Duration: Long Term CTH** 
 hybrid, 3 days onsite, 2 days offsite
**1st round interview via Video, 2nd round interview onsite** 
 A bit junior role (1\-5 years of experience accepted), Energetic Self\-Starter
 AI/ML, Python, AWS, Bedrock, RDS, Redshift, S3, SQL, R
 Open to more junior\-mid level candidates with 1\-5 years of experience, bill rates should reflect the amount of experience.
 Job Title: Data Scientist
 Key Responsibilities
 • Collect, clean, and preprocess large datasets from multiple sources.
 • Apply statistical analysis and machine learning techniques to solve business problems.
 • Build predictive models and algorithms to optimize processes and improve outcomes.
 • Develop dashboards and visualizations to communicate insights effectively.
 • Collaborate with cross\-functional teams (Product, Engineering, Risk, Marketing) to identify opportunities for leveraging data.
 • Ensure data integrity, security, and compliance with organizational standards.
 • Stay current with emerging technologies and best practices in data science and AI.
 \_\_\_\_\_\_\_\_\_\_\_\_\_\_\_\_\_\_\_\_\_\_\_\_\_\_\_\_\_\_\_\_\_\_\_\_\_\_\_\_
 Required Qualifications
 • Bachelor’s or Master’s degree in Data Science, Computer Science, Statistics, Mathematics, or related field.
 • Strong proficiency in Python, R, SQL, and experience with data manipulation libraries (e.g., Pandas, NumPy).
 • Hands\-on experience with machine learning frameworks (e.g., scikit\-learn, TensorFlow, PyTorch).
 • Solid understanding of statistical modeling, hypothesis testing, and data visualization.
 • Experience with big data platforms (e.g., Spark, Hadoop) and cloud environments (AWS, Azure, GCP).
 • Excellent problem\-solving skills and ability to communicate complex concepts clearly.
 \_\_\_\_\_\_\_\_\_\_\_\_\_\_\_\_\_\_\_\_\_\_\_\_\_\_\_\_\_\_\_\_\_\_\_\_\_\_\_\_
 Preferred Qualifications
 • Experience in risk modeling, financial services, or product analytics.
 • Knowledge of MLOps and deploying models in production.
 • Familiarity with data governance and compliance frameworks.
 \_\_\_\_\_\_\_\_\_\_\_\_\_\_\_\_\_\_\_\_\_\_\_\_\_\_\_\_\_\_\_\_\_\_\_\_\_\_\_\_
 Soft Skills
 • Strong analytical thinking and attention to detail.
 • Ability to work independently and in a team environment.
 • Effective communication and stakeholder management skills.
 Thanks \&amp; Regards,
**Sekhar Pillala** 
 Team Lead \- Talent Acquisition
**KMM Technologies, Inc.** 
 CMMI Level 2 \| ISO 9001 \| ISO 20000 \| ISO 27000 Certified
 WOSB, SBA 8(A), MDOT MBE \&amp; NMSDC MBE
 Contract Vehicles: 8(a) STARS III \&amp; Schedule 70
 Tel: 240\-800\-1958 \| Fax: (866\) 856 3684
 E\-MAIL: sekhar.pillala@kmmtechnologies.com
 Linked In: https://www.linkedin.com/in/sekhar\-ji\-1505ab22/
 www.kmmtechnologies.com</t>
        </is>
      </c>
    </row>
    <row r="24">
      <c r="A24" t="inlineStr">
        <is>
          <t>li-4359027592</t>
        </is>
      </c>
      <c r="B24" t="inlineStr">
        <is>
          <t>Data Scientist</t>
        </is>
      </c>
      <c r="C24" t="inlineStr">
        <is>
          <t>Optomi</t>
        </is>
      </c>
      <c r="D24" t="inlineStr">
        <is>
          <t>linkedin</t>
        </is>
      </c>
      <c r="E24">
        <f>HYPERLINK("https://www.linkedin.com/jobs/view/4359027592", "https://www.linkedin.com/jobs/view/4359027592")</f>
        <v/>
      </c>
      <c r="F24" t="inlineStr"/>
      <c r="G24" t="inlineStr">
        <is>
          <t>Cupertino, CA</t>
        </is>
      </c>
      <c r="H24" t="inlineStr"/>
      <c r="I24" t="inlineStr">
        <is>
          <t>**\*Due to the nature of this role, only United States Citizens and Green Card Holders will be considered\*** 
 Optomi is seeking a
 **Data Scientist – Marketing Acquisition** 
 who is passionate about extracting insights from complex datasets and driving a measurable impact across the client's payment services. In this role, you will support the full customer lifecycle—acquisition, development, retention, and reactivation—by providing actionable, data\-driven recommendations to the marketing organization.
 You will work closely with marketing stakeholders, serving as an analytical thought partner who can convert ambiguous questions into structured analyses and clear narratives. This position requires strong technical depth, outstanding communication skills, and the ability to translate data into business strategy.
 This is a high\-visibility role on a rapidly growing team, offering strong career development opportunities and the chance to influence major product and marketing decisions at scale.
**Responsibilities** 
* Analyze marketing and business data using SQL and Python to identify insights and growth opportunities.
* Conduct diagnostic analyses, including experimental design, lift measurement, multivariate analysis, and causal inference to evaluate campaign performance.
* Partner with marketing teams to design scalable measurement frameworks and inform campaign strategy.
* Create compelling data visualizations and presentations using Keynote and/or Tableau.
* Translate complex data into clear, actionable recommendations that drive business decisions.
* Build strong cross\-functional relationships and collaborate effectively with partners across various teams.
* Work iteratively and collaboratively in a fast\-paced environment that values rapid experimentation and open feedback.
**Qualifications** 
* 3\+ years of experience in Data Science, ideally with a focus on marketing analytics or financial products.
* Experience in the payments industry or working with credit card products is highly preferred.
* Demonstrated success in email campaign measurement, optimization, and lifecycle analytics.
* Strong proficiency in SQL, Python, and Tableau.
* Expertise in experimental design, statistical significance, bivariate/multivariate analysis, and causal inference.
* Hands\-on experience with segmentation, clustering, regression modeling, and campaign measurement.
* Ability to work with large, fragmented datasets and translate results into digestible insights.
* Strong storytelling and communication skills, capable of influencing stakeholders and presenting to both technical and non\-technical audiences.
* Curious, proactive, and able to operate with a balance of independence and collaboration.</t>
        </is>
      </c>
    </row>
    <row r="25">
      <c r="A25" t="inlineStr">
        <is>
          <t>li-4357608512</t>
        </is>
      </c>
      <c r="B25" t="inlineStr">
        <is>
          <t>Data Scientist, Wireless Machine Learning</t>
        </is>
      </c>
      <c r="C25" t="inlineStr">
        <is>
          <t>Apple</t>
        </is>
      </c>
      <c r="D25" t="inlineStr">
        <is>
          <t>linkedin</t>
        </is>
      </c>
      <c r="E25">
        <f>HYPERLINK("https://www.linkedin.com/jobs/view/4357608512", "https://www.linkedin.com/jobs/view/4357608512")</f>
        <v/>
      </c>
      <c r="F25" t="inlineStr"/>
      <c r="G25" t="inlineStr">
        <is>
          <t>Cupertino, CA</t>
        </is>
      </c>
      <c r="H25" t="inlineStr"/>
      <c r="I25" t="inlineStr">
        <is>
          <t>**Summary**
 Join our Wireless Technologies and Ecosystems (WTE) organization to be part of an outstanding team of engineers passionate about driving innovation and enriching experiences for millions of customers worldwide. The Wireless Software team is looking for an exceptional software engineer to deploy ML experiences and develop sophisticated telemetry frameworks for wireless products. ML\-powered features u0026 analytics frameworks you build enable analytics, diagnostics, product experimentation, modem performance u0026 usage characterization, and anomaly identification u0026 mitigation techniques to track, analyze, and improve the wireless experience across all Apple products.n
**Description**
 In this role, you’ll be responsible for shipping exciting Wireless features powered by Data u0026 Machine Learning. Your work will encompass the entire ML lifecycle, from secure and efficient data collection to model training and deployment on devices, utilizing state\-of\-the\-art Apple AI/ML frameworks.n
**Minimum Qualifications**
 5\+ years of professional experience developing Machine Learning models for commercial productsnnStrong proficiency in Python and ML frameworks like PyTorch for data pre\-processing, ML model training, and fine\-tuningnnStrong understanding of Machine Learning Fundamentals, LLM / NLP ConceptsnnUnderstanding of and passion for data/AI\-powered software features and product qualitynnExperience prototyping and shipping customer\-facing features on embedded systemsnnExperience with scalable and cross\-layer system designn
**Preferred Qualifications**
 8\+ years of professional experience delivering ML\-powered software features u0026 applicationsnnWorking experience in one or more of the following domains in Neural Networks: Deep Reinforcement Learning, Transformer, Transfer Learning, Online Learning, CNN, RNN etcnnProfessional background in wireless technologies such as cellular (5G/6G) and connectivity (WIFI/BT) standards / protocolsnnAbility to work well both independently and within a teamnnExcellent communication and presentation skillsn
**Pay \&amp; Benefits**
 At Apple, base pay is one part of our total compensation package and is determined within a range. This provides the opportunity to progress as you grow and develop within a role. The base pay range for this role is between $147,400 and $272,100,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26">
      <c r="A26" t="inlineStr">
        <is>
          <t>li-4359121408</t>
        </is>
      </c>
      <c r="B26" t="inlineStr">
        <is>
          <t>Data Scientist</t>
        </is>
      </c>
      <c r="C26" t="inlineStr">
        <is>
          <t>Sysco</t>
        </is>
      </c>
      <c r="D26" t="inlineStr">
        <is>
          <t>linkedin</t>
        </is>
      </c>
      <c r="E26">
        <f>HYPERLINK("https://www.linkedin.com/jobs/view/4359121408", "https://www.linkedin.com/jobs/view/4359121408")</f>
        <v/>
      </c>
      <c r="F26" t="inlineStr"/>
      <c r="G26" t="inlineStr">
        <is>
          <t>Houston, TX</t>
        </is>
      </c>
      <c r="H26" t="inlineStr"/>
      <c r="I26" t="inlineStr">
        <is>
          <t>**JOB SUMMARY**
 This role will apply advanced analytics to support the evaluation and development of new demand generation, assortment, costing, pricing and supply chain models. This will require expert ability in data acquisition (internal and external to Sysco), cleansing and manipulation; mathematical modeling; analytical and heuristic solution methods; and the ability to synthesize, visualize and communicate the result. This role will require close collaboration with other functions within the Enterprise Analytics and insights Team in addition to other functions within Sysco.
**RESPONSIBILITIES**
* Identify necessary data elements and their sources, leverage appropriate tools to acquire and consolidate large volumes of data from different internal and external sources, and identify and resolve any irrelevant, corrupt, missing, or incongruent data
* Identify and use appropriate advanced analytic tools, technologies and platforms to execute analysis against business requirements, including the ability to scale, deploy and distribute models across the enterprise as needed.
* Develop performance scorecards and dashboards to monitor the adoption, implementation, and impact of models and strategies.
* Work cross\-functionally with other roles within the Enterprise Analytics Team and the Sysco broadly to tune models and ensure value created from models.
* Work with Business Technology resources on API, front end, and down stream integration.
* Collaborate with business process owners to validate model outputs and construct an appropriate training
**QUALIFICATIONS**
 Education and / or Experience:
* Master’s degree or PhD or Bachelor’s degree \+ 3 years of industry experience in management consulting, strategy, analytics, at a specialized analytics company or in an analytics organization in a corporate setting.
* Degree should be in mathematics, statistics or computer science or related field; preferred from a top tier University.
* 1\-4 years of overall analytics experience, can be inclusive of post\-graduate work
* 2\+ years of experience accessing and manipulating data in SQL or NoSQL database environments
* 1\+ years of experience with scientific scripting languages (e.g., Python) and/or object\-oriented programming (e.g., C\+\+, Java)
* 2\+ years of experience with Bayesian statistics, regression analysis (beyond linear regression), supervised learning, unsupervised learning or time\-series analysis required
**Professional Skills** 
* Experience accessing and manipulating data in SQL or NoSQL database environments
* Experience with scientific scripting languages (e.g., Python) and/or object\-oriented programming (e.g., C\+\+, Java)
* Experience with regression analysis (beyond linear regression), supervised learning, unsupervised learning or time\-series analysis required</t>
        </is>
      </c>
    </row>
    <row r="27">
      <c r="A27" t="inlineStr">
        <is>
          <t>li-4362910186</t>
        </is>
      </c>
      <c r="B27" t="inlineStr">
        <is>
          <t>Senior Data Scientist</t>
        </is>
      </c>
      <c r="C27" t="inlineStr">
        <is>
          <t>Shipt</t>
        </is>
      </c>
      <c r="D27" t="inlineStr">
        <is>
          <t>linkedin</t>
        </is>
      </c>
      <c r="E27">
        <f>HYPERLINK("https://www.linkedin.com/jobs/view/4362910186", "https://www.linkedin.com/jobs/view/4362910186")</f>
        <v/>
      </c>
      <c r="F27" t="inlineStr"/>
      <c r="G27" t="inlineStr"/>
      <c r="H27" t="inlineStr"/>
      <c r="I27" t="inlineStr">
        <is>
          <t>**Impact**
 As a Senior Data Scientist on the Marketplace Product Data Science team, you will collaborate closely with diverse teams (including product managers, engineers, and fellow data scientists) to advance our understanding of the customer, make predictions to improve our products and experiences, and design and measure experiments. Our ideal candidate will be data\-driven, intellectually curious, technically and statistically rigorous, and a clear communicator.
 In this role you will bring strong technical expertise and develop a thorough understanding of our data to drive insights in the areas of customer acquisition, engagement, retention, and loyalty through causal inference and experimentation methods. You will contribute to organizational maturity in data storytelling and best\-in\-class ML and statistical approaches and design product experiments to test business hypotheses, apply rigorous statistical analyses, and interpret the results to draw impactful insights.
****What You’ll Need to Be Successful****
* Advanced degree preferred in a quantitative field, and a minimum of 4 years of industry experience.
* Experience with exploratory data analysis, statistical analysis and testing, experiment design and model development, and knowledge of how to leverage these skills to solve complex business problems.
* Expertise in causal inference.
* Proficiency in programming languages (we use Python) and experience with data analysis and machine learning libraries (e.g. TensorFlow, PyTorch, Airflow, etc).
* Strong SQL skills (we use Snowflake).
* Experience with a data visualization tool (we use Tableau).
* Demonstrated ability to learn and embrace new technologies, applications, and solutions.
* Strong written and verbal communication skills and the ability to explain technical topics to data scientists, engineers, and business partners.
* Ability to work collaboratively in a dynamic, team\-based environment.
* Experience as a technical lead and a passion for mentoring.
**Skills \&amp; Education**
 This list includes key skills used in this job but is not inclusive of all skills needed for the role. Please see any required education below.
 Causal Inference, Data Analysis, Data Science, Tableau (Software)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28">
      <c r="A28" t="inlineStr">
        <is>
          <t>li-4362718662</t>
        </is>
      </c>
      <c r="B28" t="inlineStr">
        <is>
          <t>Data Scientist (Levels II-IV) - REMOTE</t>
        </is>
      </c>
      <c r="C28" t="inlineStr">
        <is>
          <t>E Source</t>
        </is>
      </c>
      <c r="D28" t="inlineStr">
        <is>
          <t>linkedin</t>
        </is>
      </c>
      <c r="E28">
        <f>HYPERLINK("https://www.linkedin.com/jobs/view/4362718662", "https://www.linkedin.com/jobs/view/4362718662")</f>
        <v/>
      </c>
      <c r="F28" t="inlineStr"/>
      <c r="G28" t="inlineStr"/>
      <c r="H28" t="inlineStr"/>
      <c r="I28" t="inlineStr">
        <is>
          <t>Are you an experienced data scientist looking to join an industry\-leading team?
 E Source develops groundbreaking data science applications that change the way utilities understand and manage their networks. We tackle challenging projects like simulating major investment strategies across statewide electric networks and optimizing vegetation management strategies. To conduct these projects, we leverage a combination of machine\-learning models, inference\-based statistics, and remote\-sensing applications. Each project or product is collaboratively developed in\-house by a data science team of diverse professional backgrounds and domain expertise. Ultimately, our work helps utilities keep the lights on for their customers when they need it most.
**A Little About E Source**
 E Source combines industry\-leading research, data science, and consulting to help utilities make and implement better data\-driven decisions that positively impact their customers, their bottom line, and our planet. Headquartered in Boulder, CO, we have teams across the US and Canada. Learn more at www.esource.com.
**How You’ll Help**
* Fit and assess predictive models leveraging geospatial data sources in R or Python.
* Explore and analyze client\-provided assets and reliability data sets.
* Collaborate with a broader data science and engineering team to take projects and products from inception to client delivery.
 You’ll be a full\-time member of the E Source Data Science team. Our data science positions appeal to self\-starters who welcome and excel in team\-based, collaborative projects from conception to end\-user handoff, providing excellent customer experience throughout. The ability to simplify complex analyses into understandable concepts that are applicable to management and operations staff is highly desired.
**Required Qualifications**
**What will make you a great fit:**
* Education: MS or PhD in Engineering, Math, Statistics, or similar field of study.
* Experience:
* MS \+ 1 year professional experience conducting data science projects in industry or applied research \- analytical design, managing schedule and communicating results to stakeholders or
* PhD with applied research in above mentioned fields of study.
* Hands on experience cleaning, joining, and analyzing real\-world data sets using predictive models (statistical, machine learning) in R and/or Python.
* Experience working as part of a larger data science team, collaborating with technical or non\-technical peers, and presenting interpretable results to stakeholders.
**Preferred Qualifications**
* Domain expertise in the electric utility space
* Domain expertise in geospatial analytics or using remotely sensed weather observations
* Experience leading and overseeing the work of data analysists or data scientists within a team
**What You Can Expect**
* Excellent insurance options, including medical, dental, and vision plans; company\-paid life insurance; company\-paid long\- and short\-term disability insurance; and medical and dependent\-care flexible spending plans.
* A flexible time off (FTO) program where you can take as many paid days off per year as they need, with manager approval, while fulfilling their work obligations and ensuring proper coverage of their responsibilities.
* Flexible schedules, flexible work locations, and a paid parental leave benefit.
* A 401(k)/RRSP plan with a 3% employer match.
 We are hiring between Levels II\-IV for this position.
**The Budgeted Salary For This Position Is**
**$90,000 to $145,000 USD \+ annual bonus.**
 Actual pay will be adjusted based on experience.
 This role will be 100% remote, with infrequent travel (generally 1\-2 times per year).
 Applicants must be authorized to work for any employer in the US or Canada. We’re unable to sponsor or take over sponsorship of employment visas or Labour Market Impact Assessments (Cdn) at this time.
 All qualified applicants will receive consideration for employment without regard to race, color, religion, sex, sexual orientation, gender identity, national origin, disability, or status as a protected veteran.
 Employees of E Source are encouraged to apply. To foster a positive work environment and company culture, we support our employees in their career growth at E Source. If you are interested in similar job opportunities in the future, visit the E Source careers page for a listing of all open positions and contact Human Resources.
 We contact applicants directly via email using only our designated company email addresses with the domain of @esource.com. Please do not provide personal information to anyone over email and be wary of other accounts impersonating businesses.</t>
        </is>
      </c>
    </row>
    <row r="29">
      <c r="A29" t="inlineStr">
        <is>
          <t>li-4362479978</t>
        </is>
      </c>
      <c r="B29" t="inlineStr">
        <is>
          <t>Senior Data Scientist</t>
        </is>
      </c>
      <c r="C29" t="inlineStr">
        <is>
          <t>Shipt</t>
        </is>
      </c>
      <c r="D29" t="inlineStr">
        <is>
          <t>linkedin</t>
        </is>
      </c>
      <c r="E29">
        <f>HYPERLINK("https://www.linkedin.com/jobs/view/4362479978", "https://www.linkedin.com/jobs/view/4362479978")</f>
        <v/>
      </c>
      <c r="F29" t="inlineStr"/>
      <c r="G29" t="inlineStr">
        <is>
          <t>Texas, United States</t>
        </is>
      </c>
      <c r="H29" t="inlineStr"/>
      <c r="I29" t="inlineStr">
        <is>
          <t>**Impact**
 As a Senior Data Scientist on the Marketplace Product Data Science team, you will collaborate closely with diverse teams (including product managers, engineers, and fellow data scientists) to advance our understanding of the customer, make predictions to improve our products and experiences, and design and measure experiments. Our ideal candidate will be data\-driven, intellectually curious, technically and statistically rigorous, and a clear communicator.
 In this role you will bring strong technical expertise and develop a thorough understanding of our data to drive insights in the areas of customer acquisition, engagement, retention, and loyalty through causal inference and experimentation methods. You will contribute to organizational maturity in data storytelling and best\-in\-class ML and statistical approaches and design product experiments to test business hypotheses, apply rigorous statistical analyses, and interpret the results to draw impactful insights.
****What You’ll Need to Be Successful****
* Advanced degree preferred in a quantitative field, and a minimum of 4 years of industry experience.
* Experience with exploratory data analysis, statistical analysis and testing, experiment design and model development, and knowledge of how to leverage these skills to solve complex business problems.
* Expertise in causal inference.
* Proficiency in programming languages (we use Python) and experience with data analysis and machine learning libraries (e.g. TensorFlow, PyTorch, Airflow, etc).
* Strong SQL skills (we use Snowflake).
* Experience with a data visualization tool (we use Tableau).
* Demonstrated ability to learn and embrace new technologies, applications, and solutions.
* Strong written and verbal communication skills and the ability to explain technical topics to data scientists, engineers, and business partners.
* Ability to work collaboratively in a dynamic, team\-based environment.
* Experience as a technical lead and a passion for mentoring.
**Skills \&amp; Education**
 This list includes key skills used in this job but is not inclusive of all skills needed for the role. Please see any required education below.
 Causal Inference, Data Analysis, Data Science, Tableau (Software)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30">
      <c r="A30" t="inlineStr">
        <is>
          <t>li-4362489639</t>
        </is>
      </c>
      <c r="B30" t="inlineStr">
        <is>
          <t>Data Scientist II (US)</t>
        </is>
      </c>
      <c r="C30" t="inlineStr">
        <is>
          <t>TD Securities</t>
        </is>
      </c>
      <c r="D30" t="inlineStr">
        <is>
          <t>linkedin</t>
        </is>
      </c>
      <c r="E30">
        <f>HYPERLINK("https://www.linkedin.com/jobs/view/4362489639", "https://www.linkedin.com/jobs/view/4362489639")</f>
        <v/>
      </c>
      <c r="F30" t="inlineStr"/>
      <c r="G30" t="inlineStr">
        <is>
          <t>New York, NY</t>
        </is>
      </c>
      <c r="H30" t="inlineStr"/>
      <c r="I30" t="inlineStr">
        <is>
          <t>**Work Location:**
 New York, New York, United States of America
**Hours**
 0
**Pay Details**
 $76,128 \- $124,800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Analytics, Insights, \&amp; Artificial Intelligence
**Job Description**
*Our team currently operates under a primarily offsite work model, employees* 
***must be available to come into a TD location for "moments that matter" at a frequency determined by the business.***
**Department Overview**
 The Data Scientist II is part of the FCRM Screening Capabilities team but also works with cross\-functional teams on various projects. He/she will resolve outstanding data issues and create innovative solutions; Conduct ongoing data mining to ensure artifacts provide value, including root cause variance analysis; Perform additional duties as assigned. SQL, Python (not required), Excel.
**Job Description Summary**
 The Data Scientist II is responsible for collecting data and using wide range of data science techniques, including but not limited to data wrangling, profiling and visualization, statistical inference, to uncover actionable insights or build analytics solutions that guide decision making and strategic planning.
**Depth \&amp; Scope**
* Works autonomously within a specialized business management function and may provide work direction to others
* Provides seasoned specialized knowledge, advice and/or guidance to various stakeholders and team members
* Scope of role may have enterprise impact
* Focuses on short to medium \- term issues (e.g. 6\-12 months)
* Undertakes and completes a variety of complex projects and initiatives requiring specialist knowledge and/or the integration of cross functional processes within own area of expertise
* Oversees and/or independently performs tasks from end\-to\-end
**Education \&amp; Experience**
* Undergraduate degree or advanced technical degree preferred (e.g., math, physics, engineering, finance or computer science) Graduate's degree preferred with either progressive project work experience, or;
* 3\+ years of relevant experience; higher degree education and research tenure can be counted
**Preferred Qualifications**
* SQL Developer
* Python
* Previous AML/Sanctions Screening experience is preferred but not mandatory.
* Degree in a quantitative field (mathematics, statistics, computer science, data science, data analytics, etc.).
* Some experience navigating large data sets and ability to extrapolate technical/complex issues.
* Hands\-on experience in developing SQL relational tables, OLAP cubes, data marts.
* Ability to manage and optimize database and data warehouse systems.
* Critical thinking, analytical thinking, attention to detail, integrity.
**Customer Accountabilities**
* Understands business context and data infrastructure and translates business problems to viable data science solutions.
* Uses a wide range of programing languages (e.g. Python) and techniques for extracting and preparing data, applying statistics and various advanced analytics, along with business acumen to extract insights from the big data.
* Visualizes insights from the data to tell and illustrate stories that clearly convey the meaning of results to decision\-makers and stakeholders at every level of technical understanding.
* Collaborates with other partners, such as data and business analysts, software engineers, data engineers, and application developers to develop scalable and sustainable data science solutions that retains long term benefit to the business.
**Shareholder Accountabilities**
* Solicits and offers ideas for improving business processes through insights with the objective of improving effectiveness and efficiency.
* Educates the organization on approaches, such as testing hypotheses and statistical validation of result.
* Helps the organization understand the principles and the math behind the scientist process to drive organizational alignment.
* Translates up to date information into continuous improvement activities that enhance performance.
* Adheres to enterprise frameworks or methodologies that relate to activities for our business area.
* Ensures respective programs/policies/practices are well managed, meet business needs, comply with internal and external requirements, and align with business priorities.
* Participates in cross\-functional/enterprise initiatives as a subject matter expert helping to identify risk/provide guidance for complex situations.
* Monitors service, productivity and assesses efficiency levels within own function and implements continuous process/performance improvements where opportunities exist.
* Leads/facilitates and/or implements action/remediation plans to address performance/risk/governance issues.
* Actively manages relationships within and across various business lines, corporate and/or control functions and ensures alignment with enterprise and/or regulatory requirements.
* Keeps abreast of emerging issues, trends, and evolving regulatory requirements and assesses potential impacts.
* Maintains a culture of risk management and control, supported by effective processes in alignment with risk appetite.
**Employee/Team Accountabilities**
* Participates fully as a member of the team, supports a positive work environment that promotes service to the business, quality, innovation and teamwork and ensures timely communication of issues/points of interest.
* Provides thought leadership and/or industry knowledge for own area of expertise in own area and participates in knowledge transfer within the team and business unit.
* Keeps current on emerging trends/developments and grows knowledge of the business, related tools and techniques.
* Participates in personal performance management and development activities, including cross training within own team.
* Keeps others informed and up to date about the status/progress of projects and/or all relevant or useful information related to day\-to\-day activities.
* Contributes to team development of skills and capabilities through mentorship of others, by sharing knowledge and experiences and leveraging best practices.
* Leads, motivates and develops relationships with internal and external business partners/stakeholders to develop productive working relationships.
* Contributes to a fair, positive and equitable environment that supports a diverse workforce.
* Acts as a brand ambassador for your business area/function and the bank, both internally and/or externally.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deliver legendary customer experiences to over 27 million households and businesses in Canada, the United States and around the world. More than 95,000 TD colleagues bring their skills, talent, and creativity to the Bank, those we serve, and the economies we support. We are guided by our vision to Be the Better Bank and our purpose to enrich the lives of our customers, communities and colleagues.
 TD is deeply committed to being a leader in customer experience, that is why we believe that all colleagues, no matter where they work, are customer facing. As we build our business and deliver on our strategy, we are innovating to enhance the customer experience and build capabilities to shape the future of banking. Whether you’ve got years of banking experience or are just starting your career in financial services, we can help you realize your potential. Through regular leadership and development conversations to mentorship and training programs, we’re here to support you towards your goals. As an organization, we keep growing – and so will you.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Whether you have a passion for helping customers and want to expand your experience, or you want to coach and inspire your colleagues, there are many different career paths within our organization at TD – and we’re committed to helping you identify opportunities that support your goals.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31">
      <c r="A31" t="inlineStr">
        <is>
          <t>li-4359145552</t>
        </is>
      </c>
      <c r="B31" t="inlineStr">
        <is>
          <t>Sr Principal Data Scientist (Prisma AIRS)</t>
        </is>
      </c>
      <c r="C31" t="inlineStr">
        <is>
          <t>Palo Alto Networks</t>
        </is>
      </c>
      <c r="D31" t="inlineStr">
        <is>
          <t>linkedin</t>
        </is>
      </c>
      <c r="E31">
        <f>HYPERLINK("https://www.linkedin.com/jobs/view/4359145552", "https://www.linkedin.com/jobs/view/4359145552")</f>
        <v/>
      </c>
      <c r="F31" t="inlineStr"/>
      <c r="G31" t="inlineStr">
        <is>
          <t>Santa Clara, CA</t>
        </is>
      </c>
      <c r="H31" t="inlineStr"/>
      <c r="I31" t="inlineStr">
        <is>
          <t>**Our Mission**
 At Palo Alto Networks® everything starts and ends with our mission:
 Being the cybersecurity partner of choice, protecting our digital way of life.
 Our vision is a world where each day is safer and more secure than the one before. We are a company built on the foundation of challenging and disrupting the way things are done, and we’re looking for innovators who are as committed to shaping the future of cybersecurity as we are.
**Who We Are**
 We believe collaboration thrives in person. That’s why most of our teams work from the office full time, with flexibility when it’s needed. This model supports real\-time problem\-solving, stronger relationships, and the kind of precision that drives great outcomes.
**Job Description**
**Your Career**
 With Prisma AIRS, Palo Alto Networks is building the world's most comprehensive AI security platform. Organizations are increasingly building complex ecosystems of AI models, applications, and agents, creating dynamic new attack surfaces with risks that traditional security approaches cannot address. In response,Prisma AIRS delivers model security, posture management, AI red teaming, and runtime protection. Our customers can confidently deploy AI\-driven innovation while ensuring a formidable security posture from development through runtime.
 As a Senior Principal Data Scientist you will drive research on cutting\-edge areas, including AI\-Native Security (LLM, AI Agent, Model Supply\-Chain, Runtime AI) and the broader LLM ecosystem security. You will leverage this research to identify and bring up new product opportunities. You will collaborate closely with engineering teams to deploy models, ensuring maximum product impact. Furthermore, you will foster cross\-functional collaboration and serve as an AI thought leader both within the company and in the security/LLM community. Beyond individual contribution, you will lead complex technical projects, mentor senior engineers, and set the standard for performance, scalability, and engineering excellence across the organization. Your decisions will have a profound and lasting impact on our ability to deliver cutting\-edge AI security solutions at a massive scale.
**Your Impact**
* Lead the architectural design of a highly scalable, low\-latency, and resilient ML inference platform capable of serving a diverse range of models for real\-time security applications.
* Define technical approaches to less\-defined product requirements, ensuring the best fit between product features and technical implementation. Explore new product opportunities by maintaining a deep understanding of LLM and Generative AI research trends.
* Technical Leadership: Provide technical leadership and mentorship to the team, driving best practices in MLOps, software engineering, and system design.
* Strategic Optimization: Drive the strategy for model and system performance, guiding research and implementation of advanced optimization techniques like custom kernels, hardware acceleration, and novel serving frameworks.
* Set The Standard: Establish and enforce engineering standards for automated model deployment, robust monitoring, and operational excellence for all production ML systems.
* Cross\-Functional Vision: Act as a key technical liaison to other principal engineers, architects, and product leaders to shape the future of the Prisma AIRS platform and ensure end\-to\-end system cohesion.
* Solve the Hardest Problems: Tackle the most ambiguous and challenging technical problems in large\-scale inference, from mitigating novel security threats to achieving unprecedented performance goals.
**Qualifications**
**Your Experience**
* BS/MS or Ph.D. in Computer Science, a related technical field, or equivalent practical experience.
* Extensive professional experience in software engineering with a deep focus on MLOps, ML systems, or productionizing machine learning models at scale.
* Expert\-level programming skills in Python are required; experience in a systems language like Go, Java, or C\+\+ is nice to have.
* Deep, hands\-on experience designing and building large\-scale distributed systems on a major cloud platform (GCP, AWS, Azure, or OCI).
* Proven track record of leading the architecture of complex ML systems and MLOps pipelines using technologies like Kubernetes and Docker.
* Mastery of ML frameworks (TensorFlow, PyTorch) and extensive experience with advanced inference optimization tools (ONNX, TensorRT).
* A strong understanding of popular model architectures (e.g., Transformers, CNNs, GNNs) is a must. A deeper understanding of attention mechanisms and related knowledge is a plus.
* Demonstrated expertise with modern LLM inference engines (e.g., vLLM, SGLang, TensorRT\-LLM) is required. Open\-source contributions in these areas are a significant plus.
* Experience with low\-level performance optimization, such as custom CUDA kernel development or using Triton Language, is a plus.
* Experience with data infrastructure technologies (e.g., Kafka, Spark, Flink) is great to have.
* Familiarity with CI/CD pipelines and automation tools (e.g., Jenkins, GitLab CI, Tekton) is a plus.
**Additional Information**
**The Team**
 Our Prisma AIRS team is a group of highly motivated and innovative engineers and researchers dedicated to solving the most challenging problems in AI security. We thrive in a collaborative environment where we value creativity, ownership, and a commitment to excellence. You will have the opportunity to work with cutting\-edge technology and make a significant impact on the future of cybersecurity.
**Compensation Disclosure**
 The compensation offered for this position will depend on qualifications, experience, and work location. For candidates who receive an offer at the posted level, the starting base salary (for non\-sales roles) or base salary \+ commission target (for sales/commissioned roles) is expected to be between $185,200 \- $299,450/YR. The offered compensation may also include restricted stock units and a bonus. A description of our employee benefits may be found here.
**Our Commitment**
 We’re problem solvers that take risks and challenge cybersecurity’s status quo. It’s simple: we can’t accomplish our mission without diverse teams innovating, together.
 We are committed to providing reasonable accommodations for all qualified individuals with a disability. If you require assistance or accommodation due to a disability or special need, please contact us at accommodations@paloaltonetworks.com.
 Palo Alto Networks is an equal opportunity employer. We celebrate diversity in our workplace, and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other legally protected characteristics.
 All your information will be kept confidential according to EEO guidelines.
 Is role eligible for Immigration Sponsorship?: Yes</t>
        </is>
      </c>
    </row>
    <row r="32">
      <c r="A32" t="inlineStr">
        <is>
          <t>li-4362745299</t>
        </is>
      </c>
      <c r="B32" t="inlineStr">
        <is>
          <t>Senior Data Scientist</t>
        </is>
      </c>
      <c r="C32" t="inlineStr">
        <is>
          <t>SteerBridge</t>
        </is>
      </c>
      <c r="D32" t="inlineStr">
        <is>
          <t>linkedin</t>
        </is>
      </c>
      <c r="E32">
        <f>HYPERLINK("https://www.linkedin.com/jobs/view/4362745299", "https://www.linkedin.com/jobs/view/4362745299")</f>
        <v/>
      </c>
      <c r="F32" t="inlineStr"/>
      <c r="G32" t="inlineStr">
        <is>
          <t>Vienna, VA</t>
        </is>
      </c>
      <c r="H32" t="inlineStr"/>
      <c r="I32" t="inlineStr">
        <is>
          <t>SteerBridge Strategies is a CVE\-Verified Service\-Disabled, Veteran\-Owned Small Business (SDVOSB) delivering a broad spectrum of professional services to the U.S. Government and private sector. Backed by decades of hands\-on experience in federal acquisition and procurement, we provide agile, best\-in\-class commercial solutions that drive mission success.
 Our strength lies in our people—especially the veterans whose leadership, discipline, and dedication shape everything we do. At SteerBridge, we don’t just hire talent—we empower it, creating meaningful career paths for those who have served and those who share our commitment to excellence.
 SteerBridge is looking for a Data Scientist to evaluate multi\-dimensional USMC C130 global supplychain and operational data to construct and maintain predictive models. Candidates must befamiliar with multiple types of data models including, but not limited to, generalized linearand multilinear regression, logistic and multinomial regression, and time series analysis.Candidates must have hand\-on experience with supervised (classification, regression)and unsupervised learning (clustering, dimension reduction).The Data Scientist must be prepared to dive deep into disparate data from multiple sources inmultiple formats in order to integrate and evaluate to determine the most appropriate modelingapproach. The Data Scientist will be responsible for leading end\-to\-end analytical models anddata science framing activities, including but not limited to working with partners to identify fields,data provenance and integration, data quality assessments, and documentation of dataprocesses and models.The Data Scientist must be able to review and understand large sets of data while being able tohighlight relevant trends and patterns. The ideal candidate is a quick learner, curious, innovative,results\-oriented and has strong interpersonal skills.Benefits
* Health insurance
* Dental insurance
* Vision insurance
* Life Insurance
* 401(k) Retirement Plan with matching
* Paid Time Off
* Paid Federal Holidays
 Qualifications
* Must be a U.S. Citizen.
* MSc or PhD degree in applied mathematics, statistics, or relevant work experience.
* An active security clearance or the ability to obtain one is required.
* Collaborate with various stakeholders to understand requirements and translate those requirements into data science solutions.
* Provide guidance on best practices and industry standards across data science and analytics, data visualization, and share expertise to improve technical capabilities of the team.
* Design, develop, and integrate templates, data, and models for repeatability.
* Develop and implement data quality assurance and management protocols.
* Create, maintain, and organize technical documentation for all data collection, cleaning, and analyses.
 Required and Preferred Skillsets
* Must be familiar with multiple types of data models including, but not limited to, generalized linear and multilinear regression, logistic and multinomial regression, and time series analysis.
* Must have hand\-on experience with supervised (classification, regression) and unsupervised learning (clustering, dimension reduction).
* 7\+ years of experience evaluating relationships in data using statistical modeling and leveraging analytics tools.
* 7\+ years of experience in advanced Classification and Regression modeling.
* 7\+ years of professional proficiency using R, or Python for data wrangling and model building.
* Experience in SQL or Spark SQL, and basic database design.
* Cloud project work using Google, AWS and/or Azure.
* Demonstrated high proficiency in statistical analysis and data visualization.
* Demonstrated high proficiency in data wrangling and documentation.
* Solid technical skills across a wide variety of tools and data platforms.
* Able to successfully prioritize and manage multiple project tasks simultaneously and complete them in a timely manner with a high degree of accuracy.
* Strong record of applied data analysis.
* Excellent writing and presentation skills with a successful track record of communicating complex concepts to diverse audiences.
* Aviation Background Required!
 Preferred:(Highly preferred) AWS or Google Cloud Professional or Specialty Certification or ability to obtain certification.Top Secret security clearance.Experience with supply chain management data systems and technology is desirable (e.g., ERP, Transportation Management and Warehouse Management systems).Experience supporting DoD and/or VA missions.Proficiency in integrating and interfacing with software development processes.Consulting experience.$137,000 \- $155,000 a yearA salary commensurate with background and experience will be offered.
 **SteerBridge Strategies is proud to be an Equal Opportunity Employer.** 
 We are committed to creating a diverse and inclusive workplace where all qualified applicants and employees are treated with respect and dignity—regardless of race, color, gender, age, religion, national origin, ancestry, disability, veteran status, genetic information, sexual orientation, or any other characteristic protected by law.We also provide reasonable accommodations for individuals with disabilities in accordance with applicable laws. If you require assistance during the application process, we encourage you to reach out so we can support your needs.We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
      <c r="A33" t="inlineStr">
        <is>
          <t>li-4362745096</t>
        </is>
      </c>
      <c r="B33" t="inlineStr">
        <is>
          <t>Senior Data Scientist</t>
        </is>
      </c>
      <c r="C33" t="inlineStr">
        <is>
          <t>Shipt</t>
        </is>
      </c>
      <c r="D33" t="inlineStr">
        <is>
          <t>linkedin</t>
        </is>
      </c>
      <c r="E33">
        <f>HYPERLINK("https://www.linkedin.com/jobs/view/4362745096", "https://www.linkedin.com/jobs/view/4362745096")</f>
        <v/>
      </c>
      <c r="F33" t="inlineStr"/>
      <c r="G33" t="inlineStr">
        <is>
          <t>Minneapolis, MN</t>
        </is>
      </c>
      <c r="H33" t="inlineStr"/>
      <c r="I33" t="inlineStr">
        <is>
          <t>**Impact**
 As a Senior Data Scientist on the Marketplace Product Data Science team, you will collaborate closely with diverse teams (including product managers, engineers, and fellow data scientists) to advance our understanding of the customer, make predictions to improve our products and experiences, and design and measure experiments. Our ideal candidate will be data\-driven, intellectually curious, technically and statistically rigorous, and a clear communicator.
 In this role you will bring strong technical expertise and develop a thorough understanding of our data to drive insights in the areas of customer acquisition, engagement, retention, and loyalty through causal inference and experimentation methods. You will contribute to organizational maturity in data storytelling and best\-in\-class ML and statistical approaches and design product experiments to test business hypotheses, apply rigorous statistical analyses, and interpret the results to draw impactful insights.
****What You’ll Need to Be Successful****
* Advanced degree preferred in a quantitative field, and a minimum of 4 years of industry experience.
* Experience with exploratory data analysis, statistical analysis and testing, experiment design and model development, and knowledge of how to leverage these skills to solve complex business problems.
* Expertise in causal inference.
* Proficiency in programming languages (we use Python) and experience with data analysis and machine learning libraries (e.g. TensorFlow, PyTorch, Airflow, etc).
* Strong SQL skills (we use Snowflake).
* Experience with a data visualization tool (we use Tableau).
* Demonstrated ability to learn and embrace new technologies, applications, and solutions.
* Strong written and verbal communication skills and the ability to explain technical topics to data scientists, engineers, and business partners.
* Ability to work collaboratively in a dynamic, team\-based environment.
* Experience as a technical lead and a passion for mentoring.
**Skills \&amp; Education**
 This list includes key skills used in this job but is not inclusive of all skills needed for the role. Please see any required education below.
 Causal Inference, Data Analysis, Data Science, Tableau (Software)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34">
      <c r="A34" t="inlineStr">
        <is>
          <t>li-4359108533</t>
        </is>
      </c>
      <c r="B34" t="inlineStr">
        <is>
          <t>Senior Marketing Data Scientist</t>
        </is>
      </c>
      <c r="C34" t="inlineStr">
        <is>
          <t>Apple</t>
        </is>
      </c>
      <c r="D34" t="inlineStr">
        <is>
          <t>linkedin</t>
        </is>
      </c>
      <c r="E34">
        <f>HYPERLINK("https://www.linkedin.com/jobs/view/4359108533", "https://www.linkedin.com/jobs/view/4359108533")</f>
        <v/>
      </c>
      <c r="F34" t="inlineStr"/>
      <c r="G34" t="inlineStr">
        <is>
          <t>Culver City, CA</t>
        </is>
      </c>
      <c r="H34" t="inlineStr"/>
      <c r="I34" t="inlineStr">
        <is>
          <t>**Summary**
 At Apple, our Services help hundreds of millions of people get the most from the devices they love—whether through award\-winning shows and movies, music in spatial audio, engaging workouts and meditations, amazing apps, or fun games.nnThe Apple Media Products Data Science u0026 Analytics team is dedicated to uncovering meaningful insights and building data\-powered solutions that enhance our services and support business growth—while honoring Apple’s deep commitment to user privacy.nnWe are seeking a Senior Marketing Data Scientist to help evolve our marketing strategies across Apple Services through the use of attribution, causal inference, testing, and predictive modeling. You’ll play a pivotal role in understanding and improving how we engage customers, working with large\-scale data in collaboration with partners across Business, Marketing, Product, and Engineering.nnThis is a unique opportunity to influence the future of marketing at Apple through innovative, customer\-first approaches—and to do it in a supportive, growth\-minded environment that values diverse perspectives and inclusive collaboration.
**Description**
 Collaborate with cross\-functional teams (Business, Engineering, Product, and Marketing) to define key metrics, data requirements, and models for analysis, experimentation, and reporting.nnInvestigate large\-scale datasets to identify trends, measure impact, and generate insights that improve marketing strategies.nnDevelop attribution methodologies and frameworks to assess the effectiveness of campaigns across channels.nnDesign and build datasets, reports, and dashboards to monitor campaign and channel performance at scale.nnConduct ad\-hoc analyses to support major initiatives and campaigns.nnHelp shape marketing campaign touchpoints and customer journey strategies to deepen engagement.nnBuild predictive models, including LTV and propensity models, to support campaign optimization and audience targeting.nnEvaluate the incremental impact of marketing efforts using causal inference and testing methodologies.nnExplore how emerging technologies, such as generative AI, can be applied to create business value.nnCommunicate insights and strategic recommendations to Marketing, Business, Finance, and Executive stakeholders.nnPartner with teams across Apple to support responsible data collection, governance, and access.
**Minimum Qualifications**
 8\+ years of experience as a Data Scientist or Analyst in marketing, media, subscription, or tech environments, with a proven track record of campaign measurement and optimization.nStrong proficiency in SQL and at least one programming language such as Python or R; experienced in building analytical datasets and pipelines using large\-scale structured and unstructured data.nApplied expertise in statistical and experimental techniques including A/B testing, regression, clustering, survival analysis, and causal inference.nDemonstrated ability to translate complex data into clear, actionable business insights for cross\-functional stakeholders.nBachelor’s degree in a quantitative field (e.g., Computer Science, Statistics, Economics) or equivalent professional experience.
**Preferred Qualifications**
 Experience in a digital subscription or large\-scale e\-commerce businessnDeep understanding of marketing effectiveness measurement, particularly through causal inference methods.nMaster’s or Ph.D. in a quantitative field is a plus, but not required.
**Pay \&amp; Benefits**
 At Apple, base pay is one part of our total compensation package and is determined within a range. This provides the opportunity to progress as you grow and develop within a role. The base pay range for this role is between $163,300 and $290,100,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5">
      <c r="A35" t="inlineStr">
        <is>
          <t>li-4362729185</t>
        </is>
      </c>
      <c r="B35" t="inlineStr">
        <is>
          <t>Data Scientist II</t>
        </is>
      </c>
      <c r="C35" t="inlineStr">
        <is>
          <t>American Equity</t>
        </is>
      </c>
      <c r="D35" t="inlineStr">
        <is>
          <t>linkedin</t>
        </is>
      </c>
      <c r="E35">
        <f>HYPERLINK("https://www.linkedin.com/jobs/view/4362729185", "https://www.linkedin.com/jobs/view/4362729185")</f>
        <v/>
      </c>
      <c r="F35" t="inlineStr"/>
      <c r="G35" t="inlineStr">
        <is>
          <t>West Des Moines, IA</t>
        </is>
      </c>
      <c r="H35" t="inlineStr"/>
      <c r="I35" t="inlineStr">
        <is>
          <t>At American Equity we offer leading annuity products that help empower our clients to fulfill their needs and wants in retirement. Our success comes from hiring high\-energy individuals who embody the beliefs that drive our unique culture. We currently fund over half a million retirements nationwide, and have been headquartered in West Des Moines, Iowa, for over twenty\-five years with satellite offices in Charlotte, NC and New York, NY.
**General Purpose Of The Job**
 The Data Scientist II, as a member of the Data Science team within IT Sales Technology, applies their skills in artificial intelligence, machine learning, advanced analytics, statistical analysis and programming to develop data\-driven solutions to support corporate initiatives. This role uses large and disparate data sets, advanced analytical techniques and machine learning to build and analyze models that predict the best course of action to impact business results. He/she collaborates with business partners to define the technical problem statement, develop efficient and accurate analytical models and incorporate them into analytical data products or tools with the support of a cross\-functional team.
* Position sits in Des Moines and will work an onsite schedule\*\*
**Essential Duties And Responsibilities**
* Works within a Center of Excellence (COE) model for supporting business enablement by leveraging company data to drive decisions.
* Provides subject matter expertise in advanced analytics across variety of techniques, including data aggregation, statistical modeling, predictive modeling and machine learning.
* Leads, executes and analyzes complex data related analytical projects that drive business decisions and efficiencies.
* Creates repeatable, interpretable, dynamic and scalable models that are seamlessly incorporated into analytic data products.
* Collaborates with business partners to develop novel ways to meet objectives utilizing data, cutting edge techniques, and tools .
* Effectively communicates the analytics approach and how it will meet and address objectives to business partners .
* Identifies and develop long\-term processes, frameworks, tools, methods and standards.
* Shares passion for data science with the broader enterprise community.
* Uplifts the capabilities of the Data Science team through collaboration and coaching.
* Ensures adherence to data management and data governance policies and standards.
* Works with a wide range of stakeholders and functional teams and utilizes passion for providing data\-driven insights to improve business outcomes.
* Performs other related duties as assigned.
**Supervisory Responsibilities**
**Direct Reports:** 
 None
**General Description of Indirect Reports (2 and 3\-downs** 
 ): None
**Education And/Or Experience**
 Bachelor’s degree in a quantitative field such as statistics, mathematics, computer science, data science OR Graduate degree in a quantitative discipline and demonstrated Data Science skill set; plus, three (3\) years of progressively responsible related experience; or equivalent combination of education and/or experience.
 Strong experience with writing advanced SQL queries, feature engineering, data analysis, data tools, building prototypes, deploying and maintaining production models, using and creating algorithms and creating simulations.
**CERTIFICATES, LICENSES, PROFESSIONAL DESIGNATIONS** 
**:** 
 N/A
**Knowledge, Skills And Abilities**
* Experienced using statistical computer languages such as Python/R.
* Knowledge and experience in statistical and machine learning techniques including GLM/Regression, Random Forest, Boosting, Trees, text mining, social network analysis, etc.
* Experience writing advanced SQL to query databases.
* Experience creating and using advanced machine learning algorithms and statistics including regression, classification, anomaly detection, simulation, scenario analysis, modeling, clustering, decision trees, neural networks, etc. on large data sets.
* Experience merging and transforming disparate internal \&amp; external data sets together.
* Experience with Big Data technologies such as Hadoop, Spark, H20\.ai, Cloud AI platforms, containerization.
* Experience visualizing data for business stakeholders using tools such as Tableau (preferred), Power BI, MicroStrategy, Domo, Qlik.
* Experience with ML Ops best practices for deployment, monitoring, maintenance and enhancement of models.
* Participate in Data Science code reviews, lead machine learning code reviews.
* Strong customer service orientation and ability to build strong relationships across the Business.
* Strong organizational and planning skills.
* Excellent communication skills and ability to effectively present information to stakeholders and respond to questions.
* Ability to successfully handle pressure and meet deadlines in a fast\-paced work environment.
 \_\_\_
*This description covers the major purpose and essential functions of the job. It is not intended to give all details or a step\-by\-step account of the way each task is to be performed. Employees may receive other job related instructions and be required to perform other job related work requested by their manager. All requirements are subject to possible modification to provide reasonable accommodation to qualified individuals with disabilities* 
*.*
 At American Equity, our core values—
 **E** 
 mpowered,
 **P** 
 assion,
 **I** 
 ntegrity, and
 **C** 
 aring—are more than words. They guide how we support one another and how we serve our clients every day. To learn more about American Equity, our culture, and our values, visit the Careers site.
 Iowa Best Companies to Work for 2025 \| Top Workplaces
 For more information about how your information is processed, please click on the Privacy tab at the bottom of the page and then click on the Applicant Privacy Policy.</t>
        </is>
      </c>
    </row>
    <row r="36">
      <c r="A36" t="inlineStr">
        <is>
          <t>li-4361517935</t>
        </is>
      </c>
      <c r="B36" t="inlineStr">
        <is>
          <t>Data Scientist (Contractor)</t>
        </is>
      </c>
      <c r="C36" t="inlineStr">
        <is>
          <t>Tech Holding</t>
        </is>
      </c>
      <c r="D36" t="inlineStr">
        <is>
          <t>linkedin</t>
        </is>
      </c>
      <c r="E36">
        <f>HYPERLINK("https://www.linkedin.com/jobs/view/4361517935", "https://www.linkedin.com/jobs/view/4361517935")</f>
        <v/>
      </c>
      <c r="F36">
        <f>HYPERLINK("https://job-boards.greenhouse.io/techholding/jobs/4648826005?gh_src=6043fa045us&amp;urlHash=cr37", "https://job-boards.greenhouse.io/techholding/jobs/4648826005?gh_src=6043fa045us&amp;urlHash=cr37")</f>
        <v/>
      </c>
      <c r="G36" t="inlineStr"/>
      <c r="H36" t="inlineStr"/>
      <c r="I36" t="inlineStr">
        <is>
          <t>**About us:**
 Working at Tech Holding isn't just a job, it's an opportunity to be a part of something bigger. We are a full\-service consulting firm that was founded on the premise of delivering predictable outcomes and high\-quality solutions to our clients. Our founders and team members have industry experience and have held senior positions in a wide variety of companies – from emerging startups to large Fortune 50 firms – and we have taken our combined experiences and developed a unique approach that is supported by the principles of deep expertise, integrity, transparency, and dependability.
**The Role:**
 We are seeking an experienced Data Scientist, for a project based assignment, to join our team and help advance the mission of protecting organizations from narrative threats and influence operations. In this role, you will develop and refine machine learning models that detect disinformation campaigns, analyze large\-scale social media data, and uncover patterns of coordinated manipulation. You will work closely with the research, engineering, and product teams to transform complex data into actionable insights that power the Artemis platform.
**Key Responsibilities:**
* Design, develop, and deploy machine learning models for detecting disinformation, bot networks, and coordinated influence operations across social media platforms
* Analyze large\-scale, multi\-source datasets to identify emerging narrative threats and patterns of manipulation
* Build and improve NLP pipelines for content analysis, sentiment detection, and entity recognition
* Collaborate with engineering teams to integrate models into production systems and ensure scalability
* Partner with research analysts to translate findings into client\-facing intelligence products
* Stay current with the latest developments in AI/ML, particularly in NLP, graph analysis, and anomaly detection
* Contribute to research publications and thought leadership on disinformation detection methodologies
**Requirements:**
* 5\+ years of experience in data science, machine learning, or a related quantitative field
* Strong proficiency in Python and ML frameworks (e.g., PyTorch, TensorFlow, scikit\-learn)
* Excellent communication skills with the ability to present complex findings to technical and non\-technical audiences
* Deep expertise in natural language processing (NLP) and text classification techniques
* Experience working with large\-scale data processing tools (e.g., Spark, Hadoop, or cloud\-based solutions)
* Familiarity with social media data, network analysis, or graph\-based methods
* Strong statistical foundation and experience with experimental design
* Bachelor's or advanced degree in Computer Science, Statistics, Data Science, or a related field
**Preferred Qualifications:**
* Experience in cybersecurity, threat intelligence, or information integrity domains
* Background in detecting bots, spam, or malicious online behavior
* Familiarity with LLMs and generative AI, particularly for detection applications
* Experience with real\-time data streaming and analysis
* Published research in relevant academic venues
**What we offer:**
* Remote Work Opportunities
* Flexible Work Hours
* Professional Development Opportunities
 Employment type:
* Corp to corp (C2C) preferred or contract
 Tech Holding is proud to be an Equal Opportunity Employer and is committed to fostering a diverse and inclusive workplace. We welcome applicants from all backgrounds and experiences, and we consider qualified applicants without regard to race, color, religion, gender, sexual orientation, gender identity, national origin, disability, veteran status, or any other legally protected characteristic. If you require accommodation in the application process, please contact our HR</t>
        </is>
      </c>
    </row>
    <row r="37">
      <c r="A37" t="inlineStr">
        <is>
          <t>li-4359190063</t>
        </is>
      </c>
      <c r="B37" t="inlineStr">
        <is>
          <t>Senior Data Scientist - Special Projects</t>
        </is>
      </c>
      <c r="C37" t="inlineStr">
        <is>
          <t>Apple</t>
        </is>
      </c>
      <c r="D37" t="inlineStr">
        <is>
          <t>linkedin</t>
        </is>
      </c>
      <c r="E37">
        <f>HYPERLINK("https://www.linkedin.com/jobs/view/4359190063", "https://www.linkedin.com/jobs/view/4359190063")</f>
        <v/>
      </c>
      <c r="F37">
        <f>HYPERLINK("https://jobs.apple.com/en-us/details/200635648&amp;urlHash=4bDT", "https://jobs.apple.com/en-us/details/200635648&amp;urlHash=4bDT")</f>
        <v/>
      </c>
      <c r="G37" t="inlineStr">
        <is>
          <t>Cupertino, CA</t>
        </is>
      </c>
      <c r="H37" t="inlineStr"/>
      <c r="I37" t="inlineStr">
        <is>
          <t>**Summary**
 Apple’s intelligent systems generate rich, multi\-modal data from devices, sensors, software, and services. We’re looking for a data scientist who can bring clarity to this complexity — someone who can analyze diverse datasets, surface meaningful insights, and design intuitive tools that help teams understand and improve the intelligence behind Apple products.nnYou’ll work across the full data lifecycle: discovering signals in large\-scale distributed logs, building search and retrieval mechanisms to make data accessible, and crafting interactive visualizations and evaluations that guide product direction and system performance.
**Description**
 Our team works at the intersection of hardware, software, and intelligence. We design the systems, infrastructure, and tools that enable Apple’s next generation of AI\-driven experiences — from on\-device middleware and distributed inference platforms to large\-scale data pipelines, interactive analytics, and advanced developer tooling. We collaborate closely with hardware, robotics, ML, design, and platform teams to build end\-to\-end solutions that are performant, intuitive, and deeply integrated into Apple’s ecosystem. The work is hands\-on, highly cross\-disciplinary, and central to shaping how Apple’s intelligent systems evolve.
**Minimum Qualifications**
 Proven experience in data science, analytics engineering, or applied research rolesnStrong proficiency in Python and common data analysis librariesnExpertise with data visualization tools or frameworks for building interactive dashboardsnExperience querying and modeling data in SQL and NoSQL environmentsnAbility to analyze large\-scale, high\-dimensional, and multi\-modal datasetsnFamiliarity with designing or using search and retrieval systems for large\-scale datanExperience designing KPIs, evaluation metrics, or experiment analyses for complex systemsnStrong statistical intuition and experience with exploratory data analysis and hypothesis testingnAbility to translate complex findings into clear, actionable insights for cross\-functional teamsnBachelor’s or Master’s degree in Data Science, Computer Science, Applied Mathematics, or related field, and 5\+ years of industry experience
**Preferred Qualifications**
 Experience working with data from distributed or real\-time systems, robotics, or multi\-modal AInFamiliarity with information retrieval techniques (ranking, embedding\-based search, relevance modeling)nExperience collaborating with ML teams on evaluation methodologies, dataset design, or model diagnosticsnKnowledge of metadata management systems, cataloging approaches, or data documentation strategiesnBackground in statistical modeling, time\-series analysis, or anomaly detectionnExperience with visualization frameworks used for large datasetsnUnderstanding of cloud\-scale data processing and distributed compute frameworks
**Pay \&amp; Benefits**
 At Apple, base pay is one part of our total compensation package and is determined within a range. This provides the opportunity to progress as you grow and develop within a role. The base pay range for this role is between $141,800 and $258,600,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38">
      <c r="A38" t="inlineStr">
        <is>
          <t>li-4362709377</t>
        </is>
      </c>
      <c r="B38" t="inlineStr">
        <is>
          <t>Data Scientist</t>
        </is>
      </c>
      <c r="C38" t="inlineStr">
        <is>
          <t>Veros Credit</t>
        </is>
      </c>
      <c r="D38" t="inlineStr">
        <is>
          <t>linkedin</t>
        </is>
      </c>
      <c r="E38">
        <f>HYPERLINK("https://www.linkedin.com/jobs/view/4362709377", "https://www.linkedin.com/jobs/view/4362709377")</f>
        <v/>
      </c>
      <c r="F38" t="inlineStr"/>
      <c r="G38" t="inlineStr">
        <is>
          <t>Santa Ana, CA</t>
        </is>
      </c>
      <c r="H38" t="inlineStr"/>
      <c r="I38" t="inlineStr">
        <is>
          <t>**About Us** 
**Veros Credit** 
 is committed to making vehicle ownership possible for everyone. Through our vast network of independent and franchise dealers, we have helped countless customers with their financing needs, allowing them to drive off in the vehicle they deserve.
 We realize that our greatest assets are our employees, which is why we strive to make work welcoming and fun but offer limitless opportunities for growth and advancement. At Veros Credit, you can look forward to company events, free meals quarterly, holiday activities, and more. You will be greeted by friendly, positive, and ambitious team members, and work alongside leaders who encourage and value your new ideas. We are proud to say that it is this sense of community that makes us excited to walk through the door every day.
**Some of our benefit offerings include:** 
* Medical, Dental, and Vision Insurance
* Life Insurance
* Flexible Spending Accounts (FSA)
* Accident, Hospital, Indemnity Insurance
* Short Term Disability (STD) and Long\-Term Disability (LTD) Insurance
* Employee Assistance Program (EAP)
* 401(k) Plan
* Employee Stock Ownership Plan (ESOP)
* Tuition Reimbursement
* Paid Holidays
* Paid Time Off (PTO)
* Transportation Reimbursement Benefit (Mass Transit, Carpool, and Plug\-In Electric Vehicle)
* Referral Bonus
* Quarterly lunches
* Daily fresh fruit
* Office Starbucks Coffee/Latte/Espresso Machine
* And a lot more!
**About The Position** 
 The
 **Data Scientist** 
 will be part of a team responsible for creating ML solutions and analysis to help mitigate portfolio risk. You will perform and implement the results of analysis into our decisioning API. The ideal candidate will have 1 to 3 years of experience in the financial services sector, with hands on demonstrable experience in machine learning and working in cloud environments.
**Essential Responsibilities:** 
* Perform advanced data and statistical analysis in support of the creation and maintenance of performance scorecards.
* Support the Credit Risk Management team in data analysis and model construction.
* 1\+ years of experience with designing, building, and deploying scalable, highly available, and fault tolerant systems in a cloud environment.
* Manage, maintain, and improve our decisioning application on AWS
* Develop and integrate model strategy to support business initiatives and risk\-based pricing.
* Perform data manipulation and analysis using SQL, R or Python and Microsoft Excel.
* Develop Machine Learning models in areas such as segmentation analysis, logistic regression, decision trees and other advanced algorithms.
* Incorporate observations and data into existing models to improve predictive results.
* Identify deviations from forecast/expectations and explain variances.
* Contribute to loss forecasts, demographic and credit limit utilization analysis.
* Prepare exhibits and supporting materials.
* Develop recommendations for credit policy.
* Track portfolio performance and risk strategy results.
* Identify opportunities to leverage statistical solutions to solve business problems.
* Other duties as assigned.
**Essential Requirements:** 
* Familiarity with Python machine learning frameworks and tools.
* Experience in Consumer Lending a plus (Auto Finance, Mortgage, Credit Cards, Personal Lending, etc.)
* Strong SQL skills for data extraction and analysis
* Proficiency with Microsoft Excel
* Exposure to software development methodologies like using GIT and understanding of how APIs work.
* Ability to utilize analytics in a collaborative manner across business functions and product lines to derive optimum solutions.
* Strong communication and problem\-solving skills with the ability to interact with others in a professional, tactful, and sensitive manner.
* Demonstrated ability to communicate technical concepts to a non\-technical audience.
* Demonstrated ability to manipulate and analyze data across large databases.
* Detail oriented and organized with a strong work ethic and team focus.
* Ability to work in a fast\-paced environment, both independently and as part of a team with the ability to work under tight deadlines and manage more than one assignment at a time.
* Advanced Degree in Mathematics, Statistics, Computer Science, Quantitative Analysis or equivalent work experience.
* Knowledge of A/B testing and other experimental design methodologies.
**Salary:** 
 $95,000\.00 \- $115,000\.00 annually \+ Bonus
**\*\*In\-office position based at our Corporate Office in Santa Ana, CA. Candidates must reside within 20 miles of this location. \*\* We do not offer employment sponsorship.** 
 Veros Credit, LLC is an equal opportunity employer.
 \*\*This Organization Participates in E\-Verify</t>
        </is>
      </c>
    </row>
    <row r="39">
      <c r="A39" t="inlineStr">
        <is>
          <t>li-4362950814</t>
        </is>
      </c>
      <c r="B39" t="inlineStr">
        <is>
          <t>Data Scientist</t>
        </is>
      </c>
      <c r="C39" t="inlineStr">
        <is>
          <t>Harnham</t>
        </is>
      </c>
      <c r="D39" t="inlineStr">
        <is>
          <t>linkedin</t>
        </is>
      </c>
      <c r="E39">
        <f>HYPERLINK("https://www.linkedin.com/jobs/view/4362950814", "https://www.linkedin.com/jobs/view/4362950814")</f>
        <v/>
      </c>
      <c r="F39" t="inlineStr"/>
      <c r="G39" t="inlineStr"/>
      <c r="H39" t="inlineStr"/>
      <c r="I39" t="inlineStr">
        <is>
          <t>**Senior Commercial Data Scientist – Consulting \| New York \| $150,000–$180,000** 
**Location:** 
 Midtown Manhattan (Hybrid)
**Salary:** 
**$150,000–$180,000** 
 \+bonus \+ benefits
**Industry:** 
 Revenue Growth Consulting
**Company:** 
 Confidential (via Harnham)
**The Opportunity** 
 Harnham is partnering with a
 **confidential consulting firm** 
 that helps global organizations drive revenue through advanced analytics. They’re expanding their client\-facing Data Science function and hiring a
 **Senior Commercial Data Scientist** 
 to join a high\-impact, high\-visibility team.
 This is not a back\-office DS role — you’ll sit directly with consulting teams, present to senior stakeholders, and build models that shape sales, marketing, and customer strategy.
**What You’ll Work On** 
* Predictive modeling \&amp; ML for revenue growth
* Customer health scoring \&amp; churn prediction
* Next\-best\-offer and spend forecasting
* ICP modeling \&amp; commercial segmentation
* Hands\-on technical delivery \+ mentoring junior DS associates
* Partnering with consultants in client meetings and strategy discussions
**Why This Role Stands Out** 
* **Client\-facing from day one** 
 — influence strategy, not just outputs
* **High technical depth** 
 — build and interpret ML models end\-to\-end
* **Strong career runway** 
 — opportunity to move into BD / pre\-sales support within \~12 months
* **Forward\-looking environment** 
 — expansion into AI/agentic solutions planned
* Collaborative, meritocratic consulting culture blending DS \+ commercial consulting
**Ideal Background** 
* 3–7 years in Data Science (commercial, consulting, or client\-facing preferred)
* Strong Python skills; ML modeling expertise
* Quant degree (Math, Stats, Econ, CS, etc.); Master’s a plus
* Experience leading junior analysts/associates
* Excellent communication \+ stakeholder skills
**Compensation \&amp; Setup** 
* **Base salary:** 
 $150,000–$180,000 (DOE)
* Bonus %
* Hybrid in NYC
* Full benefits package
**Interested?** 
 Apply directly or reach out to
 **Harnham** 
 for more details. This role offers a rare blend of deep technical ownership, client exposure, and strategic impact.</t>
        </is>
      </c>
    </row>
    <row r="40">
      <c r="A40" t="inlineStr">
        <is>
          <t>li-4362901163</t>
        </is>
      </c>
      <c r="B40" t="inlineStr">
        <is>
          <t>Senior Data Scientist</t>
        </is>
      </c>
      <c r="C40" t="inlineStr">
        <is>
          <t>Shipt</t>
        </is>
      </c>
      <c r="D40" t="inlineStr">
        <is>
          <t>linkedin</t>
        </is>
      </c>
      <c r="E40">
        <f>HYPERLINK("https://www.linkedin.com/jobs/view/4362901163", "https://www.linkedin.com/jobs/view/4362901163")</f>
        <v/>
      </c>
      <c r="F40" t="inlineStr"/>
      <c r="G40" t="inlineStr">
        <is>
          <t>Florida, United States</t>
        </is>
      </c>
      <c r="H40" t="inlineStr"/>
      <c r="I40" t="inlineStr">
        <is>
          <t>**Impact**
 As a Senior Data Scientist on the Marketplace Product Data Science team, you will collaborate closely with diverse teams (including product managers, engineers, and fellow data scientists) to advance our understanding of the customer, make predictions to improve our products and experiences, and design and measure experiments. Our ideal candidate will be data\-driven, intellectually curious, technically and statistically rigorous, and a clear communicator.
 In this role you will bring strong technical expertise and develop a thorough understanding of our data to drive insights in the areas of customer acquisition, engagement, retention, and loyalty through causal inference and experimentation methods. You will contribute to organizational maturity in data storytelling and best\-in\-class ML and statistical approaches and design product experiments to test business hypotheses, apply rigorous statistical analyses, and interpret the results to draw impactful insights.
****What You’ll Need to Be Successful****
* Advanced degree preferred in a quantitative field, and a minimum of 4 years of industry experience.
* Experience with exploratory data analysis, statistical analysis and testing, experiment design and model development, and knowledge of how to leverage these skills to solve complex business problems.
* Expertise in causal inference.
* Proficiency in programming languages (we use Python) and experience with data analysis and machine learning libraries (e.g. TensorFlow, PyTorch, Airflow, etc).
* Strong SQL skills (we use Snowflake).
* Experience with a data visualization tool (we use Tableau).
* Demonstrated ability to learn and embrace new technologies, applications, and solutions.
* Strong written and verbal communication skills and the ability to explain technical topics to data scientists, engineers, and business partners.
* Ability to work collaboratively in a dynamic, team\-based environment.
* Experience as a technical lead and a passion for mentoring.
**Skills \&amp; Education**
 This list includes key skills used in this job but is not inclusive of all skills needed for the role. Please see any required education below.
 Causal Inference, Data Analysis, Data Science, Tableau (Software)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41">
      <c r="A41" t="inlineStr">
        <is>
          <t>li-4360764017</t>
        </is>
      </c>
      <c r="B41" t="inlineStr">
        <is>
          <t>Data Scientist</t>
        </is>
      </c>
      <c r="C41" t="inlineStr">
        <is>
          <t>Venteon</t>
        </is>
      </c>
      <c r="D41" t="inlineStr">
        <is>
          <t>linkedin</t>
        </is>
      </c>
      <c r="E41">
        <f>HYPERLINK("https://www.linkedin.com/jobs/view/4360764017", "https://www.linkedin.com/jobs/view/4360764017")</f>
        <v/>
      </c>
      <c r="F41" t="inlineStr"/>
      <c r="G41" t="inlineStr"/>
      <c r="H41" t="inlineStr"/>
      <c r="I41" t="inlineStr">
        <is>
          <t>**SUMMARY** 
 Our client, a fast\-growing and innovative organization, is expanding its data and analytics team and seeking a
 **Data Scientist** 
 to build predictive models, uncover insights, and drive data\-informed decisions. This role partners with leadership and cross\-functional teams to turn complex datasets into actionable intelligence that supports efficiency and growth.
**ESSENTIAL DUTIES \&amp; RESPONSIBILITIES** 
 • Design, develop, and implement data\-driven solutions using machine learning, statistics, and advanced analytics.
 • Identify business opportunities through data analysis and optimization.
 • Build, test, and validate predictive models and algorithms.
 • Conduct A/B tests and evaluate model performance.
 • Create reports, dashboards, and visualizations to communicate insights.
 • Collaborate across teams to deploy and monitor models in production.
 • Explore new data sources, tools, and technologies to improve capabilities.
**EDUCATION \&amp; EXPERIENCE** 
 • Bachelor’s in Data Science, Computer Science, Statistics, Math, Engineering, or related field.
 • 5\+ years of experience in data analysis, machine learning, or statistical modeling.
 • Skilled in Python, R, MATLAB, SQL, Power BI, or Tableau.
 • Experience with large datasets and data platforms (Hadoop, SAS, Teradata, etc.).
 • Strong analytical, communication, and collaboration skills.
 • Candidates must be based in the Metro Detroit area; sponsorship is not available for this role.</t>
        </is>
      </c>
    </row>
    <row r="42">
      <c r="A42" t="inlineStr">
        <is>
          <t>li-4362717376</t>
        </is>
      </c>
      <c r="B42" t="inlineStr">
        <is>
          <t>Senior Data Scientist</t>
        </is>
      </c>
      <c r="C42" t="inlineStr">
        <is>
          <t>Shipt</t>
        </is>
      </c>
      <c r="D42" t="inlineStr">
        <is>
          <t>linkedin</t>
        </is>
      </c>
      <c r="E42">
        <f>HYPERLINK("https://www.linkedin.com/jobs/view/4362717376", "https://www.linkedin.com/jobs/view/4362717376")</f>
        <v/>
      </c>
      <c r="F42" t="inlineStr"/>
      <c r="G42" t="inlineStr">
        <is>
          <t>Wyoming, United States</t>
        </is>
      </c>
      <c r="H42" t="inlineStr"/>
      <c r="I42" t="inlineStr">
        <is>
          <t>**Impact**
 As a Senior Data Scientist on the Marketplace Product Data Science team, you will collaborate closely with diverse teams (including product managers, engineers, and fellow data scientists) to advance our understanding of the customer, make predictions to improve our products and experiences, and design and measure experiments. Our ideal candidate will be data\-driven, intellectually curious, technically and statistically rigorous, and a clear communicator.
 In this role you will bring strong technical expertise and develop a thorough understanding of our data to drive insights in the areas of customer acquisition, engagement, retention, and loyalty through causal inference and experimentation methods. You will contribute to organizational maturity in data storytelling and best\-in\-class ML and statistical approaches and design product experiments to test business hypotheses, apply rigorous statistical analyses, and interpret the results to draw impactful insights.
****What You’ll Need to Be Successful****
* Advanced degree preferred in a quantitative field, and a minimum of 4 years of industry experience.
* Experience with exploratory data analysis, statistical analysis and testing, experiment design and model development, and knowledge of how to leverage these skills to solve complex business problems.
* Expertise in causal inference.
* Proficiency in programming languages (we use Python) and experience with data analysis and machine learning libraries (e.g. TensorFlow, PyTorch, Airflow, etc).
* Strong SQL skills (we use Snowflake).
* Experience with a data visualization tool (we use Tableau).
* Demonstrated ability to learn and embrace new technologies, applications, and solutions.
* Strong written and verbal communication skills and the ability to explain technical topics to data scientists, engineers, and business partners.
* Ability to work collaboratively in a dynamic, team\-based environment.
* Experience as a technical lead and a passion for mentoring.
**Skills \&amp; Education**
 This list includes key skills used in this job but is not inclusive of all skills needed for the role. Please see any required education below.
 Causal Inference, Data Analysis, Data Science, Tableau (Software)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43">
      <c r="A43" t="inlineStr">
        <is>
          <t>li-4362469888</t>
        </is>
      </c>
      <c r="B43" t="inlineStr">
        <is>
          <t>Senior Data Scientist</t>
        </is>
      </c>
      <c r="C43" t="inlineStr">
        <is>
          <t>Shipt</t>
        </is>
      </c>
      <c r="D43" t="inlineStr">
        <is>
          <t>linkedin</t>
        </is>
      </c>
      <c r="E43">
        <f>HYPERLINK("https://www.linkedin.com/jobs/view/4362469888", "https://www.linkedin.com/jobs/view/4362469888")</f>
        <v/>
      </c>
      <c r="F43">
        <f>HYPERLINK("https://shipt.wd1.myworkdayjobs.com/Shipt_External/job/Minnesota/Senior-Data-Scientist_R4022?source=LinkedIn&amp;urlHash=sgwr", "https://shipt.wd1.myworkdayjobs.com/Shipt_External/job/Minnesota/Senior-Data-Scientist_R4022?source=LinkedIn&amp;urlHash=sgwr")</f>
        <v/>
      </c>
      <c r="G43" t="inlineStr">
        <is>
          <t>New Jersey, United States</t>
        </is>
      </c>
      <c r="H43" t="inlineStr"/>
      <c r="I43" t="inlineStr">
        <is>
          <t>**Impact**
 As a Senior Data Scientist on the Marketplace Product Data Science team, you will collaborate closely with diverse teams (including product managers, engineers, and fellow data scientists) to advance our understanding of the customer, make predictions to improve our products and experiences, and design and measure experiments. Our ideal candidate will be data\-driven, intellectually curious, technically and statistically rigorous, and a clear communicator.
 In this role you will bring strong technical expertise and develop a thorough understanding of our data to drive insights in the areas of customer acquisition, engagement, retention, and loyalty through causal inference and experimentation methods. You will contribute to organizational maturity in data storytelling and best\-in\-class ML and statistical approaches and design product experiments to test business hypotheses, apply rigorous statistical analyses, and interpret the results to draw impactful insights.
****What You’ll Need to Be Successful****
* Advanced degree preferred in a quantitative field, and a minimum of 4 years of industry experience.
* Experience with exploratory data analysis, statistical analysis and testing, experiment design and model development, and knowledge of how to leverage these skills to solve complex business problems.
* Expertise in causal inference.
* Proficiency in programming languages (we use Python) and experience with data analysis and machine learning libraries (e.g. TensorFlow, PyTorch, Airflow, etc).
* Strong SQL skills (we use Snowflake).
* Experience with a data visualization tool (we use Tableau).
* Demonstrated ability to learn and embrace new technologies, applications, and solutions.
* Strong written and verbal communication skills and the ability to explain technical topics to data scientists, engineers, and business partners.
* Ability to work collaboratively in a dynamic, team\-based environment.
* Experience as a technical lead and a passion for mentoring.
**Skills \&amp; Education**
 This list includes key skills used in this job but is not inclusive of all skills needed for the role. Please see any required education below.
 Causal Inference, Data Analysis, Data Science, Tableau (Software)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44">
      <c r="A44" t="inlineStr">
        <is>
          <t>li-4362708694</t>
        </is>
      </c>
      <c r="B44" t="inlineStr">
        <is>
          <t>Data Scientist</t>
        </is>
      </c>
      <c r="C44" t="inlineStr">
        <is>
          <t>Booz Allen Hamilton</t>
        </is>
      </c>
      <c r="D44" t="inlineStr">
        <is>
          <t>linkedin</t>
        </is>
      </c>
      <c r="E44">
        <f>HYPERLINK("https://www.linkedin.com/jobs/view/4362708694", "https://www.linkedin.com/jobs/view/4362708694")</f>
        <v/>
      </c>
      <c r="F44" t="inlineStr"/>
      <c r="G44" t="inlineStr">
        <is>
          <t>Alexandria, VA</t>
        </is>
      </c>
      <c r="H44" t="inlineStr"/>
      <c r="I44" t="inlineStr">
        <is>
          <t>**Job Number: R0232203**
 Data Scientist
**The Opportunity:**
 As a data scientist, you’re excited at the prospect of unlocking the secrets held by a data set, and you’re fascinated by the possibilities presented by IoT, machine learning, and artificial intelligence. In an increasingly connected world, massive amounts of structured and unstructured data open new opportunities. As a data scientist at Booz Allen, you can help turn these complex data sets into useful information to solve global challenges. Across private and public sectors—from fraud detection to cancer research to national intelligence—we need you to help find the answers in the data.
 On our team, you’ll use your analytical skills and data science knowledge to create real\-world impact. You’ll work closely with your clients to understand their questions and needs, and then dig into their data\-rich environments to find the pieces of their information puzzle. You’ll develop algorithms and systems and use the right combination of tools and frameworks to turn sets of disparate data points into objective answers to help clients make informed decisions. Ultimately, you’ll provide a deep understanding of the data, what it all means, and how it can be used.
 Work with us as we use data science for good.
 Join us. The world can’t wait.
**You Have:** 
* 2\+ years of experience with data exploration, data cleaning, data analysis, data visualization, or data mining
* 2\+ years of experience with statistical and general\-purpose programming languages for data analysis
* Experience analyzing structured and unstructured data sources
* Active TS/SCI clearance; willingness to take a polygraph exam
* Bachelor’s degree
**Nice If You Have:** 
* Experience with SQL and relational databases
* Experience building dashboards and data visualizations in Grafana or a similar tool, such as Tableau, Power BI, or Kibana
* TS/SCI clearance with a polygraph
* Master’s degree
**Clearance** 
**:**
 Applicants selected will be subject to a security investigation and may need to meet eligibility requirements for access to classified information; TS/SCI clearance is required.
**Compensation**
 At Booz Allen, we celebrate your contributions, provide you with opportunities and choices, and support your total well\-being. Our offerings include health, life, disability, financial, and retirement benefits, as well as paid leave, professional development, tuition assistance, work\-life programs, and dependent care. Our recognition awards program acknowledges employees for exceptional performance and superior demonstration of our values. Full\-time and part\-time employees working at least 20 hours a week on a regular basis are eligible to participate in Booz Allen’s benefit programs. Individuals that do not meet the threshold are only eligible for select offerings, not inclusive of health benefits. We encourage you to learn more about our total benefits by visiting the Resource page on our Careers site and reviewing Our Employee Benefits page.
 Salary at Booz Allen is determined by various factors, including but not limited to location, the individual’s particular combination of education, knowledge, skills, competencies, and experience, as well as contract\-specific affordability and organizational requirements. The projected compensation range for this position is $99,000\.00 to $225,000\.00 (annualized USD). The estimate displayed represents the typical salary range for this position and is just one component of Booz Allen’s total compensation package for employees. This posting will close within 90 days from the Posting Date.
**Identity Statement**
 As part of the application process, you are expected to be on camera during interviews and assessments. We reserve the right to take your picture to verify your identity and prevent fraud.
**Work Model**
 Our people\-first culture prioritizes the benefits of flexibility and collaboration, whether that happens in person or remotely.
* If this position is listed as remote or hybrid, you’ll periodically work from a Booz Allen or client site facility.
* If this position is listed as onsite, you’ll work with colleagues and clients in person, as needed for the specific role.
**Commitment to Non\-Discrimination**
 All qualified applicants will receive consideration for employment without regard to disability, status as a protected veteran or any other status protected by applicable federal, state, local, or international law.</t>
        </is>
      </c>
    </row>
    <row r="45">
      <c r="A45" t="inlineStr">
        <is>
          <t>li-4359078452</t>
        </is>
      </c>
      <c r="B45" t="inlineStr">
        <is>
          <t>AIML - Sr Data Scientist, Data and ML Innovation</t>
        </is>
      </c>
      <c r="C45" t="inlineStr">
        <is>
          <t>Apple</t>
        </is>
      </c>
      <c r="D45" t="inlineStr">
        <is>
          <t>linkedin</t>
        </is>
      </c>
      <c r="E45">
        <f>HYPERLINK("https://www.linkedin.com/jobs/view/4359078452", "https://www.linkedin.com/jobs/view/4359078452")</f>
        <v/>
      </c>
      <c r="F45" t="inlineStr"/>
      <c r="G45" t="inlineStr">
        <is>
          <t>Cupertino, CA</t>
        </is>
      </c>
      <c r="H45" t="inlineStr"/>
      <c r="I45" t="inlineStr">
        <is>
          <t>**Summary**
 We are a group of data scientists, partnering with ML researchers and engineers who develop foundation models that power Apple Intelligence features. We are pushing the boundaries of data science by developing novel techniques to evaluate the performance and capabilities of Foundational Models. In addition, we leverage data mining expertise to identify characteristics of training data that influence the performance of these models. If you are an accomplished data scientist, who wants to expand your influence in this fast evolving and exciting space of Generative AI, this is a great opportunity for you.
**Description**
 As a Sr Data Scientist partnering with ML Researchers, you will bring your inquisitive mind and outstanding technical skills to unlock insights about the drivers that improve effectiveness of foundation models. Some projects that you are likely to drive are:nn\- Assess existing foundation models evaluation techniques and improve them to suit Apple’s use cases. nn\- Studying loss patterns of models and attributing them to the drivers across the life cycle of model development from pre\-training to SFT to RL.nn\- Defining training data quality metrics and assessing quality of training data to ensure it positively impacts model performance.nn\- Driving interpretability of ablation studies, documenting takeaways and driving a hypothesis driven experimentation strategy.nn\- Building tools and automation process using LLMs to scale data science projects.
**Minimum Qualifications**
 5\+ years of data science experience demonstrating strong impact to product or model performance.nExperience developing evaluation sets and metrics for foundational model performance measurement and diagnostics.nProficiency with applying quantitative methods to structured u0026 unstructured data for exploratory data analysis, pattern recognition, insights generation, metrics development, and scaling analytical tools. nStrong programming skills in large scale data manipulation u0026 processing including SQL, Python u0026 Spark.nExperience leveraging LLMs in data science workflows. nMaster’s degree in a technical or quantitative field such as Statistics, Mathematics, Computer Science, Engineering, Economics or Physics.
**Preferred Qualifications**
 Deep understanding of foundation model training and development life cycle.nExperience with developing model evaluation simulation environments nExperience generating synthetic data for foundation model training.nExperience with prompt optimization for improving in context learning performance of LLMs.nBuilding and deploying end to end Data Science/ML pipelines. nPhD degree preferred.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6">
      <c r="A46" t="inlineStr">
        <is>
          <t>li-4359028633</t>
        </is>
      </c>
      <c r="B46" t="inlineStr">
        <is>
          <t>Senior Data Scientist, Apple Services Engineering</t>
        </is>
      </c>
      <c r="C46" t="inlineStr">
        <is>
          <t>Apple</t>
        </is>
      </c>
      <c r="D46" t="inlineStr">
        <is>
          <t>linkedin</t>
        </is>
      </c>
      <c r="E46">
        <f>HYPERLINK("https://www.linkedin.com/jobs/view/4359028633", "https://www.linkedin.com/jobs/view/4359028633")</f>
        <v/>
      </c>
      <c r="F46" t="inlineStr"/>
      <c r="G46" t="inlineStr">
        <is>
          <t>Cupertino, CA</t>
        </is>
      </c>
      <c r="H46" t="inlineStr"/>
      <c r="I46" t="inlineStr">
        <is>
          <t>**Summary**
 We are seeking an exceptional Senior Data Scientist to join our Experimentation Data Science team. In this role, you will lead the development of cutting\-edge statistical and causal inference methods, design and analyze large\-scale experiments on Apple Media products, and partner closely with cross\-functional teams to advance our strategic decision\-making. You will bring deep research expertise, strong technical acumen, and the ability to translate complex insights into practical business recommendations.nnThis is a high\-impact role for someone who thrives at the intersection of research, experimentation, and real\-world application—and who is passionate about shaping data science excellence at scale.
**Description**
 Conduct research and develop novel statistical and causal inference methodologies applicable to experimentation at scale.nPublish, present, and champion new techniques that push the boundaries of real\-world data science.nDesign, implement, and analyze A/B tests and quasi\-experiments across a variety of product, platform, and business domains.nApply advanced causal inference methods (e.g., matching, synthetic controls, IV, DiD, uplift modeling) to generate robust, reliable insights.nWork fluently with large\-scale data systems, including HDFS, Spark, Scala, and distributed computing frameworks.nDevelop and leverage modern data tooling to support fast, scalable experimentation.nBuild high\-quality data products using Python, R, and related open\-source tools.nClean, synthesize, and analyze complex datasets with rigor and efficiency.nTranslate ambiguous business questions into well\-structured analytical approaches and experimental designs.nDeliver clear, actionable recommendations that inform strategy and accelerate impact.nPresent complex analytical findings to technical and non\-technical audiences with clarity, precision, and confidence.nDevelop compelling presentations and visualizations that communicate insights effectively and drive decision\-making.nCollaborate with product managers, engineers, design teams, and other data scientists to scale experimentation and causal inference best practices across the organization.nMentor others, contribute to team standards, and model excellence in scientific rigor and collaboration.nDemonstrate a strong sense of ownership, accountability, and a passion for elevating experimentation science.nContinuously learn, explore new methods, and adapt to evolving technologies and business needs.
**Minimum Qualifications**
 PhD in Statistics, Computer Science, Economics, Mathematics, or a related quantitative discipline, with a strong publication record in top\-tier journals or conferences.nExtensive experience with advanced statistical methodology, experimentation frameworks, and causal inference techniques.nHands\-on expertise with big data ecosystems, including HDFS, Spark, and Scala.nProficiency in Python and/or R, with strong software engineering and data manipulation skills.nExceptional communication skills, with the ability to simplify complex topics and engage with stakeholders at all levels.nProven ability to translate business needs into scientific solutions, balancing rigor with practicality.nStrong presentation and data visualization skills (e.g., ggplot, matplotlib, Plotly, Shiny, dashboards, storytelling tools).
**Preferred Qualifications**
 A collaborative mindset, excellent organization, and a passion for scaling processes and sharing knowledge.nA growth\-oriented, curious, and adaptive approach to your work and the evolving data science landscape.
**Pay \&amp; Benefits**
 At Apple, base pay is one part of our total compensation package and is determined within a range. This provides the opportunity to progress as you grow and develop within a role. The base pay range for this role is between $172,100 and $305,600,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7">
      <c r="A47" t="inlineStr">
        <is>
          <t>li-4355198377</t>
        </is>
      </c>
      <c r="B47" t="inlineStr">
        <is>
          <t>Senior Applied ML Scientist – Generative Video</t>
        </is>
      </c>
      <c r="C47" t="inlineStr">
        <is>
          <t>Apple</t>
        </is>
      </c>
      <c r="D47" t="inlineStr">
        <is>
          <t>linkedin</t>
        </is>
      </c>
      <c r="E47">
        <f>HYPERLINK("https://www.linkedin.com/jobs/view/4355198377", "https://www.linkedin.com/jobs/view/4355198377")</f>
        <v/>
      </c>
      <c r="F47">
        <f>HYPERLINK("https://jobs.apple.com/en-us/details/200640381&amp;urlHash=acHT", "https://jobs.apple.com/en-us/details/200640381&amp;urlHash=acHT")</f>
        <v/>
      </c>
      <c r="G47" t="inlineStr">
        <is>
          <t>Cupertino, CA</t>
        </is>
      </c>
      <c r="H47" t="inlineStr"/>
      <c r="I47" t="inlineStr">
        <is>
          <t>**Summary**
 We are looking for a passionate Senior Applied ML Researcher to drive innovation in generative video modeling, with a strong focus on diffusion\-based methods and related generative features. In this role, you will research, design, and deploy models at the intersection of machine learning research and real\-world product impact.nYou will collaborate closely with research scientists, engineers, and product teams to find novel applications of generative AI capabilities to assist our creative user base. Your mission is to elevate the workflows of millions of creators by combining generative AI with Apple’s human\-centered design principles.n
**Description**
 Design and train state\-of\-the\-art generative video models, primarily based on diffusion, consistency, rectified flow, or related generative frameworksnExplore novel architectures for spatiotemporal modeling (e.g., 3D U\-Nets, DiT\-style Transformers, hybrid CNN\-Transformer models)nConduct experiments on long\-range temporal coherence, motion consistency, controllability, and multi\-modal conditioning (text, audio, images)n
**Minimum Qualifications**
 MS in Computer Science, Machine Learning, or a related field, or equivalent practical experiencen4\+ years of experience in deep learning for generative models, particularly diffusion\-based methodsnHands\-on experience in distributed training of large models using PyTorch (or equivalent frameworks)nSolid understanding of video representations, spatiotemporal modeling, and neural network optimization.nExperience designing u0026 training multi\-modal DiT\-style Transformers, latent diffusion, or multi\-stage video generation pipelinesnExperience design u0026 training adaptersnProven ability as a creative problem solvern
**Preferred Qualifications**
 PhD with research focused on generative modeling, diffusion models, or video understandingnExperience with text\-to\-video, image\-to\-video, or video\-to\-video generationnPublications in top\-tier ML conferences (e.g., NeurIPS, ICML, ICLR, CVPR, ICCV, ECCV, etc.)n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48">
      <c r="A48" t="inlineStr">
        <is>
          <t>li-4362489130</t>
        </is>
      </c>
      <c r="B48" t="inlineStr">
        <is>
          <t>Senior Data Scientist</t>
        </is>
      </c>
      <c r="C48" t="inlineStr">
        <is>
          <t>Shipt</t>
        </is>
      </c>
      <c r="D48" t="inlineStr">
        <is>
          <t>linkedin</t>
        </is>
      </c>
      <c r="E48">
        <f>HYPERLINK("https://www.linkedin.com/jobs/view/4362489130", "https://www.linkedin.com/jobs/view/4362489130")</f>
        <v/>
      </c>
      <c r="F48">
        <f>HYPERLINK("https://shipt.wd1.myworkdayjobs.com/Shipt_External/job/Minnesota/Senior-Data-Scientist_R4022?source=LinkedIn&amp;urlHash=sgwr", "https://shipt.wd1.myworkdayjobs.com/Shipt_External/job/Minnesota/Senior-Data-Scientist_R4022?source=LinkedIn&amp;urlHash=sgwr")</f>
        <v/>
      </c>
      <c r="G48" t="inlineStr">
        <is>
          <t>Ohio, United States</t>
        </is>
      </c>
      <c r="H48" t="inlineStr"/>
      <c r="I48" t="inlineStr">
        <is>
          <t>**Impact**
 As a Senior Data Scientist on the Marketplace Product Data Science team, you will collaborate closely with diverse teams (including product managers, engineers, and fellow data scientists) to advance our understanding of the customer, make predictions to improve our products and experiences, and design and measure experiments. Our ideal candidate will be data\-driven, intellectually curious, technically and statistically rigorous, and a clear communicator.
 In this role you will bring strong technical expertise and develop a thorough understanding of our data to drive insights in the areas of customer acquisition, engagement, retention, and loyalty through causal inference and experimentation methods. You will contribute to organizational maturity in data storytelling and best\-in\-class ML and statistical approaches and design product experiments to test business hypotheses, apply rigorous statistical analyses, and interpret the results to draw impactful insights.
****What You’ll Need to Be Successful****
* Advanced degree preferred in a quantitative field, and a minimum of 4 years of industry experience.
* Experience with exploratory data analysis, statistical analysis and testing, experiment design and model development, and knowledge of how to leverage these skills to solve complex business problems.
* Expertise in causal inference.
* Proficiency in programming languages (we use Python) and experience with data analysis and machine learning libraries (e.g. TensorFlow, PyTorch, Airflow, etc).
* Strong SQL skills (we use Snowflake).
* Experience with a data visualization tool (we use Tableau).
* Demonstrated ability to learn and embrace new technologies, applications, and solutions.
* Strong written and verbal communication skills and the ability to explain technical topics to data scientists, engineers, and business partners.
* Ability to work collaboratively in a dynamic, team\-based environment.
* Experience as a technical lead and a passion for mentoring.
**Skills \&amp; Education**
 This list includes key skills used in this job but is not inclusive of all skills needed for the role. Please see any required education below.
 Causal Inference, Data Analysis, Data Science, Tableau (Software)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49">
      <c r="A49" t="inlineStr">
        <is>
          <t>li-4362802966</t>
        </is>
      </c>
      <c r="B49" t="inlineStr">
        <is>
          <t>Senior Data Scientist</t>
        </is>
      </c>
      <c r="C49" t="inlineStr">
        <is>
          <t>Shipt</t>
        </is>
      </c>
      <c r="D49" t="inlineStr">
        <is>
          <t>linkedin</t>
        </is>
      </c>
      <c r="E49">
        <f>HYPERLINK("https://www.linkedin.com/jobs/view/4362802966", "https://www.linkedin.com/jobs/view/4362802966")</f>
        <v/>
      </c>
      <c r="F49" t="inlineStr"/>
      <c r="G49" t="inlineStr">
        <is>
          <t>Arkansas, United States</t>
        </is>
      </c>
      <c r="H49" t="inlineStr"/>
      <c r="I49" t="inlineStr">
        <is>
          <t>**Impact**
 As a Senior Data Scientist on the Marketplace Product Data Science team, you will collaborate closely with diverse teams (including product managers, engineers, and fellow data scientists) to advance our understanding of the customer, make predictions to improve our products and experiences, and design and measure experiments. Our ideal candidate will be data\-driven, intellectually curious, technically and statistically rigorous, and a clear communicator.
 In this role you will bring strong technical expertise and develop a thorough understanding of our data to drive insights in the areas of customer acquisition, engagement, retention, and loyalty through causal inference and experimentation methods. You will contribute to organizational maturity in data storytelling and best\-in\-class ML and statistical approaches and design product experiments to test business hypotheses, apply rigorous statistical analyses, and interpret the results to draw impactful insights.
****What You’ll Need to Be Successful****
* Advanced degree preferred in a quantitative field, and a minimum of 4 years of industry experience.
* Experience with exploratory data analysis, statistical analysis and testing, experiment design and model development, and knowledge of how to leverage these skills to solve complex business problems.
* Expertise in causal inference.
* Proficiency in programming languages (we use Python) and experience with data analysis and machine learning libraries (e.g. TensorFlow, PyTorch, Airflow, etc).
* Strong SQL skills (we use Snowflake).
* Experience with a data visualization tool (we use Tableau).
* Demonstrated ability to learn and embrace new technologies, applications, and solutions.
* Strong written and verbal communication skills and the ability to explain technical topics to data scientists, engineers, and business partners.
* Ability to work collaboratively in a dynamic, team\-based environment.
* Experience as a technical lead and a passion for mentoring.
**Skills \&amp; Education**
 This list includes key skills used in this job but is not inclusive of all skills needed for the role. Please see any required education below.
 Causal Inference, Data Analysis, Data Science, Tableau (Software)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50">
      <c r="A50" t="inlineStr">
        <is>
          <t>li-4362707373</t>
        </is>
      </c>
      <c r="B50" t="inlineStr">
        <is>
          <t>Senior Data Scientist</t>
        </is>
      </c>
      <c r="C50" t="inlineStr">
        <is>
          <t>Shipt</t>
        </is>
      </c>
      <c r="D50" t="inlineStr">
        <is>
          <t>linkedin</t>
        </is>
      </c>
      <c r="E50">
        <f>HYPERLINK("https://www.linkedin.com/jobs/view/4362707373", "https://www.linkedin.com/jobs/view/4362707373")</f>
        <v/>
      </c>
      <c r="F50" t="inlineStr"/>
      <c r="G50" t="inlineStr">
        <is>
          <t>Arizona, United States</t>
        </is>
      </c>
      <c r="H50" t="inlineStr"/>
      <c r="I50" t="inlineStr">
        <is>
          <t>**Impact**
 As a Senior Data Scientist on the Marketplace Product Data Science team, you will collaborate closely with diverse teams (including product managers, engineers, and fellow data scientists) to advance our understanding of the customer, make predictions to improve our products and experiences, and design and measure experiments. Our ideal candidate will be data\-driven, intellectually curious, technically and statistically rigorous, and a clear communicator.
 In this role you will bring strong technical expertise and develop a thorough understanding of our data to drive insights in the areas of customer acquisition, engagement, retention, and loyalty through causal inference and experimentation methods. You will contribute to organizational maturity in data storytelling and best\-in\-class ML and statistical approaches and design product experiments to test business hypotheses, apply rigorous statistical analyses, and interpret the results to draw impactful insights.
****What You’ll Need to Be Successful****
* Advanced degree preferred in a quantitative field, and a minimum of 4 years of industry experience.
* Experience with exploratory data analysis, statistical analysis and testing, experiment design and model development, and knowledge of how to leverage these skills to solve complex business problems.
* Expertise in causal inference.
* Proficiency in programming languages (we use Python) and experience with data analysis and machine learning libraries (e.g. TensorFlow, PyTorch, Airflow, etc).
* Strong SQL skills (we use Snowflake).
* Experience with a data visualization tool (we use Tableau).
* Demonstrated ability to learn and embrace new technologies, applications, and solutions.
* Strong written and verbal communication skills and the ability to explain technical topics to data scientists, engineers, and business partners.
* Ability to work collaboratively in a dynamic, team\-based environment.
* Experience as a technical lead and a passion for mentoring.
**Skills \&amp; Education**
 This list includes key skills used in this job but is not inclusive of all skills needed for the role. Please see any required education below.
 Causal Inference, Data Analysis, Data Science, Tableau (Software)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51">
      <c r="A51" t="inlineStr">
        <is>
          <t>li-4362773766</t>
        </is>
      </c>
      <c r="B51" t="inlineStr">
        <is>
          <t>Data Scientist III</t>
        </is>
      </c>
      <c r="C51" t="inlineStr">
        <is>
          <t>Veritas Search Group</t>
        </is>
      </c>
      <c r="D51" t="inlineStr">
        <is>
          <t>linkedin</t>
        </is>
      </c>
      <c r="E51">
        <f>HYPERLINK("https://www.linkedin.com/jobs/view/4362773766", "https://www.linkedin.com/jobs/view/4362773766")</f>
        <v/>
      </c>
      <c r="F51" t="inlineStr"/>
      <c r="G51" t="inlineStr">
        <is>
          <t>Irvine, CA</t>
        </is>
      </c>
      <c r="H51" t="inlineStr"/>
      <c r="I51" t="inlineStr">
        <is>
          <t>**This role requires candidates who are currently authorized to work in the U.S. without sponsorship, and C2C arrangements are not accepted. This role is remote but requires you to be on\-site twice a month in either Irvine, California or Irving, Texas.** 
**Overview** 
 As a
 **Data Scientist III** 
 , you will support multiple initiatives simultaneously and act as an internal business partner, using data to help teams improve performance, reduce inefficiencies, and make better decisions. This role focuses on translating business problems into analytical approaches, uncovering insights from data, and clearly communicating findings to stakeholders.
 This is a remote role with periodic in\-person collaboration required at a designated office location.
**What You’ll Do** 
* Understand how individual tasks and projects fit into broader business objectives and recommend effective analytical approaches
* Independently manage multiple projects, timelines, and priorities under general supervision
* Partner with stakeholders across departments to address business questions using data
* Translate open\-ended business problems (e.g., improving operational efficiency or reducing errors) into structured analytical workflows
* Extract data from SQL\-based systems and other sources
* Clean, explore, analyze, and model data using tools such as Python, R, and/or Excel
* Identify patterns, trends, and statistically meaningful relationships
* Build clear visualizations and dashboards using tools such as Tableau or similar BI platforms
* Collaborate with data engineers and analytics partners to ensure data quality and scalability
* Present findings to non\-technical and technical audiences, confirming, refuting, or refining business hypotheses
* Provide actionable recommendations that may inform operational changes, process improvements, or future analysis
**What You’ll Need** 
* Strong foundation in statistics, data analysis, and analytical problem\-solving
* Demonstrated experience owning projects end\-to\-end: data extraction, analysis, interpretation, and business presentation
* Proficiency in SQL for data retrieval
* Proficiency in Python or R for data analysis and modeling
* Experience using visualization and dashboarding tools (e.g., Tableau, Power BI, or similar)
* Ability to explain technical findings clearly to non\-technical stakeholders
* Comfort working in ambiguous environments where priorities, scope, or methods may evolve
* Strong organizational skills and ability to manage multiple concurrent projects
* Collaborative mindset and adaptability when project direction or deliverables change
* 3\-5 years experience</t>
        </is>
      </c>
    </row>
    <row r="52">
      <c r="A52" t="inlineStr">
        <is>
          <t>li-4362792921</t>
        </is>
      </c>
      <c r="B52" t="inlineStr">
        <is>
          <t>Senior Data Scientist</t>
        </is>
      </c>
      <c r="C52" t="inlineStr">
        <is>
          <t>Shipt</t>
        </is>
      </c>
      <c r="D52" t="inlineStr">
        <is>
          <t>linkedin</t>
        </is>
      </c>
      <c r="E52">
        <f>HYPERLINK("https://www.linkedin.com/jobs/view/4362792921", "https://www.linkedin.com/jobs/view/4362792921")</f>
        <v/>
      </c>
      <c r="F52" t="inlineStr"/>
      <c r="G52" t="inlineStr">
        <is>
          <t>Birmingham, AL</t>
        </is>
      </c>
      <c r="H52" t="inlineStr"/>
      <c r="I52" t="inlineStr">
        <is>
          <t>**Impact**
 As a Senior Data Scientist on the Marketplace Product Data Science team, you will collaborate closely with diverse teams (including product managers, engineers, and fellow data scientists) to advance our understanding of the customer, make predictions to improve our products and experiences, and design and measure experiments. Our ideal candidate will be data\-driven, intellectually curious, technically and statistically rigorous, and a clear communicator.
 In this role you will bring strong technical expertise and develop a thorough understanding of our data to drive insights in the areas of customer acquisition, engagement, retention, and loyalty through causal inference and experimentation methods. You will contribute to organizational maturity in data storytelling and best\-in\-class ML and statistical approaches and design product experiments to test business hypotheses, apply rigorous statistical analyses, and interpret the results to draw impactful insights.
****What You’ll Need to Be Successful****
* Advanced degree preferred in a quantitative field, and a minimum of 4 years of industry experience.
* Experience with exploratory data analysis, statistical analysis and testing, experiment design and model development, and knowledge of how to leverage these skills to solve complex business problems.
* Expertise in causal inference.
* Proficiency in programming languages (we use Python) and experience with data analysis and machine learning libraries (e.g. TensorFlow, PyTorch, Airflow, etc).
* Strong SQL skills (we use Snowflake).
* Experience with a data visualization tool (we use Tableau).
* Demonstrated ability to learn and embrace new technologies, applications, and solutions.
* Strong written and verbal communication skills and the ability to explain technical topics to data scientists, engineers, and business partners.
* Ability to work collaboratively in a dynamic, team\-based environment.
* Experience as a technical lead and a passion for mentoring.
**Skills \&amp; Education**
 This list includes key skills used in this job but is not inclusive of all skills needed for the role. Please see any required education below.
 Causal Inference, Data Analysis, Data Science, Tableau (Software)
 Bachelor's Degree or equivalent experience \| Required
**Work Arrangement**
 Shipt considers candidates located near a Shipt office or workspace in Birmingham, San Francisco, or Minneapolis to be hybrid, which means that they have the flexibility to work from home (with leader approval) or at a Shipt office in order to facilitate the ability to innovate, collaborate, and spark team connections. In\-office expectations will vary by role and leader. Certain roles may require in\-office presence on a full\-time basis. Please work with your recruiter to learn more about the classification of this role.
**About Shipt**
 Shipt is a retail tech company that connects people to reliable, high\-quality delivery with a personal touch. Shipt connects customers to the things they want from the stores they love, retail businesses to more satisfied customers, and workers to new earning opportunities.
 At Shipt, we aim to put our team first to boost a sense of belonging, spark opportunities for growth, provide unique benefits and commit to giving back to our communities in ways that make life better, both personally and professionally. We understand that our service, our culture, and our connection to our communities are only made better by every single person who shows up to work here every day. Learn More.
 Shipt is an independently operated, wholly owned subsidiary of Target Corporation and available in more than 5,000 U.S. cities. Shipt was founded and is headquartered in Birmingham, Alabama. For more information, please visit Shipt’s company site at Shipt.com.
*We are an equal opportunity employer and value diversity at our company. We do not discriminate on the basis of race, color, national origin, ethnicity, religion or religious belief, sex (including pregnancy, childbirth, or related medical conditions), sexual orientation, gender, gender identity, gender expression, transgender status, sexual stereotypes, age, military or veteran status, disability, or any other characteristic protected by law.*
*Please inform your recruiting contact upon initial connection if you need a reasonable accommodation. If you need assistance filling out a job application, please complete this form.
 For technical interviews, Shipt uses an online coding platform. In the event you may need a reasonable accommodation to use the online coding platform, please connect with your recruiter.*
*Pursuant to the San Francisco Fair Chance Ordinance, we will consider for employment qualified applicants with arrest and conviction records.*
*Employees (and eligible family members) are covered by medical, dental, vision and more. Employees may enroll in our company’s 401k plan. Employees will also be eligible to receive discretionary vacation for exempt team members, paid holidays throughout the calendar year and paid sick leave. Other compensation includes eligibility for an annual bonus and the potential for restricted stock units based on role.*
**Pay Range**
 Metro Areas of Boston, District of Columbia, Los Angeles, San Francisco, Seattle and New York City:
 $123,000\-$247,000
 All other locations:
 $109,000\-$219,000
*Please note that the salary range above is a guideline, and individual total compensation will vary based on factors such as qualifications, skill level, competencies, and work location.*</t>
        </is>
      </c>
    </row>
    <row r="53">
      <c r="A53" t="inlineStr">
        <is>
          <t>li-4359088576</t>
        </is>
      </c>
      <c r="B53" t="inlineStr">
        <is>
          <t>AIML - Sr Data Scientist, Evaluation</t>
        </is>
      </c>
      <c r="C53" t="inlineStr">
        <is>
          <t>Apple</t>
        </is>
      </c>
      <c r="D53" t="inlineStr">
        <is>
          <t>linkedin</t>
        </is>
      </c>
      <c r="E53">
        <f>HYPERLINK("https://www.linkedin.com/jobs/view/4359088576", "https://www.linkedin.com/jobs/view/4359088576")</f>
        <v/>
      </c>
      <c r="F53" t="inlineStr"/>
      <c r="G53" t="inlineStr">
        <is>
          <t>Cupertino, CA</t>
        </is>
      </c>
      <c r="H53" t="inlineStr"/>
      <c r="I53" t="inlineStr">
        <is>
          <t>**Summary**
 Do you get excited by driving product impact via measurement and evaluation, for products and services used by hundreds of millions of people globally? Within the evaluation organization, the mission of Data Science and Insights team is to guide product development, decisions and directions through principled evaluation and rigorous use of data. nnYou will partner with various engineering teams to improve search quality and guide feature development with data, to deliver amazing search experiences across iPhone, iPad, HomePod, Mac, Watch, tv, across dozens of languages.
**Description**
 Research and develop evaluation methods to improve the quality of Apple user facing products, such as Siri and Apple Intelligence. Work with evaluation/experimentation engineering teams to get your methodological developments translated into technologies that product engineering will use every day. Work with large, complex data sets. Solve difficult, non\-routine analysis problems, applying advanced analytical methods as needed, including prompt engineering and building LLMs as judges. Conduct analysis that includes data collection and quality control, requirements specification, processing and presentations. Build and prototype analysis pipelines iteratively to provide insights at scale. Develop comprehensive knowledge of product data structures and metrics, advocating for changes where needed for product development. Partner closely with product engineering teams on core machine learning algorithms and user experience evaluations. You should be passionate about building outstanding products. This position involves a wide variety of skills and innovation.
**Minimum Qualifications**
 5 years of relevant work experience. Advanced degree in a quantitative field such as Statistics, Operational Research, Bioinformatics, Economics, Psychology, Computer Science, Sociology, Mathematics, Physics, or similar quantitative field.nProficiency in data science, machine learning, and analytics, including statistical data analysis. Experience crafting, conducting, analyzing, and interpreting experiments and investigations, especially on data quality, evaluation and risk assessment.nStrong programming skills, including data\-querying skills (SQL and/or Spark, etc.) and experience with a scripting language for data processing and development (e.g., Python, R, or Scala).nExperience articulating and translating business questions and using statistical techniques to arrive at an answer using available data. Strong communication skills and the ability to naturally explain difficult technical topics (especially causal topics) to everyone from data scientists to engineers to business partners.
**Preferred Qualifications**
 Proven ability to collaborate effectively across functions and work well within a team.nCapable of driving projects of varying sizes and scopes \- some will take months and some weeks — and you will need to know when to dive deep.nWorked with methods that address accuracy and variability in human annotation data.nAbility to learn new technology and skills to accommodate changing working requirements.
**Pay \&amp; Benefits**
 At Apple, base pay is one part of our total compensation package and is determined within a range. This provides the opportunity to progress as you grow and develop within a role. The base pay range for this role is between $181,100 and $318,400, and your base pay will depend on your skills, qualifications, experience, and location.u003cbru003eu003cbru003eApple employees also have the opportunity to become an Apple shareholder through participation in Apple’s discretionary employee stock programs. Apple employees are eligible for discretionary restricted stock unit awards, and can purchase Apple stock at a discount if voluntarily participating in Apple’s Employee Stock Purchase Plan. You’ll also receive benefits including: Comprehensive medical and dental coverage, retirement benefits, a range of discounted products and free services, and for formal education related to advancing your career at Apple, reimbursement for certain educational expenses — including tuition. Additionally, this role might be eligible for discretionary bonuses or commission payments as well as relocation. u003ca href\='https://www.apple.com/careers/us/benefits.html' target\='\_blank' aria\-label\='Learn more about Apple Benefits (Opens in new window)'u003eLearn more about Apple Benefits.u003cspan class\='icon icon\-after icon\-external' aria\-hidden\='true'u003eu003c/spanu003eu003c/au003eu003cbru003eu003cbru003eNote: Apple benefit, compensation and employee stock programs are subject to eligibility requirements and other terms of the applicable plan or program.u003cbru003e</t>
        </is>
      </c>
    </row>
    <row r="54">
      <c r="A54" t="inlineStr">
        <is>
          <t>li-4357631488</t>
        </is>
      </c>
      <c r="B54" t="inlineStr">
        <is>
          <t>Senior Data Scientist</t>
        </is>
      </c>
      <c r="C54" t="inlineStr">
        <is>
          <t>Sysco</t>
        </is>
      </c>
      <c r="D54" t="inlineStr">
        <is>
          <t>linkedin</t>
        </is>
      </c>
      <c r="E54">
        <f>HYPERLINK("https://www.linkedin.com/jobs/view/4357631488", "https://www.linkedin.com/jobs/view/4357631488")</f>
        <v/>
      </c>
      <c r="F54" t="inlineStr"/>
      <c r="G54" t="inlineStr">
        <is>
          <t>Houston, TX</t>
        </is>
      </c>
      <c r="H54" t="inlineStr"/>
      <c r="I54" t="inlineStr">
        <is>
          <t>**JOB SUMMARY**
 Overtime, this role will own one of the five core predictive/prescriptive engines for Sysco. Each engine will have multiple models as components. To lead the development of this engine, the role will require expert ability in mathematical modeling; analytical and heuristic solution methods; the ability to synthesize, visualize and communicate results; and create a tool at scale to drive the recommended course of action. This role will require close collaboration (with functions, operating companies, specialty companies or geographies and technology teams) to align around the sequencing of priorities and ensure the appropriate path to value. This role is expected to help create models in addition to coaching team members in model creation.
**RESPONSIBILITIES**
* Ensure the data mined, cleansed, and engineered for models is accurate and appropriate.
* Able to bring forward new and different data sets to help solve problems.
* Own the multiple models associated with one of the five predictive\\perspective engines of Sysco.
* Identify and use appropriate advanced analytic tools, technologies and platforms to solve business problems, create the roadmap for the engine\- sequencing models overtime, create or direct the creation of the models\\algorithms needed, tune the models to ensure the appropriate business outcome.
* Ensure the performance scorecards and dashboards created to monitor adoption, implementation, and impact of models and strategies are adequate and are being shared throughout the enterprise
* Work cross\-functionally with other roles within the Enterprise Analytics Team and the Sysco broadly to tune models and ensure value created from models.
* Work with Business Technology resources on API, front end, and downstream integrations.
* Collaborate with business process owners to validate model outputs and construct an appropriate training
* Work with data scientists and associate data scientists to ensure the correct data sets, calculations and analytic method being employed to solve a given problem.
* Act as a magnet for data science talent.
* Publish a paper and speak \~1 a year at a conference to ensure Sysco is top of mind of emerging data science talent.
**QUALIFICATIONS**
**Education and / or Experience:** 
* Bachelor’s degree \+ 5 years or Master’s degree \+ 3 years or PhD \+ 2 years of industry experience in management consulting, strategy, analytics, at a specialized analytics company or in an analytics organization in a corporate setting.
* 4\+ years of experience accessing and manipulating data in SQL or NoSQL database environments
* 2\+ years of experience with scientific scripting languages (e.g., Python) and/or object\-oriented programming (e.g., C\+\+, Java)
* 3\+ years of experience with Bayesian statistics, regression analysis (beyond linear regression), supervised learning, unsupervised learning or time\-series analysis required
* 7\-10 years of overall analytics experience can be inclusive of post\-graduate work
**Professional Skills** 
* Excellent listening, written, and verbal communication skills, with the ability to create alignment across a diverse set of stakeholders
* Executive\-level presentation skills, with the ability to tailor communication for specific audiences and the ability to motivate and empower team
* Excellent problem\-solving skills, using an analytical and logical approach to solve complex problems
* Self\-starter that thrives in a fast\-paced environment while delivering high quality and service levels
* Strong business and technical acumen</t>
        </is>
      </c>
    </row>
    <row r="55">
      <c r="A55" t="inlineStr">
        <is>
          <t>li-4359028168</t>
        </is>
      </c>
      <c r="B55" t="inlineStr">
        <is>
          <t>AML/Sanctions- Data Scientist-  Associate</t>
        </is>
      </c>
      <c r="C55" t="inlineStr">
        <is>
          <t>PwC</t>
        </is>
      </c>
      <c r="D55" t="inlineStr">
        <is>
          <t>linkedin</t>
        </is>
      </c>
      <c r="E55">
        <f>HYPERLINK("https://www.linkedin.com/jobs/view/4359028168", "https://www.linkedin.com/jobs/view/4359028168")</f>
        <v/>
      </c>
      <c r="F55" t="inlineStr"/>
      <c r="G55" t="inlineStr">
        <is>
          <t>New York, NY</t>
        </is>
      </c>
      <c r="H55" t="inlineStr"/>
      <c r="I55" t="inlineStr">
        <is>
          <t>**Specialty/Competency:** 
 Data, Analytics \&amp; AI
**Industry/Sector:** 
 Banking and Capital Markets
**Time Type:** 
 Full time
**Travel Requirements:** 
 Up to 60%
 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competitive advantage.
 Driven by curiosity, you are a reliable, contributing member of a team. In our fast\-paced environment, you are expected to adapt to working with a variety of clients and team members, each presenting varying challenges and scope. Every experience is an opportunity to learn and grow. You are expected to take ownership and consistently deliver quality work that drives value for our clients and success as a team. As you navigate through the Firm, you build a brand for yourself, opening doors to more opportunities.
**Skills**
 Examples of the skills, knowledge, and experiences you need to lead and deliver value at this level include but are not limited to:
* Apply a learning mindset and take ownership for your own development.
* Appreciate diverse perspectives, needs, and feelings of others.
* Adopt habits to sustain high performance and develop your potential.
* Actively listen, ask questions to check understanding, and clearly express ideas.
* Seek, reflect, act on, and give feedback.
* Gather information from a range of sources to analyse facts and discern patterns.
* Commit to understanding how the business works and building commercial awareness.
* Learn and apply professional and technical standards (e.g. refer to specific PwC tax and audit guidance), uphold the Firm's code of conduct and independence requirements.
 The Opportunity
 As part of the Financial Crime Unit team you will apply analytical methods to complex datasets leveraging SQL and Python to tackle financial crime challenges. As an Associate you will focus on learning and contributing to client engagement, building meaningful connections while navigating complex situations to enhance your personal brand and technical knowledge.
**Responsibilities**
* Utilize analytical techniques to address financial crime issues
* Engage with clients to foster meaningful professional relationships
* Apply SQL and Python for data analysis and problem\-solving
* Explore machine learning, NLP, and LLMs in relevant projects
* Contribute to team efforts while enhancing personal technical skills
* Adapt to complex situations and develop strategic insights
* Participate in research to support project objectives
* Uphold professional standards and ethical guidelines
 What You Must Have
* Bachelor's Degree in Computer and Information Science, Computer and Information Science \&amp; Accounting, Economics, Economics and Finance, Economics and Finance \&amp; Technology, Engineering, Operations Management/Research, Statistics, Mathematics, Data Processing/Analytics/Science or related field
* 1 year of experience in data science/machine learning
 What Sets You Apart
* Interest in financial crime, AML, and fraud analytics
* Skilled in SQL for complex data queries
* Advanced Python skills for data manipulation
* Experience building and deploying machine learning models
* Understanding of machine learning concepts and algorithms
* Comfort working with structured and unstructured data
* Familiarity with agentic AI frameworks
* Hands\-on experience with CI/CD pipelines for data science
* Proficiency in SQL and Python
* Basic understanding of machine learning algorithms and evaluation metrics
* Exposure to frameworks such as scikit\-learn, XGBoost, Hugging Face Transformers
* Other quantitative fields of study may be considered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$63,000 \- $140,000\.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56">
      <c r="A56" t="inlineStr">
        <is>
          <t>li-4357609306</t>
        </is>
      </c>
      <c r="B56" t="inlineStr">
        <is>
          <t>Senior Data Scientist</t>
        </is>
      </c>
      <c r="C56" t="inlineStr">
        <is>
          <t>RemoteHunter</t>
        </is>
      </c>
      <c r="D56" t="inlineStr">
        <is>
          <t>linkedin</t>
        </is>
      </c>
      <c r="E56">
        <f>HYPERLINK("https://www.linkedin.com/jobs/view/4357609306", "https://www.linkedin.com/jobs/view/4357609306")</f>
        <v/>
      </c>
      <c r="F56">
        <f>HYPERLINK("https://www.remotehunter.com/apply-with-ai/2e9c3ebf-e908-4af0-8262-a1f42e022aa8?utm_medium=job_posting&amp;utm_source=linkedin&amp;utm_campaign=data_scientist_remote&amp;utm_category=data_scientist&amp;utm_term=senior_data_scientist&amp;urlHash=UD5P", "https://www.remotehunter.com/apply-with-ai/2e9c3ebf-e908-4af0-8262-a1f42e022aa8?utm_medium=job_posting&amp;utm_source=linkedin&amp;utm_campaign=data_scientist_remote&amp;utm_category=data_scientist&amp;utm_term=senior_data_scientist&amp;urlHash=UD5P")</f>
        <v/>
      </c>
      <c r="G56" t="inlineStr"/>
      <c r="H56" t="inlineStr"/>
      <c r="I56" t="inlineStr">
        <is>
          <t>About the Opportunity:
 This team within the Data and Analytics division focuses on understanding the features that drive vehicle pricing and predicting future vehicle values along with other critical sector insights. The role involves creating innovative machine learning processes, deploying them into production, and contributing to accurate, transparent, industry\-leading analytics in the automotive industry.
 Responsibilities:
 • Work daily with automotive industry data
 • Lead end\-to\-end data science projects
 • Design and implement complex feature engineering strategies
 • Build and deploy advanced AI/ML and classical regression models
 • Conduct advanced model evaluation and optimization
 • Document machine learning processes
 • Collaborate with technology and engineering teams to improve and build processes
 • Partner with product teams to develop analytics for new products
 • Create visual reports summarizing findings for internal and external clients
 • Perform ad\-hoc data analysis and reporting
 • Participate in a team environment encouraging idea sharing to build predictive algorithms
 Requirements:
 • Expertise in data analytics and/or statistical concepts such as regression, logistic regression, time\-series modeling, Bayesian statistics, machine learning, data mining, simulation, optimization, or forecasting
 • Ability to communicate technical processes to non\-technical audiences
 • Presentation experience
 • Curiosity and passion for problem\-solving with data
 • 4\+ years’ experience working with large datasets
 • 4\+ years’ fluency in statistical programming software, especially Python and Spark
 • 4\+ years’ experience with database software (RedShift, Hive, SQL, MySQL) with strong SQL skills
 • Master’s Degree in Statistics, Data Science, Economics, or related technical field
 Benefits \&amp; Perks:
 No direct benefits or perks mentioned
 Compensation:
 No compensation details provided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57">
      <c r="A57" t="inlineStr">
        <is>
          <t>li-4362736056</t>
        </is>
      </c>
      <c r="B57" t="inlineStr">
        <is>
          <t>Staff Data Scientist</t>
        </is>
      </c>
      <c r="C57" t="inlineStr">
        <is>
          <t>Unity</t>
        </is>
      </c>
      <c r="D57" t="inlineStr">
        <is>
          <t>linkedin</t>
        </is>
      </c>
      <c r="E57">
        <f>HYPERLINK("https://www.linkedin.com/jobs/view/4362736056", "https://www.linkedin.com/jobs/view/4362736056")</f>
        <v/>
      </c>
      <c r="F57" t="inlineStr"/>
      <c r="G57" t="inlineStr">
        <is>
          <t>San Francisco, CA</t>
        </is>
      </c>
      <c r="H57" t="inlineStr"/>
      <c r="I57" t="inlineStr">
        <is>
          <t>**The opportunity**
 At Unity, we foster a culture of collaboration and innovation. In our fast\-paced environment, we tackle complex challenges that create real impact for creators and users across our ecosystem.
 Our Ads Data Science team supports product and business success by transforming large\-scale data into actionable insights, defining success metrics, guiding product decisions, and measuring impact. In partnership with PM, Engineering, Sales, and Finance, the team informs every stage of the product lifecycle \- from identifying opportunities to evaluating performance and shaping long\-term strategy across supply, demand, and customer insights.
 As a founding Data Scientist on this team, you will have strong ownership to company revenue growth and overall business success and work across multiple areas within Ads, including Vector initiatives, supply\-side analytics, and Sales insights. You’ll establish a product analytics culture, take ownership of high\-impact ML products, and define how data drives decisions.
 If you’re excited about turning data into insights, driving real impact, and contributing to Unity’s mission, this is your opportunity to make a lasting difference.
**What You'll Be Doing**
* Collaborate closely with PM, Engineering, Sales, and other cross\-functional leaders to inform strategy and support decisions across our Ads group.
* Transform large\-scale datasets into actionable insights, using quantitative analysis, experimentation, and data mining to support product and business success.
* Define success metrics, track performance, and measure the impact of ML and product initiatives.
* Guide product decisions by uncovering trends, identifying opportunities, providing data\-driven recommendations and driving product roadmaps.
* Serve as a subject matter expert, translating business questions into analytical work that drives decisions and identifies process improvements.
**What We're Looking For**
* Advanced degree (MS or Ph.D.) in Computer Science, Machine Learning, Statistics, Mathematics, related field, or equivalent practical experience.
* 7\+ years of experience in statistical analysis and experimentation using Python, R, or equivalent, with strong skills in quantitative problem solving and understanding user behaviors and ecosystems.
* Strong experience transforming large\-scale data into actionable insights
* Bias for action, curiosity, and proactiveness, with the ability to break down ambiguous problems and explore patterns.
* Resilient and adaptable, navigating uncertainty and learning from setbacks, with an optimistic, solution\-focused approach grounded in first\-principles thinking.
**You might also have**
* Experience in AdTech, performance marketing, mobile games industry or SaaS (marketplace) products is a plus.
* Hands\-on experience developing, deploying, or analyzing ML products and models in a production environment.
**Additional Information**
* International relocation support is not available for this position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 Note: Certain locations require a good faith disclosure of the base salary range for the role. The actual salary for the successful candidate may differ based on location, experience, and other job\-related factors.
 Gross pay salary
 $192,600—$366,700 USD</t>
        </is>
      </c>
    </row>
    <row r="58">
      <c r="A58" t="inlineStr">
        <is>
          <t>li-4323308000</t>
        </is>
      </c>
      <c r="B58" t="inlineStr">
        <is>
          <t>Staff Data Scientist - Underwriting and Operations Analytics</t>
        </is>
      </c>
      <c r="C58" t="inlineStr">
        <is>
          <t>Travelers</t>
        </is>
      </c>
      <c r="D58" t="inlineStr">
        <is>
          <t>linkedin</t>
        </is>
      </c>
      <c r="E58">
        <f>HYPERLINK("https://www.linkedin.com/jobs/view/4323308000", "https://www.linkedin.com/jobs/view/4323308000")</f>
        <v/>
      </c>
      <c r="F58" t="inlineStr"/>
      <c r="G58" t="inlineStr">
        <is>
          <t>Hartford, CT</t>
        </is>
      </c>
      <c r="H58" t="inlineStr"/>
      <c r="I58" t="inlineStr">
        <is>
          <t>**Who Are We?**
 Taking care of our customers, our communities and each other. That’s the Travelers Promise. By honoring this commitment, we have maintained our reputation as one of the best property casualty insurers in the industry for over 170 years. Join us to discover a culture that is rooted in innovation and thrives on collaboration. Imagine loving what you do and where you do it.
**Compensation Overview**
 The annual base salary range provided for this position is a nationwide market range and represents a broad range of salaries for this role across the country. The actual salary for this position will be determined by a number of factors, including the scope, complexity and location of the role; the skills, education, training, credentials and experience of the candidate; and other conditions of employment. As part of our comprehensive compensation and benefits program, employees are also eligible for performance\-based cash incentive awards.
**Salary Range**
 $161,400\.00 \- $266,300\.00
**Target Openings**
 1
**What Is the Opportunity?**
 As a Staff Data Scientist, you will build complex models that solve key business problems to support underwriting, risk control, and business operations. This may include the use of the most advanced technical tools in the data science practice, allowing you to develop sophisticated solutions that enhance risk segmentation, streamline decision\-making processes, and drive operational excellence across these critical business functions.
**What Will You Do?**
* Lead business or technical projects focused on the design or development of analytical solutions.
* Lead development of community best practices in AI/Machine Learning, statistical techniques, and coding.
* Establish a practice/process of sharing expertise with the community through discussions, presentations, or peer reviews.
* Begin to challenge conventional thinking where appropriate.
* Anticipate potential objections and persuade peers, technical and business leaders to adopt a different point of view.
* Guide technical strategy of teams through own technical expertise.
* Set and manage expectations with business partners for multiple projects, generate ideas and build consensus, and be aware of potential conflicts.
* Communicate analysis, insights, and results to team, peers, business partners.
* Partner with cross\-functional teams and leaders to support the successful execution of data science strategies.
* Be a mentor or resource for less experienced analytic talent, onboard new employees and interns, and provide support for recruiting and talent assessment efforts.
* Collaborate with Sr Staff Data Scientist on various training and skill development initiatives, including delivering training to the analytics community.
* Perform other duties as assigned.
**What Will Our Ideal Candidate Have?**
* Subject matter expertise in modeling/ research/ analytics or actuarial required
* Subject matter expertise in value creation and business model concepts
* Subject matter expertise in multiple statistical software programs
* Ability to develop highly complex models, interpret model results and recommend adjustments
* Expertise in advanced statistics underlying data models
* Ability to apply emerging statistical procedures to complex work
* Subject matter expertise in 3\-5 of the following: Regression, Classification, Machine Vision, Natural Language Processing, Deep Learning and Statistical modeling.
**What is a Must Have?**
* Master's degree in Statistics, Mathematics, Decision Sciences, Actuarial Science or related analytical STEM field plus five years of experience or any suitable and equivalent combination of education and work experience.
* Heavy concentration in mathematics, including statistics and programming, business intelligence/analytics, as well as data science tools and research using large data sets. Additional verification of specific coursework will be required.
**What Is in It for You?**
* Health Insurance: Employees and their eligible family members – including spouses, domestic partners, and children – are eligible for coverage from the first day of employment.
* Retirement: Travelers matches your 401(k) contributions dollar\-for\-dollar up to your first 5% of eligible pay, subject to an annual maximum. If you have student loan debt, you can enroll in the Paying it Forward Savings Program. When you make a payment toward your student loan, Travelers will make an annual contribution into your 401(k) account. You are also eligible for a Pension Plan that is 100% funded by Travelers.
* Paid Time Off: Start your career at Travelers with a minimum of 20 days Paid Time Off annually, plus nine paid company Holidays.
* Wellness Program: The Travelers wellness program is comprised of tools, discounts and resources that empower you to achieve your wellness goals and caregiving needs. In addition, our mental health program provides access to free professional counseling services, health coaching and other resources to support your daily life needs.
* Volunteer Encouragement: We have a deep commitment to the communities we serve and encourage our employees to get involved. Travelers has a Matching Gift and Volunteer Rewards program that enables you to give back to the charity of your choice.
**Employment Practices**
 Travelers is an equal opportunity employer. We value the unique abilities and talents each individual brings to our organization and recognize that we benefit in numerous ways from our differences.
 In accordance with local law, candidates seeking employment in Colorado are not required to disclose dates of attendance at or graduation from educational institutions.
 If you are a candidate and have specific questions regarding the physical requirements of this role, please send us an email so we may assist you.
 Travelers reserves the right to fill this position at a level above or below the level included in this posting.
 To learn more about our comprehensive benefit programs please visit http://careers.travelers.com/life\-at\-travelers/benefits/.</t>
        </is>
      </c>
    </row>
    <row r="59">
      <c r="A59" t="inlineStr">
        <is>
          <t>li-4359163969</t>
        </is>
      </c>
      <c r="B59" t="inlineStr">
        <is>
          <t>Data Scientist</t>
        </is>
      </c>
      <c r="C59" t="inlineStr">
        <is>
          <t>Jobs via Dice</t>
        </is>
      </c>
      <c r="D59" t="inlineStr">
        <is>
          <t>linkedin</t>
        </is>
      </c>
      <c r="E59">
        <f>HYPERLINK("https://www.linkedin.com/jobs/view/4359163969", "https://www.linkedin.com/jobs/view/4359163969")</f>
        <v/>
      </c>
      <c r="F59" t="inlineStr"/>
      <c r="G59" t="inlineStr"/>
      <c r="H59" t="inlineStr"/>
      <c r="I59" t="inlineStr">
        <is>
          <t>Dice is the leading career destination for tech experts at every stage of their careers. Our client, Data Capital Inc, is seeking the following. Apply via Dice today!
**Role And Responsibilities**
 This Data Scientist position will lead our artificial intelligence (AI) and machine learning (ML) projects in the federal space. The Data Scientist will guide our federal agency clients with large datasets, both structured and unstructured, in extracting useful insights and reducing manual analysis using various AI/ML techniques. This will include leading AI/ML centers of excellence to assist federal agencies understand various approaches and models within AI/ML that may be relevant to their datasets and objectives. It will also include hands\-on modeling work in collaboration with our federal clients to develop and deploy AI/ML models. Finally, the Data Scientist will assist Halvik in proposing innovative AI/ML solutions to help federal agencies go beyond basic analysis needs and answer questions previously not considered.
**What You Need:**
* Proficient with a broad spectrum of advanced data science techniques and industry expertise including machine learning and AI. Able to explain relevance of data science techniques to various use cases.
* Expert in descriptive statistics and statistical methods with applications in machine learning (e.g., correlation, regression, clustering)
* Practical programming experience in Python, R, Matlab, Spark/PySpark, SQL, and/or other related programming languages (5\+ years preferred)
* Self\-starter with excellent communication skills, able to work independently, and lead projects, initiatives, and/or people
* 3\+ years of practical data science experience
**Preferred Skills**
* 5\+ years of practical data science experience (preferred)
* Advanced degree in a STEM\-related field
* Experience delivering end\-to\-end data science projects, starting with project plan, through data modelling \&amp; data integrity checks to delivering value with explainable results
* Experience in automation and deployment preferred (MLOps and Data Engineering)</t>
        </is>
      </c>
    </row>
    <row r="60">
      <c r="A60" t="inlineStr">
        <is>
          <t>li-4357638278</t>
        </is>
      </c>
      <c r="B60" t="inlineStr">
        <is>
          <t>AML and Sanctions- Data Scientist-  Senior Associate</t>
        </is>
      </c>
      <c r="C60" t="inlineStr">
        <is>
          <t>PwC</t>
        </is>
      </c>
      <c r="D60" t="inlineStr">
        <is>
          <t>linkedin</t>
        </is>
      </c>
      <c r="E60">
        <f>HYPERLINK("https://www.linkedin.com/jobs/view/4357638278", "https://www.linkedin.com/jobs/view/4357638278")</f>
        <v/>
      </c>
      <c r="F60" t="inlineStr"/>
      <c r="G60" t="inlineStr">
        <is>
          <t>New York, NY</t>
        </is>
      </c>
      <c r="H60" t="inlineStr"/>
      <c r="I60" t="inlineStr">
        <is>
          <t>**Specialty/Competency:** 
 Data, Analytics \&amp; AI
**Industry/Sector:** 
 Banking and Capital Markets
**Time Type:** 
 Full time
**Travel Requirements:** 
 Up to 60%
 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competitive advantage.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Financial Crime Unit team you will apply analytical methods to complex datasets leveraging SQL and Python. As a Senior Associate you will analyze intricate problems, mentor Associates, and maintain exemplary standards while building meaningful client relationships. This role offers the chance to deepen your technical knowledge and personal brand while navigating the complexities of financial crime detection and machine learning applications.
**Responsibilities**
* Apply machine learning and natural language processing to financial crime challenges
* Develop a thorough understanding of the business landscape
* Navigate intricate scenarios to enhance personal and technical growth
* Leverage SQL and Python for data analysis and problem\-solving
 What You Must Have
* Bachelor's Degree in Computer and Information Science, Economics, Engineering, Operations Management/Research, Statistics, Data Processing/Analytics/Science, Mathematics
* 3 years of professional experience in data science/machine learning
 What Sets You Apart
* Experience mentoring junior team members
* Proven ability in developing machine learning models
* Demonstrating advanced skills in Python and SQL
* Familiarity with MLOps practices for model monitoring
* Comfort working with structured and unstructured data
* Experience with cloud platforms and containerization
* Knowledge of agentic AI frameworks for workflows
* Ability to translate client requirements into analytical solutions
* Proficiency in SQL and Python
* Hands\-on experience with ML frameworks (scikit\-learn, XGBoost, LightGBM, Hugging Face)
* Thorough understanding of model evaluation metrics across tasks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row r="61">
      <c r="A61" t="inlineStr">
        <is>
          <t>li-4354812591</t>
        </is>
      </c>
      <c r="B61" t="inlineStr">
        <is>
          <t>Principal Data Scientist (Credit Risk Insights &amp; Analysis)</t>
        </is>
      </c>
      <c r="C61" t="inlineStr">
        <is>
          <t>Jobs via Dice</t>
        </is>
      </c>
      <c r="D61" t="inlineStr">
        <is>
          <t>linkedin</t>
        </is>
      </c>
      <c r="E61">
        <f>HYPERLINK("https://www.linkedin.com/jobs/view/4354812591", "https://www.linkedin.com/jobs/view/4354812591")</f>
        <v/>
      </c>
      <c r="F61" t="inlineStr"/>
      <c r="G61" t="inlineStr">
        <is>
          <t>Pensacola, FL</t>
        </is>
      </c>
      <c r="H61" t="inlineStr"/>
      <c r="I61" t="inlineStr">
        <is>
          <t>**Overview**
 Provide independent data science, machine learning, and analytical insights using member, financial, and organizational data to support credit risk decision\-making. Understand business needs and identify opportunities for process optimization to meet business objectives using cutting\-edge data science. Regarded as an advanced professional in the data science field who can conduct complex work under minimal supervision and with wide latitude for independent judgment. The role requires strong analytical skills, proficiency in data visualization tools, and the ability to communicate complex insights effectively.
**Responsibilities**
* Develop, maintain, and manage advanced reporting, dashboards, data models and analytical results
* Retrieve, analyze and validate data and interpret results
* Lead projects to understand requirements and propose key analytical solutions to drive effective decision\-making and influence business objectives
* Develop and code complex software programs, algorithms, and automated processes
* Use evaluation, judgment, and interpretation to select right course of action
* Work on problems of diverse scope where analysis of information requires evaluation of identifiable factors
* Produce innovative solutions driven by exploratory data analysis from complex and high\-dimensional datasets
* Transform data into charts, tables, or format that aids effective decision making
* Utilize effective written and verbal communication to document analyses and present findings analyses to a diverse audience of stakeholders
* Develop and maintain strong working relationships with team members, subject matter experts, and leaders
* Lead moderate to large projects and initiatives
* Model best practices and ethical AI
* Works with senior management on complex issues
* Assist with the development and enhancement practices, procedures, and instructions
* Serve as technical resource for other team members
* Mentor lower levels
**Qualifications**
* 6\+ years of working experience with requisite competencies
* Complete knowledge and full understanding of specialization
* Statistics, machine learning , data mining, data auditing, aggregation, reconciliation, and visualization
* Programming, data modeling, simulation, and advanced mathematics
* SQL, R, Python, Hadoop, SAS, SPSS, Databricks, Scala, AWS
* Tableau, Power BI, or related data visualization tools
* Model lifecycle execution
* Technical writing
* Data storytelling and technical presentation skills
* Research Skills
* Interpersonal Skills
* Advanced knowledge of procedures, instructions and validation techniques
* Model Development
* Communication
* Critical Thinking
* Collaborate and Build Relationships
* Initiative with sound judgement
* Technical (Big Data Analysis, Coding, Project Management, Technical Writing, etc.)
* Independent Judgment
* Problem Solving (Identifies the constraints and risks)
* Bachelor's Degree in Data Science, Statistics, Mathematics, Computers Science, Engineering, or degrees in similar quantitative fields
**Desired Qualification(s)**
* Master's/PhD Degree in Data Science, Statistics, Mathematics, Computers Science, or Engineering
**Hours:** 
 Monday \- Friday, 8:00AM \- 4:30PM
**Locations:** 
 820 Follin Lane, Vienna, VA 22180 \|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Yello and WayUp Top 100 Internship Programs
 Computerworld Best Places to Work in IT
 Newsweek Most Loved Workplaces
 2025 PEOPLE Companies That Care
 Newsweek Most Trustworthy Companies in America
 Military Times 2025 Best for Vets Employers
 Best Companies for Latinos to Work for 2024
 Forbes 2025 America's Best Large Employers
 Forbes 2025 America's Best Employers for New Grads
 Forbes 2025 America's Best Employers for Tech Workers
 2025 RippleMatch Campus Forward Award Winner for Overall Excellence
 Military.com Top Military Spouse Employers 2025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62">
      <c r="A62" t="inlineStr">
        <is>
          <t>li-4354802923</t>
        </is>
      </c>
      <c r="B62" t="inlineStr">
        <is>
          <t>Principal Data Scientist (Credit Risk Insights &amp; Analysis)</t>
        </is>
      </c>
      <c r="C62" t="inlineStr">
        <is>
          <t>Jobs via Dice</t>
        </is>
      </c>
      <c r="D62" t="inlineStr">
        <is>
          <t>linkedin</t>
        </is>
      </c>
      <c r="E62">
        <f>HYPERLINK("https://www.linkedin.com/jobs/view/4354802923", "https://www.linkedin.com/jobs/view/4354802923")</f>
        <v/>
      </c>
      <c r="F62" t="inlineStr"/>
      <c r="G62" t="inlineStr">
        <is>
          <t>Vienna, VA</t>
        </is>
      </c>
      <c r="H62" t="inlineStr"/>
      <c r="I62" t="inlineStr">
        <is>
          <t>**Overview**
 Provide independent data science, machine learning, and analytical insights using member, financial, and organizational data to support credit risk decision\-making. Understand business needs and identify opportunities for process optimization to meet business objectives using cutting\-edge data science. Regarded as an advanced professional in the data science field who can conduct complex work under minimal supervision and with wide latitude for independent judgment. The role requires strong analytical skills, proficiency in data visualization tools, and the ability to communicate complex insights effectively.
**Responsibilities**
* Develop, maintain, and manage advanced reporting, dashboards, data models and analytical results
* Retrieve, analyze and validate data and interpret results
* Lead projects to understand requirements and propose key analytical solutions to drive effective decision\-making and influence business objectives
* Develop and code complex software programs, algorithms, and automated processes
* Use evaluation, judgment, and interpretation to select right course of action
* Work on problems of diverse scope where analysis of information requires evaluation of identifiable factors
* Produce innovative solutions driven by exploratory data analysis from complex and high\-dimensional datasets
* Transform data into charts, tables, or format that aids effective decision making
* Utilize effective written and verbal communication to document analyses and present findings analyses to a diverse audience of stakeholders
* Develop and maintain strong working relationships with team members, subject matter experts, and leaders
* Lead moderate to large projects and initiatives
* Model best practices and ethical AI
* Works with senior management on complex issues
* Assist with the development and enhancement practices, procedures, and instructions
* Serve as technical resource for other team members
* Mentor lower levels
**Qualifications**
* 6\+ years of working experience with requisite competencies
* Complete knowledge and full understanding of specialization
* Statistics, machine learning , data mining, data auditing, aggregation, reconciliation, and visualization
* Programming, data modeling, simulation, and advanced mathematics
* SQL, R, Python, Hadoop, SAS, SPSS, Databricks, Scala, AWS
* Tableau, Power BI, or related data visualization tools
* Model lifecycle execution
* Technical writing
* Data storytelling and technical presentation skills
* Research Skills
* Interpersonal Skills
* Advanced knowledge of procedures, instructions and validation techniques
* Model Development
* Communication
* Critical Thinking
* Collaborate and Build Relationships
* Initiative with sound judgement
* Technical (Big Data Analysis, Coding, Project Management, Technical Writing, etc.)
* Independent Judgment
* Problem Solving (Identifies the constraints and risks)
* Bachelor's Degree in Data Science, Statistics, Mathematics, Computers Science, Engineering, or degrees in similar quantitative fields
**Desired Qualification(s)**
* Master's/PhD Degree in Data Science, Statistics, Mathematics, Computers Science, or Engineering
**Hours:** 
 Monday \- Friday, 8:00AM \- 4:30PM
**Locations:** 
 820 Follin Lane, Vienna, VA 22180 \| 5510 Heritage Oaks Drive, Pensacola, FL 32526
**About Us**
 Navy Federal provides much more than a job. We provide a meaningful career experience, including a culture that is energized, engaged and committed; and fierce appreciation for our teams, who are rewarded with highly competitive pay and generous benefits and perks.
 Our approach to careers is simple yet powerful: Make our mission your passion.
 Fortune 100 Best Companies to Work For 2025
 Yello and WayUp Top 100 Internship Programs
 Computerworld Best Places to Work in IT
 Newsweek Most Loved Workplaces
 2025 PEOPLE Companies That Care
 Newsweek Most Trustworthy Companies in America
 Military Times 2025 Best for Vets Employers
 Best Companies for Latinos to Work for 2024
 Forbes 2025 America's Best Large Employers
 Forbes 2025 America's Best Employers for New Grads
 Forbes 2025 America's Best Employers for Tech Workers
 2025 RippleMatch Campus Forward Award Winner for Overall Excellence
 Military.com Top Military Spouse Employers 2025
 2025 Handshake Early Talent Award
 From Fortune . 2025 Fortune Media IP Limited. All rights reserved. Used under license. Fortune and Fortune Media IP Limited are not affiliated with, and do not endorse products or services of, Navy Federal Credit Union.
**Equal Employment Opportunity:** 
 All qualified applicants will receive consideration for employment without regard to age, race, sex, color, religion, national origin, disability, veteran status, pregnancy, sexual orientation, genetic information, gender identity or any other basis protected by applicable law.
**Disclaimers:** 
 Navy Federal reserves the right to fill this role at a higher/lower grade level based on business need. An assessment may be required to compete for this position. Job postings are subject to close early or extend out longer than the anticipated closing date at the hiring team's discretion based on qualified applicant volume. Navy Federal Credit Union assesses market data to establish salary ranges that enable us to remain competitive. You are paid within the salary range, based on your experience, location and market position. For additional details regarding compensation and benefits, review the Benefits page of the Navy Federal Career Site.
**Protect Yourself from Job Scams:** 
 Navy Federal Credit Union jobs are posted on our career site, jobs.navyfederal.org and reputable job boards (e.g., LinkedIn, Indeed). We do not post jobs on social media marketplaces, messaging apps or unverified websites. We will never ask candidates for payment, bank details or personal financial information during the hiring process.
**Bank Secrecy Act:** 
 Remains cognizant of and adheres to Navy Federal policies and procedures, and regulations pertaining to the Bank Secrecy Act.</t>
        </is>
      </c>
    </row>
    <row r="63">
      <c r="A63" t="inlineStr">
        <is>
          <t>li-4357698121</t>
        </is>
      </c>
      <c r="B63" t="inlineStr">
        <is>
          <t>AML and Sanctions- Data Scientist-  Senior Associate</t>
        </is>
      </c>
      <c r="C63" t="inlineStr">
        <is>
          <t>PwC</t>
        </is>
      </c>
      <c r="D63" t="inlineStr">
        <is>
          <t>linkedin</t>
        </is>
      </c>
      <c r="E63">
        <f>HYPERLINK("https://www.linkedin.com/jobs/view/4357698121", "https://www.linkedin.com/jobs/view/4357698121")</f>
        <v/>
      </c>
      <c r="F63">
        <f>HYPERLINK("https://ad.doubleclick.net/ddm/clk/438405794;254302458;m?https://jobs.us.pwc.com/job/-/-/932/89658900016?utm_source=linkedin.com&amp;utm_campaign=core_media&amp;utm_medium=social_media&amp;utm_content=job_posting&amp;ss=paid&amp;urlHash=RyTv", "https://ad.doubleclick.net/ddm/clk/438405794;254302458;m?https://jobs.us.pwc.com/job/-/-/932/89658900016?utm_source=linkedin.com&amp;utm_campaign=core_media&amp;utm_medium=social_media&amp;utm_content=job_posting&amp;ss=paid&amp;urlHash=RyTv")</f>
        <v/>
      </c>
      <c r="G63" t="inlineStr">
        <is>
          <t>Washington, DC</t>
        </is>
      </c>
      <c r="H63" t="inlineStr"/>
      <c r="I63" t="inlineStr">
        <is>
          <t>**Specialty/Competency:** 
 Data, Analytics \&amp; AI
**Industry/Sector:** 
 Banking and Capital Markets
**Time Type:** 
 Full time
**Travel Requirements:** 
 Up to 60%
 At PwC, our people in data and analytics focus on leveraging data to drive insights and make informed business decisions. They utilise advanced analytics techniques to help clients optimise their operations and achieve their strategic goals. In business intelligence at PwC, you will focus on leveraging data and analytics to provide strategic insights and drive informed decision\-making for clients. You will develop and implement innovative solutions to optimise business performance and enhance competitive advantage.
 Focused on relationships, you are building meaningful client connections, and learning how to manage and inspire others. Navigating increasingly complex situations, you are growing your personal brand, deepening technical expertise and awareness of your strengths. You are expected to anticipate the needs of your teams and clients, and to deliver quality. Embracing increased ambiguity, you are comfortable when the path forward isn’t clear, you ask questions, and you use these moments as opportunities to grow.
**Skills**
 Examples of the skills, knowledge, and experiences you need to lead and deliver value at this level include but are not limited to:
* Respond effectively to the diverse perspectives, needs, and feelings of others.
* Use a broad range of tools, methodologies and techniques to generate new ideas and solve problems.
* Use critical thinking to break down complex concepts.
* Understand the broader objectives of your project or role and how your work fits into the overall strategy.
* Develop a deeper understanding of the business context and how it is changing.
* Use reflection to develop self awareness, enhance strengths and address development areas.
* Interpret data to inform insights and recommendations.
* Uphold and reinforce professional and technical standards (e.g. refer to specific PwC tax and audit guidance), the Firm's code of conduct, and independence requirements.
 The Opportunity
 As part of the Financial Crime Unit team you will apply analytical methods to complex datasets leveraging SQL and Python. As a Senior Associate you will analyze intricate problems, mentor Associates, and maintain exemplary standards while building meaningful client relationships. This role offers the chance to deepen your technical knowledge and personal brand while navigating the complexities of financial crime detection and machine learning applications.
**Responsibilities**
* Apply machine learning and natural language processing to financial crime challenges
* Develop a thorough understanding of the business landscape
* Navigate intricate scenarios to enhance personal and technical growth
* Leverage SQL and Python for data analysis and problem\-solving
 What You Must Have
* Bachelor's Degree in Computer and Information Science, Economics, Engineering, Operations Management/Research, Statistics, Data Processing/Analytics/Science, Mathematics
* 3 years of professional experience in data science/machine learning
 What Sets You Apart
* Experience mentoring junior team members
* Proven ability in developing machine learning models
* Demonstrating advanced skills in Python and SQL
* Familiarity with MLOps practices for model monitoring
* Comfort working with structured and unstructured data
* Experience with cloud platforms and containerization
* Knowledge of agentic AI frameworks for workflows
* Ability to translate client requirements into analytical solutions
* Proficiency in SQL and Python
* Hands\-on experience with ML frameworks (scikit\-learn, XGBoost, LightGBM, Hugging Face)
* Thorough understanding of model evaluation metrics across tasks
 Learn more about how we work: https://pwc.to/how\-we\-work
 PwC does not intend to hire experienced or entry level job seekers who will need, now or in the future, PwC sponsorship through the H\-1B lottery, except as set forth within the following policy: https://pwc.to/H\-1B\-Lottery\-Policy.
 As PwC is an equal opportunity employer, all qualified applicants will receive consideration for employment at PwC without regard to race; color; religion; national origin; sex (including pregnancy, sexual orientation, and gender identity); age; disability; genetic information (including family medical history); veteran, marital, or citizenship status; or, any other status protected by law.
 For only those qualified applicants that are impacted by the Los Angeles County Fair Chance Ordinance for Employers, the Los Angeles' Fair Chance Initiative for Hiring Ordinance, the San Francisco Fair Chance Ordinance, San Diego County Fair Chance Ordinance, and the California Fair Chance Act, where applicable, arrest or conviction records will be considered for Employment in accordance with these laws. At PwC, we recognize that conviction records may have a direct, adverse, and negative relationship to responsibilities such as accessing sensitive company or customer information, handling proprietary assets, or collaborating closely with team members. We evaluate these factors thoughtfully to establish a secure and trusted workplace for all.
 The salary range for this position is: $77,000 \- $202,000\. Actual compensation within the range will be dependent upon the individual's skills, experience, qualifications and location, and applicable employment laws. All hired individuals are eligible for an annual discretionary bonus. PwC offers a wide range of benefits, including medical, dental, vision, 401k, holiday pay, vacation, personal and family sick leave, and more. To view our benefits at a glance, please visit the following link: https://pwc.to/benefits\-at\-a\-glance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2026-01-15T21:11:18Z</dcterms:created>
  <dcterms:modified xsi:type="dcterms:W3CDTF">2026-01-15T21:11:18Z</dcterms:modified>
</cp:coreProperties>
</file>