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in-5ac46956e42fbd3e</t>
        </is>
      </c>
      <c r="B2" t="inlineStr">
        <is>
          <t>Software Engineer in Test/QA Engineer</t>
        </is>
      </c>
      <c r="C2" t="inlineStr">
        <is>
          <t>CGI</t>
        </is>
      </c>
      <c r="D2" t="inlineStr">
        <is>
          <t>indeed</t>
        </is>
      </c>
      <c r="E2">
        <f>HYPERLINK("https://www.indeed.com/viewjob?jk=5ac46956e42fbd3e", "https://www.indeed.com/viewjob?jk=5ac46956e42fbd3e")</f>
        <v/>
      </c>
      <c r="F2">
        <f>HYPERLINK("https://click.appcast.io/t/_SugnYg_1VhBkCY4dJtKgGsDKMh0JnJ1hecGHPvArXw=", "https://click.appcast.io/t/_SugnYg_1VhBkCY4dJtKgGsDKMh0JnJ1hecGHPvArXw=")</f>
        <v/>
      </c>
      <c r="G2" t="inlineStr">
        <is>
          <t>Westlake, TX, US</t>
        </is>
      </c>
      <c r="H2" s="2" t="n">
        <v>46036</v>
      </c>
      <c r="I2" t="inlineStr">
        <is>
          <t>U.S. \- The best version of me
By playing this video you consent to Google/YouTube processing your data and using cookies Learn more.
**Position Description:**
-------------------------
The best version of us starts with You!  
We CGI is seeking a Quality Assurance Engineer who excels in fast\-paced Agile environments and is passionate about delivering high\-quality software through automation, collaboration, and continuous improvement. This role involves working on enterprise\-grade web applications and APIs, using cutting\-edge tools and frameworks to ensure robust, scalable, and reliable releases.  
This is a Full Time Employment opportunity based in Westlake, TX in Hybrid On\-Site Model.
**Your future duties and responsibilities:**
--------------------------------------------
* Design, develop, and maintain automated test suites using Selenium/Serenity (Java) and Playwright
* Collaborate with developers, product owners, and QA peers to refine user stories and define test strategies
* Execute functional, regression, and end\-to\-end tests across web applications and APIs
* Log, track, and triage defects; work with teams to ensure timely resolution
* Participate in sprint ceremonies, product demos, and production deployment verifications
* Leverage GitHub Copilot and other generative AI tools to enhance test coverage and efficiency
* Contribute to CI/CD pipelines and ensure smooth integration of automated tests
* Support BDD practices and contribute to Gherkin\-based test scenarios
**Required qualifications to be successful in this role:**
----------------------------------------------------------
At least 6\-9 years of proven experience in QA Engineering and Software Development  
* Hands\-on expertise with Selenium/Serenity (Java) and Playwright
* Strong understanding of software development principles, coding standards, and design patterns
* Experience with SQL and NoSQL databases
* Familiarity with Agile methodologies (Scrum) and CI/CD workflows
* Exposure to BDD frameworks; Gherkin experience is a plus
* Excellent communication, analytical, and problem\-solving skills
Preferred Skills  
* Experience with generative AI tools like GitHub Copilot
* Familiarity with cloud platforms and containerized environments
* Passion for automation\-first testing and continuous learning
Education: B.S. in Computer Science, Engineering, Mathematics, or equivalent experience  
\#LI\-ARK1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$71,700\.00 \- $153,300\.00\.  
CGI's benefits are offered to eligible professionals on their first day of employment to include:
. Competitive compensation  
. Comprehensive insurance options  
. Matching contributions through the 401(k) plan and the share purchase plan  
. Paid time off for vacation, holidays, and sick time  
. Paid parental leave  
. Learning opportunities and tuition assistance  
. Wellness and Well\-being programs
**Skills:**
-----------
* Java
* Selenium
* SQL
* Test Case / Script Development
* Test Design
* Test Strategies
**What you can expect from us:**
--------------------------------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3">
      <c r="A3" t="inlineStr">
        <is>
          <t>in-28095e6fb2388082</t>
        </is>
      </c>
      <c r="B3" t="inlineStr">
        <is>
          <t>Senior .Net/Angular/node.js Developer - Software Engineer IV</t>
        </is>
      </c>
      <c r="C3" t="inlineStr">
        <is>
          <t>Truist</t>
        </is>
      </c>
      <c r="D3" t="inlineStr">
        <is>
          <t>indeed</t>
        </is>
      </c>
      <c r="E3">
        <f>HYPERLINK("https://www.indeed.com/viewjob?jk=28095e6fb2388082", "https://www.indeed.com/viewjob?jk=28095e6fb2388082")</f>
        <v/>
      </c>
      <c r="F3">
        <f>HYPERLINK("https://careers.truist.com/us/en/job/TBJTBFUSR0110288EXTERNALENUS/Senior-Net-Angular-node-js-Developer-Software-Engineer-IV?utm_source=indeed&amp;utm_medium=phenom-feeds", "https://careers.truist.com/us/en/job/TBJTBFUSR0110288EXTERNALENUS/Senior-Net-Angular-node-js-Developer-Software-Engineer-IV?utm_source=indeed&amp;utm_medium=phenom-feeds")</f>
        <v/>
      </c>
      <c r="G3" t="inlineStr">
        <is>
          <t>Richmond, VA, US</t>
        </is>
      </c>
      <c r="H3" s="2" t="n">
        <v>46036</v>
      </c>
      <c r="I3"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The Senior Wealth Software Engineer is a senior\-level engineering team lead with extensive knowledge of node.js, Angular and .NET Core. He/ She will be responsible for delivering highly complex, scalable software solutions with a focus on payment systems and large\-scale transaction processing. This role combines deep technical expertise with strong technical leadership, guiding engineering teams through architecture, design, and implementation phases. The ideal candidate is a hands\-on engineer with a proven track record in AWS cloud\-native development, distributed systems, and modern software engineering practices. This role is critical in shaping the technical direction of the team while remaining deeply embedded in the codebase and delivery lifecycle.**Essential Duties and Responsibilities**
Following is a summary of the essential functions for this job. Other duties may be performed, both major and minor, which are not mentioned below. Specific activities may change from time to time.
* Lead the design, development, and deployment of highly scalable and resilient software systems, particularly in the payments and financial transaction domain.
* Architect cloud\-native solutions using AWS services, ensuring performance, security, and operational excellence.
* Provide technical leadership and mentorship to engineers, fostering a culture of continuous improvement, innovation, and accountability.
* Collaborate with product owners, architects, and cross\-functional teams to translate business requirements into robust technical solutions.
* Drive Agile best practices, including story refinement, test\-driven development, CI/CD automation, and DevSecOps integration.
* Troubleshoot and resolve complex technical issues across the stack, from infrastructure to application logic.
* Champion engineering excellence through code reviews, design reviews, and hands\-on development.
* Contribute to the evolution of system architecture and engineering standards across the organization.
**Qualifications**
**Required Qualifications:**
The requirements listed below are representative of the knowledge, skill and/or ability required. Reasonable accommodations may be made to enable individuals with disabilities to perform the essential functions.
1\. Bachelor’s degree and eight to twelve years of experience as a developer or equivalent education and related training or experience
2\. Deep specialized and/or broad functional knowledge
3\. Sound understanding of business and organizational strategies and processes 4\. Ability to interpret internal and external business challenges and recommend best practices
5\. Ability to lead complex projects
6\. Sophisticated analytical skills and the ability to solve complex technical and business problems
7\. Ability to influence others at senior levels to adopt a new perspective
**Preferred Qualifications:**
* Master’s degree in Computer Science or related field, or equivalent experience.
* 10\+ years of professional software engineering experience, including 3\+ years in a technical leadership or team lead role.
* Deep expertise in payment systems, transaction processing, and financial services platforms.
* Strong architectural background with experience designing distributed systems and event\-driven architectures.
* Hands on experience with application/api development with .net core, Node.js, Angular
* Experience with SQL development, database schema design , ETL understanding using SSIS/SSDT
* Advanced proficiency in AWS services (e.g., Lambda, ECS/EKS, S3, DynamoDB, API Gateway, CloudFormation).
* Solid foundation in data structures, algorithms, and software design patterns.
* Experience with messaging systems (e.g., MQ, JMS, Kafka) and relational/non\-relational databases.
* Proficiency with CI/CD pipelines and tools such as Git, Jenkins, Maven, and Terraform.
* Excellent communication skills and the ability to influence stakeholders at all levels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4">
      <c r="A4" t="inlineStr">
        <is>
          <t>in-fb6ee5e230069783</t>
        </is>
      </c>
      <c r="B4" t="inlineStr">
        <is>
          <t>Full-Stack Software Engineer</t>
        </is>
      </c>
      <c r="C4" t="inlineStr">
        <is>
          <t>CLASP</t>
        </is>
      </c>
      <c r="D4" t="inlineStr">
        <is>
          <t>indeed</t>
        </is>
      </c>
      <c r="E4">
        <f>HYPERLINK("https://www.indeed.com/viewjob?jk=fb6ee5e230069783", "https://www.indeed.com/viewjob?jk=fb6ee5e230069783")</f>
        <v/>
      </c>
      <c r="F4">
        <f>HYPERLINK("https://jobs.ashbyhq.com/clasp-group/2bcb2aa7-b4c5-4b64-ad4a-599be47f7326?utm_source=wlxOm6RDZx", "https://jobs.ashbyhq.com/clasp-group/2bcb2aa7-b4c5-4b64-ad4a-599be47f7326?utm_source=wlxOm6RDZx")</f>
        <v/>
      </c>
      <c r="G4" t="inlineStr">
        <is>
          <t>Boston, MA, US</t>
        </is>
      </c>
      <c r="H4" s="2" t="n">
        <v>46036</v>
      </c>
      <c r="I4" t="inlineStr">
        <is>
          <t>**Full\-Stack Software Engineer**
**Location: Boston, MA (Hybrid — 2 days per week in office)**
-----------------------------------------------------------------------------------------------
**About Us**
------------
Clasp is a venture\-backed, mission\-driven startup transforming access to education and career pathways. We’re revolutionizing how employers attract and retain critical talent while tackling the student debt crisis. (Yep—we think BIG.)
Our platform connects employers, educational institutions, and diverse talent using accessible education financing as the thread. More than a fintech startup, we’re a catalyst for economic mobility.
We’re proud to be a Forbes Fintech 50 company, a portfolio company of SHRM (the largest HR organization in the world), and a recipient of “Startup of the Year” from StartUp Boston. Join us as we reshape the future of work and education—one opportunity at a time.
**The Role – Full\-Stack Engineer**
-----------------------------------
We’re looking for a Full\-Stack Software Engineer to join our Engineering team as we scale our product to serve tens of thousands more students and expand partnerships with alternative education providers and employers.
This role is ideal for an engineer who enjoys building end\-to\-end features, collaborating closely with product and design, and growing their technical depth in a production environment. We’re especially excited about engineers who are deeply customer\-obsessed—who think beyond the ticket in front of them, care about how real users experience the product, and take pride in leaving systems, code, and processes better than they found them.
You’ll contribute meaningfully across the stack—frontend, backend, and infrastructure—while learning from experienced engineers and operating within a strong DevOps culture. At Clasp, engineers have real ownership over the systems they build. You’ll be trusted to take features from idea to production, improve existing systems, and continuously strengthen your craft as part of a supportive, mission\-driven team.
**What You’ll Do**
------------------
* Build, enhance, and maintain features across our application management and loan repayment platform, contributing to both frontend and backend systems
* Leave the codebase and systems better than you found them by improving clarity, reliability, documentation, and developer experience as you work
* Develop polished, accessible user experiences for students and administrators, and reliable APIs for internal and external partners
* Build with a strong sense of customer empathy, considering usability, accessibility, and long\-term maintainability in everyday engineering decisions
* Collaborate with product managers, designers, and fellow engineers to understand requirements and translate them into well\-designed, maintainable solutions
* Write high\-quality, well\-tested code and participate in code reviews to continuously improve team standards
* Contribute to system reliability and performance by improving existing services, fixing bugs, and addressing technical debt
* Participate in our DevOps culture by owning the services you build, supporting deployments, and helping maintain production stability
* Learn and grow by taking on increasingly complex problems over time, with support and mentorship from senior engineers
* Participate in on\-call rotations as needed, contributing to resilient, observable, and well\-monitored systems
**What You’ll Need**
--------------------
* Bachelor’s degree in Computer Science, Software Engineering, Information Systems, or equivalent practical experience (bootcamp or professional experience)
* 2–6\+ years of experience building web applications in a production environment (startup or fast\-paced product team preferred)
* Experience contributing to full\-stack systems, including frontend, backend, and basic cloud infrastructure
* A customer\-first mindset and a sense of ownership over the quality and durability of the work you ship
* Care for craft—taking pride in improving existing systems, not just shipping new features
* Comfort working with modern CI/CD pipelines and deployment workflows (e.g., GitHub Actions, CircleCI, Jenkins)
* Ability to collaborate effectively with cross\-functional partners and communicate technical ideas clearly
* Experience working in or interest in regulated environments (e.g., fintech, healthcare, education) is a plus, but not required
**Technical Experience (some combination of):**
-----------------------------------------------
* **Languages \&amp; Frameworks:** JavaScript / TypeScript, React, Next.js, Python (Django, Flask, FastAPI, or similar)
* **Frontend:** HTML, CSS, responsive design principles; familiarity with Figma designs
* **Databases:** SQL (PostgreSQL preferred)
* **Cloud:** AWS or Google Cloud
* **DevOps:** CI/CD pipelines, basic cloud and container tooling
You don’t need to be an expert in everything—we value strong fundamentals, curiosity, and a growth mindset.
**What We Give in Return**
--------------------------
* Competitive cash and equity compensation
* Health benefits (medical, dental, vision) and 401(k)
* Commuter benefits
* Flexible PTO policy
* A collaborative, mission\-driven team with strong technical mentorship
* Opportunities to grow your skills and career as Clasp scales
 **Compensation**
The salary range for this position is competitive and will be commensurate with the candidate's experience, qualifications, and industry knowledge, ranging between $100,000 to $145,000 annually. In addition to the base salary, we offer an attractive equity component as part of our compensation package, providing an opportunity for eligible employees to share in the success and growth of our company. We are committed to offering competitive compensation and benefits packages to attract and retain top talent.
**Closing**
If you are a highly driven individual with a passion for technology, and you thrive in a dynamic and fast\-paced environment, we want to hear from you! Join us in revolutionizing the workforce solution industry and making a meaningful impact on businesses worldwide. Apply now to be a part of our growing team!  
We are committed to creating a diverse and inclusive workplace where all employees feel valued, respected, and empowered to contribute their unique perspectives and talents. Clasp is an equal opportunity employer and prohibits discrimination and harassment of any kind. We embrace diversity and are dedicated to providing equal employment opportunities to all individuals regardless of race, color, religion, sex, sexual orientation, gender identity, national origin, age, disability, veteran status, or any other characteristic protected by law.</t>
        </is>
      </c>
    </row>
    <row r="5">
      <c r="A5" t="inlineStr">
        <is>
          <t>in-a69134b4af02a4bd</t>
        </is>
      </c>
      <c r="B5" t="inlineStr">
        <is>
          <t>Senior Software Engineer</t>
        </is>
      </c>
      <c r="C5" t="inlineStr">
        <is>
          <t>Umbra Space</t>
        </is>
      </c>
      <c r="D5" t="inlineStr">
        <is>
          <t>indeed</t>
        </is>
      </c>
      <c r="E5">
        <f>HYPERLINK("https://www.indeed.com/viewjob?jk=a69134b4af02a4bd", "https://www.indeed.com/viewjob?jk=a69134b4af02a4bd")</f>
        <v/>
      </c>
      <c r="F5">
        <f>HYPERLINK("https://apply.workable.com/j/19D155AA48", "https://apply.workable.com/j/19D155AA48")</f>
        <v/>
      </c>
      <c r="G5" t="inlineStr">
        <is>
          <t>Santa Barbara, CA, US</t>
        </is>
      </c>
      <c r="H5" s="2" t="n">
        <v>46036</v>
      </c>
      <c r="I5" t="inlineStr">
        <is>
          <t>Umbra is an American space technology company delivering advanced systems, from sensors to spacecraft, that empower customers worldwide with unmatched access to critical information from space. Our mission is simple and ambitious: redefine space—for people, systems, and missions in every domain. Umbra’s ecosystem operates through three business units: Remote Sensing (the data), Space Systems (the components), and Mission Solutions (the platforms).Together, our teams develop capabilities that deliver persistent access, resilient performance, and mission\-ready solutions, advancing U.S. space leadership while keeping the world safe and informed.
**About the Team**
**Remote Sensing – The Data**
Remote Sensing is where Umbra got its start, and our agile Synthetic Aperture Radar (SAR) constellation remains the most capable on the market. We transform satellite data into real\-world, actionable insights that strengthen U.S. national security and intelligence, support disaster response, and advance scientific discovery. Our team delivers data at scale with unmatched quality, persistence, and the speed and responsiveness our partners demand.
If you want to work on cutting\-edge space technology that’s redefining what’s possible in remote sensing, you belong here at Umbra.
**About the Job**  
We are seeking a Senior Software Engineer to join our Scheduling team and help expand our capacity to design, build, and maintain the critical systems that support our autonomous satellite operations. The individual filling this position will collaborate with product owners and multidisciplinary engineering teams to analyze, develop, and maintain backend software. In this role, you will take ownership of key services alongside our existing engineers, helping distribute operational responsibility and accelerate our roadmap delivery.  
**Our aim is to hire this position to work in either our Santa Barbara/Goleta, CA office, Arlington, VA office, or Reston, VA office (coming soon).**  
**Key Responsibilities**
* Design, develop, and maintain reliable, scalable, and secure mission control and communications systems.
* Take shared ownership of critical services, reducing single\-threaded dependencies and improving team resilience.
* Contribute to architectural decisions and influence system design for reliability and maintainability.
* Collaborate with cross\-functional teams, including operations and platform engineering, to deliver end\-to\-end solutions.
* Participate in on\-call rotations and ensure system uptime and performance goals are met.
**Requirements**
### **Required Qualifications**
* Bachelor of Science in Computer Science or equivalent experience.
* 5\-8\+ years of professional experience developing highly available web services with server\-side scripting languages, preferably Python.
* 3\-5\+ years of experience designing, developing, and testing intuitive and well\-documented commercial RESTful API.
* Demonstrated foundational understanding of software architecture, event\-driven microservices, interface design, and automated testing patterns.
* 2\+ years of professional experience developing automated build and test pipelines in a CI/CD lifecycle.
* Experience with database\-backed applications and relational database concepts, preferably Postgres.
* Solid understanding of cloud and application security, access control, and identity management.
* Experience developing Kubernetes/Docker containerized services.
* Experience with AWS or other cloud computing platforms.
* Ability to obtain and maintain a U.S. Government security clearance. Applicants must be U.S. citizens to obtain and maintain a security clearance.
### **Desired Qualifications**
* Good communication skills, ability to work collaboratively in a team environment, and willingness to learn new skills and technology.
* Experience working in the aerospace industry.
* Experience designing and implementing scheduling systems and algorithms.
* Strong understanding of infrastructure monitoring principles, best practices, and implementation.
* Experience building custom GIS applications, STAC, or other imagery based APIs.
* Experience designing and documenting APIs with Swagger/OpenAPI.
* Active security clearance.
**Benefits**
* Flexible Time Off, Sick, Family \&amp; Medical Leave
* Medical, Dental, Vision, Life, LTD, STD (employer funded)
* Vol Life, Critical Illness, Accidental, Hospital Indemnity, Pet Insurance (employee funded)
* 401k with 3% non\-elective company contribution
* Stock Options
* Free Parking
* Free lunch in office daily
**Umbra is an Equal Opportunity Employer. We do not discriminate in hiring on the basis of sex, gender identity, sexual orientation, race, color, religious creed, national origin, physical or mental disability, protected veteran status, or any other characteristic protected by federal, state, or local law. U.S. Citizenship is required for all positions requiring an active U.S. Government security clearance or the ability to obtain and maintain a security clearance.**
**Employment Eligibility Verification**
In compliance with federal laws, all hired persons will be required to verify their identity and eligibility to work in the United States by completing the required Employment Eligibility Verification Form (I\-9 Form) upon hire.
**ITAR/EAR Requirements**
This position may include access to technology and/or data that is subject to U.S. export controls pursuant to ITAR and EAR. To comply with federal export controls, all persons hired must be a U.S. citizen, U.S. national, U.S. lawful permanent resident, refugee or asylee as defined by 8 U.S.C. § 1324b(a)(3\), or must otherwise be eligible to obtain the required authorizations from the U.S. Department of State and/or U.S. Department of Commerce as applicable.
**Pay Transparency**  
This job posting may cover multiple career levels. To ensure greater transparency, we provide base salary ranges for all roles, regardless of location. Our standard pay ranges are based on the role’s function and level, benchmarked against similar growth\-stage companies. Compensation may vary based on geographical location, as certain regions may have different cost\-of\-living factors. The final offer will also be influenced by the candidate's skills, responsibilities, and relevant experience.
**Compensation Range**
The Compensation Range for this role is $155,000 \- $185,000 DOE.</t>
        </is>
      </c>
    </row>
    <row r="6">
      <c r="A6" t="inlineStr">
        <is>
          <t>in-2d601896ef2f6d15</t>
        </is>
      </c>
      <c r="B6" t="inlineStr">
        <is>
          <t>Senior Software Engineer</t>
        </is>
      </c>
      <c r="C6" t="inlineStr">
        <is>
          <t>Umbra Space</t>
        </is>
      </c>
      <c r="D6" t="inlineStr">
        <is>
          <t>indeed</t>
        </is>
      </c>
      <c r="E6">
        <f>HYPERLINK("https://www.indeed.com/viewjob?jk=2d601896ef2f6d15", "https://www.indeed.com/viewjob?jk=2d601896ef2f6d15")</f>
        <v/>
      </c>
      <c r="F6">
        <f>HYPERLINK("https://apply.workable.com/j/32B25B0571", "https://apply.workable.com/j/32B25B0571")</f>
        <v/>
      </c>
      <c r="G6" t="inlineStr">
        <is>
          <t>Arlington, VA, US</t>
        </is>
      </c>
      <c r="H6" s="2" t="n">
        <v>46036</v>
      </c>
      <c r="I6" t="inlineStr">
        <is>
          <t>Umbra is an American space technology company delivering advanced systems, from sensors to spacecraft, that empower customers worldwide with unmatched access to critical information from space. Our mission is simple and ambitious: redefine space—for people, systems, and missions in every domain. Umbra’s ecosystem operates through three business units: Remote Sensing (the data), Space Systems (the components), and Mission Solutions (the platforms).Together, our teams develop capabilities that deliver persistent access, resilient performance, and mission\-ready solutions, advancing U.S. space leadership while keeping the world safe and informed.
**About the Team**
**Remote Sensing – The Data**
Remote Sensing is where Umbra got its start, and our agile Synthetic Aperture Radar (SAR) constellation remains the most capable on the market. We transform satellite data into real\-world, actionable insights that strengthen U.S. national security and intelligence, support disaster response, and advance scientific discovery. Our team delivers data at scale with unmatched quality, persistence, and the speed and responsiveness our partners demand.
If you want to work on cutting\-edge space technology that’s redefining what’s possible in remote sensing, you belong here at Umbra.
**About the Job**  
We are seeking a Senior Software Engineer to join our Scheduling team and help expand our capacity to design, build, and maintain the critical systems that support our autonomous satellite operations. The individual filling this position will collaborate with product owners and multidisciplinary engineering teams to analyze, develop, and maintain backend software. In this role, you will take ownership of key services alongside our existing engineers, helping distribute operational responsibility and accelerate our roadmap delivery.  
**Our aim is to hire this position to work in either our Santa Barbara/Goleta, CA office, Arlington, VA office, or Reston, VA office (coming soon).**  
**Key Responsibilities**
* Design, develop, and maintain reliable, scalable, and secure mission control and communications systems.
* Take shared ownership of critical services, reducing single\-threaded dependencies and improving team resilience.
* Contribute to architectural decisions and influence system design for reliability and maintainability.
* Collaborate with cross\-functional teams, including operations and platform engineering, to deliver end\-to\-end solutions.
* Participate in on\-call rotations and ensure system uptime and performance goals are met.
**Requirements**
### **Required Qualifications**
* Bachelor of Science in Computer Science or equivalent experience.
* 5\-8\+ years of professional experience developing highly available web services with server\-side scripting languages, preferably Python.
* 3\-5\+ years of experience designing, developing, and testing intuitive and well\-documented commercial RESTful API.
* Demonstrated foundational understanding of software architecture, event\-driven microservices, interface design, and automated testing patterns.
* 2\+ years of professional experience developing automated build and test pipelines in a CI/CD lifecycle.
* Experience with database\-backed applications and relational database concepts, preferably Postgres.
* Solid understanding of cloud and application security, access control, and identity management.
* Experience developing Kubernetes/Docker containerized services.
* Experience with AWS or other cloud computing platforms.
* Ability to obtain and maintain a U.S. Government security clearance. Applicants must be U.S. citizens to obtain and maintain a security clearance.
### **Desired Qualifications**
* Good communication skills, ability to work collaboratively in a team environment, and willingness to learn new skills and technology.
* Experience working in the aerospace industry.
* Experience designing and implementing scheduling systems and algorithms.
* Strong understanding of infrastructure monitoring principles, best practices, and implementation.
* Experience building custom GIS applications, STAC, or other imagery based APIs.
* Experience designing and documenting APIs with Swagger/OpenAPI.
* Active security clearance.
**Benefits**
* Flexible Time Off, Sick, Family \&amp; Medical Leave
* Medical, Dental, Vision, Life, LTD, STD (employer funded)
* Vol Life, Critical Illness, Accidental, Hospital Indemnity, Pet Insurance (employee funded)
* 401k with 3% non\-elective company contribution
* Stock Options
* Free Parking
* Free lunch in office daily
**Umbra is an Equal Opportunity Employer. We do not discriminate in hiring on the basis of sex, gender identity, sexual orientation, race, color, religious creed, national origin, physical or mental disability, protected veteran status, or any other characteristic protected by federal, state, or local law. U.S. Citizenship is required for all positions requiring an active U.S. Government security clearance or the ability to obtain and maintain a security clearance.**
**Employment Eligibility Verification**
In compliance with federal laws, all hired persons will be required to verify their identity and eligibility to work in the United States by completing the required Employment Eligibility Verification Form (I\-9 Form) upon hire.
**ITAR/EAR Requirements**
This position may include access to technology and/or data that is subject to U.S. export controls pursuant to ITAR and EAR. To comply with federal export controls, all persons hired must be a U.S. citizen, U.S. national, U.S. lawful permanent resident, refugee or asylee as defined by 8 U.S.C. § 1324b(a)(3\), or must otherwise be eligible to obtain the required authorizations from the U.S. Department of State and/or U.S. Department of Commerce as applicable.
**Pay Transparency**  
This job posting may cover multiple career levels. To ensure greater transparency, we provide base salary ranges for all roles, regardless of location. Our standard pay ranges are based on the role’s function and level, benchmarked against similar growth\-stage companies. Compensation may vary based on geographical location, as certain regions may have different cost\-of\-living factors. The final offer will also be influenced by the candidate's skills, responsibilities, and relevant experience.
**Compensation Range**
The Compensation Range for this role is $155,000 \- $185,000 DOE.</t>
        </is>
      </c>
    </row>
    <row r="7">
      <c r="A7" t="inlineStr">
        <is>
          <t>in-cc9cb70f344fb0f4</t>
        </is>
      </c>
      <c r="B7" t="inlineStr">
        <is>
          <t>Senior Software Engineer</t>
        </is>
      </c>
      <c r="C7" t="inlineStr">
        <is>
          <t>Umbra Space</t>
        </is>
      </c>
      <c r="D7" t="inlineStr">
        <is>
          <t>indeed</t>
        </is>
      </c>
      <c r="E7">
        <f>HYPERLINK("https://www.indeed.com/viewjob?jk=cc9cb70f344fb0f4", "https://www.indeed.com/viewjob?jk=cc9cb70f344fb0f4")</f>
        <v/>
      </c>
      <c r="F7">
        <f>HYPERLINK("https://apply.workable.com/j/E78108473A", "https://apply.workable.com/j/E78108473A")</f>
        <v/>
      </c>
      <c r="G7" t="inlineStr">
        <is>
          <t>Reston, VA, US</t>
        </is>
      </c>
      <c r="H7" s="2" t="n">
        <v>46036</v>
      </c>
      <c r="I7" t="inlineStr">
        <is>
          <t>Umbra is an American space technology company delivering advanced systems, from sensors to spacecraft, that empower customers worldwide with unmatched access to critical information from space. Our mission is simple and ambitious: redefine space—for people, systems, and missions in every domain. Umbra’s ecosystem operates through three business units: Remote Sensing (the data), Space Systems (the components), and Mission Solutions (the platforms).Together, our teams develop capabilities that deliver persistent access, resilient performance, and mission\-ready solutions, advancing U.S. space leadership while keeping the world safe and informed.
**About the Team**
**Remote Sensing – The Data**
Remote Sensing is where Umbra got its start, and our agile Synthetic Aperture Radar (SAR) constellation remains the most capable on the market. We transform satellite data into real\-world, actionable insights that strengthen U.S. national security and intelligence, support disaster response, and advance scientific discovery. Our team delivers data at scale with unmatched quality, persistence, and the speed and responsiveness our partners demand.
If you want to work on cutting\-edge space technology that’s redefining what’s possible in remote sensing, you belong here at Umbra.
**About the Job**  
We are seeking a Senior Software Engineer to join our Scheduling team and help expand our capacity to design, build, and maintain the critical systems that support our autonomous satellite operations. The individual filling this position will collaborate with product owners and multidisciplinary engineering teams to analyze, develop, and maintain backend software. In this role, you will take ownership of key services alongside our existing engineers, helping distribute operational responsibility and accelerate our roadmap delivery.  
**Our aim is to hire this position to work in either our Santa Barbara/Goleta, CA office, Arlington, VA office, or Reston, VA office (coming soon).**  
**Key Responsibilities**
* Design, develop, and maintain reliable, scalable, and secure mission control and communications systems.
* Take shared ownership of critical services, reducing single\-threaded dependencies and improving team resilience.
* Contribute to architectural decisions and influence system design for reliability and maintainability.
* Collaborate with cross\-functional teams, including operations and platform engineering, to deliver end\-to\-end solutions.
* Participate in on\-call rotations and ensure system uptime and performance goals are met.
**Requirements**
### **Required Qualifications**
* Bachelor of Science in Computer Science or equivalent experience.
* 5\-8\+ years of professional experience developing highly available web services with server\-side scripting languages, preferably Python.
* 3\-5\+ years of experience designing, developing, and testing intuitive and well\-documented commercial RESTful API.
* Demonstrated foundational understanding of software architecture, event\-driven microservices, interface design, and automated testing patterns.
* 2\+ years of professional experience developing automated build and test pipelines in a CI/CD lifecycle.
* Experience with database\-backed applications and relational database concepts, preferably Postgres.
* Solid understanding of cloud and application security, access control, and identity management.
* Experience developing Kubernetes/Docker containerized services.
* Experience with AWS or other cloud computing platforms.
* Ability to obtain and maintain a U.S. Government security clearance. Applicants must be U.S. citizens to obtain and maintain a security clearance.
### **Desired Qualifications**
* Good communication skills, ability to work collaboratively in a team environment, and willingness to learn new skills and technology.
* Experience working in the aerospace industry.
* Experience designing and implementing scheduling systems and algorithms.
* Strong understanding of infrastructure monitoring principles, best practices, and implementation.
* Experience building custom GIS applications, STAC, or other imagery based APIs.
* Experience designing and documenting APIs with Swagger/OpenAPI.
* Active security clearance.
**Benefits**
* Flexible Time Off, Sick, Family \&amp; Medical Leave
* Medical, Dental, Vision, Life, LTD, STD (employer funded)
* Vol Life, Critical Illness, Accidental, Hospital Indemnity, Pet Insurance (employee funded)
* 401k with 3% non\-elective company contribution
* Stock Options
* Free Parking
* Free lunch in office daily
**Umbra is an Equal Opportunity Employer. We do not discriminate in hiring on the basis of sex, gender identity, sexual orientation, race, color, religious creed, national origin, physical or mental disability, protected veteran status, or any other characteristic protected by federal, state, or local law. U.S. Citizenship is required for all positions requiring an active U.S. Government security clearance or the ability to obtain and maintain a security clearance.**
**Employment Eligibility Verification**
In compliance with federal laws, all hired persons will be required to verify their identity and eligibility to work in the United States by completing the required Employment Eligibility Verification Form (I\-9 Form) upon hire.
**ITAR/EAR Requirements**
This position may include access to technology and/or data that is subject to U.S. export controls pursuant to ITAR and EAR. To comply with federal export controls, all persons hired must be a U.S. citizen, U.S. national, U.S. lawful permanent resident, refugee or asylee as defined by 8 U.S.C. § 1324b(a)(3\), or must otherwise be eligible to obtain the required authorizations from the U.S. Department of State and/or U.S. Department of Commerce as applicable.
**Pay Transparency**  
This job posting may cover multiple career levels. To ensure greater transparency, we provide base salary ranges for all roles, regardless of location. Our standard pay ranges are based on the role’s function and level, benchmarked against similar growth\-stage companies. Compensation may vary based on geographical location, as certain regions may have different cost\-of\-living factors. The final offer will also be influenced by the candidate's skills, responsibilities, and relevant experience.
**Compensation Range**
The Compensation Range for this role is $155,000 \- $185,000 DOE.</t>
        </is>
      </c>
    </row>
    <row r="8">
      <c r="A8" t="inlineStr">
        <is>
          <t>in-8a6467aecfa9e7ec</t>
        </is>
      </c>
      <c r="B8" t="inlineStr">
        <is>
          <t>Software Engineer II, Data</t>
        </is>
      </c>
      <c r="C8" t="inlineStr"/>
      <c r="D8" t="inlineStr">
        <is>
          <t>indeed</t>
        </is>
      </c>
      <c r="E8">
        <f>HYPERLINK("https://www.indeed.com/viewjob?jk=8a6467aecfa9e7ec", "https://www.indeed.com/viewjob?jk=8a6467aecfa9e7ec")</f>
        <v/>
      </c>
      <c r="F8">
        <f>HYPERLINK("https://jobs.ashbyhq.com/iambic-therapeutics/8c144381-2dd0-49eb-8a20-024bd9445a12?utm_source=zma4exPBRA", "https://jobs.ashbyhq.com/iambic-therapeutics/8c144381-2dd0-49eb-8a20-024bd9445a12?utm_source=zma4exPBRA")</f>
        <v/>
      </c>
      <c r="G8" t="inlineStr">
        <is>
          <t>San Diego, CA, US</t>
        </is>
      </c>
      <c r="H8" s="2" t="n">
        <v>46036</v>
      </c>
      <c r="I8" t="inlineStr">
        <is>
          <t>JOB SUMMARY
We’re seeking a Data Engineer to build and optimize data pipelines for AI model training. You’ll work with large datasets, enhance data storage, and improve Python\-based workflows. Collaborating closely with ML engineers, you’ll enhance the performance of Python\-based data workflows. Ideal candidates have experience with ETL systems, orchestration tools, and multi\-terabyte data processing. Familiarity with AWS, Kubernetes, and data lake technologies is a plus. This role is remote, with preference for candidates on the East Coast.
KEY RESPONSIBILITIES
* Design and improve data pipelines that process large, multi\-modal datasets from a variety of internal and external sources into training datasets for AI models.
* Evolve our data storage layer to support analytics, schema evolution, reproducibility, and efficient data access.
* Collaborate with ML engineers to improve the performance and reliability of Python\-based data processing workflows.
QUALIFICATIONS
* Minimum of 8 years of related experience with a Bachelor’s degree; or 6 years and a Master’s degree; or a PhD with 3 years experience; or equivalent experience.
* Proven ability to design flexible, maintainable ETL systems.
* Experience with data pipeline orchestration tools such as Prefect, Airflow, Argo, Databricks, or Spark.
* Understanding of the ML model lifecycle; prior work with scientific or ML workflows is a plus.
* Hands\-on experience with multi\-terabyte scale data processing.
* Familiarity with AWS; Kubernetes experience is a bonus.
* Knowledge of data lake technologies such as Parquet, Iceberg, AWS Glue etc.
* Strong Python software engineering skills.
* Pragmatic mindset — able to evaluate tradeoffs find solutions that empower ML researchers to move quickly.
* Background in bioinformatics or chemistry is a plus.
ABOUT IAMBIC THERAPEUTICS
Iambic is a clinical\-stage life\-science and technology company developing novel medicines using its AI\-driven discovery and development platform. Based in San Diego and founded in 2020, Iambic has assembled a world\-class team that unites pioneering AI experts and experienced drug hunters. The Iambic platform has demonstrated delivery of new drug candidates to human clinical trials with unprecedented speed and across multiple target classes and mechanisms of action. Iambic is advancing a pipeline of potential best\-in\-class and first\-in\-class clinical assets, both internally and in partnership, to address urgent unmet patient need. Learn more about the Iambic team, platform, pipeline, and partnerships at iambic.ai.
MISSION \&amp; CORE VALUES
Our mission is to deliver better medicines through innovations in AI\-based discovery technologies. The culture and work at Iambic Therapeutics are profoundly strengthened by the diversity of our people and our differences in background, culture, national origin, religion, sexual orientation, and life experiences. We are committed to building an inclusive environment where a diverse group of talented humans work together to discover therapeutics and create technologies.
PAY AND BENEFITS
We offer industry leading competitive pay, company paid healthcare, flexible spending accounts, voluntary life insurance, 401K matching, and uncapped vacation to our team. We are in a brand\-new state\-of\-the art facility in beautiful San Diego with an onsite gym, dining, and easy access to great places to live and play.
Compensation Range: $152K \- $190K</t>
        </is>
      </c>
    </row>
    <row r="9">
      <c r="A9" t="inlineStr">
        <is>
          <t>in-5f058b4a72f9fe2d</t>
        </is>
      </c>
      <c r="B9" t="inlineStr">
        <is>
          <t>Staff Software Engineer, Science</t>
        </is>
      </c>
      <c r="C9" t="inlineStr">
        <is>
          <t>Biohub</t>
        </is>
      </c>
      <c r="D9" t="inlineStr">
        <is>
          <t>indeed</t>
        </is>
      </c>
      <c r="E9">
        <f>HYPERLINK("https://www.indeed.com/viewjob?jk=5f058b4a72f9fe2d", "https://www.indeed.com/viewjob?jk=5f058b4a72f9fe2d")</f>
        <v/>
      </c>
      <c r="F9">
        <f>HYPERLINK("https://grnh.se/3j7tvuk91us", "https://grnh.se/3j7tvuk91us")</f>
        <v/>
      </c>
      <c r="G9" t="inlineStr">
        <is>
          <t>Redwood City, CA, US</t>
        </is>
      </c>
      <c r="H9" s="2" t="n">
        <v>46036</v>
      </c>
      <c r="I9" t="inlineStr">
        <is>
          <t>Biohub is leading the new era of AI\-powered biology to cure or prevent disease through its 501c3 medical research organization, with the support of the Chan Zuckerberg Initiative.
**The Team**
------------
Biohub supports the science and technology that will make it possible to help scientists cure, prevent, or manage all diseases by the end of this century. While this may seem like an audacious goal, in the last 100 years, biomedical science has made tremendous strides in understanding biological systems, advancing human health, and treating disease.
Achieving our mission will only be possible if scientists are able to better understand human biology. To that end, we have identified four grand challenges that will unlock the mysteries of the cell and how cells interact within systems — paving the way for new discoveries that will change medicine in the decades that follow:
* Building an AI\-based virtual cell model to predict and understand cellular behavior
* Developing novel imaging technologies to map, measure and model complex biological systems
* Creating new tools for sensing and directly measuring inflammation within tissues in real time.tissues to better understand inflammation, a key driver of many diseases
* Harnessing the immune system for early detection, prevention, and treatment of disease
**The Opportunity**
-------------------
The Data Pipelines team processes scientific datasets specifically designed to enable biological modeling and supporting AI research. It is responsible for data ETL, data validation, testing, storage, and partners with the data management team for retrieval. We handle over 89 million unique cells worth of single cell transcriptomic data, over 15 thousand cryoET tomograms that are in imaging datasets as large as 20TB and counting, and will be expanding to support larger scale and additional imaging, sequencing, and literature modalities. Our resources provide access to open source data that is structured and used by tens of thousands of scientists each month to quickly query and form hypotheses on understanding how genetic variants in cells impact disease risk, define drug toxicities, and eventually discover better therapies.
As a software engineer on the Data Engineering team, you will contribute for architecture, help implement all the above mentioned data needs for our platforms, CELLxGENE Discover, CryoET, as well as the new platform we are building that has a focus on data for AI and the virtual cell, in order to enable scientists to further interrogate our very large and growing corpus of data without any need to download the data itself or have any computational expertise. You will work on a collaborative, multidisciplinary team to develop solutions for our scientist users to accelerate their workflows and accelerate the pace of scientific discovery.
No prior biology experience is needed for this role. You will have the opportunity to pair with Computational Biologists to develop solutions for our users and be able to learn about biology from experts on our team.
Our tech stack: Python, Terraform, AWS infrastructure, Argo CD and Workflows. TileDB.
**What You'll Do**
------------------
* Own, maintain and continuously improve upon the data pipeline architecture.
* Design, build, and maintain robust, scalable data pipelines for ingesting, processing, and storing large volumes of structured and unstructured data.
* Develop and optimize ETL processes, ensuring data quality, validation, and consistency across diverse sources.
* Implement and manage data storage solutions, including data warehouses, data lakes, and distributed databases, ensuring secure and performant to handle massive volumes of single\-cell transcriptomics data and imaging data.
* Monitor and troubleshoot data pipelines, build proactive exception handling, and ensure high reliability and uptime of production systems.
* Document processes, maintain data models, and support data governance, lineage, and compliance initiatives.
* Utilize modern tools and technologies, such as Argo Workflows, Kubernetes, AWS, Docker, and CI/CD pipelines.
* Actively contribute to team problem\-solving, project planning, and process improvements with a mindset for innovation and social impact.
* Create user\-friendly APIs to enable researchers and scientists to easily access and explore the curated data.
* Develop scalable, maintainable, and testable software systems and participate in team conversations and efforts on engineering excellence.
* Collaborate with data scientists, computational biologists, researchers, analysts, and other engineers to understand data requirements and deliver practical solutions that drive analytics, research, and AI/ML applications.
* Have opportunities to learn about scientific data and technologies, though no prior experience is
**What You'll Bring**
---------------------
* 8\+ years of experience as Software Engineer with data building data pipelines.
* Proficiency in programming languages (Python, Java) and SQL.
* Experience with big data, AWS(EC2, S3, EKS, IAM, SQS etc), Docker, and Argo Workflows.
* Strong data modeling, database design, and data integration skills, including ETL and pipeline orchestration tools.
* Strong fundamentals in systems design, data structures, algorithms, and object oriented programming principles.
* Experience with CI/CD, data governance, and observability/monitoring tools.
* Excellent communication, teamwork, and analytical problem\-solving abilities.
* Passion for the CZI mission, innovation, and open, collaborative culture.
* Computer Science Engineering degree.
* Strong problem solving and analytical skills.
* Excellent written and verbal communication skills.
* Enthusiasm to ramp up on technologies and learn a new science domain.
* Must be self\-driven and comfortable supporting data needs of multiple systems and products.
**Nice to Have**
* Experience working with Biology, Imaging or Sequencing data
* Experience working with data formats related to biodata and solving challenges with that data.
* Experience building AI Agents related to data movement or ETL.
**Compensation**
----------------
The Redwood City, CA base pay range for a new hire in this role is $214,000 \- $294,800\. New hires are typically hired into the lower portion of the range, enabling employee growth in the range over time. Actual placement in range is based on job\-related skills and experience, as evaluated throughout the interview process.
**Better Together**
-------------------
As we grow, we're excited to strengthen in\-person connections and cultivate a collaborative, team\-oriented environment. This role is a hybrid position requiring you to be onsite for at least 60% of the working month, approximately 3 days a week, with specific in\-office days determined by the team's manager. The exact schedule will be at the hiring manager's discretion and communicated during the interview process.
**Benefits for the Whole You**
------------------------------
We're thankful to have an incredible team behind our work. To honor their commitment, we offer a wide range of benefits to support the people who make all we do possible.
* Provides a generous employer match on employee 401(k) contributions to support planning for the future.
* Paid time off to volunteer at an organization of your choice.
* Funding for select family\-forming benefits.
* Relocation support for employees who need assistance moving
If you're interested in a role but your previous experience doesn't perfectly align with each qualification in the job description, we still encourage you to apply as you may be the perfect fit for this or another role.
\#LI\-Hybrid</t>
        </is>
      </c>
    </row>
    <row r="10">
      <c r="A10" t="inlineStr">
        <is>
          <t>in-a46508031b97a3dd</t>
        </is>
      </c>
      <c r="B10" t="inlineStr">
        <is>
          <t>(USA) Staff, Software Engineer | MLE</t>
        </is>
      </c>
      <c r="C10" t="inlineStr">
        <is>
          <t>Walmart</t>
        </is>
      </c>
      <c r="D10" t="inlineStr">
        <is>
          <t>indeed</t>
        </is>
      </c>
      <c r="E10">
        <f>HYPERLINK("https://www.indeed.com/viewjob?jk=a46508031b97a3dd", "https://www.indeed.com/viewjob?jk=a46508031b97a3dd")</f>
        <v/>
      </c>
      <c r="F10">
        <f>HYPERLINK("https://click.appcast.io/t/QDg6IZvRk5JJEsTHiS2lZk5OgMB-fm4c7Cav9mK2r5Y=", "https://click.appcast.io/t/QDg6IZvRk5JJEsTHiS2lZk5OgMB-fm4c7Cav9mK2r5Y=")</f>
        <v/>
      </c>
      <c r="G10" t="inlineStr">
        <is>
          <t>Sunnyvale, CA, US</t>
        </is>
      </c>
      <c r="H10" s="2" t="n">
        <v>46036</v>
      </c>
      <c r="I10" t="inlineStr">
        <is>
          <t>**Position Summary...**
-----------------------
**What you'll do...**
---------------------
.**About Emerging Tech Team**  
The Emerging Tech team is passionate about solving customer and associate problems with the newest technologies. The team is responsible for creating breakthrough capabilities, delivering frictionless experiences, and making these technologies easily available to thousands of Walmart developers and 2\.2 million associates. The applications and services built on these capabilities are used by hundreds of millions of customers daily. We are building new platforms to bring physical and digital world together.**What you will be part of**  
At Walmart’s Emerging Tech Extended Reality team, we own some of the most challenging, fascinating, and impactful work in the fields of Computer vision, Machine learning and Deep Learning for next generation Augmented Reality and Virtual Reality experiences.  
We are looking for Applied Scientists/researchers/Computer vision engineers with algorithms, programming and/or systems background.**Key responsibilities*** **Develop Multi\-Modal GenAI Models:** Design and build models for content generation (imagery, video, 3D assets) and content intelligence (segmentation, object detection, spatial awareness, and keypoint detection).
* **Scale Data Pipelines:** Process large\-scale datasets using distributed cloud computing technologies to create and maintain high\-fidelity 2D and 3D assets.
* **Ensure Model Excellence:** Establish robust experimentation frameworks to evaluate model performance across realism, accuracy, latency, and downstream usability.
* **Drive Production Integration:** Collaborate end\-to\-end with product, engineering, and annotation partners to deploy scalable AI applications and manage their lifecycle.
* **Innovate \&amp; Optimize:** Translate state\-of\-the\-art research papers into production\-grade solutions, improving every aspect of the pipeline—from data generation techniques to efficient model inference.
* **Cross\-Functional Collaboration:** Partner with internal Data Science teams to enable high\-quality, AI\-powered user experiences in the computer vision space.
**Minimum qualifications:*** Master's degree in Computer Science with a specialization in Computer Vision, Machine Learning, or equivalent practical experience.
* 3\+ years of experience with machine learning algorithms and tools, with at least 1 year dedicated to deep learning.
* Proven experience launching ML models in production environments and building scalable pipelines/services.
* Hands\-on experience with multi\-modal LLMs, diffusion models, 3D representation learning, or spatial/keypoint modeling.
* Proficiency in Python, along with frameworks such as PyTorch, PyTorch3D, TensorFlow, TensorFlow 3D, JAX, or NumPy.
* Experience with Unix, Docker, and optimizing workflows for CPU/GPU architectures.
**Preferred qualifications:*** PhD in Machine Learning, Computer Science, or a related technical field.
* Experience in digital commerce, AR/VR, or rich media personalization.
* Deep expertise in 3D Deep Learning (e.g., PyTorch3D, NVIDIA Kaolin) and 3D Modeling tools (e.g., Maya, Blender, photogrammetry).
* Experience building Augmented Reality applications using Unity or other AR SDKs.
* Deep experience with scalable ML infrastructure and content delivery systems.
* Understanding of human\-in\-the\-loop evaluation, perceptual quality metrics, and responsible AI frameworks.
* Recognized contributions to the field through publications, patents, open\-source projects, or public talks.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  
Option 2: 6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1375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1">
      <c r="A11" t="inlineStr">
        <is>
          <t>in-f8062bfba040ce40</t>
        </is>
      </c>
      <c r="B11" t="inlineStr">
        <is>
          <t>Mid-level Software Developer</t>
        </is>
      </c>
      <c r="C11" t="inlineStr">
        <is>
          <t>FrontLine Cyber Solutions Corporation</t>
        </is>
      </c>
      <c r="D11" t="inlineStr">
        <is>
          <t>indeed</t>
        </is>
      </c>
      <c r="E11">
        <f>HYPERLINK("https://www.indeed.com/viewjob?jk=f8062bfba040ce40", "https://www.indeed.com/viewjob?jk=f8062bfba040ce40")</f>
        <v/>
      </c>
      <c r="F11">
        <f>HYPERLINK("http://www.indeed.com/job/mid-level-software-developer-f8062bfba040ce40", "http://www.indeed.com/job/mid-level-software-developer-f8062bfba040ce40")</f>
        <v/>
      </c>
      <c r="G11" t="inlineStr">
        <is>
          <t>Idaho Falls, ID, US</t>
        </is>
      </c>
      <c r="H11" s="2" t="n">
        <v>46037</v>
      </c>
      <c r="I11" t="inlineStr">
        <is>
          <t>**Job Overview**  
We are seeking a skilled Mid\-level Software Developer to join our dynamic development team. This role involves designing, developing, and maintaining robust software solutions across various platforms. The ideal candidate will have experience in web and application development, with a strong understanding of IT infrastructure and modern programming practices. You will collaborate with cross\-functional teams to deliver high\-quality software products that meet business needs and technical standards.
**Duties**
* Develop and maintain web applications using frameworks such as React, and Express.
* Build and optimize APIs for seamless integration between systems.
* Implement front\-end features utilizing JavaScript, React, and other front\-end technologies.
* Write clean, efficient code in languages including Python, Java, C\#, C\+\+, and C.
* Manage version control using GitHub, SVN, and Git to ensure code integrity and collaboration.
* Work with cloud services such as AWS and Azure to deploy and scale applications effectively.
* Design and manage databases using MySQL, SQL Server, or similar systems; optimize queries for performance.
* Contribute to application development within Agile methodologies, participating in sprint planning and reviews.
* Ensure software security through RBAC (Role\-Based Access Control) and other best practices.
* Collaborate with IT infrastructure teams to support deployment environments on Linux or Windows servers.
* Assist in troubleshooting issues related to software performance, security, or integration points.
**Qualifications**
* Proven experience in software development with a strong portfolio of web and application projects.
* Proficiency in programming languages such as Python, Java, C, and C\+\+.
* Hands\-on experience with frameworks like .NET, React, and RESTful API design.
* Familiarity with cloud platforms including AWS and Azure for deployment and infrastructure management.
* Knowledge of database management systems such as MySQL and SQL Server; ability to write optimized queries.
* Experience working within Agile development environments; comfortable with tools like GitHub, SVN, and Git.
* Understanding of IT infrastructure components relevant to software deployment and maintenance.
* Knowledge of security protocols including RBAC; awareness of best practices for application security.
Ability to work collaboratively in a fast\-paced environment while managing multiple priorities effectively. This position offers an exciting opportunity for a mid\-level developer eager to contribute to innovative projects while expanding their technical expertise across diverse technologies and platforms
Job Type: Full\-time
Pay: $45,000\.00 \- $65,000\.00 per year
Benefits:
* 401(k)
* Dental insurance
* Employee mentoring program
* Flexible schedule
* Free parking
* Health insurance
* Paid holidays
* Snacks provided
* Tuition reimbursement
* Vision insurance
Work Location: In person</t>
        </is>
      </c>
    </row>
    <row r="12">
      <c r="A12" t="inlineStr">
        <is>
          <t>in-d3f478829ea1a2cf</t>
        </is>
      </c>
      <c r="B12" t="inlineStr">
        <is>
          <t>Senior Embedded Firmware/Software Engineer</t>
        </is>
      </c>
      <c r="C12" t="inlineStr">
        <is>
          <t>V2X</t>
        </is>
      </c>
      <c r="D12" t="inlineStr">
        <is>
          <t>indeed</t>
        </is>
      </c>
      <c r="E12">
        <f>HYPERLINK("https://www.indeed.com/viewjob?jk=d3f478829ea1a2cf", "https://www.indeed.com/viewjob?jk=d3f478829ea1a2cf")</f>
        <v/>
      </c>
      <c r="F12">
        <f>HYPERLINK("https://recruiting2.ultipro.com/VER1018VALLC/JobBoard/ea4d56d0-a413-48c6-87f7-32d00fd2eef4/OpportunityDetail?opportunityId=9eb029b8-baa2-4901-ad5b-b9deb7c3d56c&amp;postingId=f73d2164-51b9-4a60-9f75-94a831866fca", "https://recruiting2.ultipro.com/VER1018VALLC/JobBoard/ea4d56d0-a413-48c6-87f7-32d00fd2eef4/OpportunityDetail?opportunityId=9eb029b8-baa2-4901-ad5b-b9deb7c3d56c&amp;postingId=f73d2164-51b9-4a60-9f75-94a831866fca")</f>
        <v/>
      </c>
      <c r="G12" t="inlineStr">
        <is>
          <t>Indianapolis, IN, US</t>
        </is>
      </c>
      <c r="H12" s="2" t="n">
        <v>46037</v>
      </c>
      <c r="I12" t="inlineStr">
        <is>
          <t>V2X Embedded Solutions is seeking a **Senior Embedded Firmware Engineer II** to lead critical design, development, and integration efforts across complex embedded projects. This position is ideal for engineers who have a deep technical background in embedded systems and are looking to contribute expertise in designing secure, high\-performance solutions that support mission\-critical defense applications.
**Primary Responsibilities:**
* Design, develop, and optimize embedded firmware/software solutions focused on ARM\-based and SoC platforms, ensuring robust and scalable performance.
* Collaborate with cross\-discipline teams (systems, hardware, and software engineers) to translate high\-level requirements and architecture into embedded designs.
* Lead the implementation of embedded software in **C/C\+\+** and Object\-Oriented Programming languages, with a focus on real\-time, resource\-constrained environments.
* Architect communication pathways across heterogeneous processors, utilizing serial buses (SPI, I2C, UART) and Ethernet\-based protocols to enable seamless distributed subsystem interaction.
* Configure RTOS environments, bring up low\-level networking stacks, and integrate multi\-core processors into secure, interconnected architectures.
* Expand capabilities in hardware/software co\-design by participating in schematic reviews, signal integrity validation, and PCB development cycles.
* Optimize algorithms and pipelines (e.g., DSP for controls, RF, or video systems) to perform within real\-time deadlines.
* Author and maintain detailed design documents, traceability artifacts, and compliance\-driven documentation to align with DoD and industry standards (e.g., DO\-178C, MISRA, ISO 26262\).
* Employ automation tools (e.g., Python scripts, CI pipelines) to enhance testing, validation, and deployment efficiency.
* Mentor less experienced team members, fostering structured technical growth and alignment across project teams.
* Operate within Agile development frameworks, actively participating in Scrum ceremonies such as sprint planning, retrospectives, and backlog grooming.
**Security Clearance \&amp; Other Requirements:**
* This position requires the ability to access systems containing information restricted to **U.S. citizens**, per Federal Government contractual guidelines.
Become part of V2X’s Embedded Solutions team—a trusted engineering partner committed to innovation, security, and technical excellence in solutions that empower national defense missions.
**Required Skills:**
* 8\+ years of professional embedded systems engineering experience.
* Advanced proficiency in Embedded C/C\+\+ and comfortable with object\-oriented programming paradigms in languages such as Python.
* Solid experience with ARM architectures, bootloader development, RTOS integration, and low\-level firmware bring\-up.
* Familiarity with digital communication protocols including SPI, UART, I2C, and Ethernet IP stacks.
* Hands\-on experience with network analyzers, bus monitors, and debugging tools like JTAG and Wireshark.
* Experience managing technical risks and applying system\-level expertise to resolve challenging trade\-offs.
* Proficiency with version control systems (Git, SVN) and implementation of CI/CD pipelines in structured environments.
**Desired Skills:**
* Strong understanding of Linux\-based embedded systems (e.g., kernel optimizations, device tree configuration, Yocto workflows).
* In\-depth knowledge of compliance\-driven development environments (e.g., DO\-178C, ISO 26262, AS9100\).
* Experience implementing multi\-processor architectures, hypervisors, and optimized scheduling algorithms.
* Knowledge of video pipeline processing, RF signals, or DSP applications relevant to embedded defense solutions.
* Background coaching or mentoring engineers aligned to Agile frameworks (e.g., Scrum ceremonies, Jira workflows).
* Proven ability to resolve complex technical hurdles through collaboration and strategic problem\-solving across stakeholder groups.
* Active DoD Secret clearance or higher with eligibility requirements to handle restricted technologies.
**Education Requirements:**
* Bachelor’s degree in Computer Engineering, Electrical Engineering, Computer Science, or a related STEM field.
**Benefits include the following:**
* Healthcare coverage
* Retirement plan
* Life insurance, AD\&amp;D, and disability benefits
* Wellness programs
* Paid time off, including holidays
* Learning and Development resources
* Employee assistance resources
*Pay and benefits are subject to change at any time and may be modified at the discretion of the company, consistent with the terms of any applicable compensation or benefit plans.*</t>
        </is>
      </c>
    </row>
    <row r="13">
      <c r="A13" t="inlineStr">
        <is>
          <t>in-f4c81f672ce4efc6</t>
        </is>
      </c>
      <c r="B13" t="inlineStr">
        <is>
          <t>Software Engineer – Java / Web Applications (EDI &amp; Medicaid Systems) 100% Remote</t>
        </is>
      </c>
      <c r="C13" t="inlineStr">
        <is>
          <t>Palmetto Tech</t>
        </is>
      </c>
      <c r="D13" t="inlineStr">
        <is>
          <t>indeed</t>
        </is>
      </c>
      <c r="E13">
        <f>HYPERLINK("https://www.indeed.com/viewjob?jk=f4c81f672ce4efc6", "https://www.indeed.com/viewjob?jk=f4c81f672ce4efc6")</f>
        <v/>
      </c>
      <c r="F13">
        <f>HYPERLINK("http://www.indeed.com/job/software-engineer-java-web-applications-edi-medicaid-systems-100-remote-f4c81f672ce4efc6", "http://www.indeed.com/job/software-engineer-java-web-applications-edi-medicaid-systems-100-remote-f4c81f672ce4efc6")</f>
        <v/>
      </c>
      <c r="G13" t="inlineStr">
        <is>
          <t>US</t>
        </is>
      </c>
      <c r="H13" s="2" t="n">
        <v>46037</v>
      </c>
      <c r="I13" t="inlineStr">
        <is>
          <t>**Software Engineer – Java / Web Applications (EDI \&amp; Medicaid Systems)**
Interview Process: 1 round, virtual
Duration of the Contract: 9 months
Possibility for Extension: Yes
Work Location: Role is 100% remote
**Required Skills (Ranked by Importance)**
* **7\+ years of experience with Tapestry**
* **7\+ years of experience with JavaScript**
* **7\+ years of experience with jQuery**
* **7\+ years of experience with EDI transactions**
* **7\+ years of experience with JDBC**
* **Strong Java development experience**
**Project Scope**
This project team develops and supports the core framework functionality of the State’s **EDI Services** and the **Medicaid Web Portal application**.  
Clemson University’s **Medicaid Information Technology Services (MITS)** team develops and operates systems on behalf of the **South Carolina Department of Health and Human Services (SCDHHS)**.
Clemson’s MITS team will provide **project management and overall oversight** for this initiative.
**Position Overview**
The **Software Engineer** will be responsible for assessing, designing, developing, supporting, and implementing the State’s **Member Management Replacement Project**, as well as other assigned initiatives.
This role is part of a **Production Support team**, working under the direction of Clemson’s Technical Project Manager, and focuses on **support and maintenance of newly developed technologies**.
The role has two primary focus areas:
* **System Design \&amp; Architecture**
* **Application Development \&amp; Implementation**
**Daily Duties \&amp; ResponsibilitiesWeb\-Based Distributed Systems Architecture \&amp; Design**
* Design, develop, and implement **enterprise\-level, web\-based distributed systems**
* Architect solutions supporting large user populations and statewide system scope
* Build **responsive user interfaces** using modern Web 2\.0 technologies (e.g., AJAX)
* Design for **mobility**, including smartphones and tablets
* Develop **highly available and scalable Java applications**
* Incorporate **industry\-standard frameworks** (e.g., Spring) and service\-based architectures where appropriate
**Software Development Lifecycle Management**
* Apply modern web\-based software development standards and best practices
* Utilize integrated development environments (IDEs)
* Emphasize **unit testing and quality\-driven development**
* Participate in the **full software lifecycle**:
* Requirements analysis
* System and application design
* Development
* Testing
* Deployment
* Collaborate with business analysts and end users to translate business needs into **incremental software solutions**
**Communication \&amp; Collaboration**
* Work closely with:
* Business users and analysts
* Software engineers
* Database architects and DBAs
* Quality Assurance (QA) engineers
* Systems and infrastructure teams
* Production support staff
* Communicate clearly and effectively across technical and non\-technical stakeholders
**Preferred Skills (Ranked by Importance)**
* Java development experience
* UC4 (Workload Automation) experience
* ActiveMQ experience
* Unix/Linux variants and shell scripting
* SQL development experience
* MongoDB experience
* **Medicaid Management Information System (MMIS)** experience
Job Types: Contract, Temporary
Pay: $70\.00 \- $75\.00 per hour
Application Question(s):
* 7\+ years of experience with EDI transactions
* 7\+ years of experience with JDBC
* Java development experience
* Only Citizens, Green Card and EAD needed. No H1B
* 7\+ years of experience with Tapestry
* 7\+ years of experience with JavaScript
* 7\+ years of experience with jQuery
Education:
* Bachelor's (Preferred)
Work Location: Remote</t>
        </is>
      </c>
    </row>
    <row r="14">
      <c r="A14" t="inlineStr">
        <is>
          <t>in-3817313b79649732</t>
        </is>
      </c>
      <c r="B14" t="inlineStr">
        <is>
          <t>Sr. Software Engineer</t>
        </is>
      </c>
      <c r="C14" t="inlineStr">
        <is>
          <t>Versant</t>
        </is>
      </c>
      <c r="D14" t="inlineStr">
        <is>
          <t>indeed</t>
        </is>
      </c>
      <c r="E14">
        <f>HYPERLINK("https://www.indeed.com/viewjob?jk=3817313b79649732", "https://www.indeed.com/viewjob?jk=3817313b79649732")</f>
        <v/>
      </c>
      <c r="F14">
        <f>HYPERLINK("https://jobs.smartrecruiters.com/Versant3/744000103786058-sr-software-engineer", "https://jobs.smartrecruiters.com/Versant3/744000103786058-sr-software-engineer")</f>
        <v/>
      </c>
      <c r="G14" t="inlineStr">
        <is>
          <t>Orlando, FL, US</t>
        </is>
      </c>
      <c r="H14" s="2" t="n">
        <v>46037</v>
      </c>
      <c r="I14" t="inlineStr">
        <is>
          <t>**Company Description**  
VERSANT is a leading force in news, sports and entertainment \- home to iconic and trusted brands that inspire, inform, and delight audiences. Our unique combination of content, technology and services enriches the cultural fabric, igniting passions, sparking conversations, and connecting people to what they love most.
As an independent, publicly traded company, VERSANT brings together powerhouse cable networks \- including USA Network, CNBC, MS NOW (formerly MSNBC), Oxygen, E!, SYFY, and Golf Channel \- with dynamic digital and direct\-to\-consumer brands such as Fandango, Rotten Tomatoes, GolfNow, GolfPass, and SportsEngine. Together, these businesses reflect our commitment to delivering exceptional experiences across every screen and service.
VERSANT is an industry\-changing media company fueled by innovation and an entrepreneurial spirit. With a strong foundation and a forward\-looking vision, VERSANT empowers creativity, embraces change, and drives connection in an ever\-evolving world.
 **Job Description** **ABOUT THE ROLE**
We are seeking a **Senior Frontend Engineer** to design and build user experiences that bring new platforms and prototypes to life. In this role, you’ll partner with backend, AI/ML, and design peers to deliver interfaces that are intuitive, performant, and production ready. You’ll thrive in an environment where speed, creativity, and technical craft matter equally.
**WHAT YOU'LL DO**
As a **Senior Frontend Engineer** on our team, you will:
* Design, develop, and deliver **scalable and maintainable frontend subsystems**.
* Take ownership of **complex features end\-to\-end****,** from concept through production.
* Collaborate with designers to turn ideas into polished, usable experiences.
* Integrate with backend services, ensuring efficient data flows and system reliability.
* Balance technical decisions with **user impact and business needs**.
* Address **ambiguous problems across teams**, helping to shape technical direction.
* Coach and mentor engineers to improve their technical skills and code quality.
* Uphold frontend best practices (performance, accessibility, testing, responsiveness).
**Qualifications**  
WHAT WE'RE LOOKING FOR:
* 5\+ years of professional frontend development experience.
* Expertise in modern JavaScript frameworks (React preferred).
* Strong grasp of web standards, responsive design, and accessibility.
* Experience integrating applications with APIs and cloud services.
* Proficiency with frontend build tools, testing frameworks, and CI/CD pipelines.
* Ability to solve ambiguous, cross\-team challenges and propose innovative solutions.
* Strong collaboration skills with designers, backend engineers, and product stakeholders.
BONUS POINTS FOR
* Experience with other large entertainment focused platforms, centered around being consumer\-facing at a large scale
* Familiarity and hands\-on exposure with MCP Servers and highly accessible and available API platforms
* Knowledge of microservices and event\-driven architectures at enterprise scale
* Cloud\-native, global scaling experience (AWS and their various tool offerings)
* Understanding of the mindset of “Fail Fast, Learn Fast” and continuous improvement
**Fully Remote:** This role has been designated as fully remote, meaning it is expected to  
be performed from a non Versant worksite, typically an employee’s residence.  
Occasional travel is required and can range from within the country (typical, various
 **Additional Information**  
As part of our selection process, external candidates may be required to attend an in\-person interview with a VERSANT employee at one of our locations prior to a hiring decision. VERSANT's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For LA County and City Residents Only: VERSANT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VERSANT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t>
        </is>
      </c>
    </row>
    <row r="15">
      <c r="A15" t="inlineStr">
        <is>
          <t>in-99d3b7e3899a4b41</t>
        </is>
      </c>
      <c r="B15" t="inlineStr">
        <is>
          <t>Sr. Software Engineer</t>
        </is>
      </c>
      <c r="C15" t="inlineStr">
        <is>
          <t>Visa</t>
        </is>
      </c>
      <c r="D15" t="inlineStr">
        <is>
          <t>indeed</t>
        </is>
      </c>
      <c r="E15">
        <f>HYPERLINK("https://www.indeed.com/viewjob?jk=99d3b7e3899a4b41", "https://www.indeed.com/viewjob?jk=99d3b7e3899a4b41")</f>
        <v/>
      </c>
      <c r="F15">
        <f>HYPERLINK("https://jobs.smartrecruiters.com/Visa/744000103773859-sr-software-engineer", "https://jobs.smartrecruiters.com/Visa/744000103773859-sr-software-engineer")</f>
        <v/>
      </c>
      <c r="G15" t="inlineStr">
        <is>
          <t>Highlands Ranch, CO, US</t>
        </is>
      </c>
      <c r="H15" s="2" t="n">
        <v>46037</v>
      </c>
      <c r="I15"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We are looking for Versatile, curious, and energetic Software Engineers who embrace solving complex challenges on a global scale. As a Visa Software Engineer, you will be an integral part of a multi\-functional development team inventing, designing, building, and testing software products that reach a truly global customer base. While building components of powerful payment technology, you will get to see your efforts shaping the digital future of monetary transactions.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Essential Functions:
* Works alongside others to implement modifications to existing software code that complies with design specifications and meets security best practices.
* Assists with improvements to systems and tools and supports development and implementation of new automation, asking questions as necessary.
* Engages with team members and manager during code/design reviews, participates in on\-call rotations and incident responses throughout product development and operations cycles.
* Leverages working knowledge of systems/platforms and telemetry analyses to identify basic issues in code, processes, and designs when they are inconsistent with customer/business objectives.
Visa will accept applications for this role until at least January 21, 2026\.
If this is posting, we are still accepting applications. Visa is not offering relocation assistance for this role.
This is a hybrid position. Expectation of days in office will be confirmed by your hiring manager.
 **Qualifications**  
Basic Qualifications  
2\+ years of relevant work experience and a Bachelors degree, OR 5\+ years of relevant work experience  
Preferred Qualifications:  
3 or more years of work experience with a Bachelor’s Degree or more than 2 years of work experience with an Advanced Degree (e.g. Masters, MBA, JD, MD)  
Bachelor's / Master's degree in Math, Science, Engineering, or Computer Science, Information Systems or related field.  
Knowledge of and ability to develop back\-end (e.g. Java) code in support of package and product development. This includes the extension of capabilities of packages and products.  
The ability to develop and utilize Application Program Interfaces (APIs), a set of routines, protocols, and tools for building software applications that specify how software components should interact and are used when programming graphical user interface (GUI) components. An API may be for a web\-based system, operating system, database system, computer hardware, or software library.  
Knowledge of and the ability to use database software (e.g., applications, web\-based applications, information systems) to maintain, modify, and output data.  
Knowledge of systems integration process in which separately produced components or subsystems are combined and problems in their interactions are addressed.  
Knowledge of data structures, which consist of data organization, management, and storage formats that enable efficient access and modifications. This includes a collection of data values, the relationships among them, and the functions or operations that can be applied to the data.  
The Skills You Bring:  
Energy and Experience: A growth mindset that is curious and passionate about technologies and enjoys challenging projects on a global scale  
Challenge the Status Quo: Comfort in pushing the boundaries, “hacking” beyond traditional solutions  
Language Expertise: Expertise in Java development language  
Builder: Experience building and deploying modern services and web applications with quality and scalability  
Learner: Constant drive to learn new technologies such as Kubernetes, Docker, etc.  
Partnership: Experience collaborating with Product, Test, Dev\-ops, and Agile/Scrum teams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$104,600 to $162,300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6">
      <c r="A16" t="inlineStr">
        <is>
          <t>in-912af9052acb1d33</t>
        </is>
      </c>
      <c r="B16" t="inlineStr">
        <is>
          <t>Staff Software Engineer</t>
        </is>
      </c>
      <c r="C16" t="inlineStr">
        <is>
          <t>Visa</t>
        </is>
      </c>
      <c r="D16" t="inlineStr">
        <is>
          <t>indeed</t>
        </is>
      </c>
      <c r="E16">
        <f>HYPERLINK("https://www.indeed.com/viewjob?jk=912af9052acb1d33", "https://www.indeed.com/viewjob?jk=912af9052acb1d33")</f>
        <v/>
      </c>
      <c r="F16">
        <f>HYPERLINK("https://jobs.smartrecruiters.com/Visa/744000103775204-staff-software-engineer", "https://jobs.smartrecruiters.com/Visa/744000103775204-staff-software-engineer")</f>
        <v/>
      </c>
      <c r="G16" t="inlineStr">
        <is>
          <t>Highlands Ranch, CO, US</t>
        </is>
      </c>
      <c r="H16" s="2" t="n">
        <v>46037</v>
      </c>
      <c r="I16"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We are looking for Versatile, curious, and energetic Software Engineers who embrace solving complex challenges on a global scale. As a Visa Software Engineer, you will be an integral part of a multi\-functional development team inventing, designing, building, and testing software products that reach a truly global customer base. While building components of powerful payment technology, you will get to see your efforts shaping the digital future of monetary transactions.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Essential Functions:
* Develops enhancements and modifications to existing software and develops extensible code that complies with design specifications and meets security best practices.
* Implements automation to improve effectiveness and efficiencies of systems and tools and supports development and implementation of new automation.
* Engages with product engineering teams and product owners during code/design reviews, regular meetings, on\-call rotations, and incident responses throughout product development and operations cycles.
* Leverages advanced knowledge of systems/platforms and telemetry analyses to propose isolated improvements in code, processes, and designs to more effectively deliver on customer/business objectives.
Visa will accept applications for this role until at least Jan. 21, 2026\. If this is posting, we are still accepting applications
Visa is not offering relocation assistance for this role.
This is a hybrid position. Expectation of days in office will be confirmed by your hiring manager.
 **Qualifications**  
Basic Qualifications:  
5\+ years of relevant work experience with a Bachelor’s Degree or at least 2 years of work experience with an Advanced degree (e.g. Masters, MBA, JD, MD) or 0 years of work experience with a PhD, OR 8\+ years of relevant work experience.  
Preferred Qualifications:  
Bachelor's / Master's degree in Math, Science, Engineering, or Computer Science, Information Systems or related field  
Knowledge of and ability to develop back\-end (e.g. Java) code in support of package and product development. This includes the extension of capabilities of packages and products.  
The ability to develop and utilize Application Program Interfaces (APIs), a set of routines, protocols, and tools for building software applications that specify how software components should interact and are used when programming graphical user interface (GUI) components. An API may be for a web\-based system, operating system, database system, computer hardware, or software library.  
Knowledge of and the ability to use database software (e.g., applications, web\-based applications, information systems) to maintain, modify, and output data.  
Knowledge of systems integration process in which separately produced components or subsystems are combined and problems in their interactions are addressed.  
Knowledge of data structures, which consist of data organization, management, and storage formats that enable efficient access and modifications. This includes a collection of data values, the relationships among them, and the functions or operations that can be applied to the data.  
The Skills You Bring:  
Energy and Experience: A growth mindset that is curious and passionate about technologies and enjoys challenging projects on a global scale  
Challenge the Status Quo: Comfort in pushing the boundaries, “hacking” beyond traditional solutions  
Language Expertise: Expertise in one or more general development languages (e.g., Java)  
Builder: Experience building and deploying modern services and web applications with quality and scalability  
Learner: Constant drive to learn new technologies such as Kubernetes, Docker, etc.  
Partnership: Experience collaborating with Product, Test, Dev\-ops, and Agile/Scrum teams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$124,300 to $198,600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7">
      <c r="A17" t="inlineStr">
        <is>
          <t>in-35554bcad772d6e6</t>
        </is>
      </c>
      <c r="B17" t="inlineStr">
        <is>
          <t>Senior Software Developer</t>
        </is>
      </c>
      <c r="C17" t="inlineStr">
        <is>
          <t>Restoration of America</t>
        </is>
      </c>
      <c r="D17" t="inlineStr">
        <is>
          <t>indeed</t>
        </is>
      </c>
      <c r="E17">
        <f>HYPERLINK("https://www.indeed.com/viewjob?jk=35554bcad772d6e6", "https://www.indeed.com/viewjob?jk=35554bcad772d6e6")</f>
        <v/>
      </c>
      <c r="F17">
        <f>HYPERLINK("https://restorationofamerica.topgradingonline.com/job_openings/senior-software-developer-ponte-vedra-beach?utm_campaign=direct_links&amp;utm_medium=job-boards&amp;utm_source=indeed", "https://restorationofamerica.topgradingonline.com/job_openings/senior-software-developer-ponte-vedra-beach?utm_campaign=direct_links&amp;utm_medium=job-boards&amp;utm_source=indeed")</f>
        <v/>
      </c>
      <c r="G17" t="inlineStr">
        <is>
          <t>Ponte Vedra, FL, US</t>
        </is>
      </c>
      <c r="H17" s="2" t="n">
        <v>46037</v>
      </c>
      <c r="I17" t="inlineStr">
        <is>
          <t>**Position Overview:**  
The Senior Software Developer at Restoration of America is the ultimate problem solver on the team who can keep complex software development projects, software applications \&amp; products moving forward regardless of the challenge. The Senior Developer works closely with the CIO, RIC Director of Application Services, RIC Software Developers, DTS team, donors, vendors and partners to keep the focus on maximizing ROA’s technology impact. Innovative software development practices, cutting edge data science and automation are all integral in achieving this goal. The RIC Senior Software Developer/Team Lead will have other technical duties as assigned by the CIO.
**Key Responsibilities:**
* Conceptual software application \&amp; product planning
* Individual software development \&amp; coding
* Team leadership and technical guidance of individual RIC software developers
* Leadership of individual RIC software developer 1\-on\-1s, code reviews \&amp; team planning meetings
* DevOps Leadership \&amp; Oversight
* Design and shepherding of individual RIC software developer technical training
* Code Reviews
* Individual training \&amp; technical growth planning
* Outages \&amp; priority escalation resolution
* Interfacing with Internal DTS\-IT \&amp; Cybersecurity partners on OpSec, NIST\-CST \&amp; other mission critical policy design \&amp; enforcement
**Qualifications:**
* Full Stack Developer
* Minimum 5 years professional software development/engineering experience
* Strong proficiency in Object\-Oriented Programming (OOP) principles and techniques
* Strong proficiency in version control systems (e.g., Git)
* Excellent debugging and problem\-solving skills to troubleshoot complex issues
* Proficiency in working with databases (e.g., SQL, NoSQL)
* Experience with containerization technologies
* Experience as a team lead or lead software developer on a project strongly preferred
* Agile experience – working within a Scrum environment
* Experience working with a Product Owner \&amp; interdepartmental teams a plus
* Experience using Agile tooling (e.g., Jira or equivalent)
* Ability to use AI coding agents for writing and debugging code
Job Type: Full\-time
Pay: Up to $180,000\.00 per year
Benefits:
* 401(k)
* 401(k) matching
* Dental insurance
* Flexible spending account
* Health insurance
* Health savings account
* Paid time off
* Vision insurance
Work Location: In person</t>
        </is>
      </c>
    </row>
    <row r="18">
      <c r="A18" t="inlineStr">
        <is>
          <t>in-a1a4df9ba2c0f9d8</t>
        </is>
      </c>
      <c r="B18" t="inlineStr">
        <is>
          <t>Staff Software Engineer</t>
        </is>
      </c>
      <c r="C18" t="inlineStr">
        <is>
          <t>TCOM, L.P.</t>
        </is>
      </c>
      <c r="D18" t="inlineStr">
        <is>
          <t>indeed</t>
        </is>
      </c>
      <c r="E18">
        <f>HYPERLINK("https://www.indeed.com/viewjob?jk=a1a4df9ba2c0f9d8", "https://www.indeed.com/viewjob?jk=a1a4df9ba2c0f9d8")</f>
        <v/>
      </c>
      <c r="F18">
        <f>HYPERLINK("https://recruiting.ultipro.com/TCO1001TCOM/JobBoard/74e57e92-4355-44d7-8471-3c6eecfda9ef/OpportunityDetail?opportunityId=0d7a2475-0ce7-40c3-a493-958d34944476&amp;postingId=75d0254a-e963-43d7-aa65-98e88c99f2f2", "https://recruiting.ultipro.com/TCO1001TCOM/JobBoard/74e57e92-4355-44d7-8471-3c6eecfda9ef/OpportunityDetail?opportunityId=0d7a2475-0ce7-40c3-a493-958d34944476&amp;postingId=75d0254a-e963-43d7-aa65-98e88c99f2f2")</f>
        <v/>
      </c>
      <c r="G18" t="inlineStr">
        <is>
          <t>Arlington, VA, US</t>
        </is>
      </c>
      <c r="H18" s="2" t="n">
        <v>46037</v>
      </c>
      <c r="I18" t="inlineStr">
        <is>
          <t>Design, develop, and evaluate software from concept through production stage, and make modifications as needed.
**Guiding Principles**
* **Do What is Right**\-Build trust through honesty, accountability, and delivering exceptional value to customers.
* **Own It**\-Take responsibility and empower our team to drive meaningful results. Be resilient, have grit, and persevere.
* **Be Courageous**\-Challenge conventions, take risks, and think holistically. Take action and make it happen!
* **Collaborate as One\-** Work as a unified team, breaking down silos and valuing diverse perspectives to achieve shared success.
* **Make a Difference**\-Make the world better with our products and solutions. Make a positive impact on our team and community
* **Get Better Every Day\-**Simplify, embrace a growth mindset, and continuously improve to drive better results.
**Essential Functions**
* Essential Functions as outlined in Software Engineer and Senior Software Engineer.
* Works autonomously.
* Exercises independent judgment with broadly defined practices and policies in obtaining results.
* Work is stated in terms of objectives requiring planning and judgment.
* Goals are generally communicated in “solution” or project goal terms.
* Performs work of a diverse scope, where data requires evaluation of various factors.
* Has extensive breadth and depth of knowledge in a field of specialization and working knowledge of other fields.
* Works on advanced, complex technical projects or business issues requiring state of the art technical or industry knowledge.
* Innovative in nature and contributes new product ideas.
* Progressively increases contributions and impact to the team and projects.
* Has critical project technical leadership responsibility; may plan or lead work assignments for lower\-level engineers and technicians.
* May provide a leadership role for the work group through knowledge in the area of specialization.
* Guiding and coaching junior engineers, fostering a culture of learning and continuous improvement
* Owning major architectural decisions and contributes to long\-term technical vision.
* Develop and maintain Yocto builds including writing and maintaining recipes, layers, and configuration files.
* Proficiency in Linux shell scripting and command\-line tools
* Experience with Linux\-based application development, deployment, and maintenance
* Manages software projects adhering to internal ISO standards.
* Has knowledge of the business side and contributes to strategic decisions.
**Education \&amp; Experience**
* Minimum of a bachelor’s degree in software engineering, in field related to specific position.
* Advanced engineer with 8\+ years of career experience, with bachelor’s degree in software engineering or 6\+ years with master’s degree. Or experience in lieu of education.
**Knowledge, Skills \&amp; Abilities**
* Demonstrated advanced and specialized knowledge in software engineering disciplines relevant to the position, with recognized technical expertise as identified by department leadership.
* Expert\-level proficiency in C, C\+\+, Java, Python, and web technologies, with the ability to apply these languages across complex, large\-scale systems.
* Advanced proficiency in Linux shell scripting and command\-line tools, including automation, troubleshooting, and performance optimization.
* Extensive experience with Linux\-based application development, deployment, and maintenance in production environments.
* Strong ability to apply software design theory and methodology to architect scalable, maintainable, and robust systems.
* Demonstrated ability to lead technical problem analysis and apply advanced problem\-solving techniques to complex and ambiguous challenges.
* High level of customer service skills, with the ability to translate customer and business needs into effective technical solutions.
* Working knowledge of manufacturing techniques is preferred, with the ability to integrate software solutions into manufacturing or production environments.
* Proficient with computer systems and productivity tools, including Microsoft Word and Excel, to support documentation, analysis, and reporting.
* Self\-motivated team player who works with minimal supervision, provides technical leadership, and collaborates effectively across teams and disciplines.
**Physical Requirements \&amp; Working Conditions**
Physical Requirements: Required to sit, stand, walk, bend, and reach. Reasonable accommodations may be made to enable individuals with disabilities to perform the essential functions.
Working Conditions: Exposure to a normal office environment. Position may occasionally require entering a production environment, including exposure to noise, fumes, moving machinery, and varied temperatures.
**Benefits:**
Our excellent benefits package includes medical, dental, vision, company\-paid life and disability insurance and 401k. Team Members can also take advantage of additional benefit programs such as education assistance, employee assistance program (EAP) and much more.
**EEOC Statement:**
Aerostar is committed to providing equal employment opportunity to all qualified employees and applicants.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t>
        </is>
      </c>
    </row>
    <row r="19">
      <c r="A19" t="inlineStr">
        <is>
          <t>in-a5e543e0ff09d965</t>
        </is>
      </c>
      <c r="B19" t="inlineStr">
        <is>
          <t>Staff Software Engineer - Federal</t>
        </is>
      </c>
      <c r="C19" t="inlineStr">
        <is>
          <t>ServiceNow</t>
        </is>
      </c>
      <c r="D19" t="inlineStr">
        <is>
          <t>indeed</t>
        </is>
      </c>
      <c r="E19">
        <f>HYPERLINK("https://www.indeed.com/viewjob?jk=a5e543e0ff09d965", "https://www.indeed.com/viewjob?jk=a5e543e0ff09d965")</f>
        <v/>
      </c>
      <c r="F19">
        <f>HYPERLINK("https://jobs.smartrecruiters.com/ServiceNow/744000103765054-staff-software-engineer-federal", "https://jobs.smartrecruiters.com/ServiceNow/744000103765054-staff-software-engineer-federal")</f>
        <v/>
      </c>
      <c r="G19" t="inlineStr">
        <is>
          <t>Santa Clara, CA, US</t>
        </is>
      </c>
      <c r="H19" s="2" t="n">
        <v>46037</v>
      </c>
      <c r="I19"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**What you get to do in this role:**
* Build high\-quality, clean, scalable and reusable code by enforcing best practices around software engineering architecture and processes (Code Reviews, Unit testing, etc.)
* Work with the product owners to understand detailed requirements and own your code from design, implementation, test automation and delivery of high\-quality product to our users.
* Design software that is simple to use to allow customers to extend and customize the functionality to meet their specific needs
* Contribute to the design and implementation of new products and features while also enhancing the existing product suite
* Be a mentor for colleagues and help promote knowledge\-sharing
**Qualifications** **To be successful in this role you have:**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6\+ years of experience with Java or a similar OO language
* Passion for JavaScript and the Web as a platform, reusability, and componentization
* Experience with data structures, algorithms, object\-oriented design, design patterns, and performance/scale considerations
* Experience with any of the modern UI frameworks like Angular, React or Vue
* Analytical and design skills
* Ability to manage projects with material technical risk at a team level
**“This position requires passing a ServiceNow background screening, USFedPASS (US Federal Personnel Authorization Screening Standards). This includes a credit check, criminal/misdemeanor check and taking a drug test. Any employment is contingent upon passing the screening. Due to Federal requirements, only US citizens, US naturalized citizens or US Permanent Residents, holding a green card, will be considered.”**
FD21
For positions in this location, we offer a base pay of $163,600 \- $286,300,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20">
      <c r="A20" t="inlineStr">
        <is>
          <t>in-682f3ef79b65db98</t>
        </is>
      </c>
      <c r="B20" t="inlineStr">
        <is>
          <t>Software Engineer</t>
        </is>
      </c>
      <c r="C20" t="inlineStr">
        <is>
          <t>MELISSA</t>
        </is>
      </c>
      <c r="D20" t="inlineStr">
        <is>
          <t>indeed</t>
        </is>
      </c>
      <c r="E20">
        <f>HYPERLINK("https://www.indeed.com/viewjob?jk=682f3ef79b65db98", "https://www.indeed.com/viewjob?jk=682f3ef79b65db98")</f>
        <v/>
      </c>
      <c r="F20">
        <f>HYPERLINK("https://melissa-4.betterteam.com/software-engineer-full-time-regular-or-paid-internship?utm_source=indeed&amp;utm_medium=web_xmlfeed&amp;utm_campaign=indeed_organic", "https://melissa-4.betterteam.com/software-engineer-full-time-regular-or-paid-internship?utm_source=indeed&amp;utm_medium=web_xmlfeed&amp;utm_campaign=indeed_organic")</f>
        <v/>
      </c>
      <c r="G20" t="inlineStr">
        <is>
          <t>Rancho Santa Margarita, CA, US</t>
        </is>
      </c>
      <c r="H20" s="2" t="n">
        <v>46037</v>
      </c>
      <c r="I20" t="inlineStr">
        <is>
          <t>Melissa is seeking a software engineer or software developer for our Rancho Santa Margarita, CA location. **This position has the unique flexibility to be offered as either a full\-time regular or a paid Internship, depending on the candidate's qualifications, experience and motivation.** The successful candidate will be responsible for developing and maintaining a variety of software projects related to database systems, ETL processes, web services, and back\-end. Primary focus will be on developing processes, consolidating data, and improving data accuracy.  
**Requirements/job qualifications:*** BS degree in computer science, software engineering, or related work experience.
* 1\+ years of experience in software development.
* Proficiency with C\#.
* A Team player with excellent verbal and written communication skills.
* Able to work with other teams to support and enhance existing products while applying best practices.
* Good time management skills and critical thinking.
**Experience in any of the following fields is a plus:*** MSSQL Server.
* NoSQL databases (Cassandra, CouchDB).
* Apache Kafka.
* Work in data parsing, record matching and/or database profiling.
* Web Service development.
* Web API consumption.
* Experience in cross\-platform development (Windows and Linux).
**Pay Range:**
$40,000\.00 \- $80,000\.00 per year / $19\.23 \- $38\.46 per hour
**Perks:*** Office lunch on select weekdays
* Haircuts and manicures
* Workout and yoga classes
* Onsite EV charging
**Added benefits if hired full\-time:*** 401(k) with company match
* Medical, dental, and vision insurance
* Life insurance, including company provided coverage
* Paid Holidays and personal time off
* Tuition and loan assistance after one year of employment
**How to Apply:*** Go to https://www.melissa.com/jobs/jobapply.aspx and provide your resume in PDF format. Please note that any self\-identification information provided during the application process is confidential and will not be shared with hiring managers; or
* Email your resume to jobs@melissa.com. Include your LinkedIn profile if available.
**NO PHONE CALLS OR RECRUITERS**  
Melissa is an Equal Opportunity Employer. All qualified applicants will receive consideration for employment without regard to race, color, religion, creed, sex, sexual orientation, gender identity, national origin, disability, or protected Veteran status. https://www.dol.gov/sites/dolgov/files/ofccp/regs/compliance/posters/pdf/eeopost.pdf
THIS CONTRACTOR AND SUBCONTRACTOR SHALL ABIDE BY THE REQUIREMENTS OF 41 CFR 60\-300\.5(A). THIS REGULATION PROHIBITS DISCRIMINATION AGAINST QUALIFIED PROTECTED VETERANS, AND REQUIRES AFFIRMATIVE ACTION BY COVERED PRIME CONTRACTORS AND SUBCONTRACTORS TO EMPLOY AND ADVANCE IN EMPLOYMENT QUALIFIED PROTECTED VETERANS. WE ARE A GOVERNMENT CONTRACTOR.
This employer participates in E\-Verify and will provide the federal government with your Form I\-9 information. https://www.e\-verify.gov/sites/default/files/everify/posters/EVerifyParticipationPoster.pdf
This employer may order an investigative consumer report on you from an investigative consumer reporting agency for employment purposes. Such reports may contain information about your character, general reputation, personal characteristics, and mode of living. As allowed by law, the reports may contain information regarding the following: criminal history; driving records; verification of your employment history, licenses, credentials and education; credit reports and history; government watch lists; address history; Social Security number validation; and other background checks.  
**About Melissa:**  
Melissa specializes in global contact data quality and mailing preparation solutions for both small businesses and large enterprises. Melissa solutions help improve contact data at all touch points – from real\-time address verification at point\-of\-entry and ongoing data enhancements to printing and mailing. High quality contact data fuels better marketing programs and business processes, and helps save time and money.</t>
        </is>
      </c>
    </row>
    <row r="21">
      <c r="A21" t="inlineStr">
        <is>
          <t>in-04df539a666c844c</t>
        </is>
      </c>
      <c r="B21" t="inlineStr">
        <is>
          <t>Software Engineer – Robotics &amp; 3D Scanning</t>
        </is>
      </c>
      <c r="C21" t="inlineStr">
        <is>
          <t>Cheetah Engineering LLC</t>
        </is>
      </c>
      <c r="D21" t="inlineStr">
        <is>
          <t>indeed</t>
        </is>
      </c>
      <c r="E21">
        <f>HYPERLINK("https://www.indeed.com/viewjob?jk=04df539a666c844c", "https://www.indeed.com/viewjob?jk=04df539a666c844c")</f>
        <v/>
      </c>
      <c r="F21">
        <f>HYPERLINK("http://www.indeed.com/job/software-engineer-robotics-3d-scanning-04df539a666c844c", "http://www.indeed.com/job/software-engineer-robotics-3d-scanning-04df539a666c844c")</f>
        <v/>
      </c>
      <c r="G21" t="inlineStr">
        <is>
          <t>Mead, CO, US</t>
        </is>
      </c>
      <c r="H21" s="2" t="n">
        <v>46037</v>
      </c>
      <c r="I21" t="inlineStr">
        <is>
          <t>Software Engineer – Robotics \&amp; 3D Scanning
**Location:** Longmont, CO (Hybrid)  
**Type:** Full\-time  
**Experience:** Mid\-level to Senior (strongly independent)
About the Role
We’re looking for a **highly capable software engineer** who enjoys solving hard, real\-world problems and can operate with a high degree of autonomy. This role is not entry\-level. You’ll be expected to take ambiguous technical problems, design solutions, and execute them with minimal oversight.
You’ll work on robotic scanning systems, 3D point\-cloud processing, and industrial automation software used in real production environments. Your code will run on real machines and directly impact customer outcomes.
What You’ll Do
* Own and deliver **complex Python systems** for robotic scanning and inspection
* Design and implement **3D geometry and point\-cloud algorithms** (Open3D, PCL, custom math)
* Integrate software with **robots, sensors, and industrial hardware**
* Develop and refine **calibration, alignment, and measurement algorithms**
* Debug, profile, and improve systems deployed in real\-world environments
* Make architectural decisions and drive technical direction within your areas of ownership
* Collaborate closely with a small team of senior engineers
Required Qualifications
* **4–6 years** of professional software engineering experience
* Strong, production\-level experience with **Python**
* Proven experience delivering and maintaining **complex, non\-trivial systems**
* Comfortable working with **ambiguous requirements** and incomplete information
* Demonstrated ability to **work independently** and take ownership of outcomes
* Strong problem\-solving skills and engineering judgment
If you are looking for heavy mentorship, a highly structured environment, or primarily junior\-level tasks, this role is likely not a good fit.Nice to Have (Not Required)
* Experience with **3D point\-cloud processing** (Open3D, PCL, or similar)
* Robotics experience (industrial or research)
* Industrial automation or factory\-floor systems
* Embedded systems or hardware\-adjacent development
* Full\-stack development experience
* Android development experience
Work Location \&amp; Flexibility
* **Hybrid role**
* Partial remote work is possible
* Must be able to work **in the Longmont, CO office at least a couple days per week**
Compensation \&amp; Growth
* **Base salary:** **$120,000 – $150,000**, depending on experience and skill fit
* **Performance\-based profit sharing** available after an initial ramp\-up period
* Opportunity for increased ownership and responsibility as the company grows
* Benefits and additional details discussed during the interview process
We believe strong contributors should directly share in the success they help create.How to Apply
Apply with your resume and a brief note describing:
* A technically challenging problem you’ve owned end\-to\-end
* Why this role and this type of work interests you
Links to GitHub, personal projects, or detailed technical write\-ups are strongly encouraged.
Pay: $120,000\.00 \- $150,000\.00 per year
Benefits:
* Health insurance
Work Location: Hybrid remote in Mead, CO 80504</t>
        </is>
      </c>
    </row>
    <row r="22">
      <c r="A22" t="inlineStr">
        <is>
          <t>in-48cba1b283831df8</t>
        </is>
      </c>
      <c r="B22" t="inlineStr">
        <is>
          <t>Senior Embedded Software Engineer</t>
        </is>
      </c>
      <c r="C22" t="inlineStr">
        <is>
          <t>Fustis LLC</t>
        </is>
      </c>
      <c r="D22" t="inlineStr">
        <is>
          <t>indeed</t>
        </is>
      </c>
      <c r="E22">
        <f>HYPERLINK("https://www.indeed.com/viewjob?jk=48cba1b283831df8", "https://www.indeed.com/viewjob?jk=48cba1b283831df8")</f>
        <v/>
      </c>
      <c r="F22">
        <f>HYPERLINK("https://fustis.oorwin.ai/#/careers/index.html/job/details/1d32238496df5ae1c9e06aa818f82ca7fac99cd1?source=indeed&amp;postedby=1", "https://fustis.oorwin.ai/#/careers/index.html/job/details/1d32238496df5ae1c9e06aa818f82ca7fac99cd1?source=indeed&amp;postedby=1")</f>
        <v/>
      </c>
      <c r="G22" t="inlineStr">
        <is>
          <t>Shelton, CT, US</t>
        </is>
      </c>
      <c r="H22" s="2" t="n">
        <v>46037</v>
      </c>
      <c r="I22" t="inlineStr">
        <is>
          <t>Position: Senior Software Engineer (could also be Principal) need between 10\-25 years of experience needed for this role. No more than 25 years  
Interview: Teams Meetings (2\)\- then potential onsite interview (client pays)  
Job Details  
10\+ years of experience with C\+\+, Embedded Development, RTOS, and Control systems are needed for this role.  
Bachelor’s degree as a minimum is also needed for this role.  
As a software engineer, you’ll develop embedded systems in C\+\+, working across the full software development lifecycle, from design and device driver development to integration and testing. You’ll tackle complex hardware and software challenges, building reliable, high performance systems that directly control real machines and impact operations. This is a fast paced environment where your contributions are visible, and your growth is continuous.</t>
        </is>
      </c>
    </row>
    <row r="23">
      <c r="A23" t="inlineStr">
        <is>
          <t>in-6dd02f05a6149549</t>
        </is>
      </c>
      <c r="B23" t="inlineStr">
        <is>
          <t>Maximo Backend Engineer</t>
        </is>
      </c>
      <c r="C23" t="inlineStr">
        <is>
          <t>Symetri</t>
        </is>
      </c>
      <c r="D23" t="inlineStr">
        <is>
          <t>indeed</t>
        </is>
      </c>
      <c r="E23">
        <f>HYPERLINK("https://www.indeed.com/viewjob?jk=6dd02f05a6149549", "https://www.indeed.com/viewjob?jk=6dd02f05a6149549")</f>
        <v/>
      </c>
      <c r="F23">
        <f>HYPERLINK("https://Symetri.isolvedhire.com/jobs/1685859-124382.html", "https://Symetri.isolvedhire.com/jobs/1685859-124382.html")</f>
        <v/>
      </c>
      <c r="G23" t="inlineStr">
        <is>
          <t>Phoenix, AZ, US</t>
        </is>
      </c>
      <c r="H23" s="2" t="n">
        <v>46037</v>
      </c>
      <c r="I23" t="inlineStr">
        <is>
          <t>Symetri is an Autodesk Platinum Partner that consults with manufacturers to design better products and get to market faster by leveraging best\-in\-class engineering, design, process automation, and data management technologies.
**Position Summary**
This position is fully remote, with hybrid options available in Springfield, MO; Nashua, NH; and Denver, CO. We're looking for a seasoned Maximo professional who's passionate about building high\-quality, reliable solutions that make a real impact for clients. This role is ideal for someone who enjoys working behind the scenes\-designing, integrating, and automating robust Maximo environments that support complex enterprise operations.
**Responsibilities:**
As a key member of our technical delivery team, you'll take ownership of backend configuration, installation, and integration design within the **IBM Maximo Application Suite (MAS)** ecosystem. Your expertise will help ensure our clients' systems run smoothly, securely, and efficiently.
* Lead the installation and configuration of new MAS Manage environments, including OpenShift deployments
* Scope and design high\-performance integrations between MAS and other enterprise systems
* Develop automation scripts and extensions that enhance MAS Manage functionality
* Support migration efforts (including data and integration remapping) from legacy 7\.6\.1 environments to MAS
* Collaborate with cross\-functional teams to deliver reliable, scalable solutions aligned with client needs
* Troubleshoot complex issues with precision and efficiency
* Uphold exceptional quality standards and contribute to continuous improvement initiatives
**Qualifications**
* Excellent English communication skills\-both verbal and written
* Bachelor's degree in Computer Science, Engineering, Information Systems, or a related field
* **7\+ years** of hands\-on technical and functional experience with Maximo, including modifications, interfaces, conversions, and business process design
* Experience with **at least two** 7\.6\.1 MAS migrations
* Deep understanding of Maximo data structures, Application Designer, and workflow design
* Expertise in Maximo Integration Framework and/or Maximo Enterprise Adapter integrations
* **Java or JavaScript development experience:**
	+ 5 years Java (3 years MBO customization), *or*
	+ 5 years JavaScript (3 years MBO extension)
* Strong SQL development experience
* Proven experience installing and configuring **WebSphere \+ Maximo**, **OpenShift**, and **MAS Manage** environments
* Exceptional problem\-solving and troubleshooting skills
**Bonus Points For**
* Experience with formal change control and regulatory development environments
* CI/CD pipeline development and automation experience
* Hands\-on IBM Maximo Mobile development and deployment experience
**Why Join Us**  
You'll be part of a highly skilled, collaborative team that values innovation, integrity, and craftsmanship. We take pride in doing things right\-the first time\-and in helping each other succeed. If you bring a strong work ethic, clear communication, and a commitment to quality execution, you'll feel right at home here.</t>
        </is>
      </c>
    </row>
    <row r="24">
      <c r="A24" t="inlineStr">
        <is>
          <t>in-24c7698ed206b83a</t>
        </is>
      </c>
      <c r="B24" t="inlineStr">
        <is>
          <t>Lead Software Engineer – Next Best Action</t>
        </is>
      </c>
      <c r="C24" t="inlineStr">
        <is>
          <t>Humana</t>
        </is>
      </c>
      <c r="D24" t="inlineStr">
        <is>
          <t>indeed</t>
        </is>
      </c>
      <c r="E24">
        <f>HYPERLINK("https://www.indeed.com/viewjob?jk=24c7698ed206b83a", "https://www.indeed.com/viewjob?jk=24c7698ed206b83a")</f>
        <v/>
      </c>
      <c r="F24">
        <f>HYPERLINK("https://click.appcast.io/t/OcCL6dh036C10cKRkudE37O_0_KqlQo9sVtXowe5uVo=", "https://click.appcast.io/t/OcCL6dh036C10cKRkudE37O_0_KqlQo9sVtXowe5uVo=")</f>
        <v/>
      </c>
      <c r="G24" t="inlineStr">
        <is>
          <t>Remote, US</t>
        </is>
      </c>
      <c r="H24" s="2" t="n">
        <v>46036</v>
      </c>
      <c r="I24" t="inlineStr">
        <is>
          <t>**Become a part of our caring community and help us put health first**
======================================================================
We are seeking an accomplished Lead Software Engineer or Architect to design, develop, and own a high\-performance, real\-time decision engine. This stateless, deterministic platform delivers rapid, transparent, and reproducible recommendations across digital and assisted channels. The engine evaluates contextual inputs, applies versioned business rules, incorporates model scores, and generates ranked, explainable decision responses, while execution and state management are handled by downstream systems. This opportunity is ideal for candidates passionate about low\-latency Java services, robust API design, and building highly auditable systems.**Key Responsibilities**
**System Ownership and Architecture**
Design, implement, and maintain a stateless, side\-effect\-free decision service in Java (Kotlin also considered), following a well\-defined processing pipeline: Context Rules Deterministic Scoring Reconciliation* Decision Response.
* Ensure the engine maintains immutability, with no internal state mutations or external message dispatch.
* Define and continuously improve the Decision Response schema to include:
	+ Human\-readable rationale for both selected and rejected recommendations
	+ Policy/rule references and score breakdowns
	+ Input/context hashes for audit, replay, and verification
**Rules Engine Leadership**
* Lead the integration and evolution of the rules execution layer, utilizing technologies such as Drools/DMN, IBM ODM, Google CEL, OPA/Rego, or JVM\-based DSLs.
* Establish practices for rule versioning, reason code standards, static validation, and simulation/backtesting of rule changes.
* Ensure deterministic, secure, and compliant rule evaluation at all times.
**API \&amp; Data Contract Management**
* Publish and maintain OpenAPI specifications for decision endpoints, and provide read\-only contracts for action metadata and state snapshots.
* Integrate model scores through stable interfaces, ensuring models inform decisions without overriding business constraints.
* Coordinate closely with downstream teams responsible for state machines, delivery, and channel execution, keeping all state management outside the decision engine.
**Performance \&amp; Reliability Engineering**
Engineer for strict low\-latency and high\-availability targets (e.g., p50: 60–120 ms, p95: 300 ms, API uptime* 99\.9%).
* Implement strategies for graceful degradation and safe defaults when rule artifacts or model scoring become unavailable.
* Maintain golden datasets and a determinism test harness within CI to guarantee consistent outputs for identical inputs and versions.
**Observability \&amp; Auditability**
* Develop and maintain an append\-only Decision Ledger to record input summaries, rule/model versions, context hashes, and full explanations for each decision.
* Instrument services with OpenTelemetry and structured, PII\-safe logging; build dashboards to monitor latency, throughput, rule activity, and score distributions.
* Provide robust replay tools for audit support and verification of decision outcomes.
**Technical Leadership**
* Lead design reviews and establish standards for idempotency, versioning, contract\-first development, and backward compatibility.
* Collaborate with Rules, ML, Platform/Infrastructure, and Product teams; mentor senior and mid\-level engineers on testing, profiling, and code review best practices.
* Drive adherence to quality gates including contract tests, load tests, chaos engineering drills, and readiness checks.
**AI\-Assisted Engineering (Responsible Use)**
* Utilize AI tools to accelerate code scaffolding, test automation, migrations, and documentation.
* Ensure all eligibility and compliance logic remains human\-authored and auditable; AI is not used for policy decision\-making.
**Use your skills to make an impact**
=====================================
**Required Qualifications**
* 8\+ years of experience in backend or platform engineering, with at least 3 years in a senior or lead role.
* Deep expertise in Java/JVM, including performance tuning, concurrency, garbage collection, and profiling; strong background in developing low\-latency APIs (e.g., Spring Boot, Netty).
* Proven experience with distributed systems, event\-driven architectures (Kafka or similar), idempotent design patterns, and contract\-first API development (OpenAPI).
* Direct experience implementing rules engines with at least one of: Drools/DMN, IBM ODM, CEL, OPA/Rego, or a custom JVM DSL (including parser/AST/bytecode/interpreter development).
* Demonstrated discipline in achieving determinism, versioning, explainability, and auditability.
**Preferred Qualifications**
* Track record of delivering real\-time decisioning, recommendation, or policy services at scale.
* Experience designing DSLs (e.g., with ANTLR or custom parsing) or optimizing rules engines for performance and maintainability.
* Experience integrating production model services (feature stores, model registries; A/B or shadow evaluation).
* Background in regulated or mission\-critical industries (healthcare, finance, telecommunications), with emphasis on separation of duties and strong data controls.
* Proficiency with related stacks: Python for offline analysis
**Additional Information**
*SSN Alert Statement*
Humana values personal identity protection. Please be aware that applicants may be asked to provide their Social Security Number, if it is not already on file. When required, an email will be sent from Humana@myworkday.com with instructions on how to add the information into your official application on Humana’s secure website.
*WAH Internet Statement*
To ensure Home or Hybrid Home/Office employees’ ability to work effectively, the self\-provided internet service of Home or Hybrid Home/Office employees must meet the following criteria:  
At minimum, a download speed of 25 Mbps and an upload speed of 10 Mbps is required; wireless, wired cable or DSL connection is suggested.  
Satellite, cellular and microwave connection can be used only if approved by leadership.  
Employees who live and work from Home in the state of California, Illinois, Montana, or South Dakota will be provided a bi\-weekly payment for their internet expense.  
Humana will provide Home or Hybrid Home/Office employees with telephone equipment appropriate to meet the business requirements for their position/job.  
Work from a dedicated space lacking ongoing interruptions to protect member PHI / HIPAA information.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$129,300 \- $177,800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03\-19\-2026**About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5">
      <c r="A25" t="inlineStr">
        <is>
          <t>in-05dc05dfbb734a51</t>
        </is>
      </c>
      <c r="B25" t="inlineStr">
        <is>
          <t>Senior Software Engineer - Next Best Action</t>
        </is>
      </c>
      <c r="C25" t="inlineStr">
        <is>
          <t>Humana</t>
        </is>
      </c>
      <c r="D25" t="inlineStr">
        <is>
          <t>indeed</t>
        </is>
      </c>
      <c r="E25">
        <f>HYPERLINK("https://www.indeed.com/viewjob?jk=05dc05dfbb734a51", "https://www.indeed.com/viewjob?jk=05dc05dfbb734a51")</f>
        <v/>
      </c>
      <c r="F25">
        <f>HYPERLINK("https://click.appcast.io/t/ZgOtM9jbwUjOb_bBGR_5HyHr8ETmAnMalLudoeox5Ho=", "https://click.appcast.io/t/ZgOtM9jbwUjOb_bBGR_5HyHr8ETmAnMalLudoeox5Ho=")</f>
        <v/>
      </c>
      <c r="G25" t="inlineStr">
        <is>
          <t>Remote, US</t>
        </is>
      </c>
      <c r="H25" s="2" t="n">
        <v>46036</v>
      </c>
      <c r="I25" t="inlineStr">
        <is>
          <t>**Become a part of our caring community and help us put health first**
======================================================================
We are searching for a Senior Software Engineer to architect, develop, and maintain action and policy platforms that enable real\-time, personalized decisioning across both digital and assisted channels. These platforms determine which actions can be taken, contextual variations, and the conditions under which they are permitted, leveraging structured metadata, deterministic rule engines, and resilient backend services.  
This position demands expertise in microservices development, advanced database schema design, and seamless integration of enterprise rules systems. You will be responsible for designing robust, scalable data models, building high\-throughput, low\-latency services, and integrating policy evaluation engines. Additionally, you will employ AI\-assisted and agentic engineering practices to enhance productivity, ensure correctness, and streamline long\-term maintainability.**Key Responsibilities**
**Microservices \&amp; Backend Engineering**
* Architect, implement, and operate microservices that deliver:
	+ Action and variant metadata
	+ Context\-aware policy and eligibility evaluation
	+ Versioned, read\-optimized APIs for high\-performance runtime consumption
* Guarantee that services are:
	+ Highly available, with low latency
	+ Horizontally scalable for increased demand
	+ Backward compatible to support safe evolution and upgrades
* Apply industry best practices for API design, schema evolution, service isolation, and secure integration.
**Database \&amp; Schema Design**
* Design, deploy, and maintain resilient database schemas to support:
	+ Comprehensive action and variant catalogs
	+ Versioning, lifecycle management, and effective dating
	+ Rule bindings and complex metadata relationships
* Select and operate appropriate data stores (relational, document, key\-value) tailored to workload and scalability requirements.
* Implement and monitor:
	+ Schema migration and backward compatibility strategies
	+ Indexing and query optimization for performance
	+ Data integrity, consistency, and reliability
	+ Auditability and traceability for compliance and governance
**Rules \&amp; Policy Engine Integration**
* Integrate and manage enterprise\-grade rules engines to support:
	+ Eligibility, constraints, and business policies
	+ Suppression, cooldowns, exclusions, and other operational guardrails
	+ Policy\-driven allow/deny logic
* Work with technologies such as Drools (DRL/DMN), IBM ODM, DMN\-based services, OPA/Rego, or similar.
* Ensure rule execution is deterministic, versioned, stateless, and free from unintended side effects.
**AI\-Assisted \&amp; Agentic Engineering**
* Utilize AI\-powered and agentic tools to:
	+ Generate and refactor database schemas and service logic
	+ Streamline rule authoring, validation, and ongoing refactoring
	+ Detect and address conflicting or redundant rules early in the development cycle
	+ Automatically produce comprehensive test cases and explore edge scenarios
* Apply AI responsibly to reduce manual effort while safeguarding clarity, correctness, and strong governance.
**Testing, Reliability \&amp; Governance**
* Develop automated tests for:
	+ Database migrations and schema changes
	+ Service\-level contracts and API backward compatibility
	+ Rules behavior, precedence, and edge cases
* Ensure platforms are fully observable and resilient, featuring:
	+ Structured logging, metrics, and alerting
	+ Clear error handling, fallback strategies, and robust incident management
* Support audit and compliance requirements through traceable and reproducible system behavior
**Collaboration \&amp; Technical Leadership**
* Work closely with platform, data, and machine learning teams to maintain clean integration points and shared standards.
* Participate actively in architecture and design reviews to uphold platform quality.
* Mentor junior engineers and contribute to technical standards and best practices.
**Use your skills to make an impact**
=====================================
**Required Qualifications**
* Minimum 6 years of experience in backend or platform engineering
* Proven ability to build:
	+ Microservices and REST/gRPC APIs
	+ Database\-backed systems with complex, evolving schemas
	+ Deterministic rules or policy\-driven platforms
* Direct experience integrating enterprise rules engines (Drools, ODM, DMN, OPA, or similar)
* Strong proficiency in Java and/or Python
* Experience using AI\-assisted development tools for increased productivity and accuracy
**Preferred Qualifications**
* Experience designing versioned schemas and backward\-compatible APIs
* Knowledge of high\-throughput, low\-latency architectures
* Familiarity with systems requiring explainability, auditability, and strong compliance
* Background in regulated or high\-compliance domains
**Success Metrics**
* Action and policy services are stable, performant, and adaptable
* Database schemas facilitate correctness, efficiency, and full audit trails
* Rules execution is deterministic, transparent, and trusted by stakeholders
* AI\-assisted tooling reduces development and maintenance cycles
* Platform is widely trusted as a reliable source of truth for downstream consumers
**Additional Information**
*SSN Alert Statement*
Humana values personal identity protection. Please be aware that applicants may be asked to provide their Social Security Number, if it is not already on file. When required, an email will be sent from Humana@myworkday.com with instructions on how to add the information into your official application on Humana’s secure website.
*WAH Internet Statement*
To ensure Home or Hybrid Home/Office employees’ ability to work effectively, the self\-provided internet service of Home or Hybrid Home/Office employees must meet the following criteria:  
At minimum, a download speed of 25 Mbps and an upload speed of 10 Mbps is required; wireless, wired cable or DSL connection is suggested.  
Satellite, cellular and microwave connection can be used only if approved by leadership.  
Employees who live and work from Home in the state of California, Illinois, Montana, or South Dakota will be provided a bi\-weekly payment for their internet expense.  
Humana will provide Home or Hybrid Home/Office employees with telephone equipment appropriate to meet the business requirements for their position/job.  
Work from a dedicated space lacking ongoing interruptions to protect member PHI / HIPAA information.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$106,900 \- $147,000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03\-19\-2026**About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6">
      <c r="A26" t="inlineStr">
        <is>
          <t>in-610c3fdb68f3a521</t>
        </is>
      </c>
      <c r="B26" t="inlineStr">
        <is>
          <t>Lead Software Engineer - Next Best Action</t>
        </is>
      </c>
      <c r="C26" t="inlineStr">
        <is>
          <t>Humana</t>
        </is>
      </c>
      <c r="D26" t="inlineStr">
        <is>
          <t>indeed</t>
        </is>
      </c>
      <c r="E26">
        <f>HYPERLINK("https://www.indeed.com/viewjob?jk=610c3fdb68f3a521", "https://www.indeed.com/viewjob?jk=610c3fdb68f3a521")</f>
        <v/>
      </c>
      <c r="F26">
        <f>HYPERLINK("https://click.appcast.io/t/KRlcvLwwdSY-ip8HcL7-HgW5FV2h8WWDW0gabRMmEY0=", "https://click.appcast.io/t/KRlcvLwwdSY-ip8HcL7-HgW5FV2h8WWDW0gabRMmEY0=")</f>
        <v/>
      </c>
      <c r="G26" t="inlineStr">
        <is>
          <t>Remote, US</t>
        </is>
      </c>
      <c r="H26" s="2" t="n">
        <v>46036</v>
      </c>
      <c r="I26" t="inlineStr">
        <is>
          <t>**Become a part of our caring community and help us put health first**
======================================================================
We are seeking a seasoned Lead Software Engineer to architect and deliver the foundational services that enable real time recommendations to become dependable, auditable, and scalable outcomes. In this position, you will own the design and implementation of the State Machine (managing authoritative state and legal transitions) and Transactional Outbox (ensuring exactly\-once intent emission for downstream consumers). Your solutions must be robust, traceable, and maintain high performance under significant concurrency and latency demands.  
This role is hands\-on, combining technical leadership with active engineering: you will architect systems, set technical standards, mentor peers, and collaborate closely across platform, data, and product teams.**Key Responsibilities**
**State Machine Architecture**
* Define execution lifecycles and business states, implementing strict legal transition guards.
* Ensure deterministic, auditable, and testable state transitions, eliminating hidden state in code.
* Enforce idempotency; design composite idempotency keys to prevent duplicate actions or invalid transitions.
* Support late events and backfills; maintain append\-only history and current\-state projections for efficient retrieval.
* Provide clear APIs for state snapshots, transitions, and feedback events.
**Transactional Outbox Implementation**
* Apply the Transactional Outbox pattern, encompassing atomic persist\-and\-publish, idempotency keys, retry/backoff logic, and dead\-letter queue management.
* Establish robust contracts for downstream executors and manage ingestion of delivery receipts.
* Guarantee exactly\-once effects through idempotent consumers and deduplication strategies.
**Data Modeling, ORM, and Storage Leadership**
* Design relational schemas for transition logs, current\-state projections, and outbox records, focusing on correctness and scalability.
* Implement composite constraints, foreign keys, upserts, and optimized indexing/partitioning for high\-throughput scenarios.
* Define transaction boundaries and isolation levels to prevent data anomalies.
* Lead zero\-downtime migrations using Liquibase or Flyway, utilizing forward/backward\-compatible rollout strategies.
* Employ TypeORM or JPA/Hibernate/jOOQ pragmatically, and optimize query performance as needed.
* Build resilient projections and caches; leverage CDC tools (e.g., Debezium) for safe reprocessing.
**Distributed Systems and Concurrency**
* Architect systems for correctness amid concurrent updates, partitions, and partial failures.
* Apply advanced knowledge of event ordering, idempotency, retries, and backpressure management.
* Balance consistency and reliability with performance objectives.
**Observability, Audit, and Operations**
* Instrument systems for tracing, metrics, and structured logs; develop dashboards monitoring key system indicators.
* Build replay tools and maintain immutable audit trails for compliance and incident response.
* Own runbooks and operational practices for issue resolution and system health.
**Collaboration and Technical Mentorship**
* Partner with decision\-service owners, ensuring statelessness and side\-effect\-free integration.
* Collaborate with channel teams on event schema, delivery receipt, and failure semantics.
* Lead design reviews and establish standards for contract\-first development, migrations, and idempotent patterns.
* Mentor engineers on data modeling, concurrency, ORM/JPA best practices, and observability; foster a culture of rigorous testing and code review.
**Responsible AI\-Assisted Engineering**
* Utilize AI tools to expedite scaffolding, testing, migration, and documentation.
* Ensure that core business logic and correctness remain human\-authored and subject to thorough review.
**Working Principles**
* Maintain strict separation of concerns between decision services and state management components.
* Enforce idempotency across all code and schema layers.
* Achieve exactly\-once intent through robust transport and consumer logic.
* Guarantee traceable audit and replay capabilities.
* Adhere to privacy and compliance standards, including consent management, secure logging, encryption, and role\-based access.
**Use your skills to make an impact**
=====================================
**Required Qualifications**
* Minimum of 8 years in backend/platform service development; at least 3 years in a senior or lead role overseeing mission\-critical systems.
* Advanced proficiency in Node.js/TypeScript, Python, and/or Java/Kotlin.
* Direct experience with Transactional Outbox patterns, idempotent consumers, and exactly\-once delivery mechanisms.
* Strong expertise in relational modeling (Postgres/MySQL), query optimization, and partitioning.
* Skilled in TypeORM (Node.js) and/or JPA/Hibernate/jOOQ (Java/Kotlin); experienced in zero\-downtime migrations.
* Deep understanding of transactions, isolation levels, locking, and backpressure in high\-throughput environments.
* Experience developing contract\-first APIs (OpenAPI), managing schema versioning, and ensuring backward compatibility.
**Preferred Qualifications**
* Experience with stateful pipelines for notifications, fulfillment, or workflow engines.
* Familiarity with CDC (e.g., Debezium), CQRS, event sourcing, outbox‑poller architectures.
* Operated in regulated or mission‑critical domains (healthcare, finance, telco).
* Experience with OpenTelemetry, SRE practices (error budgets/SLOs), and on‑call operations.
**Additional Information**
*SSN Alert Statement*
Humana values personal identity protection. Please be aware that applicants may be asked to provide their Social Security Number, if it is not already on file. When required, an email will be sent from Humana@myworkday.com with instructions on how to add the information into your official application on Humana’s secure website.
*WAH Internet Statement*
To ensure Home or Hybrid Home/Office employees’ ability to work effectively, the self\-provided internet service of Home or Hybrid Home/Office employees must meet the following criteria:  
At minimum, a download speed of 25 Mbps and an upload speed of 10 Mbps is required; wireless, wired cable or DSL connection is suggested.  
Satellite, cellular and microwave connection can be used only if approved by leadership.  
Employees who live and work from Home in the state of California, Illinois, Montana, or South Dakota will be provided a bi\-weekly payment for their internet expense.  
Humana will provide Home or Hybrid Home/Office employees with telephone equipment appropriate to meet the business requirements for their position/job.  
Work from a dedicated space lacking ongoing interruptions to protect member PHI / HIPAA information.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$129,300 \- $177,800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03\-19\-2026**About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7">
      <c r="A27" t="inlineStr">
        <is>
          <t>in-cf0e1385506baf2b</t>
        </is>
      </c>
      <c r="B27" t="inlineStr">
        <is>
          <t>Senior Software Engineer - Next Best Action</t>
        </is>
      </c>
      <c r="C27" t="inlineStr">
        <is>
          <t>Humana</t>
        </is>
      </c>
      <c r="D27" t="inlineStr">
        <is>
          <t>indeed</t>
        </is>
      </c>
      <c r="E27">
        <f>HYPERLINK("https://www.indeed.com/viewjob?jk=cf0e1385506baf2b", "https://www.indeed.com/viewjob?jk=cf0e1385506baf2b")</f>
        <v/>
      </c>
      <c r="F27">
        <f>HYPERLINK("https://click.appcast.io/t/x5AIQdReR1ExgFZR_aEyt6X67zQzlvOC1e79tva41Ls=", "https://click.appcast.io/t/x5AIQdReR1ExgFZR_aEyt6X67zQzlvOC1e79tva41Ls=")</f>
        <v/>
      </c>
      <c r="G27" t="inlineStr">
        <is>
          <t>Remote, US</t>
        </is>
      </c>
      <c r="H27" s="2" t="n">
        <v>46036</v>
      </c>
      <c r="I27" t="inlineStr">
        <is>
          <t>**Become a part of our caring community and help us put health first**
======================================================================
We are seeking an accomplished Senior Software Engineer to design, implement, and operate mission\-critical stateful services that form the backbone of real\-time, automated decisioning and personalization platforms. These systems are responsible for maintaining authoritative state, orchestrating lifecycle transitions, and ensuring reliable downstream effects—often in high\-concurrency, low\-latency environments.  
This position is ideal for engineers with a strong grasp of state machines, idempotency, distributed systems, and “exactly\-once” execution semantics. You will also employ advanced AI\-assisted and agentic engineering tools to drive correctness, velocity, resilience, and scalability.**Key Responsibilities**
**State Machine Architecture \&amp; Implementation**
Design, build, and maintain explicit state machines governing:
Lifecycle transitions (e.g., open in progress completed* + suppressed)
	+ Validation of permissible transitions
	+ Time\-based and event\-driven changes
* Ensure state machines are:
	+ Clearly modeled and not hidden in code logic
	+ Deterministic, reproducible, and auditable
	+ Easily understood and testable
	+ Robust against illegal or duplicate transitions through comprehensive validation
**Transactional State Memory \&amp; Exactly\-Once Processing**
* Architect and manage transactional state stores serving as the single source of truth
* Support safe, high\-concurrency read/write operations
* Uphold system invariants across partial failures and recovery scenarios
* Implement robust idempotency controls so:
	+ Requests can be safely retried
	+ Commands execute at most once
	+ Duplicate events do not compromise state integrity
* Develop APIs and workflows resilient to retries, restarts, and replay events
**Reliable Side Effects via Outbox Pattern**
* Employ the outbox pattern to guarantee atomicity of state updates and event publication
* Prevent loss or duplication of side effects
* Maintain clear separation between state mutation and downstream event delivery
* Facilitate replay, backfill, and recovery operations without breaching state guarantees
* Integrate seamlessly with messaging and streaming platforms, ensuring fault tolerance
**Distributed Systems \&amp; Concurrency Management**
* Design for correctness under concurrent updates, network partitions, partial failures, and service redeployments
* Apply expertise in:
	+ Idempotency keys
	+ Optimistic and pessimistic locking strategies
	+ Event ordering and causality
* Balance rigorous correctness with performance and latency requirements
**AI\-Assisted \&amp; Agentic Engineering Practices**
* Leverage AI\-powered and agentic tools to:
	+ Automatically generate and validate state transition tests
	+ Probe edge cases and concurrency challenges
	+ Assist in code reviews, refactoring, and documentation
	+ Accelerate debugging, incident analysis, and root cause discovery
* Use AI responsibly to enhance productivity while maintaining clarity and system integrity
**Observability, Auditability \&amp; Trust**
* Engineer services with robust observability through:
	+ Structured logging, metrics, and alerting
	+ Distributed tracing
* Ensure all state transitions and emitted events are:
	+ Fully traceable and reproducible
	+ Auditable for compliance and investigative needs
**Collaboration \&amp; Technical Leadership**
* Partner with platform, data, and quality engineering teams to assure end\-to\-end reliability
* Participate in architecture and design reviews to elevate system quality standards
* Mentor and guide engineers on best practices for safe, reliable, and maintainable distributed systems
**Use your skills to make an impact**
=====================================
**Required Qualifications**
* 6\+ years of experience in backend or platform engineering
* Demonstrated hands\-on expertise with:
	+ State machine modeling and lifecycle management
	+ Transactional state stores
	+ Idempotent API and workflow design
* In\-depth understanding of:
	+ Exactly\-once or effectively\-once processing
	+ Failure modes in distributed environments
* Proficiency in one or more contemporary languages (e.g., Java, Kotlin, Go, Python)
* Experience with AI\-assisted development tools for productivity and code quality
**Preferred Qualifications**
* Experience with outbox, transactional messaging, or event sourcing patterns
* Familiarity with low\-latency, high\-throughput architectures
* Operational experience in systems requiring strict auditability and correctness
* Background in regulated or mission\-critical domains
**Success Indicators**
* State transitions are precise, deterministic, and resilient to retries
* Side effects reliably occur exactly once, even during failures or replays
* Systems recover gracefully from crashes and redeployments
* AI\-driven tooling decreases defect rates and expedites debugging
* The state layer is trusted as the definitive source of truth across engineering teams
**Why This Role is Critical**
In contemporary automated platforms, correctness and reliability hinge on the integrity of state, not just requests. This role ensures that every state transition and side effect is executed once—and only once—providing a solid foundation for trust, reliability, compliance, and scalability throughout the system.
**Additional Information**
SSN Alert Statement
Humana values personal identity protection. Please be aware that applicants may be asked to provide their Social Security Number, if it is not already on file. When required, an email will be sent from Humana@myworkday.com with instructions on how to add the information into your official application on Humana’s secure website.
WAH Internet Statement
To ensure Home or Hybrid Home/Office employees’ ability to work effectively, the self\-provided internet service of Home or Hybrid Home/Office employees must meet the following criteria:  
At minimum, a download speed of 25 Mbps and an upload speed of 10 Mbps is required; wireless, wired cable or DSL connection is suggested.  
Satellite, cellular and microwave connection can be used only if approved by leadership.  
Employees who live and work from Home in the state of California, Illinois, Montana, or South Dakota will be provided a bi\-weekly payment for their internet expense.  
Humana will provide Home or Hybrid Home/Office employees with telephone equipment appropriate to meet the business requirements for their position/job.  
Work from a dedicated space lacking ongoing interruptions to protect member PHI / HIPAA information.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$106,900 \- $147,000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03\-19\-2026**About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8">
      <c r="A28" t="inlineStr">
        <is>
          <t>in-3af42c40817dfbea</t>
        </is>
      </c>
      <c r="B28" t="inlineStr">
        <is>
          <t>.NET Software Engineer</t>
        </is>
      </c>
      <c r="C28" t="inlineStr">
        <is>
          <t>Sherwin-Williams</t>
        </is>
      </c>
      <c r="D28" t="inlineStr">
        <is>
          <t>indeed</t>
        </is>
      </c>
      <c r="E28">
        <f>HYPERLINK("https://www.indeed.com/viewjob?jk=3af42c40817dfbea", "https://www.indeed.com/viewjob?jk=3af42c40817dfbea")</f>
        <v/>
      </c>
      <c r="F28">
        <f>HYPERLINK("https://click.appcast.io/t/EYWmcPpyE5xu3OFBbMoHIr_gtX6N33jadStEEAoC9Jo=", "https://click.appcast.io/t/EYWmcPpyE5xu3OFBbMoHIr_gtX6N33jadStEEAoC9Jo=")</f>
        <v/>
      </c>
      <c r="G28" t="inlineStr">
        <is>
          <t>Cleveland, OH, US</t>
        </is>
      </c>
      <c r="H28" s="2" t="n">
        <v>46036</v>
      </c>
      <c r="I28" t="inlineStr">
        <is>
          <t>The Software Engineer is responsible for designing, developing, and testing software systems, applications for software enhancements and new products, including cloud\-based or internet\-related tools for internal consumption. This role will provide technical solutions enabling the organization to meet its strategic objectives. The incumbent will collaborate with team members to ensure successful teamwork and effective delivery of software solutions.
 **This position is not hybrid/remote and will be located at our Cleveland Headquarters office.**
At Sherwin\-Williams, our purpose is to inspire and improve the world by coloring and protecting what matters. Our paints, coatings and innovative solutions make the places and spaces in our world brighter and stronger. Your skills, talent and passion make it possible to live this purpose, and for customers and our business to achieve great results. Sherwin\-Williams is a place that takes its stability, growth and momentum and translates it to possibility for our people. Our people are behind the strength of our success, and we invest and support you in:
Life … with rewards, benefits and the flexibility to enhance your health and well\-being
Career … with opportunities to learn, develop new skills and grow your contribution
Connection … with an inclusive team and commitment to our own and broader communities
It's all here for you... let's Create Your **Possible**
At Sherwin\-Williams, part of our mission is to help our employees and their families live healthier, save smarter and feel better. This starts with a wide range of world\-class benefits designed for you. From retirement to health care, from total well\-being to your daily commute—it matters to us. A general description of benefits offered can be found at http://www.myswbenefits.com/. Click on “Candidates” to view benefit offerings that you may be eligible for if you are hired as a Sherwin\-Williams employee.
Compensation decisions are dependent on the facts and circumstances of each case and will impact where actual compensation may fall within the stated wage range. The wage range listed for this role takes into account the wide range of factors considered in making compensation decisions including skill sets; experience and training; licensure and certifications; and other business and organizational needs. The disclosed range estimate has not been adjusted for the applicable geographic differential associated with the location at which the position may be filled. The wage range, other compensation, and benefits information listed is accurate as of the date of this posting. The Company reserves the right to modify this information at any time, with or without notice, subject to applicable law.
Qualified applicants with arrest or conviction records will be considered for employment in accordance with applicable federal, state, and local laws including with the Los Angeles County Fair Chance Ordinance for Employers and the California Fair Chance Act where applicable.
Sherwin\-Williams is proud to be an Equal Employment Opportunity employer. All qualified candidates will receive consideration for employment and will not be discriminated against based on race, color, religion, sex, sexual orientation, gender identity, national origin, protected veteran status, disability, age, pregnancy, genetic information, creed, marital status or any other consideration prohibited by law or by contract.
As a VEVRAA Federal Contractor, Sherwin\-Williams requests state and local employment services delivery systems to provide priority referral of Protected Veterans.
Please be aware, Sherwin\-Williams recruiting team members will never request a candidate to provide a payment, ask for financial information, or sensitive personal information like national identification numbers, date of birth, or bank account numbers during the application process.
* Assist in software planning cycles, providing input on product/project estimates, and aligning with the team's goals and timelines
* Develop a deeper understanding of business requirements and work closely with experienced team members to create technical specifications that implement the requirements effectively
* Research and propose ideas for designing software, applications and database enhancements or new products in alignment with business requirements and technical specifications defined
* Develop, build and test software systems or applications to meet business requirements and leverage expertise of senior team members for specific challenges
* Support in writing high\-quality, maintainable, and scalable code in various programming languages
* Update task statuses and track completion for the bug fixes conducted to identify and remediate defects in software solutions
* Research, propose, and implement leading practices for creating and maintaining technical documentation including code comments, design documents, and user manuals
* Collaborate with business analysts, quality assurance testers, and project managers to ensure that software solutions meet business requirements
* Ensure timely completion of backend work ahead of end\-user engagement to ensure proper use of software solutions
 *This position is not eligible for sponsorship for work authorization now or in the future, including conversion to H1\-B visa.*
*Job duties include contact with other employees and access confidential and proprietary information and/or other items of value, and such access may be supervised or unsupervised. The Company therefore has determined that a review of criminal history is necessary to protect the business and its operations and reputation and is necessary to protect the safety of the Company’s staff, employees, and business relationships.*
**Minimum Requirements**
* Must be at least 18 years of age
* Must be legally authorized to work in the country of employment without needing sponsorship for employment work visa status now or in the future
 **Education**
**Required**
* Bachelor's Degree in Computer Science or Computer Engineering, or in lieu of a degree, at least 3 years of experience in software development
 **Knowledge \&amp; Experience**
**Required**
* 2\-4 years of experience in software development in the software development industry
* Knowledge of software development life cycle (SDLC) methodologies and best practices
* Knowledge of at least one software development language such as VB.NET, C\#
* Knowledge of relational databases and SQL as well as web services and APIs
* Strong written and verbal communication skill
**Preferred**
* Experience supporting finance or accounting applications
* Expertise in supporting OneStream or Hyperion Planning/Essbase applications
 **Technical Skills**
* Database Management Systems
* Programming Languages
* Cloud Technologies \&amp; Platforms
* Software Development Lifecycle (SDLC) Methodology
* Project Management Methodology
* Web Services \&amp; APIs
* Systems Integration · Source Control Systems
* Build Tools and Compilers
* Software Testing \&amp; Quality Assurance Methodologies \&amp; Tools
* Automated Testing Tools
* Solution Architecture Patterns
* Containerization</t>
        </is>
      </c>
    </row>
    <row r="29">
      <c r="A29" t="inlineStr">
        <is>
          <t>in-5adf1b3bef3eeb0f</t>
        </is>
      </c>
      <c r="B29" t="inlineStr">
        <is>
          <t>Machine Learning Software Engineer</t>
        </is>
      </c>
      <c r="C29" t="inlineStr"/>
      <c r="D29" t="inlineStr">
        <is>
          <t>indeed</t>
        </is>
      </c>
      <c r="E29">
        <f>HYPERLINK("https://www.indeed.com/viewjob?jk=5adf1b3bef3eeb0f", "https://www.indeed.com/viewjob?jk=5adf1b3bef3eeb0f")</f>
        <v/>
      </c>
      <c r="F29">
        <f>HYPERLINK("https://grnh.se/ud9s1gdr2us", "https://grnh.se/ud9s1gdr2us")</f>
        <v/>
      </c>
      <c r="G29" t="inlineStr">
        <is>
          <t>Cambridge, MA, US</t>
        </is>
      </c>
      <c r="H29" s="2" t="n">
        <v>46036</v>
      </c>
      <c r="I29" t="inlineStr">
        <is>
          <t>#### **COMPANY DESCRIPTION**
Mirai Bio, Inc is a Flagship backed, privately held biotechnology company on a mission to transform the current approach to information molecule therapeutics to unlock their full therapeutic potential. In recent years, we have begun to experience the power of information molecules in treating historically undruggable diseases and in designing therapies with unprecedented turnaround times. Mirai's platform integrates nanoparticle development with world\-class informatics technologies and a novel pipeline of experimentation and discovery to drive a new generation of highly effective, therapeutically relevant information molecule therapies. We are seeking collaborative, relentless problem solvers that share our passion for impact to join us!
Mirai was founded by Flagship Pioneering. Flagship Pioneering conceives, creates, resources, and develops first\-in\-category life sciences companies to transform human health and sustainability. Since its launch in 2000, the firm has applied a unique hypothesis\-driven innovation process to originate and foster more than 100 scientific ventures, resulting in over $30 billion in aggregate value. The current Flagship ecosystem comprises 37 transformative companies, including: Moderna Therapeutics (NASDAQ: MRNA), Rubius Therapeutics (NASDAQ: RUBY), Indigo Agriculture, and Sana Biotechnology (NASDAQ: SANA).
#### **The Role**
Mirai Bio is seeking a highly talented individual to design, implement, and deploy novel ML approaches to optimize in vivo therapeutic delivery vehicles. They will work cross\-functionally to build the computational tools necessary to identify and test therapeutic candidates to enable Mirai's next generation genomic medicines. The successful candidate will engineer scalable ML platforms and pipelines to overcome limitations of current nucleic acid delivery approaches and will have a strong understanding of targeted information molecule delivery. A successful candidate will have strong familiarity with production\-grade ML systems, active learning, and experience working with chemoinformatic libraries. The candidate will also be expected to collaborate extensively with experimental and infrastructure teams.
#### **Key Responsibilities**
* Design, build, and deploy production\-grade ML models for optimization of lipid nanoparticle (LNP) formulation, synthesis, and in vivo performance.
* Develop and implement scalable software best practices for uncertainty quantification, ensuring models are reliable for real\-time decision\-making.
* Engineer robust data pipelines to integrate multi\-fidelity datasets (in silico and in vivo) to accelerate data\-driven discovery of novel LNPs
* Collaborate with computational scientists to translate research models into maintainable, efficient software that identifies design pathways for LNPs that achieve targeted functional properties
* Work with infrastructure and automation teams to architect and streamline real\-time data transfer between predictive models and experimental platforms
* Partner with experimental teams to drive iterative design–make–test–analyze (DMTA) cycles
* Communicate findings to stakeholders and leadership through written reports and technical presentations.
#### **Professional Experience \&amp; Qualifications**
* PhD or Master's in Computer Science, Applied Mathematics, Bioengineering, Chemical Engineering, or a related quantitative field with a strong ML and Software Engineering focus.
* 4\+ years of experience developing and deploying ML models in a production environment within industry and/or academic settings.
* Strong experience with uncertainty quantification, active learning, and Bayesian Optimization in drug delivery, materials science, or related fields.
* Proficiency in ML frameworks (PyTorch/TensorFlow/JAX) and the Python data science ecosystem.
* Demonstrated experience with MLOps principles (version control, CI/CD, monitoring) and hands\-on experience with cloud computing infrastructure (e.g., AWS, GCP, Azure) to accelerate model training, deployment, and inference.
* Strong independent problem\-solving ability and attention to detail.
* Demonstrated achievement in industry or academia (publications, patents, or successful ML system deployments).
* Excellent communication and presentation skills for both technical and interdisciplinary audiences.
* Enthusiasm for working with cross\-functional teams of experimentalists, engineers, and computational scientists in a fast\-paced, entrepreneurial environment.
#### **Preferred Qualifications**
* Hands\-on experience building and managing ML packages.
* Experience with ML experiment tracking platforms (e.g. MLflow, Weights \&amp; Biases)
* Familiarity with API development and microservices for integrating ML models into experimental workflows.
* Background in drug delivery, lipid chemistry, or nanoparticle formulation.
**ABOUT FLAGSHIP PIONEERING**
Flagship Pioneering invents and builds platform companies, each with the potential for multiple products that transform human health, sustainability and beyond. Since its launch in 2000, Flagship has originated more than 100 companies. Many of these companies have addressed humanity's most urgent challenges: vaccinating billions of people against COVID\-19, curing intractable diseases, improving human health, preempting illness, and feeding the world by improving the resiliency and sustainability of agriculture.
Flagship has been recognized twice on FORTUNE's "Change the World" list, an annual ranking of companies that have made a positive social and environmental impact through activities that are part of their core business strategies and has been twice named to Fast Company's annual list of the World's Most Innovative Companies. Learn more about Flagship at www.flagshippioneering.com.
At Flagship, we accept impossible missions to enable bigger leaps. Our core values guide us through uncertainty and toward lasting impact.
**We are an equal opportunity employer**. All qualified applicants will be considered for employment without regard to race, color, religion, sex, sexual orientation, gender identity, national origin, disability, protected veteran status, or any other characteristic protected by law.
We recognize that great candidates often bring unique strengths **without fulfilling every qualification**. If you have some of the experience listed above but not all, please apply anyway. We are dedicated to building diverse and inclusive teams and look forward to learning more about your background **and interest in Flagship.**
***Recruitment \&amp; Staffing Agencies****: Flagship Pioneering and its affiliated Flagship Lab companies (collectively, "FSP") do not accept unsolicited resumes from any source other than candidates. The submission of unsolicited resumes by recruitment or staffing agencies to FSP or its employees is strictly prohibited unless contacted directly by Flagship Pioneering's internal Talent Acquisition team. Any resume submitted by an agency in the absence of a signed agreement will automatically become the property of FSP, and FSP will not owe any referral or other fees with respect thereto.*
\#LI\-LD1
The salary range for this role is $96,000 \- $156,750\. Compensation for the role will depend on a number of factors, including a candidate's qualifications, skills, competencies, and experience. Mirai Bio currently offers healthcare coverage, annual incentive program, retirement benefits and a broad range of other benefits. Compensation and benefits information is based on Mirai Bio's good faith estimate as of the date of publication and may be modified in the future.</t>
        </is>
      </c>
    </row>
    <row r="30">
      <c r="A30" t="inlineStr">
        <is>
          <t>in-1a36da5171e0074e</t>
        </is>
      </c>
      <c r="B30" t="inlineStr">
        <is>
          <t>Senior Software Engineer, Toolchains</t>
        </is>
      </c>
      <c r="C30" t="inlineStr">
        <is>
          <t>Latitude AI</t>
        </is>
      </c>
      <c r="D30" t="inlineStr">
        <is>
          <t>indeed</t>
        </is>
      </c>
      <c r="E30">
        <f>HYPERLINK("https://www.indeed.com/viewjob?jk=1a36da5171e0074e", "https://www.indeed.com/viewjob?jk=1a36da5171e0074e")</f>
        <v/>
      </c>
      <c r="F30">
        <f>HYPERLINK("https://grnh.se/851q3m3l1us", "https://grnh.se/851q3m3l1us")</f>
        <v/>
      </c>
      <c r="G30" t="inlineStr">
        <is>
          <t>Pittsburgh, PA, US</t>
        </is>
      </c>
      <c r="H30" s="2" t="n">
        <v>46036</v>
      </c>
      <c r="I30" t="inlineStr">
        <is>
          <t>Latitude AI (lat.ai) develops automated driving technologies, including L3, for Ford vehicles at scale. We're driven by the opportunity to reimagine what it's like to drive and make travel safer, less stressful, and more enjoyable for everyone.
When you join the Latitude team, you'll work alongside leading experts across machine learning and robotics, cloud platforms, mapping, sensors and compute systems, test operations, systems and safety engineering – ***all dedicated to making a real, positive impact on the driving experience for millions of people.***
As a Ford Motor Company subsidiary, we operate independently to develop automated driving technology at the speed of a technology startup. Latitude is headquartered in Pittsburgh with engineering centers in Dearborn, Mich., and Palo Alto, Calif.
**Meet the team:**
The toolchains team maintains and improves the development ecosystem in a monorepo for Latitude developers. The team focuses on developer efficiency, compliance with industry standards, and reducing technical debt. Day\-to\-day work can involve repo\-wide optimizations, compiler and toolchain upgrades, improvements to code health tooling, and integration with third\-party tools and packages. This team frequently acts as a resource for other Latitude teams, both within development infrastructure and in the larger org providing expertise and support. These efforts play a vital role in ensuring a smooth and productive development experience for all Latitude developers.
**What you'll do:**
* Proactively identify and implement improvements to the development ecosystem, enhancing efficiency and productivity for all Latitude developers
* Maintain and improve Latitude's core development environment ensuring a stable and efficient platform for all Latitude developers
* Provide guidance and assistance to other teams within Latitude on development best practices and tool usage
* Integrate third\-party tools and packages into our monorepo making them available to all users
* Enhance code quality monorepo\-wide with tools for debugging, static analysis, sanitizers, code coverage, and other code health metrics
* Work with all stakeholders to upgrade essential software tools used by everyone including compilers, toolchains, and other development utilities
**What you'll need to succeed:**
* Bachelor's degree in Computer Engineering, Computer Science, Electrical Engineering, Robotics or a related field and 4\+ years of relevant experience (or Master's degree and 2\+ years of relevant experience, or PhD)
* Experience with building and deploying software using various build systems (e.g., Bazel, Bitbake, CMake, Make, Meson)
* Comfort working in a Linux environment
* Experience building third party and / or open source software from scratch
* Proficiency in either python or C\+\+ along with bash scripting
* Enjoys debugging complex and esoteric integration issues
**Nice to have:**
* Previous experience with Yocto and Bazel
* Solid understanding of the compilation and linking process in the C\+\+ toolchain
* Previous experience in an robotics integration role
* Previous experience working with cross\-compilation of embedded software
**What we offer you:**
* Competitive compensation packages
* High\-quality individual and family medical, dental, and vision insurance
* Health savings account with available employer match
* Employer\-matched 401(k) retirement plan with immediate vesting
* Employer\-paid group term life insurance and the option to elect voluntary life insurance
* Paid parental leave
* Paid medical leave
* Unlimited vacation
* 15 paid holidays
* Daily lunches, snacks, and beverages available in all office locations
* Pre\-tax spending accounts for healthcare and dependent care expenses
* Pre\-tax commuter benefits
* Monthly wellness stipend
* Adoption/Surrogacy support program
* Backup child and elder care program
* Professional development reimbursement
* Employee assistance program
* Discounted programs that include legal services, identity theft protection, pet insurance, and more
* Company and team bonding outlets: employee resource groups, quarterly team activity stipend, and wellness initiatives
Learn more about Latitude's team, mission and career opportunities at lat.ai!
The expected base salary range for this full\-time position in California is $179,200 \- $268,800 USD. Actual starting pay will be based on job\-related factors, including exact work location, experience, relevant training and education, and skill level. Latitude employees are also eligible to participate in Latitude's annual bonus programs, equity compensation, and generous Company benefits program, subject to eligibility requirements.
Candidates for positions with Latitude AI must be legally authorized to work in the United States on a permanent basis.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is>
      </c>
    </row>
    <row r="31">
      <c r="A31" t="inlineStr">
        <is>
          <t>in-803e38f2a60f1544</t>
        </is>
      </c>
      <c r="B31" t="inlineStr">
        <is>
          <t>Software Engineer, Revenue</t>
        </is>
      </c>
      <c r="C31" t="inlineStr">
        <is>
          <t>TABS</t>
        </is>
      </c>
      <c r="D31" t="inlineStr">
        <is>
          <t>indeed</t>
        </is>
      </c>
      <c r="E31">
        <f>HYPERLINK("https://www.indeed.com/viewjob?jk=803e38f2a60f1544", "https://www.indeed.com/viewjob?jk=803e38f2a60f1544")</f>
        <v/>
      </c>
      <c r="F31">
        <f>HYPERLINK("https://jobs.ashbyhq.com/Tabs/1220f7ec-7e1d-445a-9891-87d5700df346?utm_source=2nrG3vDLlw", "https://jobs.ashbyhq.com/Tabs/1220f7ec-7e1d-445a-9891-87d5700df346?utm_source=2nrG3vDLlw")</f>
        <v/>
      </c>
      <c r="G31" t="inlineStr">
        <is>
          <t>New York, NY, US</t>
        </is>
      </c>
      <c r="H31" s="2" t="n">
        <v>46036</v>
      </c>
      <c r="I31" t="inlineStr">
        <is>
          <t>**Tabs** is the leading AI\-native revenue platform for modern finance and accounting teams. Tabs agents automates the entire contract\-to\-cash lifecycle, including billing, collections, revenue recognition, and reporting, to help teams eliminate manual work and accelerate cash flow.
High\-growth companies like **Cursor** and **Statsig** rely on Tabs to generate invoices directly from contracts, reconcile payments in real time, and automate ASC 606 compliance.
Founded in 2023, Tabs has raised over $91 million from **Lightspeed Venture Partners**, **General Catalyst**, and **Primary**. The team is headquartered in New York and brings deep expertise in finance and AI.
**Why this role exists**
------------------------
Revenue recognition is perhaps one of the hardest domains in software. It’s full of gnarly edge cases, temporal complexity and legacy decisions that can’t be undone.
The Tabs Revenue team builds the systems that turn contracts and usage into revenue reporting that users can trust\- ARR, GAAP\-compliant rev rec, deferred and unbilled balances, journal entries\- all enforced by mathematical invariants. Down to the penny, across time, under audit.
Nailing rev rec is existential to the success of Tabs. We’re hiring an engineer who wants to own real systems, not just shuffle tickets across the finish line. Someone who enjoys untangling ambiguity, respects the domain of accounting and is energized by complexity.
**What you’ll actually work on**
--------------------------------
Here are examples of real projects engineers on the Revenue team have owned recently:
* **Revenue recognition architecture:** Built a system where invoice amounts, recognized revenue and accounting entries stay in sync through service\-level constraints
* **Historical revenue import:** Built CSV upload pipeline that validates, transforms and inserts pre\-platform data, then combines it with current data in reports
* **Month\-end close workflow:** Built a new experience that validates invoices, reconciles payments, calculates revenue movement and generates journal entries ready for ERP sync
* **Optimized revenue reporting:** Built queries that combine historical imports with current data, support multi\-currency, and render annual reports in record time for our most data\-heavy customers
* **Credit memos:** Built a credit memo system that works across multiple ERPs, including robust rollback logic and error surfacing
You’ll work across backend services, data models, APIs and frontend services. You’ll partner closely with Product and Design\- quick deskside sessions abound at Tabs! You’re expected to bring opinions to the meetings you join, not just take notes.
**What we care about**
----------------------
You’ll thrive at Tabs if you:
* Enjoy owning systems end\-to\-end, from first design doc to fixing production edge cases weeks later
* Care deeply about correctness and long\-term maintainability
* Are curious about domains you don’t already understand, and are willing to sit with discomfort while you learn
* Can disagree respectfully, explain your reasoning and change your mind when the data says you should
We’re optimizing for excellent engineers who are good teammates.
**What we** ***don’t*** **care about as much**
----------------------------------------------
* Exact years of experience
* Whether you’re “frontend” or “backend” by title
* Whether you’ve worked in fintech before
* Whether you know what Deferred Revenue is
If you’ve built scalable systems, shipped real software and learned from breaking prod a time or two, we want to talk.
**Tabs engineering culture**
----------------------------
Our core values show up in how we work:
* **Respect the Domain**  
We don’t shy away from accounting complexity. We dig into the details to build features the right way \- even if that means combing through PWC’s revenue recognition guidance on a weekend.
* **Stay Customer\-Centric**  
If accounting teams can’t trust the numbers we produce, nothing else matters. Engineers join customer calls when it’s useful and stay in close touch with Support and Success to understand what customers actually need. We put wireframes in front of real users, get feedback directly from accountants and cut processes that slow us down. You won’t hear “that’s not my job” here; we step in and help where it’s needed.
* **Innovate In\-Person**  
This is an in\-office role. We believe hard problems are solved faster together. This comes with perks like weekly happy hours, chess tournaments, soccer leagues, quarterly hackathons and more whiteboards than employees
* **Build the Best Vision**  
We’re not copying incumbents; we’re rethinking how accounting systems should work from first principles. We get bright people into a room, debate intensely, disagree, commit and execute with urgency. If we make the “wrong” decision, we pivot quickly and ego\-less\-ly, document our learnings and move on. We operate in one\-week sprints so we can adapt when new information surfaces.
* **Do What You Say**  
We value clear ownership and follow\-through. Engineers who consistently deliver earn trust quickly and see their scope expand fast\- not through politics, but by doing what they said they would do. In other words, we’re looking for drivers, not passengers.
* **Grow from Discomfort**  
This work is hard because we challenge ourselves to ship killer products on tight deadlines. Maybe you will be asked to deliver a feature in half the time you budgeted. Maybe you will need to build a novel frontend experience, even though you’ve been a backend engineer for years. Maybe you will write a technical doc on how to re\-architect our reporting backend, 3 years out of school. (All real examples, btw). We’ve learned there are two reactions to this kind of work: “oh s\*\*\*” and “looks fun, when can I start?” We’re building a team of the second kind. That’s where the growth is.
**Want a better sense of how the Revenue team thinks?**
-------------------------------------------------------
We share our wins and our mistakes. A few recent blog posts from the team:
* https://medium.com/tabs\-engineering/tabs\-how\-we\-built\-a\-revenue\-automation\-system\-with\-an\-invariant\-12204bc25a06
* https://medium.com/tabs\-engineering/unit\-testing\-data\-in\-the\-wild\-west\-of\-domain\-design\-39cbed3ba01b
* https://medium.com/tabs\-engineering/rewriting\-a\-core\-system\-a\-hit\-and\-a\-miss\-04551c92bfc2
* https://medium.com/tabs\-engineering/teaching\-ai\-your\-bad\-habits\-5748d6085659
**Final note**
--------------
If you’re excited by hard problems, care about correctness and want to work with people who are sharp *and* kind, we’d love to hear from you. If you’re looking for a chill role where you can push some Linear tickets across the board and clock out… this probably isn’t it
**The stack**
-------------
We care more about how fast you learn than experience with our exact stack!
* TypeScript, Node, NestJS
* React, Next.js
* Postgres
* Redis
* Temporal for job management
**Experience**
--------------
* 3–5 years of professional software engineering experience
* Experience building web applications or backend services in production
* Familiarity with modern backend languages and frameworks
* Experience with modern frontend frameworks such as React, Vue, or similar
* Experience working with APIs and relational databases
**Additional Information**
--------------------------
This role is based in New York City at our Soho office.
**Perks and Benefits (Full\-time Employees)**
---------------------------------------------
* Competitive compensation and equity
* Unlimited PTO
* Up to 100% employer covered monthly healthcare premium (medical, dental, vision)
* Lunch provided via Sharebite, plus dinner for any later office days.
* Parental leave up to 12 weeks
* Tax free commuter and parking benefits
* Voluntary insurances (Life, Hospital, Critical Illness, Accident)
* Employee Assistance Program (Rightway)
* 401k
Tabs is an equal opportunity employer. We welcome teammates of all identities and do not discriminate on the basis of race, ethnicity, religion, gender identity, sexual orientation, age, disability, veteran status, or any other protected characteristic. We’re committed to creating an environment where everyone can grow, contribute, and feel comfortable being themselves.
Compensation Range: $148K \- $203\.5K</t>
        </is>
      </c>
    </row>
    <row r="32">
      <c r="A32" t="inlineStr">
        <is>
          <t>in-cb4a0076bca6190f</t>
        </is>
      </c>
      <c r="B32" t="inlineStr">
        <is>
          <t>Full Stack Software Engineer</t>
        </is>
      </c>
      <c r="C32" t="inlineStr">
        <is>
          <t>CYNGN</t>
        </is>
      </c>
      <c r="D32" t="inlineStr">
        <is>
          <t>indeed</t>
        </is>
      </c>
      <c r="E32">
        <f>HYPERLINK("https://www.indeed.com/viewjob?jk=cb4a0076bca6190f", "https://www.indeed.com/viewjob?jk=cb4a0076bca6190f")</f>
        <v/>
      </c>
      <c r="F32">
        <f>HYPERLINK("https://jobs.lever.co/cyngn/ee7518e1-7f77-4655-b07d-ea968ec82127", "https://jobs.lever.co/cyngn/ee7518e1-7f77-4655-b07d-ea968ec82127")</f>
        <v/>
      </c>
      <c r="G32" t="inlineStr">
        <is>
          <t>Mountain View, CA, US</t>
        </is>
      </c>
      <c r="H32" s="2" t="n">
        <v>46036</v>
      </c>
      <c r="I32" t="inlineStr">
        <is>
          <t>**Mountain View, CA****Software \- Systems – Software \- Systems /****Full\-Time /****On\-Site**
**About Cyngn**
Based in Mountain View, CA, Cyngn is a publicly\-traded autonomous technology company. We deploy self\-driving industrial vehicles like forklifts and tuggers to factories, warehouses, and other facilities throughout North America. To build this emergent technology, we are looking for innovative, motivated, and experienced leaders to join us and move this field forward. If you like to build, tinker, and create with a team of trusted and passionate colleagues, then Cyngn is the place for you. Key reasons to join Cyngn: **We are small and big.**
With under 100 employees, Cyngn operates with the energy of a startup. On the other hand, we’re publicly traded. This means our employees not only work in close\-knit teams with mentorship from company leaders—they also get access to the liquidity of our publicly\-traded equity. **We build today and deploy tomorrow.**
Our autonomous vehicles aren’t just test concepts—they’re deployed to real clients right now. That means your work will have a tangible, visible impact. **We aren’t robots. We just develop them.**
We’re a welcoming, diverse team of sharp thinkers and kind humans. Collaboration and trust drive our creative environment. At Cyngn, everyone’s perspective matters—and that’s what powers our innovation. **About this role:**
Cyngn is building a cloud platform that helps customers **monitor, manage, and optimize fleets of autonomous industrial vehicles** in real time. As a **Full Stack Engineer (Mid–Senior)**, you’ll ship features end\-to\-end—from **Python backend services** to **TypeScript/JavaScript frontends**—on a small, high\-impact team. You’ll partner closely with **Staff/Principal Engineers** while owning meaningful parts of the product.
If you’re excited by software at the intersection of **real\-time systems, physical AI, digital twins, and customer\-facing product**, we’d love to talk.### **Responsibilities**
+ Build customer\-facing web experiences: **fleet dashboards, live views/maps, alerts, admin tools, and reporting** using **TypeScript/JavaScript**.
+ Build and evolve backend services in **Python** that power fleet operations, integrations, data ingestion, and analytics.
+ Design and implement reliable **APIs** (REST and/or gRPC) that are well\-documented and easy to integrate with customer systems.
+ Deliver **real\-time features** (live vehicle state, events, notifications, operator workflows) using **WebSockets** and event\-driven patterns.
+ Support “**physical AI**” workflows by connecting cloud software to autonomy/robotics systems—telemetry pipelines, command\-and\-control surfaces, and operational tooling that interacts with vehicles in the real world.
+ Use modern **AI tools and agents** to move faster and raise quality (and help build **customer\-facing copilot** experiences where it makes sense).
+ Contribute to **digital\-twin simulation \+ validation loops** (where applicable): support workflows that use simulation to test behaviors, validate releases, and reproduce field issues.
+ Raise engineering quality through **testing, code reviews, observability**, and pragmatic reliability/performance improvements.
+ Own meaningful chunks of the product: shape solutions, make tradeoffs, and drive work to completion.
### **Qualifications**
+ **2–4\+ years** of professional software engineering experience.
+ Strong production experience with:
+ **Python** (backend services, APIs, data workflows)
+ **TypeScript or JavaScript** (frontend)
+ You’ve shipped and supported **user\-facing web applications** (not just internal tools).
+ You’re comfortable building **APIs** and working with **databases** (SQL preferred; NoSQL is a plus).
+ You communicate clearly, take ownership, and bring a **low\-ego, collaborative** approach.
+ You care about software that’s **reliable in production**, not just “works locally.”
### **Bonus Qualifications**
+ Real\-time systems experience: **WebSockets, SSE, streaming updates**, pub/sub.
+ Event\-driven systems / messaging: **Kafka, RabbitMQ, Pulsar**, etc.
+ Experience with telemetry\-heavy or operational products: **IoT, robotics, autonomy, fleet/dispatch, industrial software**.
+ Experience building analytics features: reporting, aggregations, operational metrics, customer\-facing insights.
+ Familiarity with scaling patterns: caching, background jobs, rate limiting, performance tuning.
+ Strong habits using **AI coding assistants/agents** responsibly (verification, testing, high\-signal reviews).
+ Exposure to physical AI simulation tooling (e.g., **NVIDIA Omniverse / Isaac Sim**) or similar environments.
### **Benefits \&amp; Perks**
+ Health benefits (Medical, Dental, Vision, HSA and FSA (Health \&amp; Dependent Daycare), Employee Assistance Program, 1:1 Health Concierge)
+ Life, Short\-term and long\-term disability insurance (Cyngn funds 100% of premiums)
+ Company 401(k)
+ Commuter Benefits
+ Flexible vacation policy
+ Remote or hybrid work opportunities
+ Sabbatical leave opportunity after 5 years with the company
+ Paid Parental Leave
+ Daily lunches for in\-office employees
+ Monthly meal and tech allowances for remote employees
$153,000 \- $171,000 a year* Please note salary range is for Bay Area residents \- we're still accepting remote applicants!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3">
      <c r="A33" t="inlineStr">
        <is>
          <t>in-0d59588f1d26d088</t>
        </is>
      </c>
      <c r="B33" t="inlineStr">
        <is>
          <t>Senior Software Developer</t>
        </is>
      </c>
      <c r="C33" t="inlineStr">
        <is>
          <t>Leidos</t>
        </is>
      </c>
      <c r="D33" t="inlineStr">
        <is>
          <t>indeed</t>
        </is>
      </c>
      <c r="E33">
        <f>HYPERLINK("https://www.indeed.com/viewjob?jk=0d59588f1d26d088", "https://www.indeed.com/viewjob?jk=0d59588f1d26d088")</f>
        <v/>
      </c>
      <c r="F33">
        <f>HYPERLINK("https://careers.leidos.com/jobs/17225545-senior-software-developer?tm_job=R-00173728&amp;tm_event=view&amp;tm_company=2502", "https://careers.leidos.com/jobs/17225545-senior-software-developer?tm_job=R-00173728&amp;tm_event=view&amp;tm_company=2502")</f>
        <v/>
      </c>
      <c r="G33" t="inlineStr">
        <is>
          <t>Bethesda, MD, US</t>
        </is>
      </c>
      <c r="H33" s="2" t="n">
        <v>46036</v>
      </c>
      <c r="I33" t="inlineStr">
        <is>
          <t>**Description**
Leidos’ **High Fidelity Simulation Business Area** designs and delivers cutting\-edge **system\-of\-systems solutions** that power world\-class simulation, training, and analysis products for the **U.S. Navy**.
In this role, based at a U.S. Government facility in **Bethesda, MD**, you will work with **state\-of\-the\-art technologies** to develop advanced **sonar tactical decision aids (TDAs)** that directly support the Fleet. You’ll be part of a **high\-performing team** whose mission\-critical work shapes the Navy’s tactical edge—making a **tangible impact on national security**.
At Leidos, we empower our engineers to do **meaningful work** while continually **building new skills** to grow the career they want to achieve.
**What You’ll Work On**
* **Develop and enhance Tactical Signature Guidance (TSG) systems**, including sonar TDAs across multiple code baselines.
* **Troubleshoot and resolve complex software challenges** while contributing innovative solutions.
* **Learn and apply new programming languages and technologies**, with mentorship and support from experienced teammates.
* Occasionally **support hardware system configuration and build\-out**, gaining exposure to full system integration.
This opportunity is ideal for developers who thrive on **solving complex problems**, want to **expand their technical expertise**, and are motivated by work that directly supports the **U.S. Navy’s operational readiness**.
Primary Responsibilities
* **Mentor** a de\-centralized team of 15\+ developers, applying **agile methodologies** within a larger 50\+ member program.
* **Collaborate** in an agile environment to design, develop, and deliver complex **mission system software**.
* **Own and deliver** solutions built with **Java, C\+\+**, and other modern technologies.
* **Explore and apply** new frameworks and languages such as **Angular, Rust, or Scala** to meet evolving mission needs.
* **Troubleshoot and resolve** complex technical challenges with creativity and efficiency.
* **Make informed decisions** even with limited information in dynamic, fast\-paced environments.
* **Recognize when to adapt or pivot** during implementation to ensure the best technical and mission outcomes.
* **Drive process improvements** and introduce innovative workflows that enhance team performance.
* **Influence positive change** through collaboration, initiative, and technical leadership.
* **Balance multiple priorities** and **adapt quickly** to urgent or shifting requirements.
* **Communicate clearly** across teams, stakeholders, and leadership.
* Apply **agile best practices** to deliver high\-quality, iterative results that make an impact.
* **Travel occasionally** to **Manassas, VA** for integration efforts and direct team collaboration.
Basic Qualifications
* **Education:** Bachelor’s degree in **Engineering, Mathematics, Physical Science, or Computer Science**, or another degree providing equivalent software development expertise.
* **Experience:** Minimum of **7 years** in some combination of:
	+ Designing, developing, and implementing **real\-time acoustic signal processing algorithms**
	+ Developing **parallel processing** implementations
	+ Working with **service\-oriented architectures (SOA)**
	+ Developing **signal processing**, **real\-time data analysis**, or **visualization/simulation** systems
	+ **Java and C\+\+ are required for this role**
* **Domain Expertise:** At least **5 years** of development and integration experience with **sonar** and/or **Navy Command and Control (C2\)** systems.
* **Security:** Ability to obtain a **U.S. security clearance**.
* **Certification:** Possess an **IAT Level I or higher** certification, or willingness to obtain one within **30 days of hire**.
Desired Qualifications
* **Education:** Master’s degree in **Computer Science, Engineering, Mathematics, or Physical Sciences**.
* **Experience:** \~**11 years** designing, developing, and implementing **signal processing**, **real\-time data analysis**, or **visualization/simulation** systems.
* **Technology Leadership:** \~**8 years** evaluating and integrating new technologies, maintaining modern software architectures, and mentoring development teams.
* **Big Data \&amp; Cloud:** Experience with **Scala**, **NoSQL/NewSQL databases**, **Cassandra**, **Kafka**, **Spark**, and **AWS** cloud environments.
* **UI/Visualization:** Proficiency with **HTML5, Angular, TypeScript, Cesium**, and related toolsets.
* **Containers \&amp; Microservices:** Strong background in **Kubernetes, Docker, REST APIs**, and **containerized microservice architectures**.
* **Collaboration \&amp; Agile:** Proven experience contributing to **open\-source projects** and leading or participating in **agile/scrum** teams.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January 15,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4">
      <c r="A34" t="inlineStr">
        <is>
          <t>in-09fd198445629d2d</t>
        </is>
      </c>
      <c r="B34" t="inlineStr">
        <is>
          <t>Software Developer</t>
        </is>
      </c>
      <c r="C34" t="inlineStr">
        <is>
          <t>ASSA ABLOY Group</t>
        </is>
      </c>
      <c r="D34" t="inlineStr">
        <is>
          <t>indeed</t>
        </is>
      </c>
      <c r="E34">
        <f>HYPERLINK("https://www.indeed.com/viewjob?jk=09fd198445629d2d", "https://www.indeed.com/viewjob?jk=09fd198445629d2d")</f>
        <v/>
      </c>
      <c r="F34">
        <f>HYPERLINK("https://assaabloy.jobs2web.com/job/New-Haven-Software-Developer-CT-06511/1283929701/", "https://assaabloy.jobs2web.com/job/New-Haven-Software-Developer-CT-06511/1283929701/")</f>
        <v/>
      </c>
      <c r="G34" t="inlineStr">
        <is>
          <t>New Haven, CT, US</t>
        </is>
      </c>
      <c r="H34" s="2" t="n">
        <v>46036</v>
      </c>
      <c r="I34" t="inlineStr">
        <is>
          <t>ASSA ABLOY is seeking a Software Applications Developer responsible for maintaining and enhancing legacy systems while designing and implementing innovative solutions that align with business objectives. This role primarily utilizes the Microsoft technology stack and requires close collaboration with business stakeholders, infrastructure teams, and fellow developers to deliver secure, scalable, and high\-performing applications.  
Key responsibilities include ensuring the stability and performance of existing applications through troubleshooting, refactoring, and incremental modernization, as well as contributing to the development of new solutions using modern frameworks, Azure cloud services, and industry best practices. The ideal candidate will need to demonstrate strong commitment to code quality, security, performance optimization, and maintainability to support both current operations and future growth.  
This is an entry\-level position ideal for candidates starting their career or with up to 2 years of experience. Perfect for recent graduates or those with foundational experience looking to develop their skills.  
This position will sit onsite full\-time Berlin, CT reporting to the Director of Applications Development.  
**What you will be doing**
* Build and enhance frontend applications using React, and support existing legacy React and Angular applications.
* Design, develop, and maintain backend services using C\# and .NET (.NET Core / .NET Framework).
* Support and maintain legacy applications built with older .NET frameworks, React, Nodejs and Angular.
* Debug, troubleshoot, and resolve application defects, performance issues, security vulnerabilities and integration failures.
* Provide ongoing operational support to ensure high availability and reliability of business\-critical systems.
* Maintain up\-to\-date technical documentation for both legacy and newly developed systems.
**What we are looking for**
* BS or MS in Computer Engineering, Computer Science or related field of study.
* Must have a strong OOP (Object Oriented Programming) foundation with .NET, C\+\+, Java, or other languages associated.
* Demonstrated hands\-on experience working with front end technologies such as HTML, CSS and JavaScript.
* Must have prior Internship experience to be considered for this entry level position.
* Experience developing and maintaining RESTful APIs using ASP.NET / ASP.NET Core
* Experience with Azure resources such as app service, storage and other services.
**Preferred skills**
* Strong background with C\# and the .NET Framework / .NET Core (.NET Framework) strongly preferred.
* Experience with CI/CD pipelines (Azure DevOps or similar) for building, testing, and deploying applications
* Ability to deploy, configure, and manage applications across Azure resources including App Services, Functions, and supporting services
**What we offer**  
We are passionate about providing amazing opportunities and benefits, so that you can enjoy a lifelong career with us.  
* Continuous professional development opportunities and an environment that fosters internal growth and mobility.
* Competitive compensation and benefits package which includes multiple healthcare options, tuition reimbursement, and matching 401k.
* Generous holiday schedule and paid time off to refresh and recharge.
* Employee pricing on our products and discount programs for travel, entertainment, and more!
**We review applications regularly, so don’t hesitate, apply today!**  
\#LI\-VB1  
**We are the ASSA ABLOY Group**  
Our people have made us the global leader in access solutions. In return, we open doors for them wherever they go. With nearly 63,000 colleagues in more than 70 different countries, we help billions of people experience a more open world. Our innovations make all sorts of spaces – physical and virtual – safer, more secure, and easier to access.
As an employer, we value results – not titles, or backgrounds. We empower our people to build their career around their aspirations and our ambitions – supporting them with regular feedback, training, and development opportunities. Our colleagues think broadly about where they can make the most impact, and we encourage them to grow their role locally, regionally, or even internationally.
As we welcome new people on board, it’s important to us to have diverse, inclusive teams, and we value different perspectives and experiences.</t>
        </is>
      </c>
    </row>
    <row r="35">
      <c r="A35" t="inlineStr">
        <is>
          <t>in-18b1ed6426c31885</t>
        </is>
      </c>
      <c r="B35" t="inlineStr">
        <is>
          <t>Software Engineer, Infrastructure, Google Cloud</t>
        </is>
      </c>
      <c r="C35" t="inlineStr">
        <is>
          <t>Google</t>
        </is>
      </c>
      <c r="D35" t="inlineStr">
        <is>
          <t>indeed</t>
        </is>
      </c>
      <c r="E35">
        <f>HYPERLINK("https://www.indeed.com/viewjob?jk=18b1ed6426c31885", "https://www.indeed.com/viewjob?jk=18b1ed6426c31885")</f>
        <v/>
      </c>
      <c r="F35">
        <f>HYPERLINK("https://careers.google.com/jobs/results/85991083959296710-software-engineer/", "https://careers.google.com/jobs/results/85991083959296710-software-engineer/")</f>
        <v/>
      </c>
      <c r="G35" t="inlineStr">
        <is>
          <t>Sunnyvale, CA, US</t>
        </is>
      </c>
      <c r="H35" s="2" t="n">
        <v>46036</v>
      </c>
      <c r="I35" t="inlineStr">
        <is>
          <t>### **Minimum qualifications:**
* Bachelor’s degree or equivalent practical experience.
* 2 years of experience with software development in one or more programming languages, or 1 year of experience with an advanced degree.
* Experience coding with languages like C\+\+, or Python
### **Preferred qualifications:**
* Master's degree or PhD in Computer Science or related technical fields.
* 2 years of experience with data structures and algorithms.
* Experience building and developing infrastructure or distributed systems.
* Experience optimizing software system performance.
* Experience in networking technologies/concepts such as software defined networking (SDN).
* Knowledge of internet routing technologies and router/switch telemetry.
**About the job**
-----------------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In this role,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Review code developed by other developers and provide feedback to ensure best practices (e.g., style guidelines, checking code in, accuracy, testability, and efficiency).
* Design, develop, and integrate features for Google’s software\-defined WAN (SDN) to ensure high availability, global scalability, and seamless new product introductions (NPI).
* Debug and resolve issues within an integrated networking ecosystem, focusing on traffic engineering, congestion management, and admission control.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6">
      <c r="A36" t="inlineStr">
        <is>
          <t>in-b6f56ee5de3f8975</t>
        </is>
      </c>
      <c r="B36" t="inlineStr">
        <is>
          <t>Associate Software Engineer - PHP</t>
        </is>
      </c>
      <c r="C36" t="inlineStr">
        <is>
          <t>Ensora Health</t>
        </is>
      </c>
      <c r="D36" t="inlineStr">
        <is>
          <t>indeed</t>
        </is>
      </c>
      <c r="E36">
        <f>HYPERLINK("https://www.indeed.com/viewjob?jk=b6f56ee5de3f8975", "https://www.indeed.com/viewjob?jk=b6f56ee5de3f8975")</f>
        <v/>
      </c>
      <c r="F36">
        <f>HYPERLINK("https://therapybrands.wd1.myworkdayjobs.com/EnsoraHealth/job/Remote---North-Carolina/Associate-Software-Engineer---PHP_R423", "https://therapybrands.wd1.myworkdayjobs.com/EnsoraHealth/job/Remote---North-Carolina/Associate-Software-Engineer---PHP_R423")</f>
        <v/>
      </c>
      <c r="G36" t="inlineStr">
        <is>
          <t>Charlotte, NC, US</t>
        </is>
      </c>
      <c r="H36" s="2" t="n">
        <v>46036</v>
      </c>
      <c r="I36"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an Associate PHP Software Engineer with a strong foundation in PHP development and a passion for building dynamic, scalable applications. You will contribute to the full development lifecycle, including coding, debugging, testing, and documentation, while learning best practices from senior engineers. Ideal candidates are problem\-solvers who write clean, efficient, and well\-structured code, and thrive in collaborative, Agile environments* Write code for small features or modules using PHP.
* Design basic functions avoiding duplications and interface\-breaking changes.
* Debug recurring issues and contribute to test automation.
* Participate in code reviews and learn from feedback.
* Apply team practices for debugging and adhere to code quality standards (coverage and gates).
* Understand common security vulnerabilities and how to avoid them.
* Communicate progress and complete tasks as forecasted.
* Update documentation and user guides.
* Participate in sprint planning and backlog refinement.
* Contribute to Agile development practices.
* Technical Skills
* Strong knowledge of PHP fundamentals and object\-oriented programming.
* Comfortable working from the Linux command line.
* Understanding of JavaScript, HTML, and CSS3\.
* Database experience and familiarity with SQL/MySQL.
* Basic understanding of system architecture and observability.
* Adheres to code quality standards (coverage and gates).
* Nice\-to\-have: Experience with Docker/containerization and AWS cloud services.
* Communicates clearly and concisely in written or verbal form.
* Shares knowledge frequently with teammates.
* Builds trust and positive relationships; gives credit where due.
* Accepts and applies constructive feedback professionally.
* Shows eagerness to learn domain and technology.
* Understands team processes and adheres to them.
* Demonstrates reliability and accountability.
* Open to new ideas and creative solutions.
 **Qualifications**
* Bachelor’s degree or equivalent experience.
* 1\+ years of experience in software development (or strong academic projects).
* Familiarity with web, mobile, or backend development.
* Knowledge of Agile methodology.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37">
      <c r="A37" t="inlineStr">
        <is>
          <t>in-162b98139e395385</t>
        </is>
      </c>
      <c r="B37" t="inlineStr">
        <is>
          <t>Software Engineer - PHP</t>
        </is>
      </c>
      <c r="C37" t="inlineStr">
        <is>
          <t>Ensora Health</t>
        </is>
      </c>
      <c r="D37" t="inlineStr">
        <is>
          <t>indeed</t>
        </is>
      </c>
      <c r="E37">
        <f>HYPERLINK("https://www.indeed.com/viewjob?jk=162b98139e395385", "https://www.indeed.com/viewjob?jk=162b98139e395385")</f>
        <v/>
      </c>
      <c r="F37">
        <f>HYPERLINK("https://therapybrands.wd1.myworkdayjobs.com/EnsoraHealth/job/Remote---North-Carolina/Software-Engineer---PHP_R424", "https://therapybrands.wd1.myworkdayjobs.com/EnsoraHealth/job/Remote---North-Carolina/Software-Engineer---PHP_R424")</f>
        <v/>
      </c>
      <c r="G37" t="inlineStr">
        <is>
          <t>Charlotte, NC, US</t>
        </is>
      </c>
      <c r="H37" s="2" t="n">
        <v>46036</v>
      </c>
      <c r="I37"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 Software Engineer who thrives on ownership and innovation. In this role, you will design and implement features across web and backend systems, ensuring code quality, scalability, and performance. You’ll apply critical thinking to solve complex problems, collaborate with cross\-functional teams, and mentor others while driving improvements in development practices. This is an opportunity to make a meaningful impact by building solutions that power the future of mental and behavioral health technology.### **What You’ll Do**
* Own the design and implementation of features across web and backend systems.
* Develop functions aligned with service architecture that are testable, maintainable, and scalable.
* Debug complex issues and optimize performance for efficiency and reliability.
* Participate in code and design reviews, providing constructive feedback.
* Troubleshoot and resolve production issues using systematic approaches.
* Size tasks appropriately, clarify expectations, and communicate progress clearly.
* Escalate blockers promptly and document solutions while maintaining coding standards.
* Propose improvements for development practices and processes.
* Support API integrations and cloud system connectivity.
* Consider security implications and address risks proactively.
* Tune monitoring based on operational data to improve stability and performance.
* Contribute to innovation by proposing creative solutions and enhancements.
* Collaborate effectively with cross\-functional partners and share domain knowledge.
### **What You Bring**
* Bachelor’s degree in Computer Science or related field (or equivalent experience).
* Minimum 3\+ years of software engineering experience.
* Strong coding and debugging skills with proficiency in PHP and object\-oriented programming.
* Experience working independently with PHP outside of frameworks.
* Comfortable with Linux command line and SQL databases.
* Knowledge of JavaScript, HTML, and CSS3\.
* Familiarity with Agile methodology.
* Understanding of security best practices and observability principles.
* Ability to manage the full lifecycle of features independently.
* Excellent communication skills and collaborative mindset.
**Nice\-to\-Have:*** Experience with containerization (Docker/Kubernetes) and cloud platforms (AWS/Azure).
* Familiarity with RESTful APIs and microservices architecture.
* Knowledge of CI/CD tools and pipelines (e.g., Jenkins, GitHub Actions, Azure DevOps).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38">
      <c r="A38" t="inlineStr">
        <is>
          <t>in-3d169dfb2b96fa43</t>
        </is>
      </c>
      <c r="B38" t="inlineStr">
        <is>
          <t>Java Backend Engineer</t>
        </is>
      </c>
      <c r="C38" t="inlineStr">
        <is>
          <t>BayOne Solutions</t>
        </is>
      </c>
      <c r="D38" t="inlineStr">
        <is>
          <t>indeed</t>
        </is>
      </c>
      <c r="E38">
        <f>HYPERLINK("https://www.indeed.com/viewjob?jk=3d169dfb2b96fa43", "https://www.indeed.com/viewjob?jk=3d169dfb2b96fa43")</f>
        <v/>
      </c>
      <c r="F38">
        <f>HYPERLINK("https://www2.jobdiva.com/candidates/myjobs/openjob_outside.jsp?a=gqjdnwjcebrekv6n9h8rbmzzvmztk50234z9012psk4xgcxd6b4y7ufhtefg6g6v&amp;from=COMP&amp;id=27135510&amp;SearchString=&amp;StatesString=", "https://www2.jobdiva.com/candidates/myjobs/openjob_outside.jsp?a=gqjdnwjcebrekv6n9h8rbmzzvmztk50234z9012psk4xgcxd6b4y7ufhtefg6g6v&amp;from=COMP&amp;id=27135510&amp;SearchString=&amp;StatesString=")</f>
        <v/>
      </c>
      <c r="G38" t="inlineStr">
        <is>
          <t>Sunnyvale, CA, US</t>
        </is>
      </c>
      <c r="H38" s="2" t="n">
        <v>46036</v>
      </c>
      <c r="I38" t="inlineStr">
        <is>
          <t>**What you will bring:**  
B.E./B. Tech/MS/MCA in Computer Science or related technical field.
Minimum 2 years of object\-oriented programming experience in Java.
Excellent computer systems fundamentals, DS/Algorithms and problem\-solving skills.
Hands\-on experience in building web based Java EE services/applications and Kafka, Apache Camel, RESTful Web\-Services, Spring, Hibernate, Splunk, Caching.
Excellent organization, communication and interpersonal skills.
Large scale distributed services experience, including scalability and fault tolerance.
Exposure to cloud infrastructure, such as Open Stack, Azure, GCP, or AWS
Exposure to build, CI/CD \&amp; deployment pipelines and related technologies like
Kubernetes, Docker, Jenkins etc.
A continuous drive to explore, improve, enhance, automate and optimize systems and tools.
Experience in systems design and distributed systems.
Exposure to SQL/NoSQL data stores like Cassandra, Elastic, Mongo etc.</t>
        </is>
      </c>
    </row>
    <row r="39">
      <c r="A39" t="inlineStr">
        <is>
          <t>in-cce7cf2d2354edaf</t>
        </is>
      </c>
      <c r="B39" t="inlineStr">
        <is>
          <t>Software Engineer- Application Support</t>
        </is>
      </c>
      <c r="C39" t="inlineStr">
        <is>
          <t>Motion</t>
        </is>
      </c>
      <c r="D39" t="inlineStr">
        <is>
          <t>indeed</t>
        </is>
      </c>
      <c r="E39">
        <f>HYPERLINK("https://www.indeed.com/viewjob?jk=cce7cf2d2354edaf", "https://www.indeed.com/viewjob?jk=cce7cf2d2354edaf")</f>
        <v/>
      </c>
      <c r="F39">
        <f>HYPERLINK("https://genpt.wd1.myworkdayjobs.com/Careers/job/Birmingham-AL-USA/Software-Engineer--Application-Support_R25_0000037989", "https://genpt.wd1.myworkdayjobs.com/Careers/job/Birmingham-AL-USA/Software-Engineer--Application-Support_R25_0000037989")</f>
        <v/>
      </c>
      <c r="G39" t="inlineStr">
        <is>
          <t>Birmingham, AL, US</t>
        </is>
      </c>
      <c r="H39" s="2" t="n">
        <v>46036</v>
      </c>
      <c r="I39" t="inlineStr">
        <is>
          <t>**SUMMARY:**
Motion Industries is seeking a Software Engineer to join our Level 3 Business Applications Support team. The role involves working collaboratively with stakeholders and global teams to deliver effective and user\-friendly IT application support solutions that align with strategic business goals.
**Must be eligible to work in the US without visa sponsorship**
**JOB DUTIES**
* Collaborate with stakeholders, business users, and global teams to identify, deliver, and support IT application solutions aligned with business outcomes.
* Provide production support for multiple applications by troubleshooting, developing, testing, and deploying fixes and enhancements.
* Manage and prioritize trouble ticket resolution, ensuring adherence to Application Support SLAs and improving support processes.
* Develop and maintain monitoring, reporting, incident management, and system performance metrics.
* Utilize back\-end programming and front\-end scripting languages to optimize application performance, scalability, and security.
* Participate in the full software support lifecycle, including installation, configuration, upgrades, and workflow design.
* Assist in developing and unit testing application programs following technical designs and coding standards.
* Review and present work for peer or management approval
* Liaise with internal teams (Development, DevOps, Infrastructure, QA, Cloud, etc.) to address trending issues and coordinate service delivery.
* Build strong relationships with business units and users to ensure effective support and communication.
* Support change management initiatives
* Handles installation, configuration, development, workflow design, monitoring, and/or upgrade of assigned software products.
* Monitors quality and performance of applications through testing and maintenance.
* Maintains up\-to\-date records of issues with existing code.
* Develops and unit tests application programs as specified in Technical
* Designs and obtains code reviews, while ensuring that all programming standards and policies are adhered to.
* Presents work for review and sign off by peers and/or management in their workgroup.
**EDUCATION \&amp; EXPERIENCE**
* Bachelor’s degree in Computer Science, Information Services, or equivalent experience.
* 3\-5 years of experience in an application development or support environment.
* Familiarity with supply chain business processes is a plus.
* Experience working in or with global IT service providers and application support teams.
* Proficient in scripting languages, SQL queries, and API integrations.
* Knowledge of ITSM tools (preferably ServiceNow) and practical application of ITIL service management processes.
* Strong understanding of multi\-tier application architectures.
* Excellent communication
* Ability to make timely decisions with incomplete information.
**COMPANY INFORMATION:**
Motion offers an excellent benefits package which includes options for healthcare coverage, 401(k), tuition reimbursement, vacation, sick, and holiday pay.
Not the right fit? Let us know you're interested in a future opportunity by joining our Talent Community on jobs.genpt.com or create an account to set up email alerts as new job postings become available that meet your interest!
GPC conducts its business without regard to sex, race, creed, color, religion, marital status, national origin, citizenship status, age, pregnancy, sexual orientation, gender identity or expression, genetic information, disability, military status, status as a veteran, or any other protected characteristic. GPC's policy is to recruit, hire, train, promote, assign, transfer and terminate employees based on their own ability, achievement, experience and conduct and other legitimate business reasons.</t>
        </is>
      </c>
    </row>
    <row r="40">
      <c r="A40" t="inlineStr">
        <is>
          <t>in-e78834329aa67690</t>
        </is>
      </c>
      <c r="B40" t="inlineStr">
        <is>
          <t>Senior .NET Backend Engineer</t>
        </is>
      </c>
      <c r="C40" t="inlineStr">
        <is>
          <t>N-iX</t>
        </is>
      </c>
      <c r="D40" t="inlineStr">
        <is>
          <t>indeed</t>
        </is>
      </c>
      <c r="E40">
        <f>HYPERLINK("https://www.indeed.com/viewjob?jk=e78834329aa67690", "https://www.indeed.com/viewjob?jk=e78834329aa67690")</f>
        <v/>
      </c>
      <c r="F40">
        <f>HYPERLINK("https://careers.n-ix.com/jobs/4415450101-net-senior/", "https://careers.n-ix.com/jobs/4415450101-net-senior/")</f>
        <v/>
      </c>
      <c r="G40" t="inlineStr">
        <is>
          <t>US</t>
        </is>
      </c>
      <c r="H40" s="2" t="n">
        <v>46036</v>
      </c>
      <c r="I40" t="inlineStr">
        <is>
          <t>South America
**Work type:**  
Office/Remote
**Technical Level:**  
Senior
**Job Category:**  
Software Development
**Project:**  
American brand for home crafters
We are looking for a Senior .NET Backend Engineer to be part of a USA\-based product company that produces smart machines for personalizing and designing anything by using applications.
**Responsibilities:**  
Develop implementations of patterns to solve real world problems and provide guidance to implementation teams
Lead discussions on architectural best practices, advise on cloud best practices
Evangelize engineering principles internally and externally
Work with systems that run billions of transactions, and keep them updated and honest
Expand and support client’s microservices
You will be in direct contact with our customer in USA
**Requirements:**  
5\+ years of professional experience in software development
Strong experience in C\#, .NET Framework and technology
Experience with Cloud Native architectures and technologies, RESTful APIs, and cloud\-based webservices (AWS preferred)
Knowledge of agile quality and testing methods (BDD,TDD, Unit Testing and Automation) will be a plus
Experience with relational and non\-relational data base technologies
Upper Intermediate\+ level of English
Deep knowledge of concurrency, resiliency, and caching
Experience in continuous delivery and integration
Curious about emerging technologies; can quickly evaluate and adapt to new technologies
**We offer\*:**  
Flexible working format \- remote, office\-based or flexible
A competitive salary and good compensation package
Personalized career growth
Professional development tools (mentorship program, tech talks and trainings, centers of excellence, and more)
Active tech communities with regular knowledge sharing
Education reimbursement
Memorable anniversary presents
Corporate events and team buildings
Other location\-specific benefits
* not applicable for freelancers</t>
        </is>
      </c>
    </row>
    <row r="41">
      <c r="A41" t="inlineStr">
        <is>
          <t>in-b41ae423025f4f12</t>
        </is>
      </c>
      <c r="B41" t="inlineStr">
        <is>
          <t>Software Engineer II</t>
        </is>
      </c>
      <c r="C41" t="inlineStr">
        <is>
          <t>Raytheon</t>
        </is>
      </c>
      <c r="D41" t="inlineStr">
        <is>
          <t>indeed</t>
        </is>
      </c>
      <c r="E41">
        <f>HYPERLINK("https://www.indeed.com/viewjob?jk=b41ae423025f4f12", "https://www.indeed.com/viewjob?jk=b41ae423025f4f12")</f>
        <v/>
      </c>
      <c r="F41">
        <f>HYPERLINK("https://jsv3.recruitics.com/redirect?rx_cid=3426&amp;rx_jobId=01815685&amp;rx_url=https%3A%2F%2Fcareers.rtx.com%2Fglobal%2Fen%2Fjob%2F01815685%3Frx_a%3D0%26rx_c%3D%26rx_ch%3Djobp4p%26rx_group%3D122223%26rx_id%3Dbbcfde8f-f221-11f0-b017-216b279dc1c1%26rx_job%3D01815685%26rx_medium%3Dcpc%26rx_r%3Dnone%26rx_source%3Dindeed%26rx_ts%3D20260115T200412Z%26rx_vp%3Dcpc", "https://jsv3.recruitics.com/redirect?rx_cid=3426&amp;rx_jobId=01815685&amp;rx_url=https%3A%2F%2Fcareers.rtx.com%2Fglobal%2Fen%2Fjob%2F01815685%3Frx_a%3D0%26rx_c%3D%26rx_ch%3Djobp4p%26rx_group%3D122223%26rx_id%3Dbbcfde8f-f221-11f0-b017-216b279dc1c1%26rx_job%3D01815685%26rx_medium%3Dcpc%26rx_r%3Dnone%26rx_source%3Dindeed%26rx_ts%3D20260115T200412Z%26rx_vp%3Dcpc")</f>
        <v/>
      </c>
      <c r="G41" t="inlineStr">
        <is>
          <t>El Segundo, CA, US</t>
        </is>
      </c>
      <c r="H41" s="2" t="n">
        <v>46036</v>
      </c>
      <c r="I41" t="inlineStr">
        <is>
          <t>**Date Posted:**
2026\-01\-15**Country:**
United States of America**Location:**
CA222: 2006 E El Segundo Blvd BldgE04 2006 East El Segundo Boulevard Building E04, El Segundo, CA, 90245 USA**Position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DoD Clearance: Secret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Next Generation Radio Frequency Sensors Management Software Department mission is to provide world class Software for our customers’ wide array of RF/EOIR and high\-energy laser sensor products for airborne and space applications. Our software capabilities include software requirement development, design, modeling/simulation, real\-time embedded, signal processing and data processing, infrastructure software, software testing, integration, and verification. Next Gen RF Sensors SW team in El Segundo CA is looking to add a Software Engineer to their development team.
**What You Will Do**
* Design, develop, and test software based on software trouble reports in an agile, collaborative environment, delivering builds
* Demonstrate critical thinking skills, the ability to thrive in small, empowered teams, and an intense desire to directly enable our customers’ success
* Troubleshoot, debug, and optimize existing code for performance and efficiency in complex environments
* Write and maintain comprehensive documentation for software applications, including system architecture and design specifications
* Participate in agile execution and continuous improvement
* Work collaboratively with multiple engineering disciplines to analyze, implement, and test system modification requests to the existing system baseline
**Qualifications You Must Have**
* Typically requires a degree in Science, Technology, Engineering or Mathematics (STEM) and a minimum of 2 years of prior relevant experience.
* Experience with software development, test, and/or integration using C, C\+\+, or Java
* Experience with containerized applications such as Docker and Kubernetes.
* Experience with Agile and DevSecOps Software Methodologies.
**Qualifications We Prefer**
* Experience with embedded or low\-level software development, including OS\-adjacent or hardware\-interfacing work.
* Experience with CI/CD tools and infrastructure such as Jenkins, Git, Bitbucket, or similar.
* Experience developing and integrating OMS\-based architecture
* Familiarity with Agile lifecycle process including Scrum, Continuous Integration, and Test\-Driven Development Methodologies
* Experience developing embedded software for sensors, algorithm development, signal or data processing preferred.
**What We Offer**
Our values drive our actions, behaviors, and performance with a vision for a safer, more connected world. At RTX we value: Safety, Trust, Respect, Accountability, Collaboration, and Innovation.
Relocation Eligible – Relocation assistance available
**Learn More \&amp; Apply Now!**
Please consider the following role type definition as you apply for this role. Onsite: Employees who are working in Onsite roles will work primarily onsite. This includes all production and maintenance employees, as they are essential to the development of our products.
Visit Raytheon Landing Page: Raytheon El Segundo, CA Location
This position requires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LI\-TR1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75,800 USD \- 144,200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42">
      <c r="A42" t="inlineStr">
        <is>
          <t>in-4438d44567933f25</t>
        </is>
      </c>
      <c r="B42" t="inlineStr">
        <is>
          <t>Research Associate – Software Developer</t>
        </is>
      </c>
      <c r="C42" t="inlineStr">
        <is>
          <t>University of North Carolina at Chapel Hill</t>
        </is>
      </c>
      <c r="D42" t="inlineStr">
        <is>
          <t>indeed</t>
        </is>
      </c>
      <c r="E42">
        <f>HYPERLINK("https://www.indeed.com/viewjob?jk=4438d44567933f25", "https://www.indeed.com/viewjob?jk=4438d44567933f25")</f>
        <v/>
      </c>
      <c r="F42">
        <f>HYPERLINK("https://unc.peopleadmin.com/postings/311998", "https://unc.peopleadmin.com/postings/311998")</f>
        <v/>
      </c>
      <c r="G42" t="inlineStr">
        <is>
          <t>Chapel Hill, NC, US</t>
        </is>
      </c>
      <c r="H42" s="2" t="n">
        <v>46036</v>
      </c>
      <c r="I42" t="inlineStr">
        <is>
          <t>Posting Information
**Department** UNC Inst for the Environment\-635200
**Career Area** Information Technology
**Posting Open Date** 01/15/2026
**Application Deadline** 01/29/2026
**Open Until Filled** No
**Position Type** Permanent Staff (EHRA NF)
**Working Title** Research Associate – Software Developer
**Appointment Type** EHRA Non\-Faculty
**Position Number** 20074324
**Vacancy ID** NF0009492
**Full Time/Part Time** Full\-Time Permanent
**FTE** 1
**Hours per week** 40
**Position Location** North Carolina, US
**Hiring Range** $65,000 \- $79,000 annually
**Proposed Start Date** 02/23/2026
Position Information
**Be a Tar Heel!**
A global higher education leader in innovative teaching, research and public service, the **University of North Carolina at Chapel Hill** consistently ranks as **one of the nation’s top public universities**. Known for its beautiful campus, world\-class medical care, commitment to the arts and top athletic programs, Carolina is an ideal place to teach, work and learn.
One of the best college towns and best places to live in the United States, Chapel Hill has diverse social, cultural, recreation and professional opportunities that span the campus and community.
University employees can choose from a wide range of **professional training opportunities** for career growth, skill development and lifelong learning and enjoy **exclusive perks** for numerous retail, restaurant and performing arts discounts, savings on local child care centers and special rates on select campus events. UNC\-Chapel Hill offers full\-time employees a **comprehensive benefits package**, paid leave, and a variety of health, life and retirement plans and additional programs that support a healthy work/life balance.
**Primary Purpose of Organizational Unit**
The UNC Institute for the Environment (IE) has a multifaceted mission: (1\) To strengthen environmental research capacity across UNC by supporting a multi\-disciplinary community of scholars that enhances collaboration, increases sharing of knowledge, and identifies solutions to the world’s critical environmental problems. (2\) To work in partnership across UNC and with external partners to coordinate and deliver 21st century educational programs that provide students with the experience and skills to thrive in a growing global economy. (3\) To put new environmental knowledge into action by engaging and serving communities, here in North Carolina and around the world. (4\) To fuel and harness the university’s sustainability activities through the Sustainable Carolina Initiative
**Position Summary**
This position may be eligible for a hybrid work arrangement that may include a partially remote work location, consistent with System Office policy. UNC Chapel Hill employees are generally required to reside within a reasonable commuting distance of their assigned duty station.  
The Research Associate – Software Developer will report to the Director of the Center for Environmental Modeling for Policy Development, within the Institute for the Environment. The Research Associate will support software development focused on environmental applications for air quality management. This will include acquiring datasets related to multiple air quality sensors from diverse data sources, develop open\-source, easy to use tools to compare different types of air quality measurements in different data formats. The overall scope of this position is to develop software systems that help better understand localized air pollution concentrations and developing dashboards that integrate data from diverse sources. Further, the Research Associate – Software Developer will be involved in developing documentation of procedures and protocols for future implementation, developing professional reports and assist with preparing manuscripts for broader dissemination.
**Minimum Education and Experience Requirements**
Masters degree in Computer Science or foreign equivalent, and two years of experience in developing software applications and at least one year focused on environmental data
**Required Qualifications, Competencies, and Experience**
* Proficiency in Python, PostgreSQL, Flask, HTML, JavaScript, CSS
* Expertise in developing iOS applications using SwiftUI
* Experience in working with large\-scale datasets, with a focus on spatial analyses such as K\-Nearest Neighbor (KNN) algorithms, etc. and Google Map APIs
* Familiarity with Jira or similar software for agile software development, team collaboration and project management
* Proficiency in software version control and documentation using GitHub
**Preferred Qualifications, Competencies, and Experience**
* Applications development using R\-Shiny, Visual Studio 2022\. .NET Environment
* Web applications development using Python, Flask, Java, Visual C\+\+
* One year of experience developing software applications using emissions and air quality datasets, or other novel/emerging pollutants
* Developing / implementing advance machine learning algorithms for environmental datasets
* Attention to detail and careful documentation of work products such as How\-to, User Guides, etc.
**Special Physical/Mental Requirements**
**Campus Security Authority Responsibilities**
Not Applicable.</t>
        </is>
      </c>
    </row>
    <row r="43">
      <c r="A43" t="inlineStr">
        <is>
          <t>in-ef1fe18dbfb0572b</t>
        </is>
      </c>
      <c r="B43" t="inlineStr">
        <is>
          <t>Fullstack Engineer, Safety Engineering</t>
        </is>
      </c>
      <c r="C43" t="inlineStr">
        <is>
          <t>OpenAI</t>
        </is>
      </c>
      <c r="D43" t="inlineStr">
        <is>
          <t>indeed</t>
        </is>
      </c>
      <c r="E43">
        <f>HYPERLINK("https://www.indeed.com/viewjob?jk=ef1fe18dbfb0572b", "https://www.indeed.com/viewjob?jk=ef1fe18dbfb0572b")</f>
        <v/>
      </c>
      <c r="F43">
        <f>HYPERLINK("https://openai.com/careers/fullstack-engineer-safety-engineering-san-francisco/", "https://openai.com/careers/fullstack-engineer-safety-engineering-san-francisco/")</f>
        <v/>
      </c>
      <c r="G43" t="inlineStr">
        <is>
          <t>San Francisco, CA, US</t>
        </is>
      </c>
      <c r="H43" s="2" t="n">
        <v>46036</v>
      </c>
      <c r="I43" t="inlineStr">
        <is>
          <t>About the Team
The
Safety Systems org
is responsible for various safety work to ensure our best models can be safely deployed to the real world to benefit the society and is at the forefront of OpenAI's mission to build and deploy safe AGI, driving our commitment to AI safety and fostering a culture of trust and transparency.
The Safety Engineering team builds the platforms and tools that make OpenAI’s models safe to use in the real world. We partner closely with researchers, product teams, and policy to turn safety ideas into reliable, scalable systems: measuring risk, enforcing safeguards, and continuously improving how models behave in production. Our work sits at the intersection of product engineering, data, and AI, and directly shapes how millions of people experience OpenAI’s technology.
About the Role
We’re looking for a self\-starter engineer who loves building products in an iterative, fast\-moving environment—especially internal tools that unlock real\-world impact. In this role, you’ll build full\-stack tooling for our Safety Systems teams that directly improves the safety and reliability of OpenAI’s models, including in sensitive areas like mental health and other vulnerable\-user protections. Your work will increase the team’s velocity in identifying and fixing safety issues and help tighten the feedback loop between policy, data, and the model training cycle.
**In this role, you will:**  
Own the end\-to\-end development of internal tools that help improve the safety of OpenAI’s models (with a focus on areas like mental health and other vulnerable\-user protections)
Partner closely with Safety Systems researchers, engineers, and model policy creators to understand workflows, pain points, and requirements—and translate them into durable product solutions
Build full\-stack experiences to support core model policy workflows, such as labeling and inspecting data, analyzing and reviewing failure cases, and surfacing insights for iteration
Optimize internal applications for usability, speed, and scale to increase team velocity and reduce time\-to\-fix for safety issues
Transform successful AI assisted safety workflows into external facing safety products, that empowers developers to build safer AI, uplift the industry standard for AI safety, and prepare the world for more capable AGI.
**You might thrive in this role if you:**  
Have 5\+ years of relevant engineering experience at tech and product\-driven companies
Are proficient with JavaScript, React, and other web technologies
Are proficient with at least one backend language (we use Python)
Have experience with relational databases like Postgres/MySQL
Have an interest in AI/ML (direct experience not required)
Are excited to partner closely with researchers and policy writers to ship tools that directly improve the safety of OpenAI’s models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 No response will be provided to inquiries unrelated to job posting compliance.
We are committed to providing reasonable accommodations to applicants with disabilities.
OpenAI Global Applicant Privacy Policy
At OpenAI, we believe artificial intelligence has the potential to help people solve immense global challenges, and we want the upside of AI to be widely shared. Join us in shaping the future of technology.
Compensation
$210K – $325K</t>
        </is>
      </c>
    </row>
    <row r="44">
      <c r="A44" t="inlineStr">
        <is>
          <t>in-4f4b833df51063f5</t>
        </is>
      </c>
      <c r="B44" t="inlineStr">
        <is>
          <t>Software Engineer SME</t>
        </is>
      </c>
      <c r="C44" t="inlineStr">
        <is>
          <t>General Dynamics Information Technology</t>
        </is>
      </c>
      <c r="D44" t="inlineStr">
        <is>
          <t>indeed</t>
        </is>
      </c>
      <c r="E44">
        <f>HYPERLINK("https://www.indeed.com/viewjob?jk=4f4b833df51063f5", "https://www.indeed.com/viewjob?jk=4f4b833df51063f5")</f>
        <v/>
      </c>
      <c r="F44">
        <f>HYPERLINK("https://www.gdit.com/careers/job/17cb1577e/software-engineer-sme", "https://www.gdit.com/careers/job/17cb1577e/software-engineer-sme")</f>
        <v/>
      </c>
      <c r="G44" t="inlineStr">
        <is>
          <t>Annapolis Junction, MD, US</t>
        </is>
      </c>
      <c r="H44" s="2" t="n">
        <v>46036</v>
      </c>
      <c r="I44" t="inlineStr">
        <is>
          <t>Clearance Level
Top Secret SCI \+ Polygraph
Category
Software Engineering
Location
Annapolis Junction, Maryland*(**Onsite Workplace**)*
Key Skills For Success
Computer Programming
Design
Documentations
Software Applications
Software Program
SHARE
REQ\#: RQ213048
Public Trust: None
Requisition Type: Regular
Your Impact
Own your opportunity to serve as a critical component of our nation’s safety and security. Make an impact by using your expertise to protect our country from threats.
Job Description
Designs software tools and subsystems to support software reuse and domain analyses and manages their implementation. Manages software development and support using formal specifications, data flow diagrams, other accepted design techniques and Computer\-Aided Software Engineering (CASE) tools. Estimates software development costs and schedule. Reviews existing programs and assists in making refinements, reducing operating time and improving current techniques. Formulates and defines specifications for software applications or modifies and maintains existing applications using engineering releases and utilities from the manufacturer. Responsible for program design, coding, testing, debugging and documentation. Instructs, directs, and checks the work of other task personnel. Responsible for quality assurance review and evaluation of existing and  
new software products.
* Analyze any newly identified vulnerabilities and deficiencies within the IC GovCloud security tool suite; perform gap analysis.
* As a result of the gap analysis and at the direction of the Government, research and evaluate commercial products capable of eliminating the vulnerability or deficiency within the security tool suite.
* Conduct analysis of alternatives and present findings of analysis results to the Government in a ckage for the Government's evaluation and Government's selection of a solution.
* Collaborate and coordinate with ancillary organizations to procure, deliver, dispose, and track and new HW/SW required for solution implementation.
* Prepare Configuration Plans, SW enhancement plans, engineer solutions to easily interface with GUI and/or web front\-end interfaces.
* Define, design, and incorporate interfaces to retrieve data from various scanning tools.
* Design, validate, and implement access controls as part of the systems and service solutions.
* Enhance, modify, and test COTS/GOTS and any applicable hardware to ensure interoperability
* and compatibility with existing IC GovCloud architecture; prepare Engineering Change Proposals
* applicable to any implemented system configuration change.
* Define, coordinate, and schedule testing, integration, implementation, and deployment activities
* with dependent external interface devices/owners.
* Deploy security solutions across the IC GovCloud. Install hardware and implement required
* software to ensure fully functional computer environment.
* Upon direction of the Government prepare and conduct security tool instruction/training with
* regards to newly deployed tool capabilities and functions for authorized users of the IC GovCloud
* security tool suite.
* Continuously monitor the health and status of security tool suites through IT system
* management. Maintain, upgrade, refresh, and update to maintain full operational capacity.
* Conduct database administration to monitor, report, and repair any degradation of the health and status of the systems and tools within the NISIRT.
Qualifications:
* Fifteen (15\) years experience in the computer science or software engineering disciplines in
* programs and contracts of similar scope, type and complexity is required.
* Bachelor’s degree in Computer Science or related discipline from an accredited college or university is required. Four (4\) years of additional SWE experience on projects with similar software processes may be substituted for a bachelor’s degree.
GDIT IS YOUR PLACE:  
* 401K with company match
* Comprehensive health and wellness packages
* Internal mobility team dedicated to helping you own your career
* Professional growth opportunities including paid education and certifications
* Cutting\-edge technology you can learn from
\#SWDevPolyMD
Work Requirements
Years of Experience
15 \+ years of related experience* may vary based on technical training, certification(s), *or* degree
Certification
Travel Required
None
Citizenship
U.S. Citizenship Required
Salary and Benefit Information
The likely salary range for this position is $187,179 \- $241,500\.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45">
      <c r="A45" t="inlineStr">
        <is>
          <t>in-e87f6a43832069be</t>
        </is>
      </c>
      <c r="B45" t="inlineStr">
        <is>
          <t>NSIPS ETL Software Developer | Secret Clearance</t>
        </is>
      </c>
      <c r="C45" t="inlineStr">
        <is>
          <t>General Dynamics Information Technology</t>
        </is>
      </c>
      <c r="D45" t="inlineStr">
        <is>
          <t>indeed</t>
        </is>
      </c>
      <c r="E45">
        <f>HYPERLINK("https://www.indeed.com/viewjob?jk=e87f6a43832069be", "https://www.indeed.com/viewjob?jk=e87f6a43832069be")</f>
        <v/>
      </c>
      <c r="F45">
        <f>HYPERLINK("https://www.gdit.com/careers/job/c8367fe92/nsips-etl-software-developer-secret-clearance", "https://www.gdit.com/careers/job/c8367fe92/nsips-etl-software-developer-secret-clearance")</f>
        <v/>
      </c>
      <c r="G45" t="inlineStr">
        <is>
          <t>New Orleans, LA, US</t>
        </is>
      </c>
      <c r="H45" s="2" t="n">
        <v>46036</v>
      </c>
      <c r="I45" t="inlineStr">
        <is>
          <t>Clearance Level
Interim Secret
Category
Software Engineering
Location
New Orleans, Louisiana*(**Onsite Workplace**)*
Key Skills For Success
PL/SQL (Programming Language)
Software Development
Structured Query Language (SQL)
SHARE
REQ\#: RQ212899
Public Trust: None
Requisition Type: Regular
Your Impact
Own your opportunity to work with the largest government agency in the nation. Make an impact by advancing the Department of Defense’s mission to keep our country safe and secure.
Job Description
The Navy Standard Integrated Personnel System (NSIPS) program is seeking an ETL Software Developer to join their analytics development team. This position plays a crucial role in building and maintaining the data pipelines necessary to support our business intelligence and analytics initiatives.
HOW DEVELOPER WILL MAKE AN IMPACT:
* Assist in the design, development, and maintenance of ETL processes to extract, transform, and load data from various sources
* Collaborate with data architects and senior developers to understand data requirements and implement solutions
* Write and optimize complex PL/SQL queries for data transformation and validation.
* Monitor and troubleshoot ETL jobs, identifying and resolving data quality issues as they arise
* Implement data quality checks, error handling, and logging within ETL pipelines
* Document ETL processes and maintain metadata for data governance
* Participate in code reviews to ensure adherence to best practices and standards
WHAT YOU’LL NEED TO SUCCEED:
* Bachelor’s degree in computer science, Information Systems, or a related field.
* 5\+ years of advanced PL/SQL experience, including writing complex queries, stored procedures, and performance tuning.
* Advanced understanding of ETL concepts and data warehousing principles
* Strong analytical and problem\-solving skills.
* Ability to work collaboratively in a team\-oriented environment.
* Ability to effectively communicate and convey ideas in verbal and written form
* Basic understanding of Unix/Linux Shell scripting is a plus
* Basic experience with programming languages such as Python or Java are a plus
 Security Clearance Level: Active Secret clearance required.
* Location: on site
* US Citizenship Required
GDIT IS YOUR PLACE:
* 401K with company match
* Comprehensive health and wellness packages
* Internal mobility team dedicated to helping you own your career
* Professional growth opportunities including paid education and certifications
* Cutting\-edge technology you can learn from
* Rest and recharge with paid vacation and holidays
Work Requirements
Years of Experience
6 \+ years of related experience* may vary based on technical training, certification(s), *or* degree
Certification
Travel Required
None
Citizenship
U.S. Citizenship Required
Salary and Benefit Information
The likely salary range for this position is $85,093 \- $112,700\.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46">
      <c r="A46" t="inlineStr">
        <is>
          <t>in-eacce68534cccf4b</t>
        </is>
      </c>
      <c r="B46" t="inlineStr">
        <is>
          <t>Software Developer Senior</t>
        </is>
      </c>
      <c r="C46" t="inlineStr">
        <is>
          <t>General Dynamics Information Technology</t>
        </is>
      </c>
      <c r="D46" t="inlineStr">
        <is>
          <t>indeed</t>
        </is>
      </c>
      <c r="E46">
        <f>HYPERLINK("https://www.indeed.com/viewjob?jk=eacce68534cccf4b", "https://www.indeed.com/viewjob?jk=eacce68534cccf4b")</f>
        <v/>
      </c>
      <c r="F46">
        <f>HYPERLINK("https://www.gdit.com/careers/job/e1de1acba/software-developer-senior", "https://www.gdit.com/careers/job/e1de1acba/software-developer-senior")</f>
        <v/>
      </c>
      <c r="G46" t="inlineStr">
        <is>
          <t>Annapolis Junction, MD, US</t>
        </is>
      </c>
      <c r="H46" s="2" t="n">
        <v>46036</v>
      </c>
      <c r="I46" t="inlineStr">
        <is>
          <t>Clearance Level
Top Secret SCI \+ Polygraph
Category
Software Engineering
Location
Annapolis Junction, Maryland*(**Onsite Workplace**)*
Key Skills For Success
Design
Detailed Design
Documentations
Software Design
Software Systems
SHARE
REQ\#: RQ213047
Public Trust: None
Requisition Type: Regular
Your Impact
Own your opportunity to serve as a critical component of our nation’s safety and security. Make an impact by using your expertise to protect our country from threats.
Job Description
Designs, develops, troubleshoots and analyzes routine, complicated and difficult software programs for computer\-based systems. Advises hardware engineers on machine characteristics that affect software systems, such as storage capacity, processing speed and input/output requirements. As required, provides inputs for documentation of new or existing programs.
* Use object oriented techniques, programming languages, and standard methodologies, including classic development, waterfall, and agile methods (Extreme programming).
* Perform deployment, installation, maintenance, quality control monitoring, and implementation of software at Government specified locations.
* Maintain processes to log and track customer service requests.
* Maintain/develop software products to be used on a variety of platforms.
* Uses Configuration Management (CM) tools, such as Subversion/Trac or Git
* Codes in eXtensible Mark\-up Language (XML)/W3C XML Schema to C\+\+ Compiler (XSD)
* Applies middleware technologies, such as enterprise service bus (ESB), CORBA, or Internet
* Communications Engine (ICE)
* Uses Integrated Development Environments (IDEs), such as JBuilder and/or Eclipse
* Design, develop, and document system and subsystem\-level code. This includes support for system requirements, preliminary design, detailed design and specifications, data dictionaries, interface control/design documents, user help information/manuals, maintenance information/manuals, operations information/manuals, program code, quality assurance activities,
* and test.
* Develop customer requirements and information needs into software specifications that can be implemented
* Maintain/modify software code to add new features, correct errors, adapt to new hardware, or to improve system performance.
* Integrate with other signal repositories when prioritized by the Government.
* Perform system and unit level testing. This includes test plans and procedures,
* documentation of test results and development of special test code. Plan/conduct regression tests
* after each code modification, upgrade enhancement.
* Use object oriented techniques, programming languages, and standard methodologies, including classic development, waterfall, and agile methods (Extreme programming).
* Proficient with Linux/UNIX is required.
* Development experience (C\+\+, JAVA, XML/XSD), scripting language experience, (Python or Perl), JAVA GUI development experience and Web framework experience (i.e. Ruby on Rails, Django, SpringFramework, or Zope) is required
* (U/FOUO) Performs system and unit level testing. This includes test plans and procedures, documentation of test results and development of special test code. Plans/conducts regression tests after each code modification, upgrade enhancement.
* Develops and applies advanced methods, theories and research techniques in the investigation and solution of complex and advanced software applications and problems. Conducts, technically directs and evaluates projects or major phases of significant projects, coordinating the efforts of engineers and technical support staff in the performance of assigned projects. Conducts
* investigations and test of considerable complexity. Reviews literature, patents and current practices relevant to the solution of assigned projects. Evaluates vendor capabilities to provide required products or services. Provides technical consultation to other organizations.
* Interacts with project customers and stakeholders to report project status, and manage subsystems requirements.
* Researches, evaluates, and assesses software tools and technologies such as Free and Open Source Software (FOSS), Government\-off\-the\-shelf (GOTS), Commercial\-off\-the\-shelf (COTS), and incorporates those findings into the overall software system design.
* Implements Service Oriented Architecture (SOA)/middleware technologies, such as ESB, CORBA, Simple Object Access Protocol (SOAP), and ICE
Qualifications:  
Master's Degree in Computer Science or Computer Engineering from an accredited college or university is required. A bachelor's degree and two (2\) additional years of software related experience OR six (6\) additional years of software related experience may be substituted for a master’s degree.  
Fifteen (15\) years experience in software application design and development performing coding, debugging, testing and troubleshooting throughout the application development process.  
Twelve (12\) years experience leading teams of software design and development for collection systems and components is required.
GDIT IS YOUR PLACE:  
* 401K with company match
* Comprehensive health and wellness packages
* Internal mobility team dedicated to helping you own your career
* Professional growth opportunities including paid education and certifications
* Cutting\-edge technology you can learn from
\#SWDevPolyMD
Work Requirements
Years of Experience
10 \+ years of related experience* may vary based on technical training, certification(s), *or* degree
Certification
Travel Required
None
Citizenship
U.S. Citizenship Required
Salary and Benefit Information
The likely salary range for this position is $114,750 \- $155,250\.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47">
      <c r="A47" t="inlineStr">
        <is>
          <t>in-541187384d06df66</t>
        </is>
      </c>
      <c r="B47" t="inlineStr">
        <is>
          <t>Junior Software Developer</t>
        </is>
      </c>
      <c r="C47" t="inlineStr">
        <is>
          <t>Teal Systems</t>
        </is>
      </c>
      <c r="D47" t="inlineStr">
        <is>
          <t>indeed</t>
        </is>
      </c>
      <c r="E47">
        <f>HYPERLINK("https://www.indeed.com/viewjob?jk=541187384d06df66", "https://www.indeed.com/viewjob?jk=541187384d06df66")</f>
        <v/>
      </c>
      <c r="F47">
        <f>HYPERLINK("https://theapplicantmanager.com/jobs?pos=ts404&amp;src=Indeed", "https://theapplicantmanager.com/jobs?pos=ts404&amp;src=Indeed")</f>
        <v/>
      </c>
      <c r="G47" t="inlineStr">
        <is>
          <t>Missouri City, TX, US</t>
        </is>
      </c>
      <c r="H47" s="2" t="n">
        <v>46036</v>
      </c>
      <c r="I47" t="inlineStr">
        <is>
          <t>TEAL is revolutionizing the hydronic industry by humanizing Hot Water, Chilled Water \&amp; Hydronic Heat. TEAL’s innovation design – incorporating advanced AI technology and remote monitoring – far outperforms traditional central plants, resulting in a significantly reduced carbon footprint and the lowest total lifecycle cost. The future of central plants and your next opportunity are available today!  
**POSITION:** Junior Software Developer  
**JOB SUMMARY**  
The Junior Developer will support the design, development, and maintenance of software systems that power TEAL’s innovative hydronic and remote\-monitoring solutions. Working closely with senior developers and engineers, the Junior Developer will contribute to Python\-based applications, database management, and Linux\-based environments that support TEAL’s AI\-enabled monitoring and control platforms.  
This opportunity is ideal for an early\-career developer who is eager to grow their technical skills while working on real\-world applications that bridge software, data, and physical systems. This position offers hands\-on exposure and clear opportunities for technical growth within a fast\-moving, mission\-driven organization.  
**KEY RESPONSIBILITIES**
* Develop, test, and maintain Python applications and scripts
* Work with SQL databases (preferably SQLite) to store, query, and manage data
* Operate and troubleshoot applications in Linux environments
* Write clean, well\-documented, and maintainable code
* Assist with data collection, processing, and automation tasks
* Collaborate with senior developers and engineers on system improvements
* Debug issues and contribute to continuous improvement of existing systems
* Participate in code reviews, technical learning opportunities, and mentorship with senior developers
* Other duties as assigned.
**PROFESSIONAL EXPERIENCE \&amp; QUALIFICATIONS**
* Bachelor’s degree in Computer Science, Software Engineering, or related field **OR** Associate’s degree with **2\+ years of relevant experience**
* Working knowledge of **Python**
* Basic experience with **SQL databases** (SQLite preferred)
* Familiarity with **Linux operating systems and command\-line tools**
* Understanding of basic software development concepts (version control, debugging, testing)
* Strong problem\-solving skills and willingness to learn
* Ability to work independently and as part of a team
* Interest in real\-world applications that bridge software and hardware
* Great communication skills and attention to detail
* **Preferred / Nice\-to\-Have Skills**
	+ Experience with **Raspberry Pi** or similar single\-board computers
	+ Exposure to **low\-voltage systems**, sensors, or data acquisition hardware
	+ Basic understanding of electronics or physical sensor inputs
	+ Experience working with APIs or data pipelines
	+ Familiarity with Git or other version control systems.
**COMPENSATION \&amp; BENEFITS:**
* PTO Allotment of 120 hours / 3 weeks after 90 days of employment
* Competitive Compensation
* Holistic Health Coverage (medical, dental, vision; company\-paid life insurance and disability), including 24/7 medical concierge services
* 401k Plan with a generous employer match
* 10 Paid Holidays and Birthdays off
* Memberships to professional organizations are paid for by the Company
* Casual Dress Code
* $500 cash for first time home buyers!
* Excellent growth and advancement opportunities
TEAL is an Equal Opportunity Employer.  
TEAL requires pre\-employment background checks and drug screening.</t>
        </is>
      </c>
    </row>
    <row r="48">
      <c r="A48" t="inlineStr">
        <is>
          <t>in-6aeb08e172c74c1f</t>
        </is>
      </c>
      <c r="B48" t="inlineStr">
        <is>
          <t>Junior Software Developer</t>
        </is>
      </c>
      <c r="C48" t="inlineStr">
        <is>
          <t>Teal Systems</t>
        </is>
      </c>
      <c r="D48" t="inlineStr">
        <is>
          <t>indeed</t>
        </is>
      </c>
      <c r="E48">
        <f>HYPERLINK("https://www.indeed.com/viewjob?jk=6aeb08e172c74c1f", "https://www.indeed.com/viewjob?jk=6aeb08e172c74c1f")</f>
        <v/>
      </c>
      <c r="F48">
        <f>HYPERLINK("https://theapplicantmanager.com/jobs?pos=ts404&amp;src=Indeed", "https://theapplicantmanager.com/jobs?pos=ts404&amp;src=Indeed")</f>
        <v/>
      </c>
      <c r="G48" t="inlineStr">
        <is>
          <t>Houston, TX, US</t>
        </is>
      </c>
      <c r="H48" s="2" t="n">
        <v>46036</v>
      </c>
      <c r="I48" t="inlineStr">
        <is>
          <t>TEAL is revolutionizing the hydronic industry by humanizing Hot Water, Chilled Water \&amp; Hydronic Heat. TEAL’s innovation design – incorporating advanced AI technology and remote monitoring – far outperforms traditional central plants, resulting in a significantly reduced carbon footprint and the lowest total lifecycle cost. The future of central plants and your next opportunity are available today!  
**POSITION:** Junior Software Developer  
**JOB SUMMARY**  
The Junior Developer will support the design, development, and maintenance of software systems that power TEAL’s innovative hydronic and remote\-monitoring solutions. Working closely with senior developers and engineers, the Junior Developer will contribute to Python\-based applications, database management, and Linux\-based environments that support TEAL’s AI\-enabled monitoring and control platforms.  
This opportunity is ideal for an early\-career developer who is eager to grow their technical skills while working on real\-world applications that bridge software, data, and physical systems. This position offers hands\-on exposure and clear opportunities for technical growth within a fast\-moving, mission\-driven organization.  
**KEY RESPONSIBILITIES**
* Develop, test, and maintain Python applications and scripts
* Work with SQL databases (preferably SQLite) to store, query, and manage data
* Operate and troubleshoot applications in Linux environments
* Write clean, well\-documented, and maintainable code
* Assist with data collection, processing, and automation tasks
* Collaborate with senior developers and engineers on system improvements
* Debug issues and contribute to continuous improvement of existing systems
* Participate in code reviews, technical learning opportunities, and mentorship with senior developers
* Other duties as assigned.
**PROFESSIONAL EXPERIENCE \&amp; QUALIFICATIONS**
* Bachelor’s degree in Computer Science, Software Engineering, or related field **OR** Associate’s degree with **2\+ years of relevant experience**
* Working knowledge of **Python**
* Basic experience with **SQL databases** (SQLite preferred)
* Familiarity with **Linux operating systems and command\-line tools**
* Understanding of basic software development concepts (version control, debugging, testing)
* Strong problem\-solving skills and willingness to learn
* Ability to work independently and as part of a team
* Interest in real\-world applications that bridge software and hardware
* Great communication skills and attention to detail
* **Preferred / Nice\-to\-Have Skills**
	+ Experience with **Raspberry Pi** or similar single\-board computers
	+ Exposure to **low\-voltage systems**, sensors, or data acquisition hardware
	+ Basic understanding of electronics or physical sensor inputs
	+ Experience working with APIs or data pipelines
	+ Familiarity with Git or other version control systems.
**COMPENSATION \&amp; BENEFITS:**
* PTO Allotment of 120 hours / 3 weeks after 90 days of employment
* Competitive Compensation
* Holistic Health Coverage (medical, dental, vision; company\-paid life insurance and disability), including 24/7 medical concierge services
* 401k Plan with a generous employer match
* 10 Paid Holidays and Birthdays off
* Memberships to professional organizations are paid for by the Company
* Casual Dress Code
* $500 cash for first time home buyers!
* Excellent growth and advancement opportunities
TEAL is an Equal Opportunity Employer.  
TEAL requires pre\-employment background checks and drug screening.</t>
        </is>
      </c>
    </row>
    <row r="49">
      <c r="A49" t="inlineStr">
        <is>
          <t>in-d73778cde6ef5c23</t>
        </is>
      </c>
      <c r="B49" t="inlineStr">
        <is>
          <t>Software Engineer (Full Stack / Backend)</t>
        </is>
      </c>
      <c r="C49" t="inlineStr">
        <is>
          <t>Shield Consulting Solutions</t>
        </is>
      </c>
      <c r="D49" t="inlineStr">
        <is>
          <t>indeed</t>
        </is>
      </c>
      <c r="E49">
        <f>HYPERLINK("https://www.indeed.com/viewjob?jk=d73778cde6ef5c23", "https://www.indeed.com/viewjob?jk=d73778cde6ef5c23")</f>
        <v/>
      </c>
      <c r="F49">
        <f>HYPERLINK("https://theapplicantmanager.com/jobs?pos=sh5073&amp;src=Indeed", "https://theapplicantmanager.com/jobs?pos=sh5073&amp;src=Indeed")</f>
        <v/>
      </c>
      <c r="G49" t="inlineStr">
        <is>
          <t>Annapolis Junction, MD, US</t>
        </is>
      </c>
      <c r="H49" s="2" t="n">
        <v>46036</v>
      </c>
      <c r="I49" t="inlineStr">
        <is>
          <t>\*\*Active TS/SCI w/Polygraph REQUIRED\*\* Please do not apply if you do not currently possess this level of clearance.
\-  
Telework: None  
Basic Requirements:
* 7 years of experience as a software engineer
* Bachelor’s degree in a technical discipline
	+ 4 additional years of experience as a software engineer may be substituted for a degree
Job Description:
* Seeking a Software Engineer to join the software development team who will develop and sustain integrated, feature\-rich capabilities that promote modernization of visualization and presentation tools.
* The software development team will provide application development and support to tools that allow mission analytic users to view existing data or contribute new information in a collaborative environment.
Required Experience:
* Languages: Java, Python
* Testing: Unit, Integration
* Source Code Control (specifically Git)
* IDE (Intellij or Eclipse)
* Maven
* Frameworks: Spring Boot, Flask
* Familiarity with multiple of the following:
	+ Analytical development: Machine Learning, Stream, Batch
	+ Virtualization Environments: Kubernetes, Containers (Docker, Containerd), Cloud (AWS/HCI)
	+ Streaming Frameworks: Kafka, Flink
	+ MongoDB, ArangoDB, Redis, PostgreSQL
Desired Experience:
* ElasticSearch
\-  
Excellent benefits package including 25 days PTO, 11 paid holidays, 100% employer\-paid healthcare for employees and dependents – available day 1, 8% 401(k) employer match – immediate vesting.
Disclaimer: The salary range provided is an estimate based on current market conditions and may be adjusted based on factors such as experience, skills, and qualifications. The final salary offer will be determined after a thorough review of the candidate's background and alignment with the role. Please note that this range is subject to change and should be considered as a guideline rather than a definitive figure.  
Shield Consulting Solutions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row>
    <row r="50">
      <c r="A50" t="inlineStr">
        <is>
          <t>in-aa7d04712d7888bd</t>
        </is>
      </c>
      <c r="B50" t="inlineStr">
        <is>
          <t>Staff Software Engineer, Data Platform</t>
        </is>
      </c>
      <c r="C50" t="inlineStr">
        <is>
          <t>Scale AI</t>
        </is>
      </c>
      <c r="D50" t="inlineStr">
        <is>
          <t>indeed</t>
        </is>
      </c>
      <c r="E50">
        <f>HYPERLINK("https://www.indeed.com/viewjob?jk=aa7d04712d7888bd", "https://www.indeed.com/viewjob?jk=aa7d04712d7888bd")</f>
        <v/>
      </c>
      <c r="F50">
        <f>HYPERLINK("https://scale.com/careers/4649903005", "https://scale.com/careers/4649903005")</f>
        <v/>
      </c>
      <c r="G50" t="inlineStr">
        <is>
          <t>New York, NY, US</t>
        </is>
      </c>
      <c r="H50" s="2" t="n">
        <v>46036</v>
      </c>
      <c r="I50" t="inlineStr">
        <is>
          <t>Software is eating the world, but AI is eating software. We live in unprecedented times – AI has the potential to exponentially augment human intelligence. Every person will have a personal tutor, coach, assistant, personal shopper, travel guide, and therapist throughout life. As the world adjusts to this new reality, leading platform companies are scrambling to build LLMs at billion scale, while large enterprises figure out how to add it to their products. To make them safe, aligned and actually useful, these models need human evaluation and reinforcement learning through human feedback (RLHF) during pre\-training, fine\-tuning, and production evaluations. This is the main innovation that’s enabled ChatGPT to get such a large headstart among competition.
At Scale, our products include the Generative AI Data Engine, SGP, Donovan, and others that power the most advanced LLMs and generative models in the world through world\-class RLHF, human data generation, model evaluation, safety, and alignment. The data we are producing is some of the most important work for how humanity will interact with AI.
At the foundation of these products is the Platform Engineering team. In this role, you will lead the design and development of core data storage, streaming, caching, and indexing platforms and underlying systems. You’ll also get widespread exposure to the forefront of the AI race as Scale sees it in enterprises, startups, governments, and large tech companies.
You will:
* Drive the architecture, design, implementation, and reliability of our foundational data platforms and systems, working closely with stakeholders and internal customers to understand and refine requirements.
* Collaborate with cross\-functional teams to define, design, and deliver new features.
* Proactively identify opportunities for, and driving improvements to, current programming practices, including process enhancements and tool upgrades.
* Present technical information to teams and stakeholders, providing guidance and insight on development processes and technologies.
* Provide technical leadership, including: upholding and upleveling engineering standards across the organization, mentoring junior engineers.
Ideally you’d have:
* 8\+ years of full\-time engineering experience, post\-graduation with specialties in back\-end systems, specifically related to building large\-scale data storage, streaming, and warehousing systems.
* Extensive experience in various database technologies (MongoDB, Postgres), streaming/processing solutions (Kinesis, Flink, Spark), indexing/caching (ElasticSearch, Redis), and various data query engines (Trino, Presto, Snowflake, etc.).
* Show a track record of mentoring and leading teams in successful projects.
* Possess excellent communication and collaboration skills, and the ability to translate complex technical concepts to non\-technical stakeholders.
* Experience working fluently with standard containerization \&amp; deployment technologies like Kubernetes and various public cloud offerings.
* Extensive experience in software development and a deep understanding of distributed systems, cloud platforms and data systems.
* Experience driving cross functional collaboration and communication at an organizational or broader level.
Nice to haves:
* Strong knowledge of software engineering best practices and CI/CD tooling (CircleCI).
* Experience with performance tuning and cost optimizations of cloud based data platforms.
* Experience defining a data lifecycle strategy and designing/implementing tooling for data privacy (i.e. GDPR) needs.
* Experience scaling products at hyper\-growth startups.
* Excitement to work with AI technologies.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$248,400—$310,500 USD***PLEASE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51">
      <c r="A51" t="inlineStr">
        <is>
          <t>in-a2fbd7ca350df199</t>
        </is>
      </c>
      <c r="B51" t="inlineStr">
        <is>
          <t>Staff Software Engineer, Data Platform</t>
        </is>
      </c>
      <c r="C51" t="inlineStr">
        <is>
          <t>Scale AI</t>
        </is>
      </c>
      <c r="D51" t="inlineStr">
        <is>
          <t>indeed</t>
        </is>
      </c>
      <c r="E51">
        <f>HYPERLINK("https://www.indeed.com/viewjob?jk=a2fbd7ca350df199", "https://www.indeed.com/viewjob?jk=a2fbd7ca350df199")</f>
        <v/>
      </c>
      <c r="F51">
        <f>HYPERLINK("https://scale.com/careers/4649903005", "https://scale.com/careers/4649903005")</f>
        <v/>
      </c>
      <c r="G51" t="inlineStr">
        <is>
          <t>New York, NY, US</t>
        </is>
      </c>
      <c r="H51" s="2" t="n">
        <v>46036</v>
      </c>
      <c r="I51" t="inlineStr">
        <is>
          <t>Software is eating the world, but AI is eating software. We live in unprecedented times – AI has the potential to exponentially augment human intelligence. Every person will have a personal tutor, coach, assistant, personal shopper, travel guide, and therapist throughout life. As the world adjusts to this new reality, leading platform companies are scrambling to build LLMs at billion scale, while large enterprises figure out how to add it to their products. To make them safe, aligned and actually useful, these models need human evaluation and reinforcement learning through human feedback (RLHF) during pre\-training, fine\-tuning, and production evaluations. This is the main innovation that’s enabled ChatGPT to get such a large headstart among competition.
At Scale, our products include the Generative AI Data Engine, SGP, Donovan, and others that power the most advanced LLMs and generative models in the world through world\-class RLHF, human data generation, model evaluation, safety, and alignment. The data we are producing is some of the most important work for how humanity will interact with AI.
At the foundation of these products is the Platform Engineering team. In this role, you will lead the design and development of core data storage, streaming, caching, and indexing platforms and underlying systems. You’ll also get widespread exposure to the forefront of the AI race as Scale sees it in enterprises, startups, governments, and large tech companies.
You will:
* Drive the architecture, design, implementation, and reliability of our foundational data platforms and systems, working closely with stakeholders and internal customers to understand and refine requirements.
* Collaborate with cross\-functional teams to define, design, and deliver new features.
* Proactively identify opportunities for, and driving improvements to, current programming practices, including process enhancements and tool upgrades.
* Present technical information to teams and stakeholders, providing guidance and insight on development processes and technologies.
* Provide technical leadership, including: upholding and upleveling engineering standards across the organization, mentoring junior engineers.
Ideally you’d have:
* 8\+ years of full\-time engineering experience, post\-graduation with specialties in back\-end systems, specifically related to building large\-scale data storage, streaming, and warehousing systems.
* Extensive experience in various database technologies (MongoDB, Postgres), streaming/processing solutions (Kinesis, Flink, Spark), indexing/caching (ElasticSearch, Redis), and various data query engines (Trino, Presto, Snowflake, etc.).
* Show a track record of mentoring and leading teams in successful projects.
* Possess excellent communication and collaboration skills, and the ability to translate complex technical concepts to non\-technical stakeholders.
* Experience working fluently with standard containerization \&amp; deployment technologies like Kubernetes and various public cloud offerings.
* Extensive experience in software development and a deep understanding of distributed systems, cloud platforms and data systems.
* Experience driving cross functional collaboration and communication at an organizational or broader level.
Nice to haves:
* Strong knowledge of software engineering best practices and CI/CD tooling (CircleCI).
* Experience with performance tuning and cost optimizations of cloud based data platforms.
* Experience defining a data lifecycle strategy and designing/implementing tooling for data privacy (i.e. GDPR) needs.
* Experience scaling products at hyper\-growth startups.
* Excitement to work with AI technologies.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$248,400—$310,500 USD***PLEASE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52">
      <c r="A52" t="inlineStr">
        <is>
          <t>in-e05f4ad4da776863</t>
        </is>
      </c>
      <c r="B52" t="inlineStr">
        <is>
          <t>Staff Software Engineer, Enterprise GenAI</t>
        </is>
      </c>
      <c r="C52" t="inlineStr">
        <is>
          <t>Scale AI</t>
        </is>
      </c>
      <c r="D52" t="inlineStr">
        <is>
          <t>indeed</t>
        </is>
      </c>
      <c r="E52">
        <f>HYPERLINK("https://www.indeed.com/viewjob?jk=e05f4ad4da776863", "https://www.indeed.com/viewjob?jk=e05f4ad4da776863")</f>
        <v/>
      </c>
      <c r="F52">
        <f>HYPERLINK("https://scale.com/careers/4569678005", "https://scale.com/careers/4569678005")</f>
        <v/>
      </c>
      <c r="G52" t="inlineStr">
        <is>
          <t>New York, NY, US</t>
        </is>
      </c>
      <c r="H52" s="2" t="n">
        <v>46036</v>
      </c>
      <c r="I52" t="inlineStr">
        <is>
          <t>Scale GP (Scale Generative AI Platform) is an enterprise\-grade Generative AI platform that provides APIs for knowledge retrieval, inference, evaluation, and more. We are looking for a strong engineer to join our team and help us build and scale our product in a fast\-paced environment. The ideal candidate will have a strong understanding of software engineering principles and practices, as well as experience with large\-scale distributed systems. You will be responsible for owning large new areas within our product, working across backend, frontend, and interacting with LLMs and ML models. You will solve hard engineering problems in scalability and reliability.
**You will:**
* Own large new areas within our product
* Work across backend, frontend, and interacting with LLMs and ML models
* Deliver experiments at a high velocity and level of quality to engage our customers
* Work across the entire product lifecycle from conceptualization through production
* Be able, and willing, to multi\-task and learn new technologies quickly
**Ideally you'd have:**
* 7\+ years of full\-time engineering experience, post\-graduation
* Experience scaling products at hyper growth startups
* Experience tinkering with or productizing LLMs, vector databases, and the other latest AI technologies
* Proficient in Python or Javascript/Typescript, and SQL
* Experience with Kubernetes
* Experience with major cloud providers (AWS, Azure, GCP)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$248,400—$310,500 USD***PLEASE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53">
      <c r="A53" t="inlineStr">
        <is>
          <t>in-c2c8552647441065</t>
        </is>
      </c>
      <c r="B53" t="inlineStr">
        <is>
          <t>Staff Software Engineer, Data Platform</t>
        </is>
      </c>
      <c r="C53" t="inlineStr">
        <is>
          <t>Scale AI</t>
        </is>
      </c>
      <c r="D53" t="inlineStr">
        <is>
          <t>indeed</t>
        </is>
      </c>
      <c r="E53">
        <f>HYPERLINK("https://www.indeed.com/viewjob?jk=c2c8552647441065", "https://www.indeed.com/viewjob?jk=c2c8552647441065")</f>
        <v/>
      </c>
      <c r="F53">
        <f>HYPERLINK("https://scale.com/careers/4649903005", "https://scale.com/careers/4649903005")</f>
        <v/>
      </c>
      <c r="G53" t="inlineStr">
        <is>
          <t>New York, NY, US</t>
        </is>
      </c>
      <c r="H53" s="2" t="n">
        <v>46036</v>
      </c>
      <c r="I53" t="inlineStr">
        <is>
          <t>Software is eating the world, but AI is eating software. We live in unprecedented times – AI has the potential to exponentially augment human intelligence. Every person will have a personal tutor, coach, assistant, personal shopper, travel guide, and therapist throughout life. As the world adjusts to this new reality, leading platform companies are scrambling to build LLMs at billion scale, while large enterprises figure out how to add it to their products. To make them safe, aligned and actually useful, these models need human evaluation and reinforcement learning through human feedback (RLHF) during pre\-training, fine\-tuning, and production evaluations. This is the main innovation that’s enabled ChatGPT to get such a large headstart among competition.
At Scale, our products include the Generative AI Data Engine, SGP, Donovan, and others that power the most advanced LLMs and generative models in the world through world\-class RLHF, human data generation, model evaluation, safety, and alignment. The data we are producing is some of the most important work for how humanity will interact with AI.
At the foundation of these products is the Platform Engineering team. In this role, you will lead the design and development of core data storage, streaming, caching, and indexing platforms and underlying systems. You’ll also get widespread exposure to the forefront of the AI race as Scale sees it in enterprises, startups, governments, and large tech companies.
You will:
* Drive the architecture, design, implementation, and reliability of our foundational data platforms and systems, working closely with stakeholders and internal customers to understand and refine requirements.
* Collaborate with cross\-functional teams to define, design, and deliver new features.
* Proactively identify opportunities for, and driving improvements to, current programming practices, including process enhancements and tool upgrades.
* Present technical information to teams and stakeholders, providing guidance and insight on development processes and technologies.
* Provide technical leadership, including: upholding and upleveling engineering standards across the organization, mentoring junior engineers.
Ideally you’d have:
* 8\+ years of full\-time engineering experience, post\-graduation with specialties in back\-end systems, specifically related to building large\-scale data storage, streaming, and warehousing systems.
* Extensive experience in various database technologies (MongoDB, Postgres), streaming/processing solutions (Kinesis, Flink, Spark), indexing/caching (ElasticSearch, Redis), and various data query engines (Trino, Presto, Snowflake, etc.).
* Show a track record of mentoring and leading teams in successful projects.
* Possess excellent communication and collaboration skills, and the ability to translate complex technical concepts to non\-technical stakeholders.
* Experience working fluently with standard containerization \&amp; deployment technologies like Kubernetes and various public cloud offerings.
* Extensive experience in software development and a deep understanding of distributed systems, cloud platforms and data systems.
* Experience driving cross functional collaboration and communication at an organizational or broader level.
Nice to haves:
* Strong knowledge of software engineering best practices and CI/CD tooling (CircleCI).
* Experience with performance tuning and cost optimizations of cloud based data platforms.
* Experience defining a data lifecycle strategy and designing/implementing tooling for data privacy (i.e. GDPR) needs.
* Experience scaling products at hyper\-growth startups.
* Excitement to work with AI technologies.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$248,400—$310,500 USD***PLEASE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54">
      <c r="A54" t="inlineStr">
        <is>
          <t>in-777f7bbb7f8a2015</t>
        </is>
      </c>
      <c r="B54" t="inlineStr">
        <is>
          <t>Software Engineer, Discovery Eval</t>
        </is>
      </c>
      <c r="C54" t="inlineStr">
        <is>
          <t>Waymo</t>
        </is>
      </c>
      <c r="D54" t="inlineStr">
        <is>
          <t>indeed</t>
        </is>
      </c>
      <c r="E54">
        <f>HYPERLINK("https://www.indeed.com/viewjob?jk=777f7bbb7f8a2015", "https://www.indeed.com/viewjob?jk=777f7bbb7f8a2015")</f>
        <v/>
      </c>
      <c r="F54">
        <f>HYPERLINK("https://careers.withwaymo.com/jobs/software-engineer-discovery-eval-mountain-view-california-united-states", "https://careers.withwaymo.com/jobs/software-engineer-discovery-eval-mountain-view-california-united-states")</f>
        <v/>
      </c>
      <c r="G54" t="inlineStr">
        <is>
          <t>Mountain View, CA, US</t>
        </is>
      </c>
      <c r="H54" s="2" t="n">
        <v>46036</v>
      </c>
      <c r="I54" t="inlineStr">
        <is>
          <t>MOUNTAIN VIEW, CALIFORNIA, UNITED STATES
FULL\-TIME
SOFTWARE ENGINEERING
4504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*((Insert Job Group Template))*
*((Include reporting structure and work modality ie: In this hybrid role, you will report to a Senior Research Scientist))*
**You will:**
* Design, develop, and implement automated eval analytic workflows using large language models and other AI techniques to analyze and categorize events from perception evaluation systems.
* Build and maintain scalable data pipelines to automatically cluster, summarize, and surface critical issue categories discovered through large\-scale simulation and real\-world data.
* Develop an orchestration system to manage the lifecycle of discovered issues, including data sampling, annotation, and integration into the ML training and evaluation flywheel.
* Enhance and support core discovery tools and frameworks, focusing on improving the precision, recall, and reliability of automated issue detection.
* Expand the capabilities of discovery evaluation systems to cover a broader range of perception signals and other advanced outputs.
* Collaborate with other engineers, ML infrastructure teams, and researchers to integrate cutting\-edge AI techniques and build robust, end\-to\-end evaluation solutions.
**You have:**
* BS or MS in Computer Science or a related field.
* 2\+ years of software development experience (3\+ years for L5\).
* Strong programming skills in Python and/or C\+\+.
* Experience with data analysis, data pipelines, and working with large datasets.
* Solid understanding of machine learning concepts and evaluation methodologies.
* Excellent problem\-solving skills and ability to work independently and collaboratively.
**We prefer:**
* Experience in developing or utilizing AI\-powered agentic workflows.
* Familiarity with evaluation framework in autonomous vehicle systems or robotics.
* Hands\-on experience with ML infrastructure and tools.
* Experience with large\-scale data processing systems.
* Proven ability to design and implement novel evaluation metrics and techniques.
* Experience with data visualization tools and techniques.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55">
      <c r="A55" t="inlineStr">
        <is>
          <t>in-fdceec86e4e39171</t>
        </is>
      </c>
      <c r="B55" t="inlineStr">
        <is>
          <t>VP, Software Developer - Treasury Technology</t>
        </is>
      </c>
      <c r="C55" t="inlineStr">
        <is>
          <t>Jefferies LLC</t>
        </is>
      </c>
      <c r="D55" t="inlineStr">
        <is>
          <t>indeed</t>
        </is>
      </c>
      <c r="E55">
        <f>HYPERLINK("https://www.indeed.com/viewjob?jk=fdceec86e4e39171", "https://www.indeed.com/viewjob?jk=fdceec86e4e39171")</f>
        <v/>
      </c>
      <c r="F55">
        <f>HYPERLINK("https://hdid.fa.us2.oraclecloud.com/hcmUI/CandidateExperience/en/sites/CX_1/requisitions/preview/3636", "https://hdid.fa.us2.oraclecloud.com/hcmUI/CandidateExperience/en/sites/CX_1/requisitions/preview/3636")</f>
        <v/>
      </c>
      <c r="G55" t="inlineStr">
        <is>
          <t>New York, NY, US</t>
        </is>
      </c>
      <c r="H55" s="2" t="n">
        <v>46036</v>
      </c>
      <c r="I55" t="inlineStr">
        <is>
          <t>You will work as part of the Treasury Technology team at Jefferies. The team provides solutions and support for cash and liquidity management. Covering FX, Fixed Income and Equities, including financing (Repo and Stock Lending), we are looking for a strong all round senior developer who will work across the treasury technology stack to design, build, and maintain core treasury systems. The role demands deep, practical expertise in .NET development, SQL Server, and integration with treasury platforms, with an emphasis on reliability, scalability, and compliance.  
**Key Responsibilities**  
1\. Application Development \&amp; Architecture
* Lead the design, development, and deployment of treasury systems using .NET (Core \&amp; Framework).
* Architect solutions integrating with key Treasury platforms for trade capture, settlements, and risk reporting.
* Deliver APIs and middleware for real\-time data exchange across systems.
* Conduct code reviews and implement automated testing frameworks.
2\. Database Design \&amp; Management
* Design and optimize SQL Server databases supporting high\-volume transactional data.
* Develop stored procedures, functions, views, and ETL processes for treasury data.
* Implement robust backup, disaster recovery, and data integrity controls.
3\. Treasury System Integration
* Work closely with Treasury Operations to understand trade lifecycle processes (FX, MM, derivatives, collateral).
* Build interfaces for trade feeds, cash flow forecasting, and position reporting.
4\. Project \&amp; Stakeholder Management
* Own delivery of key treasury technology projects from inception to production.
* Collaborate with business analysts, treasury, and risk teams to capture and refine requirements.
**Essential Skills \&amp; Experience**  
Technical Expertise
* Strong proficiency in C\#, .NET Core, ASP.NET MVC/Web API, Entity Framework, and LINQ.
* Expert\-level SQL Server knowledge including performance tuning, query optimization, indexing.
* Understanding of financial instruments (FX, MM, swaps, repos) and trade lifecycle.
Leadership \&amp; Communication
* Skilled in translating treasury business requirements into technical specifications.
* Strong stakeholder engagement skills with the ability to explain technical topics to non\-technical audiences.
* Knowledge of CI/CD pipelines and automated testing suites.
**Other useful Skills \&amp; Experience:**  
* Python
* Angular / Typescript / JavaScript
* Snowflake (nice to have)
* Power BI (nice to have)
Primary Location Full Time Salary Range of $150,000 \- $200,000\.</t>
        </is>
      </c>
    </row>
    <row r="56">
      <c r="A56" t="inlineStr">
        <is>
          <t>in-3663bec2aa5f2f34</t>
        </is>
      </c>
      <c r="B56" t="inlineStr">
        <is>
          <t>Principal Full Stack Engineer</t>
        </is>
      </c>
      <c r="C56" t="inlineStr">
        <is>
          <t>Fidelity TalentSource</t>
        </is>
      </c>
      <c r="D56" t="inlineStr">
        <is>
          <t>indeed</t>
        </is>
      </c>
      <c r="E56">
        <f>HYPERLINK("https://www.indeed.com/viewjob?jk=3663bec2aa5f2f34", "https://www.indeed.com/viewjob?jk=3663bec2aa5f2f34")</f>
        <v/>
      </c>
      <c r="F56">
        <f>HYPERLINK("https://www.fidelitytalentsource.com/job-search/180037/principal-full-stack-engineer/?job-id=180037&amp;source=Indeed", "https://www.fidelitytalentsource.com/job-search/180037/principal-full-stack-engineer/?job-id=180037&amp;source=Indeed")</f>
        <v/>
      </c>
      <c r="G56" t="inlineStr">
        <is>
          <t>Durham, NC, US</t>
        </is>
      </c>
      <c r="H56" s="2" t="n">
        <v>46036</v>
      </c>
      <c r="I56" t="inlineStr">
        <is>
          <t>Fidelity TalentSource is your destination for discovering your next temporary role at Fidelity Investments. We are currently sourcing for a Principal Full Stack Engineer to work in Durham, NC!
### **The Expertise and Skills You Bring**
* 10\+ years of experience in designing and implementing full stack end\-to\-end customer facing applications
* Bachelor’s degree of Computer Science, other related field, or equivalent experience
* Experience in Agile and Scrum development methodology
* Professional experience in front\-end frameworks and web technologies including Angular (20\+), HTML/CSS, JavaScript or Typescript, web components, and other.
* Experience with the following technologies: Spring 3\.x, JPA, REST, Maven, XML, Swagger.
* Champion best practices in modular application design, including micro\-frontends, shared libraries, and integration patterns.
* Strong understanding of modern development principles such as trunk\-based development, monorepos, feature toggles, and branch by abstraction to support performant engineering teams
* Experience developing quality\-first, testable solutions demonstrating TDD and automation with tools such as Cypress, Karate, Karma, Junit, and other testing tools
* Experience building and deploying applications using continuous integration pipelines and automated deployment tools such as Jenkins
* Strong communication and influencing skills to integrate effectively into the inclusive culture
* Strong desire to learn new skills and emerging technologies/industry trends quickly.
### **The Value You Deliver**
* Collaborating with architecture and UXD to build architecturally compliant apps.
* Working with platform squads to define engineering standards, standard methodologies, and tooling.
* Providing engineering thought leadership to advance philanthropy and facilitate a cloud\-first approach.
* Collaborating with other team members to analyze and solve problems.
* Staying ahead of the curve by aligning architecture, user experience, and security with teams.
Most roles at Fidelity are Hybrid, requiring associates to work onsite every other week (all business days, M\-F) in a Fidelity office. This does not apply to Remote or fully Onsite roles.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
### **Company Overview**
At Fidelity, we are passionate about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associates for their unique perspectives and experiences. For information about working at Fidelity, visit FidelityCareers.com. Fidelity Investments is an equal opportunity employer. Fidelity will reasonably accommodate applicants with disabilities who need adjustments to complete the application or interview process.  
Fidelity TalentSource, is the in\-house temporary staffing provider for Fidelity Investments. Unlike traditional staffing agencies, we are an internal business unit within Fidelity’s Talent Acquisition team, dedicated to recruiting talent from various backgrounds for roles in Fidelity’s regional and investor center locations. Our mission is to help you experience Fidelity’s diverse and inclusive workplace while expanding your skill set and professional network, with the ultimate goal of conversion to full\-time employment as part of Fidelity’s long\-term strategy.  
For information about working at Fidelity TalentSource, visit FTSJobs.com.  
Fidelity TalentSource will reasonably accommodate applicants with disabilities who need adjustments in order to complete the application or interview process. Please email us at HR@ftsjobs.com if you would like to request an accommodation.</t>
        </is>
      </c>
    </row>
    <row r="57">
      <c r="A57" t="inlineStr">
        <is>
          <t>in-a7d161b634246b01</t>
        </is>
      </c>
      <c r="B57" t="inlineStr">
        <is>
          <t>Staff Perception Software Engineer, Imaging</t>
        </is>
      </c>
      <c r="C57" t="inlineStr">
        <is>
          <t>Anduril</t>
        </is>
      </c>
      <c r="D57" t="inlineStr">
        <is>
          <t>indeed</t>
        </is>
      </c>
      <c r="E57">
        <f>HYPERLINK("https://www.indeed.com/viewjob?jk=a7d161b634246b01", "https://www.indeed.com/viewjob?jk=a7d161b634246b01")</f>
        <v/>
      </c>
      <c r="F57">
        <f>HYPERLINK("https://grnh.se/zwa52hb27us", "https://grnh.se/zwa52hb27us")</f>
        <v/>
      </c>
      <c r="G57" t="inlineStr">
        <is>
          <t>Lexington, MA, US</t>
        </is>
      </c>
      <c r="H57" s="2" t="n">
        <v>46036</v>
      </c>
      <c r="I57"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TEAM**
The Imaging team is responsible for tackling the most difficult problems involving computer vision, perception, electro\-optical, infrared, and sensor data. The team develops state\-of\-the\-art imaging systems across both hardware and software. Their products are deployed to tackle the most significant security challenges of America and its allies.
### **ABOUT THE JOB**
We are looking for a Staff Perception Software Engineer to join our rapidly growing team in Lexington, MA. In this role, you will be responsible for develop algorithms which will push the out boundary of performance of novel, airborne infrared imaging systems in all environments. You will maintain a deep understanding our unique airborne sensors, and designing, testing and deploying image processing algorithms which help utilize these sensors to their greatest ability. This will require hands on C\+\+, Python, and image processing experience in a Linux environment. If you are someone who likes tackling complex technical problems involving computer vision and perception, this role is for you.
#### **WHAT YOU WILL DO**
* Develop cutting\-edge image processing techniques for signal improvement, detection, and tracking on high bit\-depth, large format, airborne infrared sensors
* Work with mission operations, hardware, software teams to understand and evaluate current system performance
* Develop and maintain physics\-based "digital twins" of our airborne sensor systems
* Establish engineering completion criteria and evaluation metrics for system performance, building tools for unit and integration tests
* Work with a multi\-disciplinary team on challenging problems in a fast\-paced environment
#### **REQUIRED QUALIFICATIONS**
* BS in Computer Science, Electrical Engineering, or related discipline
* 10\+ years of professional software development experience
* Expertise with C\+\+, Python, and Linux systems
* Focus on image processing, computer vision, or machine learning
* Strong analytical \&amp; critical thinking and problem\-solving skills and an ability to communicate ideas clearly
* Team\-player, self\-motivated, driven, organized
* Experience with software revision control
* Demonstrated ability to work effectively on interdisciplinary teams
* Eligible to obtain and maintain an active U.S. Top Secret security clearance
#### **PREFERRED QUALIFICATIONS**
* M.S. Or PhD in Computer Science, Electrical Engineering, or related discipline
* Experience with infrared sensor systems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58">
      <c r="A58" t="inlineStr">
        <is>
          <t>in-5f9b696e6e9b326f</t>
        </is>
      </c>
      <c r="B58" t="inlineStr">
        <is>
          <t>Sr. Software Engineer (Sustaining)</t>
        </is>
      </c>
      <c r="C58" t="inlineStr">
        <is>
          <t>Proofpoint</t>
        </is>
      </c>
      <c r="D58" t="inlineStr">
        <is>
          <t>indeed</t>
        </is>
      </c>
      <c r="E58">
        <f>HYPERLINK("https://www.indeed.com/viewjob?jk=5f9b696e6e9b326f", "https://www.indeed.com/viewjob?jk=5f9b696e6e9b326f")</f>
        <v/>
      </c>
      <c r="F58">
        <f>HYPERLINK("https://proofpoint.wd5.myworkdayjobs.com/en-US/ProofpointCareers/job/Draper-UT/Sr-Software-Engineer--Sustaining-_R13485-1", "https://proofpoint.wd5.myworkdayjobs.com/en-US/ProofpointCareers/job/Draper-UT/Sr-Software-Engineer--Sustaining-_R13485-1")</f>
        <v/>
      </c>
      <c r="G58" t="inlineStr">
        <is>
          <t>Draper, UT, US</t>
        </is>
      </c>
      <c r="H58" s="2" t="n">
        <v>46036</v>
      </c>
      <c r="I58" t="inlineStr">
        <is>
          <t>About Us:  
Proofpoint is a global leader in human\- and agent\-centric cybersecurity. We protect how people, data, and AI agents connect across email, cloud, and collaboration tools. Over 80 of the Fortune 100, 10,000 large enterprises, and millions of smaller organizations trust Proofpoint to stop threats, prevent data loss, and build resilience across their people and AI workflows. Our mission is simple: safeguard the digital world and empower people to work securely and confidently. Join us in our pursuit to defend data and protect people.
How We Work:
At Proofpoint you’ll be part of a global team that breaks barriers to redefine cybersecurity guided by our BRAVE core values:
Bold in how we dream and innovate
Responsive to feedback, challenges and opportunities
Accountable for results and best in class outcomes
Visionary in future focused problem\-solving
Exceptional in execution and impact
We are looking for an exceptional Senior Software Engineer (sustaining) who is responsible for maintaining and improving quality, reliability, and delivery of current product features. The engineer helps with the customer issues reported from the field by triaging and addressing them with the required changes. This role is also responsible for providing feedback to new product development teams to improve quality/reliability of future products. This is part of the core team that develops cloud software to discover, organize, analyze and secure various cloud infrastructures. There is a great opportunity to deliver, learn, and grow as this small team is rapidly growing and delivering many impactful features.  
The role is a combination of software development, quality assurance, and technical support with a primary focus on making the existing products function well for customers. These are key expectations for the role:* Support DSPM product areas and provide customer support to help resolve difficult customer issues.
* Design, develop, and deliver solutions to customers to help them resolve problems that they are facing in their deployments.
* Work on developing solutions and resolving issues within our products to help improve the overall stability of the DSPM platform.
* Be familiar and use AI tools day to day.
Requirements:* 8\+ years of development experience in Python or NodeJS is preferred
* Expertise in public cloud compute and networking, with hands\-on experience in at least one of the following: AWS, GCP, or Azure.
* Proven experience with REST API\-driven automation using Python or JavaScript.
* Strong problem\-solving skills and the ability to learn quickly in a fast\-paced, innovative environment.
* Adaptability and a keen interest in staying current with new technologies and evolving industry trends.
* Understanding of github and experience with CI/CD pipelines, including the setup and management of automated build, test, and deployment workflows
* Prior experience in testing SaaS security products is a plus
* Experience in debugging complex products, and building monitoring dashboards is preferred
\#LI\-PH1
Why Proofpoint?
At Proofpoint, we believe that an exceptional career experience includes a comprehensive compensation and benefits package. Here are just a few reasons you’ll love working with us:* Competitive compensation
* Comprehensive benefits
* Career success on your terms
* Flexible work environment
* Annual wellness and community outreach days
* Always on recognition for your contributions
* Global collaboration and networking opportunities
Our Culture:
Our culture is rooted in values that inspire belonging, empower purpose and drive success\-every day, for everyone.
We encourage applications from individuals of all backgrounds, experiences, and perspectives. If you need accommodation during the application or interview process, please reach out to accessibility@proofpoint.com.  
How to Apply
Interested? Submit your application along with any supporting information\- we can’t wait to hear from you!
Consistent with Proofpoint values and applicable law, we provide the following information to promote pay transparency and equity. Our compensation reflects the cost of labor across several U.S. geographic markets, and we pay differently based on those defined markets as set out below. Pay within these ranges varies and depends on job\-related knowledge, skills, and experience. The actual offer will be based on the individual candidate. The range provided may represent a candidate range and may not reflect the full range for an individual tenured employee. This role may be eligible for variable compensation and/or equity. We offer a competitive benefits package, including flexible time off, a comprehensive well\-being program with two paid Wellbeing Days and two paid Volunteer Days per year, plus a three\-week Work from Anywhere option.
Base Pay Ranges:
SF Bay Area, New York City Metro Area:
Base Pay Range: 166,500\.00 \- 244,200\.00 USD
California (excludes SF Bay Area), Colorado, Connecticut, Illinois, Washington DC Metro, Maryland, Massachusetts, New Jersey, Texas, Washington, Virginia, and Alaska:
Base Pay Range: 136,200\.00 \- 199,760\.00 USD
All other cities and states excluding those listed above:
Base Pay Range: 124,100\.00 \- 182,050\.00 USD</t>
        </is>
      </c>
    </row>
    <row r="59">
      <c r="A59" t="inlineStr">
        <is>
          <t>in-44044944d567d547</t>
        </is>
      </c>
      <c r="B59" t="inlineStr">
        <is>
          <t>Senior Software Engineer, Web</t>
        </is>
      </c>
      <c r="C59" t="inlineStr">
        <is>
          <t>SoFi</t>
        </is>
      </c>
      <c r="D59" t="inlineStr">
        <is>
          <t>indeed</t>
        </is>
      </c>
      <c r="E59">
        <f>HYPERLINK("https://www.indeed.com/viewjob?jk=44044944d567d547", "https://www.indeed.com/viewjob?jk=44044944d567d547")</f>
        <v/>
      </c>
      <c r="F59">
        <f>HYPERLINK("https://grnh.se/8kk88ep53us", "https://grnh.se/8kk88ep53us")</f>
        <v/>
      </c>
      <c r="G59" t="inlineStr">
        <is>
          <t>Seattle, WA, US</t>
        </is>
      </c>
      <c r="H59" s="2" t="n">
        <v>46036</v>
      </c>
      <c r="I59"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We're looking for a Senior Frontend Engineer to join our SoFi Invest team! We believe everyone should have the tools to build wealth, whether they're a seasoned investor or just starting out. Our team is building innovative products and features that are changing the way people think about money. If you're a talented, driven individual who's passionate about technology and finance, we want to hear from you.
On our team, you will be in the middle of it all – implementing functionality, architecting our system, squashing bugs, maintaining the health of our code, and continually growing as an engineer. The ideal candidate is both forward\-thinking and hands\-on, has a strong sense of ownership and drive for delivery, and is a good mentor and co\-worker. At SoFi, we pride ourselves on the collaboration between Product, Design and Engineering and so you will be involved in the entire product lifecycle, from ideation through building, deploying and continual improvement and evolution.
At SoFi, you'll become part of a new kind of finance company whose ambition is to help our members achieve financial independence and reach their goals. We aim to be at the center of our members' financial lives, and to help every member get their money right. We created student loan refinancing, addressing the biggest financial challenge of a new generation through a modern approach to lending and personal finance. Next we expanded our products and services across loans, wealth management, and insurance. SoFi has achieved significant growth, with ambitious plans ahead, but to continue this growth we need great talent. And that starts with you.
**Key responsibilities**
* Produce well\-designed, scalable, and reusable code on schedule
* Independently design and build large features, breaking work into subtasks where necessary
* Maintain a high bar in code and design reviews, following modern mobile development practices
* Drive communication across the development team and with other stakeholders
* Collaborate across functions and teams to reduce ambiguity and keep projects on track
* Track project performance against defined milestones/goals
* Mentor junior engineers throughout the organization
* Create and improve technical documentation
**Requirements**
* Bachelor's degree (ideally in a technical field), but we understand great engineers come from a variety of backgrounds; we will also consider relevant work experience
* 5\+ years web programming experience (React strongly preferred)
* Familiarity with Agile\-based project development in a microservices environment
* Experience with designing and consuming backend APIs for web applications
* Test\-driven development skills
* Passion for solving complex problems
* Strong sense of responsibility; driving a project from inception to completion
* Affinity for solving problems and shipping impactful features, not polishing perfect code or architecture
* Experience working in a collaborative coding environment (and git specifically), refining designs together, working through code reviews and managing pull requests
* Able to design and build modern and highly\-responsive customer\-facing components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SoFi**page!
#####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 The Company hires the best qualified candidate for the job, without regard to protected characteristics.
##### Pursuant to the San Francisco Fair Chance Ordinance, we will consider for employment qualified applicants with arrest and conviction records.
##### New York applicants: Notice of Employee Rights
#####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 Due to insurance coverage issues, we are unable to accommodate remote work from Hawaii or Alaska at this time.
**Internal Employees**
If you are a current employee, do not apply here \- please navigate to our Internal Job Board in Greenhouse to apply to our open roles.</t>
        </is>
      </c>
    </row>
    <row r="60">
      <c r="A60" t="inlineStr">
        <is>
          <t>in-7be5860232e30cec</t>
        </is>
      </c>
      <c r="B60" t="inlineStr">
        <is>
          <t>Software Developer (WSCE)-Journeyman</t>
        </is>
      </c>
      <c r="C60" t="inlineStr">
        <is>
          <t>AMEWAS</t>
        </is>
      </c>
      <c r="D60" t="inlineStr">
        <is>
          <t>indeed</t>
        </is>
      </c>
      <c r="E60">
        <f>HYPERLINK("https://www.indeed.com/viewjob?jk=7be5860232e30cec", "https://www.indeed.com/viewjob?jk=7be5860232e30cec")</f>
        <v/>
      </c>
      <c r="F60">
        <f>HYPERLINK("https://amewas.applicantstack.com/x/detail/a2hcrhc54vip/aaac", "https://amewas.applicantstack.com/x/detail/a2hcrhc54vip/aaac")</f>
        <v/>
      </c>
      <c r="G60" t="inlineStr">
        <is>
          <t>Naval Air Station Patuxent River, MD, US</t>
        </is>
      </c>
      <c r="H60" s="2" t="n">
        <v>46036</v>
      </c>
      <c r="I60" t="inlineStr">
        <is>
          <t>At AMEWAS, we don't just support defense\- we shape it. For over 40 years, we've been a trusted partner of the Department of Defense (DoD) by providing cutting\-edge engineering, testing, and evaluation for U.S. Navy weapons systems.
Our people are the heart of our mission. Across our headquarters in California, Maryland, and offices in Orlando, FL, and San Diego, CA, you'll find a diverse and driven team committed to making a real impact for our Nation's Warfighters.
If you're ready to grow your skills, be challenged by meaningful work, and contribute to something bigger…this is where you belong.
Come do work that matters. Join AMEWAS.
**The Position:**  
AMEWAS is seeking a highly motivated and talented Software Developer (WSCE)\-Journeyman to support Battlespace Modeling \&amp; Simulation. The salary range of this position is $105,000\.00 \- $135,000\.00 and is commensurate with experience. This position is not eligible for remote work; on\-site support is required.
**About the location:**  
Patuxent River, MD, located in the California\-Lexington Park area, is Maryland's \#1 City Hiring the Most High\-Tech Workers. To learn more about the surrounding area, please visit: www.visitstmarysmd.com
**Position Background:**  
The Simulation Applications and Architecture (SAA) Branch develops multiple modeling and simulation (M\&amp;S) tools in support of warfighter training; test and evaluation (T\&amp;E); data analysis; live, virtual, and constructive (LVC); research and development (R\&amp;D) activities for DoD agencies and its international partners. The tools include the Global Reusable Interface Domain (GRID), the Weapons Server Common Environment (WSCE), the Simulation Control Executive (SCE), and the Architecture Management Integration Environment (AMIE). The SAA Branch designs, develops, documents, and deploys these products and tools. The Battlespace Division delivers these products as part of an integrated suite of tools called the Joint Simulation Environment (JSE) Technical Baseline (JTB); the battlespace for JSE.
A typical day as a Software Developer (WSCE)\-Journeyman may include:
* Develops software for an advanced synthetic training environment
* Integrates software into flight simulators to support pilot training against potential threats
* Supports software development, software integration, customer training and demonstrations
* Demonstrates a knowledge of standard programming algorithms, design patterns and object\-oriented software design
* Works within existing DevOps environment including automated builds, testing and deployment of software on multiple OS platforms
* Evaluates and reviews C and C\+\+ language code
* Programs using C and C\+\+
* Develops software requiring parallel processing, threading and inter\-process communication
* Develops software to simulate complex environments/platforms in real\-time
* Collaborates with team members to design future enhancements
**Must\-haves:**  
* BS Degree in Computer Science or Computer Engineering: Degrees in Information Technology, Mathematics, Physics, Aerospace, Software Systems, Electrical, Electronics or Mechanical Engineering may qualify
* 3 years of relevant work experience
* 3 years of experience with software development using C/C\+\+, CMake and scripting languages (Bash, Python3, etc.)
* 3 years of experience with scripting and databases
* Familiarity with scaled agile software development tools and environments (Git, Jira, etc.)
* The ability to obtain and maintain a DoD Special Access Program (SAP) Access
* The ability to obtain and maintain a DoD Secret Security Clearance
**Desired Skills:**  
* Familiarity with scaled agile software development tools and environments (Git, Jira, etc.)
* Experience working in a cross\-platform development environment including Windows and Linux
* Experience with modeling and simulation
* Experience with military weapons systems or military air platforms
* Experience within military test or training communities
**Skills Crucial to Success at AMEWAS:**  
Candidates must demonstrate a customer\-focused mindset, professionalism, and discretion, while working collaboratively with management and teams to meet objectives. Candidates should be hard\-working individuals with strong attention to detail and the ability to foster a positive, team\-oriented culture.
**Physical Environment and Working Conditions:**  
The physical environment for this position requires the employee to work in an office, sitting in a cubicle or at a desk, looking at a computer for most of the workday. Work is physically comfortable. The employee has discretion about sitting, walking, standing, etc.
The employee may be required to travel short distances to offices/conference rooms and buildings on site or near the work site. On rare occasions, overnight travel may be required.
**Refer a friend:**  
We're always on the lookout for top talent. If you know someone who would be a great fit for this role, please share our post with them!
**Here's an added perk:** If you're a current AMEWAS employee and your referral is hired, you could earn a referral bonus!
**Our Excellent Benefits and Perks:**  
Staying connected to our core values sets us apart from our competition! AMEWAS recognizes and rewards performance, dedication, and creativity. We are committed to investing in our employees and their future by providing them with competitive compensation, creative work teams, and the opportunity to grow in their career. We also provide a robust benefits package, including:
* Medical, dental, vision, 401(k), Life/AD\&amp;D/STD/LTD insurance
* Paid vacation, holiday and sick leave
* Generous tuition and training assistance program
* Relocation assistance
* Sign\-on bonuses
* Employee longevity recognition
* Community involvement and outreach
* Team building events
* Recognition program
* Wellness program
* Employee Assistance Program (EAP)
* Mobile service discount
* Fitness reimbursement program
AMEWAS is committed to equal employment opportunity. We recruit, employ, train, compensate, and promote without regard to race, religion, color, national origin, age, sex, disability, protected veteran status, or any other basis protected by applicable federal, state, or local law.
If you are interested in applying for employment and need special assistance or an accommodation to apply for a posted position, contact our Recruiting department via phone at 301\-863\-7102 or email at recruiting@amewas.com.
AMEWAS participates in E\-Verify to confirm eligibility to work in the United States.
**Please note:** AMEWAS does not accept unsolicited resumes from third\-party staffing agencies, recruiters, or headhunters.
\#LI\-Onsite</t>
        </is>
      </c>
    </row>
    <row r="61">
      <c r="A61" t="inlineStr">
        <is>
          <t>in-d6702400f854af4f</t>
        </is>
      </c>
      <c r="B61" t="inlineStr">
        <is>
          <t>Software Developer (NGTS DMOC)-Journeyman</t>
        </is>
      </c>
      <c r="C61" t="inlineStr">
        <is>
          <t>AMEWAS</t>
        </is>
      </c>
      <c r="D61" t="inlineStr">
        <is>
          <t>indeed</t>
        </is>
      </c>
      <c r="E61">
        <f>HYPERLINK("https://www.indeed.com/viewjob?jk=d6702400f854af4f", "https://www.indeed.com/viewjob?jk=d6702400f854af4f")</f>
        <v/>
      </c>
      <c r="F61">
        <f>HYPERLINK("https://amewas.applicantstack.com/x/detail/a2hcrhc0t0x0/aaac", "https://amewas.applicantstack.com/x/detail/a2hcrhc0t0x0/aaac")</f>
        <v/>
      </c>
      <c r="G61" t="inlineStr">
        <is>
          <t>Kirtland AFB, NM, US</t>
        </is>
      </c>
      <c r="H61" s="2" t="n">
        <v>46036</v>
      </c>
      <c r="I61" t="inlineStr">
        <is>
          <t>At AMEWAS, we don't just support defense\- we shape it. For over 40 years, we've been a trusted partner of the Department of Defense (DoD) by providing cutting\-edge engineering, testing, and evaluation for U.S. Navy weapons systems.
Our people are the heart of our mission. Across our headquarters in California, Maryland, and offices in Orlando, FL, and San Diego, CA, you'll find a diverse and driven team committed to making a real impact for our Nation's Warfighters.
If you're ready to grow your skills, be challenged by meaningful work, and contribute to something bigger…this is where you belong.
Come do work that matters. Join AMEWAS.
**The Position:**  
AMEWAS is seeking a highly motivated and talented Software Developer (NGTS DMOC)\-Journeyman to support Battlespace Modeling \&amp; Simulation. The salary range of this position is $105,000\.00 \- $135,000\.00 and is commensurate with experience. This position is eligible for remote work.
**About the location:**  
**Kirtland Air Force Base, New Mexico:** To learn more about Kirtland Air Force Base, please click here: https://www.kirtland.af.mil
**Position Background:**  
The Modeling \&amp; Simulation Enterprise Applications (MSEA) product suite supports modeling and simulation (M\&amp;S) environments; trainer systems; test and evaluation (T\&amp;E); analysis; live, virtual and constructive (LVC); research and development (R\&amp;D) activities for DoD agencies and its international partners. All products are government owned, developed and managed. The Next Generation Threat System (NGTS) is a continually evolving synthetic environment generator that supports multiple platform/services training, testing, analysis and research and development.
A typical day as a Software Developer (NGTS DMOC)\-Journeyman may include:
* Develops software for an advanced synthetic training environment
* Integrates software into flight simulators to support pilot training against potential threats
* Supports software development/integration, customer training and demonstrations
* Demonstrates a knowledge of standard programming algorithms, design patterns and object\-oriented software design
* Evaluates/Reviews C\+\+ language code programming using C\+\+, Python 3 and HTML
* Develops parallel processes, threading and process communication
* Develops web\-based applications using development technology
* Collaborates with team members to design future enhancements
**Must\-haves:**  
* BS Degree in Computer Science or Engineering: Degrees in Information Technology, Mathematics, Physics, or Aerospace, Computer, Software Systems, Electrical, Electronic, Mechanical Engineering may qualify
* 3 years of relevant work experience
* 3 years of experience with scripting, database and programming in C\+\+
* 3 years of experience with scripting, database and programming in Python 3 and HTML
* 3 years of experience working with version\-controlled software within an Agile Framework
* Familiarity with time\-series analysis
* The ability to obtain and maintain a DoD Secret Security Clearance
**Desired Skills:**  
* Experience working with cross\-functional SMEs supporting large\-scale exercises
* Experience supporting Special Access Program (SAP) efforts
**Skills Crucial to Success at AMEWAS:**  
Candidates must demonstrate a customer\-focused mindset, professionalism, and discretion, while working collaboratively with management and teams to meet objectives. Candidates should be hard\-working individuals with strong attention to detail and the ability to foster a positive, team\-oriented culture.
**Physical Environment and Working Conditions:**  
The physical environment for this position requires the employee to work in an office, sitting in a cubicle or at a desk, looking at a computer for most of the workday. Work is physically comfortable. The employee has discretion about sitting, walking, standing, etc.
The employee may be required to travel short distances to offices/conference rooms and buildings on site or near the work site. On rare occasions, overnight travel may be required.
**Refer a friend:**  
We're always on the lookout for top talent. If you know someone who would be a great fit for this role, please share our post with them!
**Here's an added perk:** If you're a current AMEWAS employee and your referral is hired, you could earn a referral bonus!
**Our Excellent Benefits and Perks:**  
Staying connected to our core values sets us apart from our competition! AMEWAS recognizes and rewards performance, dedication, and creativity. We are committed to investing in our employees and their future by providing them with competitive compensation, creative work teams, and the opportunity to grow in their career. We also provide a robust benefits package, including:
* Medical, dental, vision, 401(k), Life/AD\&amp;D/STD/LTD insurance
* Paid vacation, holiday and sick leave
* Generous tuition and training assistance program
* Relocation assistance
* Sign\-on bonuses
* Employee longevity recognition
* Community involvement and outreach
* Team building events
* Recognition program
* Wellness program
* Employee Assistance Program (EAP)
* Mobile service discount
* Fitness reimbursement program
AMEWAS is committed to equal employment opportunity. We recruit, employ, train, compensate, and promote without regard to race, religion, color, national origin, age, sex, disability, protected veteran status, or any other basis protected by applicable federal, state, or local law.
If you are interested in applying for employment and need special assistance or an accommodation to apply for a posted position, contact our Recruiting department via phone at 301\-863\-7102 or email at recruiting@amewas.com.
AMEWAS participates in E\-Verify to confirm eligibility to work in the United States.
**Please note:** AMEWAS does not accept unsolicited resumes from third\-party staffing agencies, recruiters, or headhunters.
\#LI\-Remote</t>
        </is>
      </c>
    </row>
    <row r="62">
      <c r="A62" t="inlineStr">
        <is>
          <t>in-b524812c7ac9ca0b</t>
        </is>
      </c>
      <c r="B62" t="inlineStr">
        <is>
          <t>Senior Staff Software Engineer</t>
        </is>
      </c>
      <c r="C62" t="inlineStr">
        <is>
          <t>SailPoint Technologies</t>
        </is>
      </c>
      <c r="D62" t="inlineStr">
        <is>
          <t>indeed</t>
        </is>
      </c>
      <c r="E62">
        <f>HYPERLINK("https://www.indeed.com/viewjob?jk=b524812c7ac9ca0b", "https://www.indeed.com/viewjob?jk=b524812c7ac9ca0b")</f>
        <v/>
      </c>
      <c r="F62">
        <f>HYPERLINK("https://sailpoint.wd1.myworkdayjobs.com/en-US/SailPoint/job/United-States/Senior-Staff-Software-Engineer_R012271", "https://sailpoint.wd1.myworkdayjobs.com/en-US/SailPoint/job/United-States/Senior-Staff-Software-Engineer_R012271")</f>
        <v/>
      </c>
      <c r="G62" t="inlineStr">
        <is>
          <t>US</t>
        </is>
      </c>
      <c r="H62" s="2" t="n">
        <v>46036</v>
      </c>
      <c r="I62" t="inlineStr">
        <is>
          <t>Want to be on a team that full of results\-driven individuals who are constantly seeking to innovate? Want to make an impact? At SailPoint, our Engineering team does just that. Our engineering is where high\-quality professional engineering meets individual impact. Our team creates products are built on a mature, cloud\-native event\-driven microservices architecture hosted in AWS.
We are looking for well\-rounded backend engineers who are passionate about building and delivering reliable, scalable microservices and infrastructure for SaaS products.
As one of the main architect on the team, you will be integral in building this product and will be part of an agile team that is in startup mode. This is a unique opportunity to build something from scratch but have the backing of an organization that has the muscle to take it to market quickly, with a very satisfied customer base.
**Responsibilities**
* Produce designs and rough estimates, and implement features based on product requirements.
* Partner with cross\-functional teams to design, build, and deliver high\-quality software.
* Provide hands\-on technical leadership, ensuring the team focuses on the right problems and builds practical, right\-sized solutions without adding unnecessary complexity.
* Review code and offer constructive, actionable feedback to maintain high engineering standards.
* Troubleshoot and resolve complex technical issues across the stack.
* Lead POCs, research new tools, frameworks, and methodologies to enhance team efficiency.
* Thrive in a dynamic environment, staying effective while juggling multiple concurrent priorities
* Share support of critical team systems by participating in on\-call rotation.
**Requirements**
* 12\+ years of professional software development experience
* Strong Java experience
* Deep Experience working with one or more from the following: Cloud/AWS, IAM/IGA, Compliance, Security and Privacy
* Advanced experience with large scale databases, and related technologies.
* Expertise with messaging, queues, and events, such as Redis or Kafka
* Deep understanding of modern architectural patterns for SaaS systems (e.g., microservices, event\-driven architecture, distributed systems).
* Strong communications skills, including the ability to understand requirements and persuasively articulate technical solutions at the appropriate level of technical depth.
* Excellent interpersonal skills and a positive, "can\-do" attitude.
* Independent, highly motivated engineer who drives work forward with minimal oversight
* Advanced experience with an object\-oriented programming language and techniques
* BS in Computer Science, or a related field
**Preferred**
* Familiarity with big data ecosystems, including Airflow\-based ETL workflows, data lake architectures, or platforms like Snowflake, Databricks, or cloud\-native data\-lake services
* Experience with Continuous Delivery
* Hands\-on experience building and tracking service\-level objectives (SLOs) with contemporary monitoring/observability platforms (e.g., Grafana, Prometheus, Datadog)
* Familiarity with AI/Machine Learning
* Experience instrumenting code for gathering production performance metrics
Benefits and Compensation listed vary based on the location of your employment and the nature of your employment with SailPoint.
As a part of the total compensation package, this role may be eligible for the SailPoint Corporate Bonus Plan or a role\-specific commission, along with potential eligibility for equity participation. SailPoint maintains broad salary ranges for its roles to account for variations in knowledge, skills, experience, market conditions and locations, as well as reflect SailPoint’s differing products, industries, and lines of business. Candidates are typically placed into the range based on the preceding factors as well as internal peer equity. We estimate the base salary, for US\-based employees, will be in this range from (min\-mid\-max, USD):
$151,100 \- $215,800 \- $280,500
Base salaries for employees based in other locations are competitive for the employee’s home location.
Benefits Overview
1\. Health and wellness coverage: Medical, dental, and vision insurance
2\. Disability coverage: Short\-term and long\-term disability
3\. Life protection: Life insurance and Accidental Death \&amp; Dismemberment (AD\&amp;D)
4\. Additional life coverage options: Supplemental life insurance for employees, spouses, and children
5\. Flexible spending accounts for health care, and dependent care; limited purpose flexible spending account
6\. Financial security: 401(k) Savings and Investment Plan with company matching
7\. Time off benefits: Flexible vacation policy
8\. Holidays: 8 paid holidays annually
9\. Sick leave
10\. Parental support: Paid parental leave
11\. Employee Assistance Program (EAP) and Care Counselors
12\. Voluntary benefits: Legal Assistance, Critical Illness, Accident, Hospital Indemnity and Pet Insurance options
13\. Health Savings Account (HSA) with employer contribution
SailPoint is an equal opportunity employer and we welcome all qualified candidates to apply to join our team. All qualified applicants will receive consideration for employment without regard to race, color, religion, sex, sexual orientation, gender identity, national origin, disability, protected veteran status, or any other category protected by applicable law.
Alternative methods of applying for employment are available to individuals unable to submit an application through this site because of a disability. Contact applicationassistance@sailpoint.com or mail to 11120 Four Points Dr, Suite 100, Austin, TX 78726, to discuss reasonable accommodations. NOTE: Any unsolicited resumes sent by candidates or agencies to this email will not be considered for current openings at SailPoint.</t>
        </is>
      </c>
    </row>
    <row r="63">
      <c r="A63" t="inlineStr">
        <is>
          <t>in-f8827a460cad1933</t>
        </is>
      </c>
      <c r="B63" t="inlineStr">
        <is>
          <t>Lead Display Software Engineer</t>
        </is>
      </c>
      <c r="C63" t="inlineStr">
        <is>
          <t>SkyRyse</t>
        </is>
      </c>
      <c r="D63" t="inlineStr">
        <is>
          <t>indeed</t>
        </is>
      </c>
      <c r="E63">
        <f>HYPERLINK("https://www.indeed.com/viewjob?jk=f8827a460cad1933", "https://www.indeed.com/viewjob?jk=f8827a460cad1933")</f>
        <v/>
      </c>
      <c r="F63">
        <f>HYPERLINK("https://grnh.se/2x5oe4zo1us", "https://grnh.se/2x5oe4zo1us")</f>
        <v/>
      </c>
      <c r="G63" t="inlineStr">
        <is>
          <t>El Segundo, CA, US</t>
        </is>
      </c>
      <c r="H63" s="2" t="n">
        <v>46036</v>
      </c>
      <c r="I63" t="inlineStr">
        <is>
          <t>Our mission at Skyryse is nothing less than a new era in flight, where fatalities are nearly zero, piloting any aircraft is simple and safe, and the sky is accessible to all. SkyOS, our industry\-first universal operating system for flight, provides any airplane or helicopter with a fly\-by\-wire flight management solution that significantly reduces the complexity of flying. Skyryse One, our first production aircraft powered by SkyOS, was unveiled in 2024 and features the simplest, safest, and most intuitive flight controls in general aviation.
**LEAD DISPLAY SOFTWARE ENGINEER \- EL SEGUNDO**
We are looking for a lead Display Software Engineer to join our team and contribute to the architecture and development of advanced display systems for aviation and aerospace applications. This role involves developing solutions across multiple aircraft platforms, optimizing graphics performance, ensuring system reliability, and collaborating with cross\-functional teams to deliver world\-class visual solutions for mission\-critical environments.
This is a full\-time onsite opportunity based out of El Segundo, CA.
**RESPONSIBILITIES:**
* Architect a display software solution that integrates user applications and graphics rendering for interactive displays
* Design, develop, and maintain display software for aviation/aerospace systems, ensuring high performance, reliability, and compliance with industry standards.
* Implement and optimize rendering pipelines, graphics effects, and display drivers to maximize performance and efficiency on both CPU and GPU.
* Develop and integrate 3D graphics solutions using OpenGL, Vulkan, and related APIs.
* Utilize GPU programming frameworks such as CUDA or OpenCL for performance\-critical applications.
* Work on concurrent and parallel programming to achieve real\-time performance requirements.
* Debug and optimize display systems at both application and driver levels, ensuring seamless operation in embedded environments.
* Collaborate with hardware teams to bring up new display hardware, troubleshoot issues, and integrate solutions for embedded platforms.
* Work on Linux\-based development environments and contribute to system\-level integration and debugging.
* Interface with cross\-functional teams including graphics, hardware, and avionics specialists to deliver integrated display solutions.
**MINIMUM QUALIFICATIONS:**
* Bachelor's degree in Computer Science or equivalent (Master's degree preferred).
* 10\+ years of professional experience in display software development or related fields.
* Strong programming skills with proficiency in C/C\+\+ and Python.
* Experience in concurrent programming and multithreaded systems.
* Deep understanding of 3D graphics principles and experience with OpenGL and Vulkan.
* Proven experience with GPU programming using CUDA or OpenCL.
* Development experience with Linux Operating System.
* Practical experience with embedded hardware and debugging serial interfaces (e.g., UART, SPI, I²C).
* Industry experience developing display software for aviation or aerospace applications.
**PREFERRED QUALIFICATIONS:**
* Experience with real\-time systems and low\-latency display rendering.
* Familiarity with color management, HDR, and image processing.
* Knowledge of display protocols such as MIPI DSI, DisplayPort, or HDMI.
* Exposure to safety\-critical software development standards (e.g., DO\-178C, ARINC\-661\).
* Experience with Anysys SCADE, GL Studio or equivalent
**WHY SKYRYSE?**
* The opportunity to change the world through improving aviation safety and accessibility
* Salary: $180,000 \- $210,000
* Valuable stock option plan
* Heavily subsidized medical, dental and vision plans
* Full\-time employees are eligible for 20 days of paid time off (PTO) and 5 sick days annually. PTO and sick days must be used in accordance with Company policy.
* A company with an ambitious vision, a dynamic work environment, and a team of smart, motivated, and fun to work\-with colleagues!
*The posted salary range reflects the potential base pay for this role, adjusted to account for varying geographic markets. Final compensation will be based on factors such as your location, job\-related skills, experience, and internal alignment, including equity and benefits.*
**WE WELCOME ALL**  
Skyryse is an equal opportunity employer. We value diversity. We do not discriminate on the basis of race, religion, color, national origin, gender, sexual orientation, age, marital status, veteran status, or disability status.
NO AGENCY CANDIDATES WILL BE CONSIDERED.</t>
        </is>
      </c>
    </row>
    <row r="64">
      <c r="A64" t="inlineStr">
        <is>
          <t>in-6c0848965793fb3c</t>
        </is>
      </c>
      <c r="B64" t="inlineStr">
        <is>
          <t>Associate Software Engineer</t>
        </is>
      </c>
      <c r="C64" t="inlineStr">
        <is>
          <t>Gordon Food Service</t>
        </is>
      </c>
      <c r="D64" t="inlineStr">
        <is>
          <t>indeed</t>
        </is>
      </c>
      <c r="E64">
        <f>HYPERLINK("https://www.indeed.com/viewjob?jk=6c0848965793fb3c", "https://www.indeed.com/viewjob?jk=6c0848965793fb3c")</f>
        <v/>
      </c>
      <c r="F64">
        <f>HYPERLINK("https://gfs.wd5.myworkdayjobs.com/en-US/usjobs-gen-gfs/job/Wyoming-Michigan/Associate-Software-Engineer_R-47015", "https://gfs.wd5.myworkdayjobs.com/en-US/usjobs-gen-gfs/job/Wyoming-Michigan/Associate-Software-Engineer_R-47015")</f>
        <v/>
      </c>
      <c r="G64" t="inlineStr">
        <is>
          <t>Wyoming, MI, US</t>
        </is>
      </c>
      <c r="H64" s="2" t="n">
        <v>46036</v>
      </c>
      <c r="I64" t="inlineStr">
        <is>
          <t>Welcome to Gordon Food Service! We are excited that you are thinking about opportunities with us, and we have an amazing story to share. See below for a quick glance of who we are and the impact you could have on the food service industry. There's a seat at our table for you...
**Position Summary:**
Develops, creates, and modifies computer applications software or specialized utility programs. Analyzes user needs and develops software solutions. Designs software or customizes software in order to optimize operational efficiency.
**What you will do:**
* Develops programs or scripts according to specification and established coding standards.
* Possess strong skills in some of the following: Angular, Java, Javascript, Typescript, SQL, GCP, AI/ML, Data Analytics and Test Driven Development preferred.
* Analyzes, reviews and tests for accuracy and optimal implementation of developed solutions.
* Analyzes current business systems, determines scope and estimates for tasks related to issues to be resolved.
* Performs integrated testing of systems for accuracy, reliability and optimal performance.
* Constructs various software components and validates completeness and quality.
* Analyzes and resolves program/script or system failures.
* Facilitates formal code reviews for programs/scripts.
* Performs software system maintenance, support and requirement analysis.
* Assists in designing GUI and software components.
* Other duties and responsibilities as assigned.
**When you will work:**
* Monday to Friday, 8am to 5 pm
* Hybrid schedule: 4 days in office in Wyoming, MI and 1 day remote
**What you'll bring to the table:**
* Bachelor's Degree in Computer Science, Information Technology or related field required.
* Proficient in one or more program languages, operating systems and databases.
* Must have good written and verbal communication skills as well as good organizational and problem\-solving capabilities.
* Must have the ability to multi\-task, prioritize and be able to work independently or within a team environment.
* Desire to consider new and innovative technologies and solutions to support and solve business needs.
* Ability to develop solutions to complex problems that require the regular use of ingenuity and innovation, and ensures solutions are consistent with organization objectives.
**BE PART OF AN AMAZING CULTURE WHERE WHAT MATTERS TO YOU, MATTERS TO US!**
---------------------------------------------------------------------------
Gordon Food Service values our customers and understands that their success is largely dependent upon their workforce. To demonstrate our commitment to our partnership, we will require any candidate who works for a Gordon Food Service customer to provide a letter of support from their management if they are selected for the interview process.
Equal Employment Opportunity is a matter of policy at Gordon Food Service, Inc. and we are committed to a work environment in which all individuals are treated with respect and dignity.
All qualified applicants will receive consideration for employment without regard to race, color, religion, sex, sexual orientation, gender identity, national origin, age, status as a protected veteran, or status as a qualified individual with disability. If you require reasonable accommodation for any part of the application or hiring process due to a disability, please submit your request to talent@gfs.com and use the words “Accommodation Request” in your subject line.
All Gordon Food Service locations are tobacco\-free.
Gordon Food Service is a drug\-free workplace and conducts pre\-employment drug tests.</t>
        </is>
      </c>
    </row>
    <row r="65">
      <c r="A65" t="inlineStr">
        <is>
          <t>in-6df1848a0989e5c6</t>
        </is>
      </c>
      <c r="B65" t="inlineStr">
        <is>
          <t>Senior Software Engineer, Android</t>
        </is>
      </c>
      <c r="C65" t="inlineStr">
        <is>
          <t>DoorDash</t>
        </is>
      </c>
      <c r="D65" t="inlineStr">
        <is>
          <t>indeed</t>
        </is>
      </c>
      <c r="E65">
        <f>HYPERLINK("https://www.indeed.com/viewjob?jk=6df1848a0989e5c6", "https://www.indeed.com/viewjob?jk=6df1848a0989e5c6")</f>
        <v/>
      </c>
      <c r="F65">
        <f>HYPERLINK("https://grnh.se/2d0a42981us", "https://grnh.se/2d0a42981us")</f>
        <v/>
      </c>
      <c r="G65" t="inlineStr">
        <is>
          <t>San Francisco, CA, US</t>
        </is>
      </c>
      <c r="H65" s="2" t="n">
        <v>46036</v>
      </c>
      <c r="I65" t="inlineStr">
        <is>
          <t>**About the Role**
==================
DoorDash is building the world's most reliable on\-demand, logistics engine for delivery. We are continuing to grow rapidly and expanding our Engineering offices globally! We are looking for Senior Android Engineers to build and maintain a large scale 24x7 global infrastructure system that powers DoorDash's 3\-sided marketplace of Consumers, Merchants and Dashers.
We're looking for Senior Android Engineers who want to work on building an app that's used by millions of people and critical to local entrepreneurs building their online presence. We expect Senior Engineers to be able to run projects end to end and mentor their junior to mid level peers. We've seen significant growth in our codebase and number of developers and we'd love for you to bring a piece of your culture and experiences into ours so that we can continue to improve our processes and architecture. Whether you're an engineer interested in scaling our mobile infrastructure or building awesome product features, we'd love to talk to you!
This role is hybrid with some in\-office time expected and will report to an Engineering Manager.
**You're excited about this opportunity because you will…**
===========================================================
* Work within our engineering teams to build exciting features
* Improve our code base through continuous refactoring
* Solve challenging real\-time data transfer and synchronization problems
* Extend and implement our APIs
* Implement unit tests
* Keep up\-to\-date with the industry standards of Android development
**We're excited about you because you have…**
=============================================
* B.S., M.S., or PhD. in Computer Science or equivalent
* 5\+ years of industry experience
* Expert at developing within Android SDK in a product environment
* Systems and OOP knowledge
* Expertise with Android testing best practices and frameworks.
* Experience building, launching, and iterating on mobile apps
* Must be comfortable regularly exercising discretion and independent judgment in performing job duties, including evaluating options, making informed decisions, and determining appropriate courses of action within the scope of assigned responsibilities.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August 21, 2023\.
Please see the independent bias audit report covering our use of Covey here.
**About DoorDash**
------------------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66">
      <c r="A66" t="inlineStr">
        <is>
          <t>in-94df04af8f7556d4</t>
        </is>
      </c>
      <c r="B66" t="inlineStr">
        <is>
          <t>Senior Software Engineer, iOS</t>
        </is>
      </c>
      <c r="C66" t="inlineStr">
        <is>
          <t>DoorDash</t>
        </is>
      </c>
      <c r="D66" t="inlineStr">
        <is>
          <t>indeed</t>
        </is>
      </c>
      <c r="E66">
        <f>HYPERLINK("https://www.indeed.com/viewjob?jk=94df04af8f7556d4", "https://www.indeed.com/viewjob?jk=94df04af8f7556d4")</f>
        <v/>
      </c>
      <c r="F66">
        <f>HYPERLINK("https://grnh.se/970781fb1us", "https://grnh.se/970781fb1us")</f>
        <v/>
      </c>
      <c r="G66" t="inlineStr">
        <is>
          <t>San Francisco, CA, US</t>
        </is>
      </c>
      <c r="H66" s="2" t="n">
        <v>46036</v>
      </c>
      <c r="I66" t="inlineStr">
        <is>
          <t>**About the Role**
==================
DoorDash is building the world's most reliable on\-demand, logistics engine for delivery. We are continuing to grow rapidly and expanding our Engineering offices globally! We are looking for Senior iOS Engineers to build and maintain a large scale 24x7 global infrastructure system that powers DoorDash's 3\-sided marketplace of Consumers, Merchants and Dashers.
We're looking for Senior iOS Engineers who want to work on building an app that's used by millions of people and critical to local entrepreneurs building their online presence. We expect Senior Engineers to be able to run projects end to end and mentor their junior to mid level peers. We've seen significant growth in our codebase and number of developers and we'd love for you to bring a piece of your culture and experiences into ours so that we can continue to improve our processes and architecture. Whether you're an engineer interested in scaling our mobile infrastructure or building awesome product features, we'd love to talk to you!
This role is hybrid with some in\-office time expected and will report to an Engineering Manager.
**You're excited about this opportunity because you will…**
===========================================================
* Work within our engineering teams to build exciting features
* Improve our code base through continuous refactoring
* Solve challenging real\-time data transfer and synchronization problems
* Extend and implement our APIs
* Implement unit tests
* Keep up\-to\-date with the industry standards of iOS development
**We're excited about you because you have…**
=============================================
* B.S., M.S., or PhD. in Computer Science or equivalent
* 5\+ years of industry experience
* Expert at Swift, and iOS SDK
* Familiarity with networking, storage, and Cocoapods
* Systems and OOP knowledge
* Experience building, launching, and iterating on mobile apps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August 21, 2023\.
Please see the independent bias audit report covering our use of Covey here.
**About DoorDash**
------------------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67">
      <c r="A67" t="inlineStr">
        <is>
          <t>in-8742030de0a55929</t>
        </is>
      </c>
      <c r="B67" t="inlineStr">
        <is>
          <t>SOFTWARE DEVELOPERS</t>
        </is>
      </c>
      <c r="C67" t="inlineStr">
        <is>
          <t>Stacklogy</t>
        </is>
      </c>
      <c r="D67" t="inlineStr">
        <is>
          <t>indeed</t>
        </is>
      </c>
      <c r="E67">
        <f>HYPERLINK("https://www.indeed.com/viewjob?jk=8742030de0a55929", "https://www.indeed.com/viewjob?jk=8742030de0a55929")</f>
        <v/>
      </c>
      <c r="F67">
        <f>HYPERLINK("https://stacklogy.com/career/", "https://stacklogy.com/career/")</f>
        <v/>
      </c>
      <c r="G67" t="inlineStr">
        <is>
          <t>Temple, TX, US</t>
        </is>
      </c>
      <c r="H67" s="2" t="n">
        <v>46036</v>
      </c>
      <c r="I67" t="inlineStr">
        <is>
          <t>**Multiple Openings (Job Code SD\-23\)**
Design, develop and deploy software applications and cloud solutions. Confer with stakeholders, analyze business requirements, prepare technical and functional specification documentation, design software architecture framework, develop cloud formation templates, implement cloud infrastructure,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Computer Science
* Information Systems/Technology, Science, Engineering/Technology Management, any Engineering or related fields required.
* Travel and/or relocation to unanticipated locations in U.S. required
**Work Location:**
Temple, TX and unanticipated locations in U.S.
**APPLY At \-**
PLEASE APPLY on this website OR Attn: Attn. HR, Stacklogy Inc. 2027 S. 61st Street, Suite 107, Temple, TX 76504\.
If you qualify for this position, please send your resume at hr@stacklogy.com Please bookmark this page to know more about job openings at Stacklogy.</t>
        </is>
      </c>
    </row>
    <row r="68">
      <c r="A68" t="inlineStr">
        <is>
          <t>in-92251678ef993ea7</t>
        </is>
      </c>
      <c r="B68" t="inlineStr">
        <is>
          <t>SOFTWARE ENGINEERS</t>
        </is>
      </c>
      <c r="C68" t="inlineStr">
        <is>
          <t>Stacklogy</t>
        </is>
      </c>
      <c r="D68" t="inlineStr">
        <is>
          <t>indeed</t>
        </is>
      </c>
      <c r="E68">
        <f>HYPERLINK("https://www.indeed.com/viewjob?jk=92251678ef993ea7", "https://www.indeed.com/viewjob?jk=92251678ef993ea7")</f>
        <v/>
      </c>
      <c r="F68">
        <f>HYPERLINK("https://stacklogy.com/career/", "https://stacklogy.com/career/")</f>
        <v/>
      </c>
      <c r="G68" t="inlineStr">
        <is>
          <t>Temple, TX, US</t>
        </is>
      </c>
      <c r="H68" s="2" t="n">
        <v>46036</v>
      </c>
      <c r="I68" t="inlineStr">
        <is>
          <t>**Multiple Openings (Job Code SE\-22\)**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Science
* Technology, Data Analytics/Data Science, Management Science, Statistics, Engineering Management, Embedded Systems or any field required.
* Travel and/or relocation to unanticipated locations in U.S. required.
**Work Location:**  
Temple, TX and unanticipated locations in U.S.
**APPLY At \-**
PLEASE APPLY on this website OR Attn: Human Resources (Job Code SE\-22\), Stacklogy Inc. 2027 S. 61st Street, Suite 107, Temple, TX 76504\.
If you qualify for this position, please send your resume at hr@stacklogy.com Please bookmark this page to know more about job openings at Stacklogy.</t>
        </is>
      </c>
    </row>
    <row r="69">
      <c r="A69" t="inlineStr">
        <is>
          <t>in-8d16024d180f5772</t>
        </is>
      </c>
      <c r="B69" t="inlineStr">
        <is>
          <t>Senior Software Engineer</t>
        </is>
      </c>
      <c r="C69" t="inlineStr">
        <is>
          <t>Guardian Life</t>
        </is>
      </c>
      <c r="D69" t="inlineStr">
        <is>
          <t>indeed</t>
        </is>
      </c>
      <c r="E69">
        <f>HYPERLINK("https://www.indeed.com/viewjob?jk=8d16024d180f5772", "https://www.indeed.com/viewjob?jk=8d16024d180f5772")</f>
        <v/>
      </c>
      <c r="F69">
        <f>HYPERLINK("https://guardianlife.wd5.myworkdayjobs.com/en-US/Guardian-Life-Careers/job/New-York/Senior-Software-Engineer_R000108293", "https://guardianlife.wd5.myworkdayjobs.com/en-US/Guardian-Life-Careers/job/New-York/Senior-Software-Engineer_R000108293")</f>
        <v/>
      </c>
      <c r="G69" t="inlineStr">
        <is>
          <t>New York, NY, US</t>
        </is>
      </c>
      <c r="H69" s="2" t="n">
        <v>46036</v>
      </c>
      <c r="I69" t="inlineStr">
        <is>
          <t>Overview
We are seeking a highly motivated Senior Engineer to join our team. In this role, you will shape Guardian’s most critical customer\-facing digital experiences. This position requires extensive hands\-on technical experience building scalable, performant web applications in a modern cloud environment, working collaboratively with engineers, product, UI/UX, business leaders and data to create best\-in\-class experiences for our customers.  
What you will get to do:* Be Creative \- have the freedom to innovate, modernize and create technical solutions to solve complex business problems
* Be Collaborative \- work with technical and non\-technical teams alike to bring solutions to life
* Be Precise \- understand the business goals and strategy to empower you to create the right solutions
* Be Awesome \- launch products that you can be proud of
What you bring to the table:* 4\+ years of experience delivering resilient, highly performant, public\-facing customer web experiences that have had demonstrative business impact
* Highly proficient in Javascript/Typescript (Node/React/Next/NestJS/Jest)
* Extensive experience in API development best practices (REST/GraphQL) and integration with third\-party systems
* Experience with Redis, micro\-frontends and micro\-services desirable
* Mastery of web fundamentals, including vanilla Javascript, HTML, CSS, and web core vitals performance tuning
* Experience developing complex applications in an Agile environment as part of a team of engineers, designers, product experts, marketers, and strategists
* Experience with modern web application development, including build tools, testing, CI/CD and AWS
* Strong problem\-solving skills and attention to detail
* Working knowledge of security best practices, e.g.: OWASP, dealing with PII data
* Excitement, energy, and strong people skills including excellent written and verbal communication
* BA/BS degree in computer science or relevant work experience
Location* 3\+ days a week at Guardian HQ located in Hudson Yards, New York, NY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row>
    <row r="70">
      <c r="A70" t="inlineStr">
        <is>
          <t>in-7ad4fffc09269ca3</t>
        </is>
      </c>
      <c r="B70" t="inlineStr">
        <is>
          <t>Associate, Credit Risk Software Engineer</t>
        </is>
      </c>
      <c r="C70" t="inlineStr">
        <is>
          <t>Sumitomo Group</t>
        </is>
      </c>
      <c r="D70" t="inlineStr">
        <is>
          <t>indeed</t>
        </is>
      </c>
      <c r="E70">
        <f>HYPERLINK("https://www.indeed.com/viewjob?jk=7ad4fffc09269ca3", "https://www.indeed.com/viewjob?jk=7ad4fffc09269ca3")</f>
        <v/>
      </c>
      <c r="F70">
        <f>HYPERLINK("https://careers.smbcgroup.com/smbc/job/New-York-Associate%2C-Credit-Risk-Software-Engineer-NY-10172/1350177500/?feedId=392100&amp;utm_source=Indeed&amp;utm_campaign=SMBC_Indeed", "https://careers.smbcgroup.com/smbc/job/New-York-Associate%2C-Credit-Risk-Software-Engineer-NY-10172/1350177500/?feedId=392100&amp;utm_source=Indeed&amp;utm_campaign=SMBC_Indeed")</f>
        <v/>
      </c>
      <c r="G70" t="inlineStr">
        <is>
          <t>New York, NY, US</t>
        </is>
      </c>
      <c r="H70" s="2" t="n">
        <v>46036</v>
      </c>
      <c r="I70"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The anticipated salary range for this role is between $107,000\.00 and $160,000\.00\.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**Role Description**
--------------------
Work as part of the XVA development team to build and maintain the XVA simulation applications, tools, and functions for the XVA desk, trading desk, research department, as well as middle or back office teams across New York, London and Hong Kong offices. Compile business requirements and translate them into technical specifications for development. Be responsible for providing the technical vision and strategic oversight in all aspects of software solutions development and support.
**Role Objectives: Expertise**
------------------------------
* Take responsibilities of supporting both the in\-house and external software solutions for the daily XVA analysis. Troubleshoot any issue with the production environment to ensure the solutions meet the SLAs.
* Be responsible of implementing robust application functionalities in both in\-house and external software solutions to support the XVA desk and other front, middle office's specifications and requirements.
* Work collaboratively with business to assist and provide answers to Credit Risk analysis related enquiries.
* Keep improving software performance, business processes and operational efficiency.
* Conducting studies for the new technology; provide cutting edge development environment.
* Take responsibility for mission critical projects and provide technical support of the development environment, architecture, implementation and operations.
* Work with business teams, product managers, and other stakeholders to understand business requirements, needs, or process gaps.
* Have excellent communication skills. Ability to articulate points and summarize or explain technical concepts or issues. Capable of bridging understanding gaps and making progress.
* Must be a good team player to work collaboratively with multiple teams across global offices. Also have the maturity to solve problems directly and independently.
* Have a strong work ethic. Ability to multi\-task. The ability to prioritize work and to deliver.
* Participate in periodic development meetings to align development priorities and objectives, assign tasks, and share knowledge and experiences with teammates.
* Assists in the training and mentoring of other development team members.
* Experience working with technology vendors to deploy product solutions.
**Qualifications and Skills**
-----------------------------
* Practical work experience involving system architecture and software application and message and data transfer and processing. Be able to provide implementation on new products as well as troubleshooting on existing model.
* Be well\-versed in software implementation. Proficient programming language eg C/C\+\+, Python; ability to automate processes via scripting language(s). And have an active interest in other computing technology and tools.
* Have a solid background and work experience with mathematical finance and strong analytical and quantitative skills, especially in the financial products, XVA, and credit risks business logic.
* Exhibit functional understanding of application development planning processes such as Agile, Scrum, and DevOps and change management and testing procedures.
* Strong solid analytical skills for diagnosing and troubleshooting potential system issues; Sharp mind to process solution with quick turn\-around.
* Show understanding of technical, infrastructure, data, and security requirements of developed solutions and ability to translate into adequate technical specifications and guidelines.
* Advanced understanding of current recovery solutions and high availability architectures.
* Recommended years of experience: 3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71">
      <c r="A71" t="inlineStr">
        <is>
          <t>in-de0f0dcb8241a24d</t>
        </is>
      </c>
      <c r="B71" t="inlineStr">
        <is>
          <t>Lead Software Engineer</t>
        </is>
      </c>
      <c r="C71" t="inlineStr">
        <is>
          <t>Guardian Life</t>
        </is>
      </c>
      <c r="D71" t="inlineStr">
        <is>
          <t>indeed</t>
        </is>
      </c>
      <c r="E71">
        <f>HYPERLINK("https://www.indeed.com/viewjob?jk=de0f0dcb8241a24d", "https://www.indeed.com/viewjob?jk=de0f0dcb8241a24d")</f>
        <v/>
      </c>
      <c r="F71">
        <f>HYPERLINK("https://guardianlife.wd5.myworkdayjobs.com/en-US/Guardian-Life-Careers/job/New-York/Lead-Software-Engineer_R000108292", "https://guardianlife.wd5.myworkdayjobs.com/en-US/Guardian-Life-Careers/job/New-York/Lead-Software-Engineer_R000108292")</f>
        <v/>
      </c>
      <c r="G71" t="inlineStr">
        <is>
          <t>New York, NY, US</t>
        </is>
      </c>
      <c r="H71" s="2" t="n">
        <v>46036</v>
      </c>
      <c r="I71" t="inlineStr">
        <is>
          <t>Overview
In this role, you will shape Guardian’s most critical customer\-facing digital experiences. This position requires extensive hands\-on technical experience building scalable, performant web applications in a modern cloud environment, working collaboratively with engineers, product, UI/UX, business leaders and data to create best\-in\-class experiences for our customers.  
What you will get to do:* Be Creative \- have the freedom to innovate, modernize and create technical solutions to solve complex business problems
* Be Collaborative \- work with technical and non\-technical teams alike to bring solutions to life
* Be Precise \- understand the business goals and strategy to empower you to create the right solutions
* Be Awesome \- launch products that you can be proud of
What you bring to the table:* 6\+ years of experience leading engineering teams, delivering resilient, highly performant, public\-facing customer web experiences that have had demonstrative business impact
* Highly proficient in Javascript/Typescript (Node/React/Next/NestJS/Jest)
* Extensive experience in API development best practices (REST/GraphQL) and integration with third\-party systems
* Experience with Redis, micro\-frontends and micro\-services desirable
* Mastery of web fundamentals, including vanilla Javascript, HTML, CSS, and web core vitals performance tuning
* Experience developing complex applications in an Agile environment as part of a team of engineers, designers, product experts, marketers, and strategists
* Experience with modern web application development, including build tools, testing, CI/CD and AWS
* Strong problem\-solving skills and attention to detail
* Working knowledge of security best practices, e.g.: OWASP, dealing with PII data
* Excitement, energy, and strong people skills including excellent written and verbal communication
* BA/BS degree in computer science or relevant work experience
Location:*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row>
    <row r="72">
      <c r="A72" t="inlineStr">
        <is>
          <t>in-89e8809ec7244627</t>
        </is>
      </c>
      <c r="B72" t="inlineStr">
        <is>
          <t>Senior Staff Software Developer</t>
        </is>
      </c>
      <c r="C72" t="inlineStr">
        <is>
          <t>General Atomics</t>
        </is>
      </c>
      <c r="D72" t="inlineStr">
        <is>
          <t>indeed</t>
        </is>
      </c>
      <c r="E72">
        <f>HYPERLINK("https://www.indeed.com/viewjob?jk=89e8809ec7244627", "https://www.indeed.com/viewjob?jk=89e8809ec7244627")</f>
        <v/>
      </c>
      <c r="F72">
        <f>HYPERLINK("https://sjobs.brassring.com/TGnewUI/Search/home/HomeWithPreLoad?partnerid=25539&amp;siteid=5313&amp;PageType=JobDetails&amp;jobid=5210016", "https://sjobs.brassring.com/TGnewUI/Search/home/HomeWithPreLoad?partnerid=25539&amp;siteid=5313&amp;PageType=JobDetails&amp;jobid=5210016")</f>
        <v/>
      </c>
      <c r="G72" t="inlineStr">
        <is>
          <t>Poway, CA, US</t>
        </is>
      </c>
      <c r="H72" s="2" t="n">
        <v>46036</v>
      </c>
      <c r="I72" t="inlineStr">
        <is>
          <t>General Atomics Aeronautical Systems, Inc. (GA\-ASI), an affiliate of General Atomics, is a world leader in proven, reliable remotely piloted aircraft and tactical reconnaissance radars, as well as advanced high\-resolution surveillance systems.  
We are seeking a talented and driven embedded software developer to join our GA\-ASI Software Development team located in Poway, CA. Under general supervision and with on\-going review this position researches, designs, develops and/or modifies enterprise\-wide end\-user, system level, and data management software applications. Responsible for meeting software compliance standards; evaluates integration of software applications with the overall computing environment; and documentation, testing, maintenance, and software updates. Communicates with domain experts, users, and management throughout the software development lifecycle.  
**DUTIES AND RESPONSIBILITIES:*** Formulate detailed plans for the implementation of software solutions. In addition to program design this includes determining language, platform, and resource requirements.
* Implementation of design including coding, testing, and documentation.
* Troubleshoot and resolve technical issues related to software and hardware integration.
* Code maintenance including debugging and updating to keep pace with the evolving environment.
* Assist in planning for future applications based on new developments in computer technology.
* Maintain the strict confidentiality of sensitive information.
* Performs other duties as assigned or required.
We recognize and appreciate the value and contributions of individuals with diverse backgrounds and experiences and welcome all qualified individuals to apply.
**Job Qualifications**
* Typically requires a bachelors degree, masters degree or PhD in computer science, information systems or related discipline and progressive software development experience as follows; fifteen or more years of experience with a bachelors degree, thirteen or more years of experience with a masters degree, or ten or more years with a PhD. May substitute equivalent experience in lieu of education.
* Must have minimum 10\+ yrs experience developing software using C/C\+\+, Python or other high level languages.
* Must have excellent understanding of software development concepts, principles, and theory and demonstrate the ability to follow and apply use of programming and analysis concepts.
* Strong mathematics background in linear algebra, statistical analysis and signal processing highly desired.
* Functional knowledge of systems, subsystems and designs with familiarity of design tools for modeling highly desired (ex. Matlab, python, etc).
* Systems development experience including algorithms, software, data analysis, tracking system design, modeling and simulation highly desired.
* Experience with radar technologies desired.
* Strong customer focus with proven ability to drive complex technical issues/challenges to closure.
* The ability to work both independently and on a team is essential.
* Demonstrated analytical, applied mathematics and problem\-solving skills.
* Active DoD Secret Security Clearance is required
**Job Category**
Engineering
**Experience Level**
Senior (8\+ years)
**Workstyle**
Onsite
**Full\-Time/Part\-Time**
Full\-Time Salary
**Pay Range Low**
140,940
**Pay Range High**
252,293
**Travel Percentage Required**
0% \- 25%
**Relocation Assistance Provided?**
No
**US Citizenship Required?**
Yes
**Clearance Required?**
Yes
**Clearance Level**
Secret</t>
        </is>
      </c>
    </row>
    <row r="73">
      <c r="A73" t="inlineStr">
        <is>
          <t>in-30c50323f11e5382</t>
        </is>
      </c>
      <c r="B73" t="inlineStr">
        <is>
          <t>Cleared Software Engineer</t>
        </is>
      </c>
      <c r="C73" t="inlineStr">
        <is>
          <t>General Atomics</t>
        </is>
      </c>
      <c r="D73" t="inlineStr">
        <is>
          <t>indeed</t>
        </is>
      </c>
      <c r="E73">
        <f>HYPERLINK("https://www.indeed.com/viewjob?jk=30c50323f11e5382", "https://www.indeed.com/viewjob?jk=30c50323f11e5382")</f>
        <v/>
      </c>
      <c r="F73">
        <f>HYPERLINK("https://sjobs.brassring.com/TGnewUI/Search/home/HomeWithPreLoad?partnerid=25539&amp;siteid=5313&amp;PageType=JobDetails&amp;jobid=5210818", "https://sjobs.brassring.com/TGnewUI/Search/home/HomeWithPreLoad?partnerid=25539&amp;siteid=5313&amp;PageType=JobDetails&amp;jobid=5210818")</f>
        <v/>
      </c>
      <c r="G73" t="inlineStr">
        <is>
          <t>Chantilly, VA, US</t>
        </is>
      </c>
      <c r="H73" s="2" t="n">
        <v>46036</v>
      </c>
      <c r="I73" t="inlineStr">
        <is>
          <t>General Atomics Integrated Intelligence, Inc. (GA\-Intelligence), an affiliate of General Atomics, maintains and deploys production systems for users across the Intelligence Community, Department of Defense, and commercial industry. We build and develop best\-in\-class all domain and globally focused situational awareness capabilities, including THRESHER and DRAGONSPELL, that process petabytes of data from numerous streaming data sources in near real time. Our systems apply state\-of\-the\-art algorithms and machine learning techniques to extract features and fuse data from multiple phenomenologies to form a rich live view of objects in the sky, on the sea, and on the ground. These analytics are designed to determine not just where something is, but what it is, where it's been and what it's doing. All of this "data to knowledge" is made available to end users in our own browser\-based application for visualization, analysis, and understanding. We always want to do more, and that's where you come in!
GA\-Intelligence is looking for a Software Engineer to join our federal team to develop scalable, high\-performant cloud\-based computer vision systems focused on the automated detection of objects in satellite imagery. State of the art Convolutional Neural Networks (CNNs) are used in AI/ML pipelines to process large volumes of satellite imagery. Object detections from the platform are used by the community to search for objects, maintain object custody, and in Multi\-INT analytics.
**DUTIES AND RESPONSIBILITIES:**
* Under general supervision, develop, integrate, and maintain cloud\-based image processing pipelines and infrastructure that process satellite imagery at scale in a cloud environment
* Develop test scripts and frameworks to verify and validate functionality
* Maintain existing capabilities deployed to customer facilities and cloud environments including debugging and updating to keep pace with the evolving environment and technology
* Understand customer, user, and operational requirements and implement new functionality into software products
* Document and communicate highly technical concepts effectively to technical and non\-technical audiences in a clear and effective manner
* Communicate with management, customers, developers, and users
* Work directly with internal and external developers to transition applications into the computer vision platform
* Maintain the strict confidentiality of sensitive information
* Observe all laws, regulations and other applicable obligations wherever and whenever business is conducted on behalf of the Company
* Work in a safe manner in accordance with established operating procedures and practices
* Perform other duties as assigned
We recognize and appreciate the value and contributions of individuals with diverse backgrounds and experiences and welcome all qualified individuals to apply.  
**Job Qualifications**
* Typically requires a bachelors or masters degree in computer science, information systems or related discipline and two or more years progressive software development experience with a bachelors degree. May substitute equivalent experience in lieu of education.
* Strong experience with cloud\-based technologies, including AWS or Azure
* Experience with software development lifecycle and use of associated tools
* Linux
* Proficient programming skills in languages such as Java, Python, Scala, Go, Rust
* An understanding of formal software engineering principles including design, documentation, ticketing systems, version control and Agile methodologies
* Must possess the ability to understand new concepts quickly and apply them accurately throughout an evolving requirement
* Good analytical skills and problem\-solving skills
* High level of self\-initiative and self\-motivation
* Ability to work effectively in small team settings to solve complex problems
* Good organization, communication, decision making, presentation, and interpersonal skills
* Customer focused, formulates plans based on the development of innovative new designs in resolving advanced software development problems
* CompTIA Security\+ or willingness to get certified
**DESIRED SKILLS AND EXPERIENCE:**
* Curious and excited to learn new technologies
* Excited about understanding our customer’s needs and mission
* Interested in maintaining and adapting existing codebases
* Satellite image processing and computer vision applications
* Image processing libraries such as GDAL, OpenCV
* Understanding of full lifecycle development
* Able to build and deploy working prototypes
* GEOINT AI/ML pipelines
* Geospatial data processing
* Cloud technologies such as Kubernetes, Helm
* Data brokers such as Kafka and RabbitMQ
* Knative
* CI/CD pipelines and tooling (Gitlab CI/CD, ArgoCD, CircleCI, Jenkins)
* RESTful APIs
* Databases technologies (PostgreSQL, Redis, or other DBs)
**Job Category**
Engineering
**Experience Level**
Entry\-Level (0\-2 years)
**Workstyle**
Onsite
**Full\-Time/Part\-Time**
Full\-Time Salary
**Pay Range Low**
81,080
**Pay Range High**
141,650
**Travel Percentage Required**
0% \- 25%
**Relocation Assistance Provided?**
Yes
**US Citizenship Required?**
Yes
**Clearance Required?**
Yes
**Clearance Level**
Top Secret (SCI access eligible)</t>
        </is>
      </c>
    </row>
    <row r="74">
      <c r="A74" t="inlineStr">
        <is>
          <t>in-256fb8fc7959762d</t>
        </is>
      </c>
      <c r="B74" t="inlineStr">
        <is>
          <t>Sr. Python Software Engineer (Hybrid) - Linux/Unix</t>
        </is>
      </c>
      <c r="C74" t="inlineStr">
        <is>
          <t>FactSet</t>
        </is>
      </c>
      <c r="D74" t="inlineStr">
        <is>
          <t>indeed</t>
        </is>
      </c>
      <c r="E74">
        <f>HYPERLINK("https://www.indeed.com/viewjob?jk=256fb8fc7959762d", "https://www.indeed.com/viewjob?jk=256fb8fc7959762d")</f>
        <v/>
      </c>
      <c r="F74">
        <f>HYPERLINK("https://factset.wd108.myworkdayjobs.com/en-US/FactSetCareers/job/Norwalk-CT-USA/Sr-Python-Software-Engineer--Hybrid----Linux-Unix_R30660", "https://factset.wd108.myworkdayjobs.com/en-US/FactSetCareers/job/Norwalk-CT-USA/Sr-Python-Software-Engineer--Hybrid----Linux-Unix_R30660")</f>
        <v/>
      </c>
      <c r="G74" t="inlineStr">
        <is>
          <t>Norwalk, CT, US</t>
        </is>
      </c>
      <c r="H74" s="2" t="n">
        <v>46036</v>
      </c>
      <c r="I74"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**Your Team's Impact**
The News Content team is responsible for ingesting, maintaining and delivering a variety of unstructured text\-based content sets for use across all FactSet applications and workflows , including key generative AI products. These content sets need to be processed and delivered to our clients in real\-time.
New feed integration involves working with Product Development to understand the requirements of the feeds as well as working with the vendor to understand the technical specification for ingesting the feeds, designing and implementing data processing pipelines.
Work on existing feeds includes bug fixes, feature enhancements, infrastructure improvements, maintaining data quality, and ensuring feeds are operating properly throughout the day. You will work on both internal and external client\-facing applications that shape the user's experience and drive FactSet's growth through technological innovations.
This role on the News Content team is h ybrid or in office.
**What You'll Do**
* FactSet is seeking a Python Developer along with experienced AWS Developer to join our engineering team responsible for making our product more scalable and reliable.
* Deliver high quality, re\-usable and maintainable code, perform Unit / Integration Testing of assigned tasks within the estimated timelines.
* Build robust infrastructure appropriate for the respective component o r product
* Proactive in providing technical solutions with effective communication and collaboration skills.
* Perform code reviews and ensure best practices are followed.
* *Work in* *an* *agile team environment and collaborate with internal teams to ensure smooth product delivery.*
* *Ownership of team products* *end* *\-to\-end.*
* *Design for and ensure high stability of* *new and existing* *product* *s.*
* *Continuous* *k* *nowledge sharing* *both* *internal* *and* *external* *to the* *team.*
**What We're Looking For**
**Required Skills**
* Bachelor or master’s degree in computer science
* 5\-8 years of Total experience
* Minimum 5 years of experience in Python development
* Minimum of 2 years working experience in Linux/Unix environments
* Strong analytical and problem\-solving skills
* Strong experience and proficiency with micro services and orchestration.
* Experience with Github\-based development processes
* Excellent written and verbal communication skills
* Organized, self\-directed, and resourceful with the ability to appropriately prioritize work in a fast\-paced environment
**Desired Skills**
* Familiar with Agile software development (Scrum is a plus)
* Experience in C\+\+ development
* Exposure on design patterns
* Experience with AWS components
* Experience in front end development
* Experience in database development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 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
Salary is just one component of our compensation package and is based on several factors including but not limited to education, work experience, and certifications.
The budgeted salary range for this position in the states of Connecticut and New York is **$150,000\.00 \- 165,000\.00**
**Company Overview:**
FactSet ( NYSE:FDS \| NASDAQ:FDS )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75">
      <c r="A75" t="inlineStr">
        <is>
          <t>in-3754b08fa846551a</t>
        </is>
      </c>
      <c r="B75" t="inlineStr">
        <is>
          <t>Sr. Software Engineer - (Hybrid) - C++, Python, Linux</t>
        </is>
      </c>
      <c r="C75" t="inlineStr">
        <is>
          <t>FactSet</t>
        </is>
      </c>
      <c r="D75" t="inlineStr">
        <is>
          <t>indeed</t>
        </is>
      </c>
      <c r="E75">
        <f>HYPERLINK("https://www.indeed.com/viewjob?jk=3754b08fa846551a", "https://www.indeed.com/viewjob?jk=3754b08fa846551a")</f>
        <v/>
      </c>
      <c r="F75">
        <f>HYPERLINK("https://factset.wd108.myworkdayjobs.com/en-US/FactSetCareers/job/Chicago-IL-USA/Sr-Software-Engineer----Hybrid----C----Python--Linux_R30881", "https://factset.wd108.myworkdayjobs.com/en-US/FactSetCareers/job/Chicago-IL-USA/Sr-Software-Engineer----Hybrid----C----Python--Linux_R30881")</f>
        <v/>
      </c>
      <c r="G75" t="inlineStr">
        <is>
          <t>Chicago, IL, US</t>
        </is>
      </c>
      <c r="H75" s="2" t="n">
        <v>46036</v>
      </c>
      <c r="I75"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Join FactSet’s Symbology team, where we build and maintain low\-latency, high\-throughput systems that power essential financial data solutions. Our infrastructure handles vast volumes low latency resolutions, and we rely on solid engineering practices and modern C\+\+ to ensure reliability, consistency, and speed.
As a key member of our collaborative team, you’ll work on scalable architectures and efficient pipelines, participating in projects that have a direct impact on how financial data is processed, integrated, and served to clients worldwide.
**What You’ll Do:**
* Architect, develop, and maintain C\+\+ systems powering Symbology and company\-wide resolution.
* Design and optimize high throughput and low latency service oriented systems on an enterprise wide scale.
* Build scalable APIs and interfaces and integration layers for internal and external clients.
* Participate in technical design and code reviews for continuous improvement and reliability.
* Monitor, troubleshoot, debug, and refine production environments to guarantee the quality and stability a T0 service offering by Symbology services.
* Champion best practices, mentor junior team members, and foster technical excellence in Symbology.
* Opportunity to progress towards future leadership roles, including technical and team lead responsibilities.
**What We’re Looking For:**
* Bachelor’s degree in Computer Science, Engineering, or a related field (or equivalent practical experience).
* 5\+ years of experience **programming in C\+\+** , with a good understanding of **data structures, algorithms, and object\-oriented design** .
* Experience **designing and implementing** critical, distributed, scalable enterprise systems.
* Strong analytical and problem\-solving skills.
* Effective written and verbal communication for collaborating in a team environment.
* Self\-starter that is willing to learn and adapt in a fast\-paced setting and depth of industry knowledge
* Exposure to **CI/CD workflows (GitHub Actions, Jenkins)** or automation tools.
**Nice to Have:**
* **Experience with additional programming languages. (Perl/Python/Shell)**
* Knowledge of relational databases (MSSQL / MYSQL)
* Experience with Perforce for code versioning
* Knowledge of infrastructure management tools (e.g., Ansible, Terraform).
* Understanding of financial data concepts or symbol resolution at scale for financial instruments (helpful, not required).
**Why Symbology?**
You’ll join a supportive and innovative team, working on impactful systems that operate at scale and speed. Sharpen your C\+\+ engineering skills, tackle engaging technical challenges, and help advance FactSet’s reputation as a leader in financial data technology.
Ready to make your mark? Apply today to be part of the Symbology team and help shape the future of financial data engineering!
**Company Overview:**
FactSet ( NYSE:FDS \| NASDAQ:FDS )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76">
      <c r="A76" t="inlineStr">
        <is>
          <t>in-76fe10a54a62007c</t>
        </is>
      </c>
      <c r="B76" t="inlineStr">
        <is>
          <t>Full Stack Engineer - Sr (TS/SCI with CI Poly Required)</t>
        </is>
      </c>
      <c r="C76" t="inlineStr">
        <is>
          <t>DeNovo Solutions</t>
        </is>
      </c>
      <c r="D76" t="inlineStr">
        <is>
          <t>indeed</t>
        </is>
      </c>
      <c r="E76">
        <f>HYPERLINK("https://www.indeed.com/viewjob?jk=76fe10a54a62007c", "https://www.indeed.com/viewjob?jk=76fe10a54a62007c")</f>
        <v/>
      </c>
      <c r="F76">
        <f>HYPERLINK("https://www.thedenovo.com/careers/?gnk=job&amp;gni=8a78839f99cae8c20199ed88490464b7&amp;gns=Indeed+Free", "https://www.thedenovo.com/careers/?gnk=job&amp;gni=8a78839f99cae8c20199ed88490464b7&amp;gns=Indeed+Free")</f>
        <v/>
      </c>
      <c r="G76" t="inlineStr">
        <is>
          <t>Aurora, CO, US</t>
        </is>
      </c>
      <c r="H76" s="2" t="n">
        <v>46036</v>
      </c>
      <c r="I76" t="inlineStr">
        <is>
          <t>**Position:** Full Stack Engineer – Sr  
**Location:** Aurora, CO  
**Clearance:** TS/SCI with Counter\-Intelligence Polygraph  
**Lead the Design and Delivery of Scalable Full\-Stack Applications**
DeNOVO Solutions is seeking a **Full Stack Engineer – Senior** to lead the design and development of scalable applications ensuring high performance and reliability across the full stack. This role architect's backend services and APIs with **Node/Express**, designs advanced **NiFi flows** for data orchestration, and enforces comprehensive testing standards. The engineer mentors junior developers, drives code quality, and promotes best practices for maintainable and efficient software delivery.
**Why You’ll Love This Role**
* **Shape the Architecture:** Define scalable backend and API structures that drive mission success.
* **Promote Excellence:** Lead code reviews and testing standards to ensure performance and reliability.
* **Mentor and Grow Talent:** Guide junior engineers while improving team development processes.
**A Day in the Life**
* Lead design and development of scalable full\-stack features.
* Architect backend services and API layers with **Node/Express**.
* Design robust **NiFi flows** for messaging and data orchestration.
* Establish and maintain test coverage using **Vitest**, **Cypress**, and **Playwright**.
* Drive code quality and enforce testing standards across the team.
* Mentor junior developers and review code for maintainability and performance.
**What You Bring to the Table**
* Advanced proficiency in **JavaScript**, **Vue.js**, and **Node.js** (middleware and API design).
* Strong experience with **MongoDB** (aggregation and indexing).
* Expertise in **NiFi** (error handling, flow templates).
* Deep familiarity with testing tools: **Vitest** (unit/mocking), **Cypress** (component/UI), **Playwright** (E2E).
* Hands\-on experience with **Git** and **CI pipelines** (e.g., GitHub Actions).
**What You Need**
* **Experience:** Ten (10\) to fifteen (15\) years of related professional experience supporting programs and contracts of similar scope, type, and complexity.
* **Education:** Bachelor’s degree or higher in a computer science or related discipline (e.g., Statistics, Mathematics, Programming, or Systems Engineering). In lieu of a Bachelor’s degree, two (2\) additional years of related experience may be substituted.
* Substitution of Experience: A Master’s degree from an accredited college or university in a related engineering discipline (e.g., Statistics, Mathematics, Operations Research, Cyber Security, Engineering or Computer Science) may be substituted for two (2\) years of experience. A PhD from an accredited college or university in a related engineering discipline may be substituted for four (4\) years of experience.
* **Clearance:** TS/SCI with Counter\-Intelligence Polygraph
**Why Join DeNOVO Solutions?**
At DeNOVO Solutions, we make improving the competitive position of our customer paramount in importance and work collaboratively to ensure the best service possible. DeNOVO Solutions provides cleared personnel and cost competitive solutions to our customers. We strive to be the leader amongst small businesses in the Intelligence Community and provide personnel with talent \&amp; skills equal to the larger companies. As a Minority\-Owned and Service\-Disabled Veteran\-Owned Small Business (MO/SDVOSB), we are dedicated to providing the best technical and professional services throughout the Intelligence Community (IC).
**Our benefits package for full\-time employees includes:**
* Competitive Wages – This position’s annualized pay range is $155,000\.00 to $180,000\.00
* Medical, Dental, and Vision Premiums 100% Employer Paid for you and your legal dependents or plus up, cost split plan.
* DeNOVO Paid Health Reimbursement Account (HRA)
* 401k with 6% Match
* 11 Paid Federal Holidays
* 120 hours of Paid Time Off (PTO)
* Company Outings and Trips
* Tuition Reimbursement, Skillset Training, and New/Renewed Certification assistance
* HomeFundIt Company Down Payment Match – Employer match towards the down payment of buying a new home
DeNOVO Solutions is an Equal Opportunity/Affirmative Action Employer. All qualified applicants will receive consideration for employment without regard to race, color, religion, sex, national origin, age, disability, marital status, veteran status, sexual orientation, genetic information or any other protected characteristic under applicable law.
**Ready to Apply?**
Join our mission to deliver reliable, scalable, and innovative full\-stack solutions supporting critical national programs.</t>
        </is>
      </c>
    </row>
    <row r="77">
      <c r="A77" t="inlineStr">
        <is>
          <t>in-8e986eb647ca9431</t>
        </is>
      </c>
      <c r="B77" t="inlineStr">
        <is>
          <t>Software Developer IV</t>
        </is>
      </c>
      <c r="C77" t="inlineStr">
        <is>
          <t>Deluxe Corporation</t>
        </is>
      </c>
      <c r="D77" t="inlineStr">
        <is>
          <t>indeed</t>
        </is>
      </c>
      <c r="E77">
        <f>HYPERLINK("https://www.indeed.com/viewjob?jk=8e986eb647ca9431", "https://www.indeed.com/viewjob?jk=8e986eb647ca9431")</f>
        <v/>
      </c>
      <c r="F77">
        <f>HYPERLINK("https://deluxe.wd5.myworkdayjobs.com/en-US/USA_CAN/job/Fort-Worth-TX-USA-100-Throckmorton-St/Software-Developer-IV_260037WD", "https://deluxe.wd5.myworkdayjobs.com/en-US/USA_CAN/job/Fort-Worth-TX-USA-100-Throckmorton-St/Software-Developer-IV_260037WD")</f>
        <v/>
      </c>
      <c r="G77" t="inlineStr">
        <is>
          <t>Fort Worth, TX, US</t>
        </is>
      </c>
      <c r="H77" s="2" t="n">
        <v>46036</v>
      </c>
      <c r="I77" t="inlineStr">
        <is>
          <t>Why join us:* There is a reason we boast numerous awards like “Great Place to Work Certified” and “Best Place to Work” For Moms, Dads, LGBTQ, and VETS (just to name a few). At Deluxe, we know that great people make a great organization.
* We value our people so offer the typical benefits (401K, PTO, Medical, Dental) PLUS: Flexible time off, volunteer time off, paid maternity/paternity leave, tuition reimbursement, pet bereavement and more!
* A culture that keeps people. 42% of our team has been here over 10 years. When we asked our team why, we heard the people, benefits, family/home time, diversity, and team culture.
The Software Developer IV role is to define, develop, test, analyze, and maintain software applications in support of the achievement of business requirements. This includes writing, coding, testing, and analyzing software programs and applications. The Software Developer IV will also research, design, document, and modify software specifications throughout the production life cycle.* Collaborate with developers, programmers, and designers in conceptualizing and development of new software programs and applications.
* Development and maintenance of business\-critical applications and reports.
* Liaise with network administrators, systems analysts, and software engineers to assist in resolving problems with software products or company software systems.
* Assist in the definition, development, and documentation of software’s business requirements, objectives, deliverables, and specifications on a project\-by\-project basis in collaboration with internal users and departments.
* Assist in defining software development project plans, including scoping, scheduling, and implementation.
Basic Qualifications:* Bachelor’s degree (or equivalent experience) in computer science, information systems, software engineering, or related field; and 5 years of experience with software development
Preferred Qualifications:* Bachelor’s degree in computer science, information systems, or software engineering
* Payment Card Industry experience preferred
* Excellent understanding of coding methods and best practices
* Knowledge of applicable data privacy practices and laws
* Ability to conduct research into software\-related issues and products
* Strong SQL Skills in SQL Server
* Experience designing and developing applications using .NET Core/.NET 8\+ with C\#
* Experience build web applications using .NET Core, Razor pages
* Experience building RESTful APIs and web services using .NET Core Web API
* Experience with APS.Net framework and MVC and Web Forms
Additional Basic Qualifications:
Must be 18 years of age or older*Deluxe will not offer sponsorship or assume sponsorship of an employment visa for this position at this time. Candidates must have work authorization that does not require employer support now or in the future.*
Benefits
In line with our commitment to employee wellbeing, our total rewards benefits package is designed to support the physical, financial, and emotional health of our employees, tailored to meet their unique and evolving needs. Our approach considers our employees’ whole selves, ensuring they can thrive both in and outside of work. Here are some of the benefits we offer, which may vary based on role, location, or hours worked:* Healthcare (Medical, Dental, Vision)
* Paid Time Off, Volunteer Time Off, and Holidays
* Employer\-Matched Retirement Plan
* Employee Stock Purchase Plan
* Short\-Term and Long\-Term Disability
* Infertility Treatment, Adoption and Surrogacy Assistance
* Tuition Reimbursement
These benefits are designed to enhance the health, protect the financial security, and provide peace of mind to our employees and their families.
Deluxe Corporation is an Equal Employment Opportunity employer:  
All qualified applicants will receive consideration for employment without regard to race, color, creed, religion, disability, sex, age, ethnic or national origin, marital status, sexual orientation, gender identity or presentation, pregnancy, genetics, veteran status or any other status protected by state or federal law.  
Please view the electronic EEO is the Law Poster which serves to inform you of your equal employment opportunity protections as part of the application process.
Reasonable Accommodation for Job Seekers with a Disability: If you require reasonable accommodation in completing this application, interviewing, completing any pre\-employment testing, or otherwise participating in the employee selection process, please direct your inquiries to deluxecareers@deluxe.com.</t>
        </is>
      </c>
    </row>
    <row r="78">
      <c r="A78" t="inlineStr">
        <is>
          <t>in-4073ced3aeaaa5b6</t>
        </is>
      </c>
      <c r="B78" t="inlineStr">
        <is>
          <t>Junior Software Engineer</t>
        </is>
      </c>
      <c r="C78" t="inlineStr">
        <is>
          <t>Redhorse Corporation</t>
        </is>
      </c>
      <c r="D78" t="inlineStr">
        <is>
          <t>indeed</t>
        </is>
      </c>
      <c r="E78">
        <f>HYPERLINK("https://www.indeed.com/viewjob?jk=4073ced3aeaaa5b6", "https://www.indeed.com/viewjob?jk=4073ced3aeaaa5b6")</f>
        <v/>
      </c>
      <c r="F78">
        <f>HYPERLINK("https://jobs.lever.co/redhorsecorp/5b71f200-b692-4204-8ccb-8811025fbe16?lever-source=Indeed", "https://jobs.lever.co/redhorsecorp/5b71f200-b692-4204-8ccb-8811025fbe16?lever-source=Indeed")</f>
        <v/>
      </c>
      <c r="G78" t="inlineStr">
        <is>
          <t>Gainesville, VA, US</t>
        </is>
      </c>
      <c r="H78" s="2" t="n">
        <v>46036</v>
      </c>
      <c r="I78" t="inlineStr">
        <is>
          <t>**About the Organization**
Now is a great time to join Redhorse Corporation. We are a solution\-driven company delivering data insights and technology solutions to customers with missions critical to U.S. national interests. We’re looking for thoughtful, skilled professionals who thrive as trusted partners building technology\-agnostic solutions and want to apply their talents supporting customers with difficult and important mission sets. **About the Role**
Redhorse Corporation is seeking a Junior Software Engineer to join our Cyber Analytics team. In this role, you will be at the forefront of designing, deploying, and maintaining scalable data processing applications that support critical federal missions.  
This is a unique position that blends traditional software engineering with deep\-dive cyber security research. You will not only build the tools that process and analyze data in cloud and on\-premises environments but also engage in reverse engineering and mobile application security analysis to identify vulnerabilities in complex software components.
### **Key Responsibilities**
* Application Development: Design, develop, and maintain scalable data processing and modeling applications in both cloud (AWS/Azure/GCP) and on\-premises environments.
* Full Lifecycle Support: Manage the end\-to\-end software development lifecycle, including requirements gathering, testing, validation of software builds, and end\-user support.
* Operational Optimization: Identify and implement enhancements to improve the customer’s data flow operations and analytical capabilities.
* Cyber Research \&amp; Reverse Engineering: Conduct investigations into software components to identify vulnerabilities. Perform reverse engineering on secure mobile applications (Android/iOS) to analyze encryption, secure storage, and code execution.
* Technical Documentation: Document research findings, code architecture, and recovery tools; communicate complex technical concepts to stakeholders of varying technical levels.
### **Required Experience/Clearance**
* Bachelor’s degree in Computer Science, Computer Engineering, or a related technical field.
* 1\+ years of professional software development experience in a dynamic, operational environment.
* An active Top Secret clearance.
* Demonstrated experience in one or more of the following: C\#, C/C\+\+, Java, or Python.
* Proficiency in scripting languages such as Bash, PowerShell, or Perl.
### **Desired Experience**
* Experience building cloud\-native architectures (Serverless, Microservices) using AWS, Azure, or GCP.
* Familiarity with Docker, Kubernetes, CI/CD pipelines, and DevOps best practices.
* Hands\-on experience with network protocol analysis tools (Wireshark, tcpdump) and industry\-standard reverse engineering tools (IDA Pro, Hex\-Rays, OllyDbg).
* Understanding of OS internals, TCP/IP network internals, and compiler concepts.
* Strong debugging skills and the ability to solve complex, non\-linear technical problems.
**Equal Opportunity Employer/Veterans/Disabled**
Accommodations:
If you are a qualified individual with a disability or a disabled veteran, you may request a reasonable accommodation if you are unable or limited in your ability to access job openings or apply for a job on this site as a result of your disability. You can request reasonable accommodations by contacting Talent Acquisition at Talent\-Acquisition@redhorsecorp.com
Redhorse Corporation shall, in its discretion, modify or adjust the position to meet Redhorse’s changing needs.
This job description is not a contract and may be adjusted as deemed appropriate in Redhorse’s sole discretion.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9">
      <c r="A79" t="inlineStr">
        <is>
          <t>in-79b017f1782576e8</t>
        </is>
      </c>
      <c r="B79" t="inlineStr">
        <is>
          <t>Junior Software Engineer</t>
        </is>
      </c>
      <c r="C79" t="inlineStr">
        <is>
          <t>Redhorse Corporation</t>
        </is>
      </c>
      <c r="D79" t="inlineStr">
        <is>
          <t>indeed</t>
        </is>
      </c>
      <c r="E79">
        <f>HYPERLINK("https://www.indeed.com/viewjob?jk=79b017f1782576e8", "https://www.indeed.com/viewjob?jk=79b017f1782576e8")</f>
        <v/>
      </c>
      <c r="F79">
        <f>HYPERLINK("https://jobs.lever.co/redhorsecorp/5b71f200-b692-4204-8ccb-8811025fbe16?lever-source=Indeed", "https://jobs.lever.co/redhorsecorp/5b71f200-b692-4204-8ccb-8811025fbe16?lever-source=Indeed")</f>
        <v/>
      </c>
      <c r="G79" t="inlineStr">
        <is>
          <t>Quantico, VA, US</t>
        </is>
      </c>
      <c r="H79" s="2" t="n">
        <v>46036</v>
      </c>
      <c r="I79" t="inlineStr">
        <is>
          <t>**About the Organization**
Now is a great time to join Redhorse Corporation. We are a solution\-driven company delivering data insights and technology solutions to customers with missions critical to U.S. national interests. We’re looking for thoughtful, skilled professionals who thrive as trusted partners building technology\-agnostic solutions and want to apply their talents supporting customers with difficult and important mission sets. **About the Role**
Redhorse Corporation is seeking a Junior Software Engineer to join our Cyber Analytics team. In this role, you will be at the forefront of designing, deploying, and maintaining scalable data processing applications that support critical federal missions.  
This is a unique position that blends traditional software engineering with deep\-dive cyber security research. You will not only build the tools that process and analyze data in cloud and on\-premises environments but also engage in reverse engineering and mobile application security analysis to identify vulnerabilities in complex software components.
### **Key Responsibilities**
* Application Development: Design, develop, and maintain scalable data processing and modeling applications in both cloud (AWS/Azure/GCP) and on\-premises environments.
* Full Lifecycle Support: Manage the end\-to\-end software development lifecycle, including requirements gathering, testing, validation of software builds, and end\-user support.
* Operational Optimization: Identify and implement enhancements to improve the customer’s data flow operations and analytical capabilities.
* Cyber Research \&amp; Reverse Engineering: Conduct investigations into software components to identify vulnerabilities. Perform reverse engineering on secure mobile applications (Android/iOS) to analyze encryption, secure storage, and code execution.
* Technical Documentation: Document research findings, code architecture, and recovery tools; communicate complex technical concepts to stakeholders of varying technical levels.
### **Required Experience/Clearance**
* Bachelor’s degree in Computer Science, Computer Engineering, or a related technical field.
* 1\+ years of professional software development experience in a dynamic, operational environment.
* An active Top Secret clearance.
* Demonstrated experience in one or more of the following: C\#, C/C\+\+, Java, or Python.
* Proficiency in scripting languages such as Bash, PowerShell, or Perl.
### **Desired Experience**
* Experience building cloud\-native architectures (Serverless, Microservices) using AWS, Azure, or GCP.
* Familiarity with Docker, Kubernetes, CI/CD pipelines, and DevOps best practices.
* Hands\-on experience with network protocol analysis tools (Wireshark, tcpdump) and industry\-standard reverse engineering tools (IDA Pro, Hex\-Rays, OllyDbg).
* Understanding of OS internals, TCP/IP network internals, and compiler concepts.
* Strong debugging skills and the ability to solve complex, non\-linear technical problems.
**Equal Opportunity Employer/Veterans/Disabled**
Accommodations:
If you are a qualified individual with a disability or a disabled veteran, you may request a reasonable accommodation if you are unable or limited in your ability to access job openings or apply for a job on this site as a result of your disability. You can request reasonable accommodations by contacting Talent Acquisition at Talent\-Acquisition@redhorsecorp.com
Redhorse Corporation shall, in its discretion, modify or adjust the position to meet Redhorse’s changing needs.
This job description is not a contract and may be adjusted as deemed appropriate in Redhorse’s sole discretion.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0">
      <c r="A80" t="inlineStr">
        <is>
          <t>in-7704fa2ba6e3373a</t>
        </is>
      </c>
      <c r="B80" t="inlineStr">
        <is>
          <t>Senior Staff Software Engineer</t>
        </is>
      </c>
      <c r="C80" t="inlineStr"/>
      <c r="D80" t="inlineStr">
        <is>
          <t>indeed</t>
        </is>
      </c>
      <c r="E80">
        <f>HYPERLINK("https://www.indeed.com/viewjob?jk=7704fa2ba6e3373a", "https://www.indeed.com/viewjob?jk=7704fa2ba6e3373a")</f>
        <v/>
      </c>
      <c r="F80">
        <f>HYPERLINK("https://jobs.lever.co/findhelp/a5c8b4bb-7b89-4e22-ab60-445490882ce1?lever-source=Indeed", "https://jobs.lever.co/findhelp/a5c8b4bb-7b89-4e22-ab60-445490882ce1?lever-source=Indeed")</f>
        <v/>
      </c>
      <c r="G80" t="inlineStr">
        <is>
          <t>Austin, TX, US</t>
        </is>
      </c>
      <c r="H80" s="2" t="n">
        <v>46036</v>
      </c>
      <c r="I80" t="inlineStr">
        <is>
          <t>**We’re changing the way people connect to social care.**  
At Findhelp, we’ve built a comprehensive platform of products and services that make it easy for you to connect people to resources, follow them on their journey, and track your impact in a fast and reliable way. Our industry\-leading social care network includes more than half a million local, state, and national programs that serve every ZIP Code in the country, from rural areas to major metropolitan centers.
Findhelp is headquartered in Austin, Texas and has been enabling healthcare, government, education, and other organizations to connect people with the social care resources that serve them, with privacy and security, since 2010\.  
As a mission driven organization, we are focused on creating a positive impact by connecting people in need to the programs that serve them with dignity and ease. Powered by our proprietary technology that enables people to find the resources available in their area, we have helped millions of Seekers find food, health, housing and employment programs. **Job Overview:** As a Senior Staff Software Engineer at findhelp, you will play a pivotal role in expanding our platform that seamlessly integrates our nationwide system of social\-services. Serving on a cross\-functional development team, you'll collaborate closely with various teams and departments to ensure the delivery of top\-tier products for our users. Our engineering culture encourages every developer to harness AI, from accelerating workflows to creating novel user experiences that improve access to social care. You will lead engineering efforts through a combination of a positive attitude, exemplary work ethic, and significant contributions to both the technical and cultural facets of engineering, all underpinned by a deep understanding of user impact. You will be able to consistently level up more junior engineers and the company in your own unique way.
### **Responsibilities and Duties:**
* Someone who works to understand the user’s story to design intuitive experiences
* Own work from inception to delivery, and beyond
* Refactor legacy code as you create new features
* Mentor other engineers and foster their growth
* Work within a team and across teams to accomplish our mission of helping others
* Consistently write quality code with the end user in mind
* Architect for robustness, extensibility, scale, sustainability, and security
* Provide quality feedback in code reviews and willing to pair on coding tasks
* Explore, integrate, and innovate with AI to better serve our communities and scale our impact.
### **Qualifications:**
* 8\+ years working as a professional software developer
* Experience architecting a feature to widen the impact for long term success
* Excellent technical writing and communication skills
* Experience writing technical designs and breaking down complex features to consistently deliver value
* Experience in Python and ReactJS preferred
* Comfortable working independently in a complex Python codebase
* Comfortable scaling up on Python if you haven’t worked on it before
* Interested in mentoring others and fostering individual growth
* Good understanding of SQL, ORMs, and non\-relational databases
* Preferred GCP experience, but other cloud experience welcome
* Understanding of web performance strategies and metrics
* Experience with or a strong understanding of microservices
* Ability to follow through on commitments
* Ability to communicate technical needs and solutions to product partners
* Working knowledge of large language models (LLMs), prompt engineering techniques, and emerging agentic AI patterns.
* Familiarity with AI\-assisted development tools (e.g., GitHub Copilot, Cursor, Windsurf) and a willingness to incorporate them into daily workflows.
The salary range provided reflects the national average for this job title and does not represent compensation specific to Findhelp. Actual compensation will vary based on experience, qualifications, and market factors relevant to the position.**We value being together**
We believe being together enables stronger relationships, collaboration, and culture.**This position is in office and candidates must be located in Austin, Texas, Madison, Wisconsin, or Denver, Colorado.**  
**Perks at Findhelp*** 401k \&amp; equity grants
* Free food and onsite gym at our Austin HQ
* Paid parental leave
* Competitive PTO \&amp; 10 paid holidays
* Employee only paid Health, Dental, and Vision insurance
* Dog\-friendly office in Austin HQ
* 24/7 access to telemedicine and counseling
* Book Purchasing Program
 **We’re building a diverse, inclusive team**  
You’re welcome here. We want everyone to be able to easily connect to the help they need, and we want our teams to reflect and represent our communities. It is our policy to recruit, hire, train, and promote individuals, as well as administer any and all Company policies, without regard to age, color, disability, ethnicity, family or marital status, gender identity or expression, language, national origin or ancestry, physical and mental ability, political affiliation, race, religion, creed, sexual orientation, socio\-economic status, veteran status, or any other protected class, in accordance with applicable laws. Accommodations are available for applicants with disabilities.  
Here are some of the ways we support our staff:* Culture Committee
* Leadership Development Training
* Paid Volunteering Time</t>
        </is>
      </c>
    </row>
    <row r="81">
      <c r="A81" t="inlineStr">
        <is>
          <t>in-f06b2b8dea5629f6</t>
        </is>
      </c>
      <c r="B81" t="inlineStr">
        <is>
          <t>Senior Staff Software Engineer</t>
        </is>
      </c>
      <c r="C81" t="inlineStr"/>
      <c r="D81" t="inlineStr">
        <is>
          <t>indeed</t>
        </is>
      </c>
      <c r="E81">
        <f>HYPERLINK("https://www.indeed.com/viewjob?jk=f06b2b8dea5629f6", "https://www.indeed.com/viewjob?jk=f06b2b8dea5629f6")</f>
        <v/>
      </c>
      <c r="F81">
        <f>HYPERLINK("https://jobs.lever.co/findhelp/a5c8b4bb-7b89-4e22-ab60-445490882ce1?lever-source=Indeed", "https://jobs.lever.co/findhelp/a5c8b4bb-7b89-4e22-ab60-445490882ce1?lever-source=Indeed")</f>
        <v/>
      </c>
      <c r="G81" t="inlineStr">
        <is>
          <t>Denver, CO, US</t>
        </is>
      </c>
      <c r="H81" s="2" t="n">
        <v>46036</v>
      </c>
      <c r="I81" t="inlineStr">
        <is>
          <t>**We’re changing the way people connect to social care.**  
At Findhelp, we’ve built a comprehensive platform of products and services that make it easy for you to connect people to resources, follow them on their journey, and track your impact in a fast and reliable way. Our industry\-leading social care network includes more than half a million local, state, and national programs that serve every ZIP Code in the country, from rural areas to major metropolitan centers.
Findhelp is headquartered in Austin, Texas and has been enabling healthcare, government, education, and other organizations to connect people with the social care resources that serve them, with privacy and security, since 2010\.  
As a mission driven organization, we are focused on creating a positive impact by connecting people in need to the programs that serve them with dignity and ease. Powered by our proprietary technology that enables people to find the resources available in their area, we have helped millions of Seekers find food, health, housing and employment programs. **Job Overview:** As a Senior Staff Software Engineer at findhelp, you will play a pivotal role in expanding our platform that seamlessly integrates our nationwide system of social\-services. Serving on a cross\-functional development team, you'll collaborate closely with various teams and departments to ensure the delivery of top\-tier products for our users. Our engineering culture encourages every developer to harness AI, from accelerating workflows to creating novel user experiences that improve access to social care. You will lead engineering efforts through a combination of a positive attitude, exemplary work ethic, and significant contributions to both the technical and cultural facets of engineering, all underpinned by a deep understanding of user impact. You will be able to consistently level up more junior engineers and the company in your own unique way.
### **Responsibilities and Duties:**
* Someone who works to understand the user’s story to design intuitive experiences
* Own work from inception to delivery, and beyond
* Refactor legacy code as you create new features
* Mentor other engineers and foster their growth
* Work within a team and across teams to accomplish our mission of helping others
* Consistently write quality code with the end user in mind
* Architect for robustness, extensibility, scale, sustainability, and security
* Provide quality feedback in code reviews and willing to pair on coding tasks
* Explore, integrate, and innovate with AI to better serve our communities and scale our impact.
### **Qualifications:**
* 8\+ years working as a professional software developer
* Experience architecting a feature to widen the impact for long term success
* Excellent technical writing and communication skills
* Experience writing technical designs and breaking down complex features to consistently deliver value
* Experience in Python and ReactJS preferred
* Comfortable working independently in a complex Python codebase
* Comfortable scaling up on Python if you haven’t worked on it before
* Interested in mentoring others and fostering individual growth
* Good understanding of SQL, ORMs, and non\-relational databases
* Preferred GCP experience, but other cloud experience welcome
* Understanding of web performance strategies and metrics
* Experience with or a strong understanding of microservices
* Ability to follow through on commitments
* Ability to communicate technical needs and solutions to product partners
* Working knowledge of large language models (LLMs), prompt engineering techniques, and emerging agentic AI patterns.
* Familiarity with AI\-assisted development tools (e.g., GitHub Copilot, Cursor, Windsurf) and a willingness to incorporate them into daily workflows.
The salary range provided reflects the national average for this job title and does not represent compensation specific to Findhelp. Actual compensation will vary based on experience, qualifications, and market factors relevant to the position.**We value being together**
We believe being together enables stronger relationships, collaboration, and culture.**This position is in office and candidates must be located in Austin, Texas, Madison, Wisconsin, or Denver, Colorado.**  
**Perks at Findhelp*** 401k \&amp; equity grants
* Free food and onsite gym at our Austin HQ
* Paid parental leave
* Competitive PTO \&amp; 10 paid holidays
* Employee only paid Health, Dental, and Vision insurance
* Dog\-friendly office in Austin HQ
* 24/7 access to telemedicine and counseling
* Book Purchasing Program
 **We’re building a diverse, inclusive team**  
You’re welcome here. We want everyone to be able to easily connect to the help they need, and we want our teams to reflect and represent our communities. It is our policy to recruit, hire, train, and promote individuals, as well as administer any and all Company policies, without regard to age, color, disability, ethnicity, family or marital status, gender identity or expression, language, national origin or ancestry, physical and mental ability, political affiliation, race, religion, creed, sexual orientation, socio\-economic status, veteran status, or any other protected class, in accordance with applicable laws. Accommodations are available for applicants with disabilities.  
Here are some of the ways we support our staff:* Culture Committee
* Leadership Development Training
* Paid Volunteering Time</t>
        </is>
      </c>
    </row>
    <row r="82">
      <c r="A82" t="inlineStr">
        <is>
          <t>in-6db88d6cdb0dddef</t>
        </is>
      </c>
      <c r="B82" t="inlineStr">
        <is>
          <t>Senior Staff Software Engineer</t>
        </is>
      </c>
      <c r="C82" t="inlineStr"/>
      <c r="D82" t="inlineStr">
        <is>
          <t>indeed</t>
        </is>
      </c>
      <c r="E82">
        <f>HYPERLINK("https://www.indeed.com/viewjob?jk=6db88d6cdb0dddef", "https://www.indeed.com/viewjob?jk=6db88d6cdb0dddef")</f>
        <v/>
      </c>
      <c r="F82">
        <f>HYPERLINK("https://jobs.lever.co/findhelp/a5c8b4bb-7b89-4e22-ab60-445490882ce1?lever-source=Indeed", "https://jobs.lever.co/findhelp/a5c8b4bb-7b89-4e22-ab60-445490882ce1?lever-source=Indeed")</f>
        <v/>
      </c>
      <c r="G82" t="inlineStr">
        <is>
          <t>Madison, WI, US</t>
        </is>
      </c>
      <c r="H82" s="2" t="n">
        <v>46036</v>
      </c>
      <c r="I82" t="inlineStr">
        <is>
          <t>**We’re changing the way people connect to social care.**  
At Findhelp, we’ve built a comprehensive platform of products and services that make it easy for you to connect people to resources, follow them on their journey, and track your impact in a fast and reliable way. Our industry\-leading social care network includes more than half a million local, state, and national programs that serve every ZIP Code in the country, from rural areas to major metropolitan centers.
Findhelp is headquartered in Austin, Texas and has been enabling healthcare, government, education, and other organizations to connect people with the social care resources that serve them, with privacy and security, since 2010\.  
As a mission driven organization, we are focused on creating a positive impact by connecting people in need to the programs that serve them with dignity and ease. Powered by our proprietary technology that enables people to find the resources available in their area, we have helped millions of Seekers find food, health, housing and employment programs. **Job Overview:** As a Senior Staff Software Engineer at findhelp, you will play a pivotal role in expanding our platform that seamlessly integrates our nationwide system of social\-services. Serving on a cross\-functional development team, you'll collaborate closely with various teams and departments to ensure the delivery of top\-tier products for our users. Our engineering culture encourages every developer to harness AI, from accelerating workflows to creating novel user experiences that improve access to social care. You will lead engineering efforts through a combination of a positive attitude, exemplary work ethic, and significant contributions to both the technical and cultural facets of engineering, all underpinned by a deep understanding of user impact. You will be able to consistently level up more junior engineers and the company in your own unique way.
### **Responsibilities and Duties:**
* Someone who works to understand the user’s story to design intuitive experiences
* Own work from inception to delivery, and beyond
* Refactor legacy code as you create new features
* Mentor other engineers and foster their growth
* Work within a team and across teams to accomplish our mission of helping others
* Consistently write quality code with the end user in mind
* Architect for robustness, extensibility, scale, sustainability, and security
* Provide quality feedback in code reviews and willing to pair on coding tasks
* Explore, integrate, and innovate with AI to better serve our communities and scale our impact.
### **Qualifications:**
* 8\+ years working as a professional software developer
* Experience architecting a feature to widen the impact for long term success
* Excellent technical writing and communication skills
* Experience writing technical designs and breaking down complex features to consistently deliver value
* Experience in Python and ReactJS preferred
* Comfortable working independently in a complex Python codebase
* Comfortable scaling up on Python if you haven’t worked on it before
* Interested in mentoring others and fostering individual growth
* Good understanding of SQL, ORMs, and non\-relational databases
* Preferred GCP experience, but other cloud experience welcome
* Understanding of web performance strategies and metrics
* Experience with or a strong understanding of microservices
* Ability to follow through on commitments
* Ability to communicate technical needs and solutions to product partners
* Working knowledge of large language models (LLMs), prompt engineering techniques, and emerging agentic AI patterns.
* Familiarity with AI\-assisted development tools (e.g., GitHub Copilot, Cursor, Windsurf) and a willingness to incorporate them into daily workflows.
The salary range provided reflects the national average for this job title and does not represent compensation specific to Findhelp. Actual compensation will vary based on experience, qualifications, and market factors relevant to the position.**We value being together**
We believe being together enables stronger relationships, collaboration, and culture.**This position is in office and candidates must be located in Austin, Texas, Madison, Wisconsin, or Denver, Colorado.**  
**Perks at Findhelp*** 401k \&amp; equity grants
* Free food and onsite gym at our Austin HQ
* Paid parental leave
* Competitive PTO \&amp; 10 paid holidays
* Employee only paid Health, Dental, and Vision insurance
* Dog\-friendly office in Austin HQ
* 24/7 access to telemedicine and counseling
* Book Purchasing Program
 **We’re building a diverse, inclusive team**  
You’re welcome here. We want everyone to be able to easily connect to the help they need, and we want our teams to reflect and represent our communities. It is our policy to recruit, hire, train, and promote individuals, as well as administer any and all Company policies, without regard to age, color, disability, ethnicity, family or marital status, gender identity or expression, language, national origin or ancestry, physical and mental ability, political affiliation, race, religion, creed, sexual orientation, socio\-economic status, veteran status, or any other protected class, in accordance with applicable laws. Accommodations are available for applicants with disabilities.  
Here are some of the ways we support our staff:* Culture Committee
* Leadership Development Training
* Paid Volunteering Time</t>
        </is>
      </c>
    </row>
    <row r="83">
      <c r="A83" t="inlineStr">
        <is>
          <t>in-f8499f9e4301d58c</t>
        </is>
      </c>
      <c r="B83" t="inlineStr">
        <is>
          <t>Software Engineer (Unity)</t>
        </is>
      </c>
      <c r="C83" t="inlineStr">
        <is>
          <t>Demiurge Studios</t>
        </is>
      </c>
      <c r="D83" t="inlineStr">
        <is>
          <t>indeed</t>
        </is>
      </c>
      <c r="E83">
        <f>HYPERLINK("https://www.indeed.com/viewjob?jk=f8499f9e4301d58c", "https://www.indeed.com/viewjob?jk=f8499f9e4301d58c")</f>
        <v/>
      </c>
      <c r="F83">
        <f>HYPERLINK("https://demiurgestudios.com/job-details/?jobid=5ae83dcf-adc2-4bd8-8205-09d11932a085", "https://demiurgestudios.com/job-details/?jobid=5ae83dcf-adc2-4bd8-8205-09d11932a085")</f>
        <v/>
      </c>
      <c r="G83" t="inlineStr">
        <is>
          <t>Remote, US</t>
        </is>
      </c>
      <c r="H83" s="2" t="n">
        <v>46036</v>
      </c>
      <c r="I83" t="inlineStr">
        <is>
          <t>Interested in working on developing meta\-game features for an upcoming fast\-paced, team\-based PvP game? As an engineer at Demiurge Studios you will work on a small collaboration\-oriented team where you will have the opportunity to contribute in meaningful ways. Demiurge development teams are cohesive, highly skilled and well\-supported. Come join us!
### **Responsibilities**
* + Work closely with artists and designers to understand and define meta\-game features and system requirements
	+ Implement, test, debug and maintain source code
	+ Review the work of other engineers and provide constructive feedback in a highly collaborative environment
	+ Provide ongoing support to artists and designers
	+ Deliver high quality, functional systems on time and to specification
	+ Make educated trade\-offs among scope, quality and pace
### **Must\-Have Qualifications**
* + 3\+ years professional software development experience
	+ Experience developing with the Unity Game Engine
	+ Professional software development experience in C\#
	+ Deep knowledge of algorithms and data structures
	+ BS or higher in Computer Science or similar discipline (Physics, Math, EE, etc.), or equivalent experience
	+ Excellent written and oral communication skills in English
### **Preference to Applicants with**
* + Professional game development
	+ Experience developing with Unity DOTS
	+ Experience developing with NoesisGUI
	+ Experience developing products for modern game console platforms (PS5, XSX\|S)
	+ Experience developing games using agile methodologies
**About Us:**
Headquartered in Boston, MA at Demiurge you will find a studio with an amazing, collaborative culture and a deep respect for art in all our games. With over 20 years of game development expertise and teams all over North America our commitment to balanced and sustainable development is well known in the game community. We also provide co\-development services to larger, best\-in\-industry game companies. In this capacity, Demiurge has worked with some of the industry’s biggest hitters on exciting projects including Marvel Snap, 2XKO, Marvel Puzzle Quest, and Teamfight Tactics to name a few. This is an exciting time to join Demiurge as we are developing our own independent titles as well. With tons of challenges and opportunities ahead we are always looking for great talent! If you are looking for an exciting, creative, and collaborative studio come join us on Demiurge’s next journey! **DEI Statement:**
At Demiurge, we celebrate our differences and know that diverse perspectives empower us to build a stronger company and better games. We work hard to create an equitable, safe and accessible work environment where all Demiurgers are empowered to be themselves and do their best work regardless of race, age, gender identity, sexual orientation, religion or physical or mental ability. We thrive on self\-reflection, healthy debate, and mindful listening. We respect each other’s opinions and seek new ideas. We denounce hate, discrimination and racism in all forms. **What Demiurge Offers:*** Flexible work environment
* Generous PTO program including vacation days, sick days, and holidays. Earn\-as\-you\-go plan that rolls over year to year, offering flexibility as well as the last week of December the studio closes to recharge
* A variety of medical benefits with PPO options that start on your first day of employment
* Vision and Dental benefits
* Health Savings Account (HSA) – Available if you select a High Deductible Healthcare plan
* Healthcare and Dependent Care Flexible Spending Account (HC \&amp; DC FSA)
* 401K Partial Match
* Commuter Reimbursement Program for hybrid employees
* Tuition reimbursement promoting lifelong learning
* Referral bonuses
* Bonus plan
* So. Many. Games. – Access to our huge game library!
 **As well as a State of the Art Boston Studio with in Office Perks:*** Free snacks and drinks!
* Demi\-Lunch Tuesday – Lunch is on us!
* Game Night Food
* Ping Pong!
* Step Mania! Get your dance on!
 *Demiurge Studios is an equal opportunity employer, dedicated to diversity, equity and inclusion. All employment decisions are made without regard to race, color, national origin, gender identity, sexual orientation, age, religion, disability, medical condition, pregnancy, marital status, or Veteran status. Demiurge Studios also makes workplace accommodations for individuals with disabilities or special needs.*  
\#LI\-Remote</t>
        </is>
      </c>
    </row>
    <row r="84">
      <c r="A84" t="inlineStr">
        <is>
          <t>in-7d77ac20e701df34</t>
        </is>
      </c>
      <c r="B84" t="inlineStr">
        <is>
          <t>Software Engineer</t>
        </is>
      </c>
      <c r="C84" t="inlineStr">
        <is>
          <t>T2S Solutions</t>
        </is>
      </c>
      <c r="D84" t="inlineStr">
        <is>
          <t>indeed</t>
        </is>
      </c>
      <c r="E84">
        <f>HYPERLINK("https://www.indeed.com/viewjob?jk=7d77ac20e701df34", "https://www.indeed.com/viewjob?jk=7d77ac20e701df34")</f>
        <v/>
      </c>
      <c r="F84">
        <f>HYPERLINK("https://t2s-solutions.hrmdirect.com/employment/view.php?req=3615091&amp;jbsrc=1014&amp;location=33c49d45-cf09-af9e-e87a-5eee896e9062", "https://t2s-solutions.hrmdirect.com/employment/view.php?req=3615091&amp;jbsrc=1014&amp;location=33c49d45-cf09-af9e-e87a-5eee896e9062")</f>
        <v/>
      </c>
      <c r="G84" t="inlineStr">
        <is>
          <t>Aberdeen Proving Ground, MD, US</t>
        </is>
      </c>
      <c r="H84" s="2" t="n">
        <v>46036</v>
      </c>
      <c r="I84" t="inlineStr">
        <is>
          <t>**Summary**  
**T2S Solutions** is currently seeking multiple **Full Stack Software Engineers** to join our team in Aberdeen Proving Ground, Maryland. The ideal candidate will be experienced in architecting and implementing innovative and creative full stack solutions to complex problems. The ideal candidate will be a motivated self\-starter who is both capable of working independently and in a team environment. Ability to think critically, challenge the status quo, a desire to seek out new challenges and continuously learn are needed to thrive in this position.
**Responsibilities and Duties**
* Design, develop, and implement prototypes of applications including application software, tooling software, web applications, and embedded Linux applications
* Participate in software and systems testing that the software may interact with
* Ability to solve engineering problems and integrate software into DoD and Open Architecture Software Frameworks using commercially available software, open\-source software, and in\-house built software
* Develop automated documentation generation, unit tests, and coverage analysis of developed software
* Ability to work in both a team environment and independently, possessing excellent written and verbal communication skills
* Provide insight into the architecture of software and how it relates to classified systems
**Qualifications and Skills**
* Active DoD Secret Security Clearance or ability to obtain one Required
* Bachelors in Computer Science, Software Engineering or related field 3\-5\+ years of experience in developing software. Flexible, contingent on proficiencies and experience
* Experience with DevOps tools (Gitlab, Jira, Nexus, Artifactory, etc.)
* Experience with Git version control
* Basic knowledge of hardware terminology
* In\-depth knowledge and hands on development experience with Android, Java/ JavaScript , C, C\+\+, C\# etc.
* Experience with Gradle
* Knowledgeable in scripting languages such as Bash, Python
* Experience with Docker
* Experience with database and cloud architecture
* Experience with Linux
* Experience with developing and using APIs
* Preferred Qualifications and Skills
* Experience working in an Agile environment
* Experience working with software defined radios such as Nett Warrior, Trellisware, or MPU5s
* Experience with Kubernetes or similar container orchestration tools
* Knowledge of networking/security including but not limited to IPv6, VLANs, virtual networking, intrusion detection systems, and general networking security practices
* Demonstrated proficiency or ability to learn to develop new CI/CD pipelines for building, testing, and deploying software
* Demonstrated proficiency or ability to learn about DoD air and space systems
* Experience with Kibana and ElasticSearch
* Experience with NVIDIA Cuda tool kit
* Experience with Linux Kernel development/ modification
**T2S Solutions is an Equal Opportunity Employer/Protected Veteran/Disability**</t>
        </is>
      </c>
    </row>
    <row r="85">
      <c r="A85" t="inlineStr">
        <is>
          <t>in-11520cf251f981b6</t>
        </is>
      </c>
      <c r="B85" t="inlineStr">
        <is>
          <t>Senior Software Engineer, Information Security</t>
        </is>
      </c>
      <c r="C85" t="inlineStr">
        <is>
          <t>Walmart</t>
        </is>
      </c>
      <c r="D85" t="inlineStr">
        <is>
          <t>indeed</t>
        </is>
      </c>
      <c r="E85">
        <f>HYPERLINK("https://www.indeed.com/viewjob?jk=11520cf251f981b6", "https://www.indeed.com/viewjob?jk=11520cf251f981b6")</f>
        <v/>
      </c>
      <c r="F85">
        <f>HYPERLINK("https://click.appcast.io/t/re3pHIOthKGAhPtDqWULZKwuGazpNbwim0ZOooA9JGw=", "https://click.appcast.io/t/re3pHIOthKGAhPtDqWULZKwuGazpNbwim0ZOooA9JGw=")</f>
        <v/>
      </c>
      <c r="G85" t="inlineStr">
        <is>
          <t>Herndon, VA, US</t>
        </is>
      </c>
      <c r="H85" s="2" t="n">
        <v>46036</v>
      </c>
      <c r="I85" t="inlineStr">
        <is>
          <t>**Position Summary...**
-----------------------
The Edge Ingress Security (EIS) team is the first line of defense for our global digital footprint. We are looking for a Senior Software Engineer to architect and deliver the next generation of security capabilities. In this role, you won't just write code; you will own the full software lifecycle, from initial design to large scale deployment, driving innovation across infrastructure, automation, and AI/ML integration.  
The Edge Ingress Security team protects Walmart’s global internet presence — securing our eCommerce platforms, apps, and services that serve hundreds of millions of users daily. We innovate at scale to detect and mitigate automated threats, DDoS attacks, and other web\-based abuse while maintaining fast, reliable, and secure customer experiences.  
About Team: Edge Ingress Security  
At Walmart, we prioritize innovation and data security. Our team is dedicated to maintaining a secure operating environment and preserving the trust of our customers, associates, and stakeholders. We combine a range of services and expertise to prevent fraud, detect threats, and manage digital risk and access. Our focus is on mitigating attack risks, securing cloud transformation, and fostering a culture of security and reliability within our team.**What you'll do...**
---------------------
* Design and develop large scale, real\-time distributed systems.
* Deliver end\-to\-end solutions covering UI, underlying infrastructure, and high\-performance backend APIs.
* Develop the pipelines and integrations necessary to support large\-scale data processing and machine learning models for threat detection.
* Build improved services to control the interoperability and mitigation logic between various ingress security layers.
* Identify bottlenecks in the development lifecycle and automate workflows to enhance team\-wide productivity
**What you'll bring:**
* Proven experience in the end\-to\-end development lifecycle, from architecture and design to profiling, integration, and deployment.
* Proficiency in **Golang, Python, React, JavaScript/TypeScript, and Node.js**.
* Experience with automation framework
* Experience with both **SQL** and **NoSQL** databases (e.g., **Cassandra**) and caching layers like **Redis** or **Memcache**.
* Expertise with modern monitoring tools such as **Grafana**, **OpenObserve,** or **Splunk**.
* Solid understanding of SDLC, CI/CD pipelines, and automation frameworks.
* A strong ownership mindset with the ability to drive initiatives with minimal oversight and communicate complex technical issues to diverse audiences.
* 5\+ years of professional work experience and a Bachelor’s degree in Computer Science, Engineering, or a related field.
**Bonus Points:**
* Knowledge of bot management platforms and how web properties operate at scale.
* Practical experience with behavioral analytics, machine learning, or risk\-scoring systems.
* Prior exposure to large\-scale production environments or eCommerce platforms.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Herndon, Virginia US\-10710: The annual salary range for this position is $108,000\.00 \- $216,000\.00
Sunnyvale, California US\-11656: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Bachelor’s degree in Computer Science, Information Technology, or related field and 5 years' experience in information technology within the past  
10 years OR 7 years' experience in information technology or related field within the past 10 years.**Preferred Qualifications...**
-------------------------------
*Outlined below are the optional preferred qualifications for this position. If none are listed, there are no preferred qualifications.*
Certified Intrusion analyst (GCIAs), GIAC Certified Enterprise Defender (GCED), Certified Geographic Information Systems Professional (GISP), GIAC Certified Incident Handler (GCIH), Certified Information Systems Security Professional (CISSP), Certified Information Systems Auditor (CISA), GIAC Security Essentials Certification (GSEC), and/or Security\+ certification, Leading Technical Team, Mainframe Technology, Professional certification in information technology relevant to the job under consideration (for example, Java, C/C\+\+, mainframe technologies, SAP, Microsoft .Net, business intelligence tools, SQL technology), Programming language or languages (for example, Java, C/C\+\+, .NET, Rexx, Cobol, Powershell), SAP, SQL technology, Version control software (for example, Subversion, Git, Librarian),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2245 Monroe St, Herndon, VA 20171,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86">
      <c r="A86" t="inlineStr">
        <is>
          <t>in-ef10386a49452303</t>
        </is>
      </c>
      <c r="B86" t="inlineStr">
        <is>
          <t>Senior Software Engineer - Cloud Services Engineering</t>
        </is>
      </c>
      <c r="C86" t="inlineStr">
        <is>
          <t>Apple</t>
        </is>
      </c>
      <c r="D86" t="inlineStr">
        <is>
          <t>indeed</t>
        </is>
      </c>
      <c r="E86">
        <f>HYPERLINK("https://www.indeed.com/viewjob?jk=ef10386a49452303", "https://www.indeed.com/viewjob?jk=ef10386a49452303")</f>
        <v/>
      </c>
      <c r="F86">
        <f>HYPERLINK("https://jsv3.recruitics.com/redirect?rx_cid=3427&amp;rx_jobId=200641235-0157_rxr-660&amp;rx_url=https%3A%2F%2Fjobs.apple.com%2Fen-us%2Fdetails%2F200641235-0157%2Fsenior-software-engineer-cloud-services-engineering%3Fboard_id%3DJB001%26rx_campaign%3Dindeed0%26rx_ch%3Djobp4p%26rx_group%3D122365%26rx_id%3Da615c41f-f1ee-11f0-b21a-c99c84e77289%26rx_job%3D200641235-0157_rxr-660%26rx_medium%3Dcpc%26rx_r%3Dnone%26rx_source%3Dindeed%26rx_ts%3D20260115T163810Z%26rx_vp%3Dcpc%26team%3DSFTWR", "https://jsv3.recruitics.com/redirect?rx_cid=3427&amp;rx_jobId=200641235-0157_rxr-660&amp;rx_url=https%3A%2F%2Fjobs.apple.com%2Fen-us%2Fdetails%2F200641235-0157%2Fsenior-software-engineer-cloud-services-engineering%3Fboard_id%3DJB001%26rx_campaign%3Dindeed0%26rx_ch%3Djobp4p%26rx_group%3D122365%26rx_id%3Da615c41f-f1ee-11f0-b21a-c99c84e77289%26rx_job%3D200641235-0157_rxr-660%26rx_medium%3Dcpc%26rx_r%3Dnone%26rx_source%3Dindeed%26rx_ts%3D20260115T163810Z%26rx_vp%3Dcpc%26team%3DSFTWR")</f>
        <v/>
      </c>
      <c r="G86" t="inlineStr">
        <is>
          <t>Austin, TX, US</t>
        </is>
      </c>
      <c r="H86" s="2" t="n">
        <v>46036</v>
      </c>
      <c r="I86" t="inlineStr">
        <is>
          <t>Imagine what you could do at Apple! Here, phenomenal ideas have a way of becoming great products, services, and customer experiences very quickly. We are seeking an extraordinary Software Engineer to join us in Apple Services Engineering focusing on designing, implementing, and managing new capabilities and tools for Kubernetes across data centers, private compute, and public cloud environments. Our team is responsible for ensuring the robust and scalable Kubernetes infrastructure, supporting critical Apple services, and collaborating with diverse internal customers. If this interests your creative and development chops, come join our team!  
**Description**  
This is a highly technical, hands\-on role within Apple Services Engineering. You'll be instrumental in designing, implementing, and managing new capabilities and tools for Kubernetes across both data centers and private compute environments, as well as public cloud services.  
We're looking for someone with extensive and deep experience in infrastructure and application management, coupled with practical knowledge of Kubernetes, public cloud platforms, software engineering, operations, and automation. You'll be responsible for ensuring the robust and scalable operation of our Kubernetes infrastructure, supporting critical Apple services.  
A key aspect of this role involves building and managing relationships with a diverse set of internal customers who rely on the platform. Your ability to collaborate effectively will be critical to our collective success. You'll be joining a team of highly skilled, enthusiastic, and passionate engineers working in a leading\-edge and constantly evolving space.  
**Preferred Qualifications**  
Experience working with open source projects  
**Minimum Qualifications**  
2\+ YOE of strong Kubernetes knowledge  
2\+ YOE of proficiency with various programming languages such as Go or Java and API patterns using REST/gRPC  
Experience with developer tooling and containerization.  
Experience operating and developing infrastructure and services in public cloud environments  
Excellent communications skills, capable of working with cross functional technical and business teams and varying levels of management, in a professional manner.  
Bachelor's in Computer Science or equivalent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7">
      <c r="A87" t="inlineStr">
        <is>
          <t>in-40eb5448853e3411</t>
        </is>
      </c>
      <c r="B87" t="inlineStr">
        <is>
          <t>Software Engineer</t>
        </is>
      </c>
      <c r="C87" t="inlineStr">
        <is>
          <t>Apple</t>
        </is>
      </c>
      <c r="D87" t="inlineStr">
        <is>
          <t>indeed</t>
        </is>
      </c>
      <c r="E87">
        <f>HYPERLINK("https://www.indeed.com/viewjob?jk=40eb5448853e3411", "https://www.indeed.com/viewjob?jk=40eb5448853e3411")</f>
        <v/>
      </c>
      <c r="F87">
        <f>HYPERLINK("https://jsv3.recruitics.com/redirect?rx_cid=3427&amp;rx_jobId=200641231-3337_rxr-660&amp;rx_url=https%3A%2F%2Fjobs.apple.com%2Fen-us%2Fdetails%2F200641231-3337%2Fsoftware-engineer-traffic-jvm-frameworks%3Fboard_id%3DJB001%26rx_campaign%3Dindeed0%26rx_ch%3Djobp4p%26rx_group%3D122365%26rx_id%3Dadee20dd-f1ee-11f0-b21a-61347b253ffa%26rx_job%3D200641231-3337_rxr-660%26rx_medium%3Dcpc%26rx_r%3Dnone%26rx_source%3Dindeed%26rx_ts%3D20260115T163810Z%26rx_vp%3Dcpc%26team%3DSFTWR", "https://jsv3.recruitics.com/redirect?rx_cid=3427&amp;rx_jobId=200641231-3337_rxr-660&amp;rx_url=https%3A%2F%2Fjobs.apple.com%2Fen-us%2Fdetails%2F200641231-3337%2Fsoftware-engineer-traffic-jvm-frameworks%3Fboard_id%3DJB001%26rx_campaign%3Dindeed0%26rx_ch%3Djobp4p%26rx_group%3D122365%26rx_id%3Dadee20dd-f1ee-11f0-b21a-61347b253ffa%26rx_job%3D200641231-3337_rxr-660%26rx_medium%3Dcpc%26rx_r%3Dnone%26rx_source%3Dindeed%26rx_ts%3D20260115T163810Z%26rx_vp%3Dcpc%26team%3DSFTWR")</f>
        <v/>
      </c>
      <c r="G87" t="inlineStr">
        <is>
          <t>Seattle, WA, US</t>
        </is>
      </c>
      <c r="H87" s="2" t="n">
        <v>46036</v>
      </c>
      <c r="I87" t="inlineStr">
        <is>
          <t>Apple services need world class libraries in order to operate in a distributed, performant, and reliable fashion. We are responsible for delivering the JVM based libraries that meet the needs of Apple services. Examples of these libraries are Netty (https://netty.io/) and ServiceTalk (https://servicetalk.io/). Our team is passionate about enabling our partners, whether that’s delivering library changes, configuration changes, or guiding our peers on how to tuning their applications. If you are interested in digging into networking protocols all the way up to exposing these capabilities in a user friendly fashion then we’d love to hear from you!  
**Description**  
As an experienced software engineer you will contribute to and build JVM based libraries that enable services at Apple’s scale. This is an opportunity to develop and demonstrate your leadership skills, influencing and improving the networking stack for Apple services. You will have the opportunity to work with a team which is focused on impact across Apple. Senior engineers will be expected to excel at making informed technology choices within complex architectures. Your deep understanding of the organization's business, products, customers, and strategy will empower us to pinpoint opportunities aligning with our team's mission.  
We expect senior engineers to enable decisive choices even amid conflicting perspectives, demonstrating our commitment by disagreeing when necessary and then committing to the chosen path. Navigating ambiguity is our strength \- you will concentrate on the broader objectives, goals, and desired impact, taking deliberate steps forward. Our dedication extends to coaching and mentoring teammates, considering their unique skills, backgrounds, and working styles. You will actively seek and provide constructive feedback to foster growth within our team.  
Here you will find that we:  
* Have a collaborative work environment where you can choose when to socialize and when to focus.
* Provide technical guidance and mentorship.
* Have an encouraging and growth\-focused workplace culture.
* Encourage you to use accrued vacation time and maintain a healthy work\-life balance.
* Offer excellent benefits!
**Preferred Qualifications**  
Collaborative approach, working to make the team better  
A growth mindset  
Developed Java API design and evolution through the lifetime of a library  
Passionate about improving the team and partners you work with  
Professional expertise in Traffic/Edge Engineering or Cloud Networking  
Experience with async RPC libraries such as Netty, ServiceTalk, Finagle, VertX, Spring Reactor, gRPC Java, etc.  
Proficient with networking and inter\-process communication.  
C\+\+/JNI knowledge  
Understanding of popular networking protocols such as (but not limited to) HTTP/1\.x, HTTP/2, and HTTP/3 is desirable.  
Deep knowledge of Java Memory Model  
Understanding of how to do JVM performance analysis and make corresponding improvements  
Professional experience partnering with application and library developers to write more friendly code for the JVM/JDK  
Passionate about enabling internal partner teams  
**Minimum Qualifications**  
2\+YOE in the following:  
Understanding of concurrency and multi\-threaded concepts  
Understanding of Java Development Kit (e.g. Java APIs and library implementations)  
General knowledge about Garbage Collection and its impacts on library/application development  
General knowledge of large scale distributed systems  
Experience in Traffic/Edge Engineering or Cloud Networking  
General knowledge of Java Memory Model  
Bachelor’s of CS or equivalent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8">
      <c r="A88" t="inlineStr">
        <is>
          <t>in-4a9cf3d5b822a662</t>
        </is>
      </c>
      <c r="B88" t="inlineStr">
        <is>
          <t>Sr Software Engineer- Time Synchronization</t>
        </is>
      </c>
      <c r="C88" t="inlineStr">
        <is>
          <t>Apple</t>
        </is>
      </c>
      <c r="D88" t="inlineStr">
        <is>
          <t>indeed</t>
        </is>
      </c>
      <c r="E88">
        <f>HYPERLINK("https://www.indeed.com/viewjob?jk=4a9cf3d5b822a662", "https://www.indeed.com/viewjob?jk=4a9cf3d5b822a662")</f>
        <v/>
      </c>
      <c r="F88">
        <f>HYPERLINK("https://jsv3.recruitics.com/redirect?rx_cid=3427&amp;rx_jobId=200641178-0365_rxr-660&amp;rx_url=https%3A%2F%2Fjobs.apple.com%2Fen-us%2Fdetails%2F200641178-0365%2Fsr-software-engineer-time-synchronization%3Fboard_id%3DJB001%26rx_campaign%3Dindeed0%26rx_ch%3Djobp4p%26rx_group%3D122365%26rx_id%3Da97ce3c1-f1ee-11f0-b21a-0bd0851c429f%26rx_job%3D200641178-0365_rxr-660%26rx_medium%3Dcpc%26rx_r%3Dnone%26rx_source%3Dindeed%26rx_ts%3D20260115T163810Z%26rx_vp%3Dcpc%26team%3DSFTWR", "https://jsv3.recruitics.com/redirect?rx_cid=3427&amp;rx_jobId=200641178-0365_rxr-660&amp;rx_url=https%3A%2F%2Fjobs.apple.com%2Fen-us%2Fdetails%2F200641178-0365%2Fsr-software-engineer-time-synchronization%3Fboard_id%3DJB001%26rx_campaign%3Dindeed0%26rx_ch%3Djobp4p%26rx_group%3D122365%26rx_id%3Da97ce3c1-f1ee-11f0-b21a-0bd0851c429f%26rx_job%3D200641178-0365_rxr-660%26rx_medium%3Dcpc%26rx_r%3Dnone%26rx_source%3Dindeed%26rx_ts%3D20260115T163810Z%26rx_vp%3Dcpc%26team%3DSFTWR")</f>
        <v/>
      </c>
      <c r="G88" t="inlineStr">
        <is>
          <t>Boulder, CO, US</t>
        </is>
      </c>
      <c r="H88" s="2" t="n">
        <v>46036</v>
      </c>
      <c r="I88" t="inlineStr">
        <is>
          <t>Imagine what you could do at Apple! Everyday new ideas have a way of becoming extraordinary products, services, and customer experiences very quickly. Do you bring passion and dedication to your job? If so, we are looking for individuals like you. The Audio and Media Technologies Group (AMT) is at the center of audio, video and graphics support in Apple’s innovative products, including the AirPods, HomePod, Mac, iPhone, iPad, Apple Watch, Apple TV.  
The team is seeking an expert software engineer responsible for the development of time synchronization related drivers, frameworks and applications for the Mac, iOS, tvOS and visionOS hardware platforms. You will work hand\-in\-hand with the Audio Design \&amp; Engineering Team, innovating in small groups with high initiative. We're looking for a strong background in driver development, network protocols, and low level debugging.  
**Description**  
We are looking for a senior engineer with strong programming skills to work on upcoming Apple products. In this role, you will be responsible for the design and development of drivers, APIs and network protocols for new hardware and software releases at Apple. This role is perfect for someone who enjoys engaging at all layers of the software stack, from low level kernel drivers written in C\+\+, to higher level APIs and frameworks written in Objective C or Swift. It is an opportunity to make significant contributions to the core technologies that underpin many audio/video features at Apple such as AirPlay, Continuity Camera, and future projects. Some of the day to day responsibilities include:  
* Design, develop and debug network drivers, protocols and APIs for distributed systems
* Analyze and improve performance of clock synchronization across Apple devices
* Participate in monitoring industry standards bodies and new specification development
* Participate in medium and large scale software engineering processes
* Create and maintain engineering documents
**Preferred Qualifications**  
Experience with wireless MAC layers, IEEE 802\.11 standards and network performance  
Experience with IOKit, DriverKit or userspace driver development is a plus  
Experience in the audio or networking industries developing drivers or systems is a plus  
Understanding of UDP, IPv6, ARP/NDP, Bonjour, and IEEE 1588 / Precision Time Protocol is a plus  
**Minimum Qualifications**  
5 \+ years of experience in software development, debugging and testing  
Experience with kernel level programming, device drivers and/or real\-time systems software  
Experience with designing, implementing and analyzing performance of network protocols  
Excellent programming skills with knowledge of C, C\+\+, and Objective\-C or Swift  
Excellent written and verbal communication skills  
BS in Computer Science or Engineering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9">
      <c r="A89" t="inlineStr">
        <is>
          <t>in-1190b906b4315021</t>
        </is>
      </c>
      <c r="B89" t="inlineStr">
        <is>
          <t>Systems Software Engineer, Information Security</t>
        </is>
      </c>
      <c r="C89" t="inlineStr">
        <is>
          <t>Apple</t>
        </is>
      </c>
      <c r="D89" t="inlineStr">
        <is>
          <t>indeed</t>
        </is>
      </c>
      <c r="E89">
        <f>HYPERLINK("https://www.indeed.com/viewjob?jk=1190b906b4315021", "https://www.indeed.com/viewjob?jk=1190b906b4315021")</f>
        <v/>
      </c>
      <c r="F89">
        <f>HYPERLINK("https://jsv3.recruitics.com/redirect?rx_cid=3427&amp;rx_jobId=200641083-3337_rxr-660&amp;rx_url=https%3A%2F%2Fjobs.apple.com%2Fen-us%2Fdetails%2F200641083-3337%2Fsystems-software-engineer-information-security%3Fboard_id%3DJB001%26rx_campaign%3Dindeed0%26rx_ch%3Djobp4p%26rx_group%3D122365%26rx_id%3Dae146d57-f1ee-11f0-b21a-c7c63d7567f2%26rx_job%3D200641083-3337_rxr-660%26rx_medium%3Dcpc%26rx_r%3Dnone%26rx_source%3Dindeed%26rx_ts%3D20260115T163810Z%26rx_vp%3Dcpc%26team%3DCORSV", "https://jsv3.recruitics.com/redirect?rx_cid=3427&amp;rx_jobId=200641083-3337_rxr-660&amp;rx_url=https%3A%2F%2Fjobs.apple.com%2Fen-us%2Fdetails%2F200641083-3337%2Fsystems-software-engineer-information-security%3Fboard_id%3DJB001%26rx_campaign%3Dindeed0%26rx_ch%3Djobp4p%26rx_group%3D122365%26rx_id%3Dae146d57-f1ee-11f0-b21a-c7c63d7567f2%26rx_job%3D200641083-3337_rxr-660%26rx_medium%3Dcpc%26rx_r%3Dnone%26rx_source%3Dindeed%26rx_ts%3D20260115T163810Z%26rx_vp%3Dcpc%26team%3DCORSV")</f>
        <v/>
      </c>
      <c r="G89" t="inlineStr">
        <is>
          <t>Austin, TX, US</t>
        </is>
      </c>
      <c r="H89" s="2" t="n">
        <v>46036</v>
      </c>
      <c r="I89" t="inlineStr">
        <is>
          <t>Apple Information Security is responsible for protecting Apple’s data in transit and at rest. Apple employees and partners are always moving information from one system to another, or storing it on a server or device. Our job is to make sure Apple's information doesn't fall into the wrong hands.  
We are looking for a self\-motivated individual with an intuition for security who is not afraid to question assumptions. The ability to be results\-driven and comfortable with dynamic requirements, as well as having excellent interpersonal and time management skills, are keys to success in this position.  
As a member of our team, you will have the opportunity to collaborate with multi\-functional partners both internal and external to Apple to build innovative security products. You will support the development of embedded systems designed to enhance Apple’s security posture. You will be challenged to provide forward\-thinking solutions to problems and to be a good teammate under deadline constraints. Show us your talent in this challenging, fun, and exciting environment. It’s what makes us Apple.  
**Description**  
As an Engineer in Apple Information Security, you will:  
* Be designing, developing and deploying robust, scalable services and platforms that enable secure operations across the organization.
* Stay up\-to\-date with emerging security research, technologies and methodologies.
* Have experience performing root cause analysis to identify, understand, and address issues.
* Support, tune, and perfect Apple’s information security products for resiliency in hostile environments.
* Be a teammate, a leader, a student, and a mentor.
* Be challenged to work under pressure and with ambiguity.
* Be adept at shifting directions and priorities.
* Be detail\-oriented and self\-motivated.
* Excellent at multitasking, organizing, and prioritizing complex projects to meet deadlines.
* Cultivate your network by meeting new colleagues from across the business.
* Believe that automation, tooling and testing are critical parts of the software lifecycle.
**Preferred Qualifications**  
Experience in system architecture development, including driver and firmware development.  
Experience with developing and shipping high quality software products on iOS/macOS/tvOS.  
Ability to comprehend hardware specs and schematics.  
Programming background, in Swift, C, C\+\+ or Objective\-C.  
**Minimum Qualifications**  
Strong skills in common systems programming languages.  
Understanding of operating system fundamentals.  
Experience with framework and daemon development.  
Experience with hardware and/or software development lifecycle processes.  
Experience in continuous development practices (CI/CD, rollback, canaries, feature flags, etc.).  
Understanding of the latest configuration management technologies, security issues, and protocols.  
Understanding of authentication and authorization frameworks and protocols, e.g. OAuth/OpenID/SAML.  
Working knowledge of network security and applied cryptography.  
Ability to transition seamlessly to new technologies/frameworks.  
Ability to develop new and innovative applications as well as maintaining existing code.  
Ability to thrive in a self\-directed, fast\-paced environment, that is highly collaborative and multi\-functional.  
Ability to communicate effectively, both written and verbal, with technical and non\-technical people across functional teams.  
Ability to build and maintain strong internal and external collaborative relationships.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0">
      <c r="A90" t="inlineStr">
        <is>
          <t>in-c92d629489584fee</t>
        </is>
      </c>
      <c r="B90" t="inlineStr">
        <is>
          <t>Software Engineer (UI Solutions), AI &amp; Data Platforms (AiDP)</t>
        </is>
      </c>
      <c r="C90" t="inlineStr">
        <is>
          <t>Apple</t>
        </is>
      </c>
      <c r="D90" t="inlineStr">
        <is>
          <t>indeed</t>
        </is>
      </c>
      <c r="E90">
        <f>HYPERLINK("https://www.indeed.com/viewjob?jk=c92d629489584fee", "https://www.indeed.com/viewjob?jk=c92d629489584fee")</f>
        <v/>
      </c>
      <c r="F90">
        <f>HYPERLINK("https://jsv3.recruitics.com/redirect?rx_cid=3427&amp;rx_jobId=200624748-0157_rxr-660&amp;rx_url=https%3A%2F%2Fjobs.apple.com%2Fen-us%2Fdetails%2F200624748-0157%2Fsoftware-engineer-ui-solutions-ai-data-platforms-aidp%3Fboard_id%3DJB001%26rx_campaign%3Dindeed0%26rx_ch%3Djobp4p%26rx_group%3D122365%26rx_id%3Daecb1355-f1ee-11f0-b21a-8bd84e4c9735%26rx_job%3D200624748-0157_rxr-660%26rx_medium%3Dcpc%26rx_r%3Dnone%26rx_source%3Dindeed%26rx_ts%3D20260115T163810Z%26rx_vp%3Dcpc%26team%3DSFTWR", "https://jsv3.recruitics.com/redirect?rx_cid=3427&amp;rx_jobId=200624748-0157_rxr-660&amp;rx_url=https%3A%2F%2Fjobs.apple.com%2Fen-us%2Fdetails%2F200624748-0157%2Fsoftware-engineer-ui-solutions-ai-data-platforms-aidp%3Fboard_id%3DJB001%26rx_campaign%3Dindeed0%26rx_ch%3Djobp4p%26rx_group%3D122365%26rx_id%3Daecb1355-f1ee-11f0-b21a-8bd84e4c9735%26rx_job%3D200624748-0157_rxr-660%26rx_medium%3Dcpc%26rx_r%3Dnone%26rx_source%3Dindeed%26rx_ts%3D20260115T163810Z%26rx_vp%3Dcpc%26team%3DSFTWR")</f>
        <v/>
      </c>
      <c r="G90" t="inlineStr">
        <is>
          <t>Austin, TX, US</t>
        </is>
      </c>
      <c r="H90" s="2" t="n">
        <v>46036</v>
      </c>
      <c r="I90"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Would you like to work in a fast\-paced environment where your technical abilities will be challenged on a day to day basis? If so, Apple's Global Business Intelligence (GBI) team is seeking a UI Software Engineer to work on building and scaling best in class data and reporting apps presenting metrics \&amp; performance indicators with the least latency and outstanding user experience. We are looking for a team member will be able think outside of the box and should have real passion for building highly scalable data apps with end users in focus. You will engage directly with key business partners to understand the business strategies and solution needs. You will drive and lead functional \&amp; technical discussions with development teams and expected to design and own end to end applications.  
**Description**  
We are seeking a highly motivated and creative UI Software Engineer to join our global team spanning the US, Singapore, India and Europe. As a key player in our organization, you will be responsible for building high\-performance, user\-friendly, and outstanding web and native solutions.  
You will thrive in a collaborative environment, working independently and as part of cross\-functional teams to tackle complex problems with imaginative solutions. The ideal candidate is a self\-starter who can produce high\-quality software under tight constraints, interact optimally with internal teams, and lead the delivery of products that have a significant impact on Apple’s business in an exciting and constantly evolving environment.  
**Preferred Qualifications**  
5\+ years of experience in application development with an in\-depth understanding of data structures and algorithms  
Experience or understanding of iOS frameworks and related technologies, including SwiftUI OR React Native, UIKit, Core Data, etc.  
Collaboration \&amp; Communication: Strong written and verbal communication skills, with experience collaborating with UX Designers and cross\-functional teams.  
Database Proficiency: Understanding of working with various databases including Oracle, Snowflake, SinglesStore, Cassandra, and Redis  
Application Development \&amp; Testing: Experience in building unit tests using JavaScript testing frameworks, and testing browser\-based applications for cross\-browser compatibility  
Full\-Stack \&amp; DevOps Experience: Deep understanding of the full software development lifecycle, version control (Git), virtualization techniques (Kubernetes, Docker), and exposure to cloud methodologies (AWS preferred).  
Mobile App Development: Hands\-on experience with Xcode, App Store submission, review processes, and post\-launch support.  
Technical Adaptability: Excellent problem\-solving, critical thinking abilities, and a solid capacity to evaluate and apply new technologies quickly.  
**Minimum Qualifications**  
Strong expertise in ReactJS, along with other JavaScript frameworks such as AngularJS, Vue.js, etc.  
Experience working with Node.js, Redux, TypeScript, Webpack, npm, etc.  
Experience in developing rich user interfaces using HTML5 and CSS3\.  
Proven experience developing RESTful service layer components using Java OR Python OR GraphQL  
Bachelors or equivalent degree in Computer Science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1">
      <c r="A91" t="inlineStr">
        <is>
          <t>in-4aa15498a02dc751</t>
        </is>
      </c>
      <c r="B91" t="inlineStr">
        <is>
          <t>Systems Software Engineer, Information Security</t>
        </is>
      </c>
      <c r="C91" t="inlineStr">
        <is>
          <t>Apple</t>
        </is>
      </c>
      <c r="D91" t="inlineStr">
        <is>
          <t>indeed</t>
        </is>
      </c>
      <c r="E91">
        <f>HYPERLINK("https://www.indeed.com/viewjob?jk=4aa15498a02dc751", "https://www.indeed.com/viewjob?jk=4aa15498a02dc751")</f>
        <v/>
      </c>
      <c r="F91">
        <f>HYPERLINK("https://jsv3.recruitics.com/redirect?rx_cid=3427&amp;rx_jobId=200641083-0157_rxr-660&amp;rx_url=https%3A%2F%2Fjobs.apple.com%2Fen-us%2Fdetails%2F200641083-0157%2Fsystems-software-engineer-information-security%3Fboard_id%3DJB001%26rx_campaign%3Dindeed0%26rx_ch%3Djobp4p%26rx_group%3D122365%26rx_id%3Daed1f147-f1ee-11f0-b21a-9fb80bf68810%26rx_job%3D200641083-0157_rxr-660%26rx_medium%3Dcpc%26rx_r%3Dnone%26rx_source%3Dindeed%26rx_ts%3D20260115T163810Z%26rx_vp%3Dcpc%26team%3DCORSV", "https://jsv3.recruitics.com/redirect?rx_cid=3427&amp;rx_jobId=200641083-0157_rxr-660&amp;rx_url=https%3A%2F%2Fjobs.apple.com%2Fen-us%2Fdetails%2F200641083-0157%2Fsystems-software-engineer-information-security%3Fboard_id%3DJB001%26rx_campaign%3Dindeed0%26rx_ch%3Djobp4p%26rx_group%3D122365%26rx_id%3Daed1f147-f1ee-11f0-b21a-9fb80bf68810%26rx_job%3D200641083-0157_rxr-660%26rx_medium%3Dcpc%26rx_r%3Dnone%26rx_source%3Dindeed%26rx_ts%3D20260115T163810Z%26rx_vp%3Dcpc%26team%3DCORSV")</f>
        <v/>
      </c>
      <c r="G91" t="inlineStr">
        <is>
          <t>Austin, TX, US</t>
        </is>
      </c>
      <c r="H91" s="2" t="n">
        <v>46036</v>
      </c>
      <c r="I91" t="inlineStr">
        <is>
          <t>Apple Information Security is responsible for protecting Apple’s data in transit and at rest. Apple employees and partners are always moving information from one system to another, or storing it on a server or device. Our job is to make sure Apple's information doesn't fall into the wrong hands.  
We are looking for a self\-motivated individual with an intuition for security who is not afraid to question assumptions. The ability to be results\-driven and comfortable with dynamic requirements, as well as having excellent interpersonal and time management skills, are keys to success in this position.  
As a member of our team, you will have the opportunity to collaborate with multi\-functional partners both internal and external to Apple to build innovative security products. You will support the development of embedded systems designed to enhance Apple’s security posture. You will be challenged to provide forward\-thinking solutions to problems and to be a good teammate under deadline constraints. Show us your talent in this challenging, fun, and exciting environment. It’s what makes us Apple.  
**Description**  
As an Engineer in Apple Information Security, you will:  
* Be designing, developing and deploying robust, scalable services and platforms that enable secure operations across the organization.
* Stay up\-to\-date with emerging security research, technologies and methodologies.
* Have experience performing root cause analysis to identify, understand, and address issues.
* Support, tune, and perfect Apple’s information security products for resiliency in hostile environments.
* Be a teammate, a leader, a student, and a mentor.
* Be challenged to work under pressure and with ambiguity.
* Be adept at shifting directions and priorities.
* Be detail\-oriented and self\-motivated.
* Excellent at multitasking, organizing, and prioritizing complex projects to meet deadlines.
* Cultivate your network by meeting new colleagues from across the business.
* Believe that automation, tooling and testing are critical parts of the software lifecycle.
**Preferred Qualifications**  
Experience in system architecture development, including driver and firmware development.  
Experience with developing and shipping high quality software products on iOS/macOS/tvOS.  
Ability to comprehend hardware specs and schematics.  
Programming background, in Swift, C, C\+\+ or Objective\-C.  
**Minimum Qualifications**  
Strong skills in common systems programming languages.  
Understanding of operating system fundamentals.  
Experience with framework and daemon development.  
Experience with hardware and/or software development lifecycle processes.  
Experience in continuous development practices (CI/CD, rollback, canaries, feature flags, etc.).  
Understanding of the latest configuration management technologies, security issues, and protocols.  
Understanding of authentication and authorization frameworks and protocols, e.g. OAuth/OpenID/SAML.  
Working knowledge of network security and applied cryptography.  
Ability to transition seamlessly to new technologies/frameworks.  
Ability to develop new and innovative applications as well as maintaining existing code.  
Ability to thrive in a self\-directed, fast\-paced environment, that is highly collaborative and multi\-functional.  
Ability to communicate effectively, both written and verbal, with technical and non\-technical people across functional teams.  
Ability to build and maintain strong internal and external collaborative relationships.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2">
      <c r="A92" t="inlineStr">
        <is>
          <t>in-779059ee02832297</t>
        </is>
      </c>
      <c r="B92" t="inlineStr">
        <is>
          <t>Sr. System Software Engineer</t>
        </is>
      </c>
      <c r="C92" t="inlineStr">
        <is>
          <t>Apple</t>
        </is>
      </c>
      <c r="D92" t="inlineStr">
        <is>
          <t>indeed</t>
        </is>
      </c>
      <c r="E92">
        <f>HYPERLINK("https://www.indeed.com/viewjob?jk=779059ee02832297", "https://www.indeed.com/viewjob?jk=779059ee02832297")</f>
        <v/>
      </c>
      <c r="F92">
        <f>HYPERLINK("https://jsv3.recruitics.com/redirect?rx_cid=3427&amp;rx_jobId=200640729-3956_rxr-660&amp;rx_url=https%3A%2F%2Fjobs.apple.com%2Fen-us%2Fdetails%2F200640729-3956%2Fsr-system-software-engineer%3Fboard_id%3DJB001%26rx_campaign%3Dindeed0%26rx_ch%3Djobp4p%26rx_group%3D122365%26rx_id%3Da76882a7-f1ee-11f0-b21a-89e6da0c5be8%26rx_job%3D200640729-3956_rxr-660%26rx_medium%3Dcpc%26rx_r%3Dnone%26rx_source%3Dindeed%26rx_ts%3D20260115T163810Z%26rx_vp%3Dcpc%26team%3DHRDWR", "https://jsv3.recruitics.com/redirect?rx_cid=3427&amp;rx_jobId=200640729-3956_rxr-660&amp;rx_url=https%3A%2F%2Fjobs.apple.com%2Fen-us%2Fdetails%2F200640729-3956%2Fsr-system-software-engineer%3Fboard_id%3DJB001%26rx_campaign%3Dindeed0%26rx_ch%3Djobp4p%26rx_group%3D122365%26rx_id%3Da76882a7-f1ee-11f0-b21a-89e6da0c5be8%26rx_job%3D200640729-3956_rxr-660%26rx_medium%3Dcpc%26rx_r%3Dnone%26rx_source%3Dindeed%26rx_ts%3D20260115T163810Z%26rx_vp%3Dcpc%26team%3DHRDWR")</f>
        <v/>
      </c>
      <c r="G92" t="inlineStr">
        <is>
          <t>Sunnyvale, CA, US</t>
        </is>
      </c>
      <c r="H92" s="2" t="n">
        <v>46036</v>
      </c>
      <c r="I92" t="inlineStr">
        <is>
          <t>Join a team of passionate and creative engineers dedicated to building technologies that will shape the future. We are a cross\-functional group that thrives on collaboration, innovation, and tackling challenging problems to create products that are both profoundly useful and delightful to use. Our work lies at the intersection of groundbreaking hardware, software, and design, and we are looking for a key contributor to help us explore what's possible.  
We are seeking a versatile Sr. Software System Engineer with end\-to\-end expertise to accelerate the exploration of new concepts. In this role, you will be responsible for the entire lifecycle of complex concepts, from initial hardware design and sensor integration to software development and the application of machine learning. You are a builder at heart, someone who can seamlessly navigate the stack from low\-level firmware to high\-level applications to bring innovative ideas to life.  
**Description**  
As a Sr. Software Systems Engineer, you will be a critical member of a multi\-disciplinary team, responsible for rapidly prototyping and validating novel concepts. Your work will directly influence future product direction by demonstrating the viability and potential of new technologies.","responsibilities":"Designing, integrating, and testing multimodal sensor systems (e.g., cameras, LiDAR, IMUs)  
Developing and implementing low\-latency perception and sensor fusion algorithms.  
Designing and building precision electromechanical systems for actuation and control.  
Writing low\-level firmware, device drivers, and working with real\-time operating systems (RTOS).  
Applying machine learning (ML) models to solve complex problems in perception, calibration, and control.  
Rapidly prototyping intuitive user interfaces for human\-device interaction  
Collaborating closely with experts in machine learning and mechanical design to define and achieve project goals.  
**Preferred Qualifications**  
Proven experience in system integration, bringing together complex hardware (sensors, actuators) and software (firmware, control, perception) into a functional whole.  
Experience with a variety of sensor modalities (e.g., cameras, LiDAR, IMUs, depth sensors) and developing perception algorithms for object detection, tracking, or localization.  
Strong understanding of electromechanical systems, motor control theory, and implementation of real\-time control systems.  
Proficiency with embedded systems development, including firmware, real\-time operating systems (RTOS), and low\-level device drivers.  
Experience applying machine learning (ML) techniques to robotics problems such as perception, sensor fusion, or adaptive control.  
Experience in rapid prototyping and building user interfaces or interaction models for human\-robot interaction (HCI).  
Master’s or PhD in Robotics, Mechatronics, Computer Science, or a related field.  
**Minimum Qualifications**  
Bachelor’s degree in Robotics, Mechatronics, Mechanical Engineering, Electrical Engineering, Computer Science, or equivalent practical experience.  
5\+ years of hands\-on experience designing, building, and deploying robotic systems that encompass both hardware and software components.  
Experience programming in C\+\+ and/or Python for robotics applications.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3">
      <c r="A93" t="inlineStr">
        <is>
          <t>in-4cd6c82b51613455</t>
        </is>
      </c>
      <c r="B93" t="inlineStr">
        <is>
          <t>AirPods Software Engineer</t>
        </is>
      </c>
      <c r="C93" t="inlineStr">
        <is>
          <t>Apple</t>
        </is>
      </c>
      <c r="D93" t="inlineStr">
        <is>
          <t>indeed</t>
        </is>
      </c>
      <c r="E93">
        <f>HYPERLINK("https://www.indeed.com/viewjob?jk=4cd6c82b51613455", "https://www.indeed.com/viewjob?jk=4cd6c82b51613455")</f>
        <v/>
      </c>
      <c r="F93">
        <f>HYPERLINK("https://jsv3.recruitics.com/redirect?rx_cid=3427&amp;rx_jobId=200641069-0836_rxr-660&amp;rx_url=https%3A%2F%2Fjobs.apple.com%2Fen-us%2Fdetails%2F200641069-0836%2Fairpods-software-engineer%3Fboard_id%3DJB001%26rx_campaign%3Dindeed0%26rx_ch%3Djobp4p%26rx_group%3D122365%26rx_id%3Db194e1db-f1ee-11f0-b21a-d7e8dc92c55b%26rx_job%3D200641069-0836_rxr-660%26rx_medium%3Dcpc%26rx_r%3Dnone%26rx_source%3Dindeed%26rx_ts%3D20260115T163810Z%26rx_vp%3Dcpc%26team%3DSFTWR", "https://jsv3.recruitics.com/redirect?rx_cid=3427&amp;rx_jobId=200641069-0836_rxr-660&amp;rx_url=https%3A%2F%2Fjobs.apple.com%2Fen-us%2Fdetails%2F200641069-0836%2Fairpods-software-engineer%3Fboard_id%3DJB001%26rx_campaign%3Dindeed0%26rx_ch%3Djobp4p%26rx_group%3D122365%26rx_id%3Db194e1db-f1ee-11f0-b21a-d7e8dc92c55b%26rx_job%3D200641069-0836_rxr-660%26rx_medium%3Dcpc%26rx_r%3Dnone%26rx_source%3Dindeed%26rx_ts%3D20260115T163810Z%26rx_vp%3Dcpc%26team%3DSFTWR")</f>
        <v/>
      </c>
      <c r="G93" t="inlineStr">
        <is>
          <t>Cupertino, CA, US</t>
        </is>
      </c>
      <c r="H93" s="2" t="n">
        <v>46036</v>
      </c>
      <c r="I93" t="inlineStr">
        <is>
          <t>Do you want to help make magic happen? Be part of the team that delivers exceptional experiences like Spatial Audio, Precision Finding, Live Listen, and seamless connectivity across Apple's world\-class headphones and accessories. Join our team to drive innovation that matters to millions of customers worldwide.  
We provide the wireless foundation for Apple's innovative products such as AirPods and AirTags, crafting technologies that enrich people's lives and deliver an unparalleled user experience. We're looking for motivated engineers to design and implement amazing new features across the Apple ecosystem \- from deep embedded firmware to host\-side frameworks.  
**Description**  
Bring surprise and delight to our customers in this multi\-faceted software role that forms the pillar of AirPods, AirTags, and other accessories. You will be challenged with unique problems spanning the full stack \- from real\-time embedded firmware to system frameworks \- as you build and develop software solutions for current and next\-generation accessories.  
What makes this role unique is the end\-to\-end ownership: our team owns critical software components on both sides of the wireless connection \- the embedded  
firmware running on accessories and the system software on iOS/ visionOS devices. This dual ownership gives us the power to craft seamless connected experience and innovate across the entire stack. Whether you're debugging a tricky Bluetooth protocol issue, optimizing audio latency, or implementing a new feature that spans accessory and host, you'll be solving unique challenges that directly impact millions of users every day.","responsibilities":" Develop and maintain embedded Bluetooth stack features on resource\-constrained accessories with real\-time performance requirements  
Design and implement system software, daemons, and frameworks on iOS/visionOS  
Bring up new audio products and chipsets  
Ensure secure and private wireless communications across Apple's ecosystem  
Debug complex issues spanning iOS\-device software and accessory firmware  
Create diagnostic tools, telemetry systems, and testing infrastructure for cross\-platform features, working closely with QA  
Collaborate with a wide variety of cross\-functional teams to build and deliver end\-to\-end experiences  
Drive innovation on emerging wireless technologies and product features  
**Preferred Qualifications**  
Experience with Objective\-C, Objective\-C\+\+, or Swift  
Experience with real\-time operating systems (RTOS), embedded systems,  
firmware, device drivers, or low\-level system software  
Knowledge of real\-time audio or wireless technologies  
Passion for product ownership and track record of delivering features end\-to\-endApple Confidential  
**Minimum Qualifications**  
Bachelor’s degree in computer science, computer engineering, electrical engineering, or equivalent experience  
Strong C/C\+\+ programming skills with attention to code quality, performance, and maintainability  
Solid understanding of systems programming concepts: memory management, concurrency, state machines, and event\-driven architectures  
Strong analytical and debugging skills \- ability to dig deep into complex problems  
Thrive in collaborative environments with excellent written and verbal communication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4">
      <c r="A94" t="inlineStr">
        <is>
          <t>in-ca7ad85e75c6d74f</t>
        </is>
      </c>
      <c r="B94" t="inlineStr">
        <is>
          <t>Sr. Software Engineer - Systems &amp; Rendering Performance (Freeform), Vision Products Software</t>
        </is>
      </c>
      <c r="C94" t="inlineStr">
        <is>
          <t>Apple</t>
        </is>
      </c>
      <c r="D94" t="inlineStr">
        <is>
          <t>indeed</t>
        </is>
      </c>
      <c r="E94">
        <f>HYPERLINK("https://www.indeed.com/viewjob?jk=ca7ad85e75c6d74f", "https://www.indeed.com/viewjob?jk=ca7ad85e75c6d74f")</f>
        <v/>
      </c>
      <c r="F94">
        <f>HYPERLINK("https://jsv3.recruitics.com/redirect?rx_cid=3427&amp;rx_jobId=200640422-3337_rxr-660&amp;rx_url=https%3A%2F%2Fjobs.apple.com%2Fen-us%2Fdetails%2F200640422-3337%2Fsr-software-engineer-systems-rendering-performance-freeform-vision-products-software%3Fboard_id%3DJB001%26rx_campaign%3Dindeed0%26rx_ch%3Djobp4p%26rx_group%3D122365%26rx_id%3Dac722f67-f1ee-11f0-b21a-13080196fbf6%26rx_job%3D200640422-3337_rxr-660%26rx_medium%3Dcpc%26rx_r%3Dnone%26rx_source%3Dindeed%26rx_ts%3D20260115T163810Z%26rx_vp%3Dcpc%26team%3DSFTWR", "https://jsv3.recruitics.com/redirect?rx_cid=3427&amp;rx_jobId=200640422-3337_rxr-660&amp;rx_url=https%3A%2F%2Fjobs.apple.com%2Fen-us%2Fdetails%2F200640422-3337%2Fsr-software-engineer-systems-rendering-performance-freeform-vision-products-software%3Fboard_id%3DJB001%26rx_campaign%3Dindeed0%26rx_ch%3Djobp4p%26rx_group%3D122365%26rx_id%3Dac722f67-f1ee-11f0-b21a-13080196fbf6%26rx_job%3D200640422-3337_rxr-660%26rx_medium%3Dcpc%26rx_r%3Dnone%26rx_source%3Dindeed%26rx_ts%3D20260115T163810Z%26rx_vp%3Dcpc%26team%3DSFTWR")</f>
        <v/>
      </c>
      <c r="G94" t="inlineStr">
        <is>
          <t>Seattle, WA, US</t>
        </is>
      </c>
      <c r="H94" s="2" t="n">
        <v>46036</v>
      </c>
      <c r="I94" t="inlineStr">
        <is>
          <t>The visionOS Freeform team is looking for a senior engineer to deliver smooth, responsive, and power\-efficient spatial experiences on Apple Vision Pro. This role focuses on rendering performance, frame pacing, and cross\-layer systems debugging in close partnership with platform and performance teams across Apple. The work spans application behavior, system scheduling, memory, and rendering, with an emphasis on translating real\-world usage into durable, production\-ready improvements.  
As the product and platform mature, this role is expected to evolve and contribute broadly to complex systems challenges across visionOS, iOS, and macOS.  
**Description**  
You will work at the intersection of application behavior, rendering, and system infrastructure, investigating performance and power issues and driving high\-impact fixes. You will translate architectural direction into concrete execution, influence technical decisions through careful measurement and engineering judgment, and raise quality through code reviews, design discussions, and mentorship.","responsibilities":"Design, implement, and maintain performance\-critical systems related to rendering, frame scheduling, and responsiveness for Freeform on visionOS  
Investigate and resolve complex performance and power issues across application, framework, and system layers  
Partner closely with platform performance, power, and rendering teams to validate improvements and ensure changes land safely and measurably  
Provide architectural input to guide the evolution of performance\-sensitive systems as the product and platform mature  
Influence engineering quality through technical leadership, design reviews, and mentorship  
**Preferred Qualifications**  
Track record of shipping performance\-critical features or significant rendering improvements in large established codebases  
Experience improving frame pacing, latency, or responsiveness in interactive UI or graphics systems  
Familiarity with profiling and debugging tools such as Instruments, Time Profiler, signposts, and system traces  
Experience collaborating across teams to land cross\-cutting systems changes  
Interest in spatial computing, AR/VR technologies, or interactive graphics  
Experience with Metal debugging, GPU analysis, or system\-level performance investigations is a plus  
**Minimum Qualifications**  
BS, MS, or PhD in Computer Science or equivalent experience  
5\+ years of experience shipping complex software, including performance\-sensitive systems or applications  
Strong experience with graphics, rendering, or UI composition on Apple platforms such as CoreAnimation, CoreGraphics, RealityKit, Metal, or related technologies  
Demonstrated experience working on rendering pipelines, frame scheduling, and GPU/CPU coordination  
Proven ability to profile, diagnose, and improve performance, responsiveness, and efficiency on iOS or visionOS  
Experience debugging issues across layers including rendering, scheduling, memory, and I/O  
Experience writing high\-performance code in large codebases using Swift or Objective\-C  
Strong written and cross\-functional communication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5">
      <c r="A95" t="inlineStr">
        <is>
          <t>in-11f5c41fad424b50</t>
        </is>
      </c>
      <c r="B95" t="inlineStr">
        <is>
          <t>Manager Software Engineering</t>
        </is>
      </c>
      <c r="C95" t="inlineStr">
        <is>
          <t>DXC Technology</t>
        </is>
      </c>
      <c r="D95" t="inlineStr">
        <is>
          <t>indeed</t>
        </is>
      </c>
      <c r="E95">
        <f>HYPERLINK("https://www.indeed.com/viewjob?jk=11f5c41fad424b50", "https://www.indeed.com/viewjob?jk=11f5c41fad424b50")</f>
        <v/>
      </c>
      <c r="F95">
        <f>HYPERLINK("https://dxctechnology.wd1.myworkdayjobs.com/en-US/DXCJobs/job/USA---TX---RICHARDSON/Manager-Software-Engineering_51570498", "https://dxctechnology.wd1.myworkdayjobs.com/en-US/DXCJobs/job/USA---TX---RICHARDSON/Manager-Software-Engineering_51570498")</f>
        <v/>
      </c>
      <c r="G95" t="inlineStr">
        <is>
          <t>Richardson, TX, US</t>
        </is>
      </c>
      <c r="H95" s="2" t="n">
        <v>46036</v>
      </c>
      <c r="I95" t="inlineStr">
        <is>
          <t>**Job Description:**
**Essential Job Functions:** • Lead a team of software engineers to design, develop, and deliver software solutions. • Work with cross\-functional teams to define project requirements and ensure successful project delivery. • Provide mentorship and guidance to team members for professional development, conducting regular one\-on\-one meetings and performance assessments. • Contribute to the execution of the software engineering strategy, supporting the alignment of technology with business goals. • Lead agile development processes, managing sprint planning, execution, and retrospectives. • Collaborate with architects and senior engineers to ensure high\-quality code and design. • Monitor project progress, identifying and addressing any issues that may impact project timelines. • Foster a culture of collaboration, innovation, and continuous improvement within the team.
**Basic Qualifications:** • Bachelor's degree in a relevant field (i.e., Computer Science) or equivalent combination of education and experience • Typically, 7\+ years of relevant work experience in industry, with a minimum of 3 years in a similar role years of experience in software engineering • Experience in a managerial role, overseeing teams and/or projects • Proficiency in 1 or more software languages and development methodologies • Strong programming and debugging skills • Strong communication and team leadership skills • Ability to manage software projects and resources effectively **Other Qualifications:** • Advanced degree in a related field is a plus • Relevant certifications or training a plus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**If you are an applicant from the United States, Guam, or Puerto Rico**
DXC Technology Company (DXC) is an Equal Opportunity employer. All qualified candidates will receive consideration for employment without regard to race, color, religion, sex, sexual orientation, gender identity, national origin, age, disability, pregnancy, veteran status, genetic information, citizenship status, or any other basis prohibited by law. View postings below .
We participate in E\-Verify. In addition to the posters already identified, DXC provides access to prospective employees for the **Federal Minimum Wage Poster, Federal Polygraph Protection Act Poster as well as any state or locality specific applicant posters** . To access the postings in the link below, select your state to view all applicable federal, state and locality postings. Postings are available in English, and in Spanish, where required. View postings below.
Postings Link
**Disability Accommodations**
If you are an individual with a disability, a disabled veteran, or a wounded warrior and you are unable or limited in your ability to access or use this site as a result of your disability, you may request a reasonable accommodation by contacting us via email .
Please note: DXC will respond only to requests for accommodations due to a disability.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t>
        </is>
      </c>
    </row>
    <row r="96">
      <c r="A96" t="inlineStr">
        <is>
          <t>in-e945fbd260d654f0</t>
        </is>
      </c>
      <c r="B96" t="inlineStr">
        <is>
          <t>Full Stack Engineer</t>
        </is>
      </c>
      <c r="C96" t="inlineStr">
        <is>
          <t>Network Designs</t>
        </is>
      </c>
      <c r="D96" t="inlineStr">
        <is>
          <t>indeed</t>
        </is>
      </c>
      <c r="E96">
        <f>HYPERLINK("https://www.indeed.com/viewjob?jk=e945fbd260d654f0", "https://www.indeed.com/viewjob?jk=e945fbd260d654f0")</f>
        <v/>
      </c>
      <c r="F96">
        <f>HYPERLINK("https://netdes.isolvedhire.com/jobs/1685997-76852.html", "https://netdes.isolvedhire.com/jobs/1685997-76852.html")</f>
        <v/>
      </c>
      <c r="G96" t="inlineStr">
        <is>
          <t>McLean, VA, US</t>
        </is>
      </c>
      <c r="H96" s="2" t="n">
        <v>46036</v>
      </c>
      <c r="I96" t="inlineStr">
        <is>
          <t>**About NDi:**
Network Designs, Inc. (NDi) is a leading Federal contractor that specializes in designing, developing, and delivering information technology and network solutions for government customers. Founded in 1985, NDi's firmly defined core values have driven all aspects of the business, which have been paramount to our company's success and the establishment of an enjoyable workplace atmosphere. At NDi, we believe that our people are the cornerstone of our success, and we value collaboration, career growth, and winning ideas. **Military Veterans Encouraged to Apply.**
**Job Description:**
The Full Stack Developer will be responsible for designing, developing, and maintaining both the frontend and backend components of our web applications. This role involves collaborating with cross\-functional teams to deliver high\-quality software solutions that meet the needs of the organization. The candidate will work with various technologies and frameworks, ensuring the delivery of responsive and scalable applications that comply with security and industry standards.
**Requirements:**
* U.S Citizenship required.
* Must be able to obtain and maintain a Public Trust clearance
* This position is remote but may require occasional onsite meetings in McLean, VA.
* You can be based out of following states: AZ, DC, FL, GA, OH, ME, MD, SC, TX, UT, VA, NC, OK, WV.
**Qualifications and Experience:**
* Bachelor's Degree in Computer Science, Information Technology, or a related field.
* At least 8 years of experience in full stack development.
* Proficiency in frontend technologies including JSP and related web presentation technologies.
* Strong backend development skills using Java with Spring, Apache Struts, and Hibernate.
* Experience with legacy and healthcare\-focused systems such as MUMPS (VistA).
* Experience deploying and supporting applications on Oracle WebLogic.
* Experience with business rules and decision management using IBM ODM.
* Familiarity with healthcare data standards and integrations, including HL7\.\- Familiarity with CI/CD pipelines, version control (Git), and Agile methodologies.
* Strong understanding of security best practices and regulations (e.g., FedRAMP, HIPAA).
* Excellent problem\-solving skills and attention to detail.
* Strong communication skills and the ability to work collaboratively in a team environment.
* Ability to work independently and manage multiple priorities.
**Preferred Qualifications:**
* Experience in a government contracting environment.
* Relevant certifications in web development or cloud platforms.
**Responsibilities**
**Full Stack Development:**
* Design, develop, test, and deploy scalable and secure web applications using frontend and backend technologies.
* Implement APIs and ensure seamless integration between frontend and backend components.
**Collaboration:**
* Work closely with product owners, UI/UX designers, and other developers to translate requirements into technical specifications.
* Participate in Agile ceremonies including sprint planning, daily stand\-ups, sprint reviews, and retrospectives.
**Code Quality and Practices:**
* Write clean, maintainable, and well\-documented code following best practices.
* Perform code reviews and provide constructive feedback to other developers.
**Performance Optimization:**
* Optimize application performance, ensuring fast response times and efficient data handling.
* Monitor and improve the application's performance and scalability.
**Security and Compliance:**
* Ensure applications comply with security standards and regulations, such as FedRAMP and HIPAA.
* Implement security best practices to protect data integrity and user privacy.
**Continuous Improvement:**
* Stay updated with the latest technologies and trends in full stack development.
* Proactively seek opportunities to improve the applications and development processes.
**Documentation:**
* Maintain comprehensive documentation for code, processes, and system configurations.
* Provide technical documentation to support ongoing maintenance and future development.
**User Support and Issue Resolution:**
* Provide support to end\-users and stakeholders, addressing issues and resolving bugs promptly.
* Track, analyze, and resolve user\-reported issues efficiently.
**Compensation and Benefits:**
At NDi, we value our team and are committed to retaining top talent by offering competitive benefits and compensation packages. Our employee benefits package includes comprehensive health, dental, vision, pet, and legal insurance. Our corporate benefits include 401(k) retirement matching, paid leave, paid holidays, and health and wellness programs. In addition, we provide employer\-paid life and disability insurance, professional development, education benefits, and much more to ensure our team has the resources they need to thrive on and off the job.
***Veterans First*** **Commitment:**
As a Service\-Disabled Veteran\-Owned Small Business (SDVOSB), NDi is dedicated to hiring veterans and providing a supportive work environment that honors their service while recognizing the unique skills and experiences they bring to our organization.
**Commitment to Diversity:**
NDi is an Equal Opportunity Employer. We are committed to creating a diverse environment and are proud to be an equal\-opportunity employer. All qualified applicants will receive consideration for employment without regard to race, color, religion, sex, sexual orientation, gender identity, national origin, age, disability, veteran or military status, citizenship, national origin, or any other basis prohibited by law in all phases of the employment process and compliance with applicable federal, state, and local laws and regulations. As a federal government contractor, NDi complies with all applicable affirmative action requirements.
**Apply Now:**
Take advantage of this unique opportunity to join one of the fastest\-growing companies in Federal contracting!</t>
        </is>
      </c>
    </row>
    <row r="97">
      <c r="A97" t="inlineStr">
        <is>
          <t>in-eedccacfb5524e73</t>
        </is>
      </c>
      <c r="B97" t="inlineStr">
        <is>
          <t>Senior Software Engineer, Client Engineering</t>
        </is>
      </c>
      <c r="C97" t="inlineStr">
        <is>
          <t>Apollo</t>
        </is>
      </c>
      <c r="D97" t="inlineStr">
        <is>
          <t>indeed</t>
        </is>
      </c>
      <c r="E97">
        <f>HYPERLINK("https://www.indeed.com/viewjob?jk=eedccacfb5524e73", "https://www.indeed.com/viewjob?jk=eedccacfb5524e73")</f>
        <v/>
      </c>
      <c r="F97">
        <f>HYPERLINK("https://athene.wd5.myworkdayjobs.com/en-US/Apollo_Careers/job/El-Segundo-California/Senior-Software-Engineer--Client-Engineering_R252909", "https://athene.wd5.myworkdayjobs.com/en-US/Apollo_Careers/job/El-Segundo-California/Senior-Software-Engineer--Client-Engineering_R252909")</f>
        <v/>
      </c>
      <c r="G97" t="inlineStr">
        <is>
          <t>El Segundo, CA, US</t>
        </is>
      </c>
      <c r="H97" s="2" t="n">
        <v>46036</v>
      </c>
      <c r="I97" t="inlineStr">
        <is>
          <t>Position Overview
At Apollo, we’re a global team of alternative investment managers passionate about delivering uncommon value to our investors and shareholders. With over 30 years of proven expertise across Private Equity, Credit and Real Estate, regions, and industries, we’re known for our integrated businesses, our strong investment performance, our value\-oriented philosophy – and our people.
Apollo Insurance Solutions Group (ISG) provides tailored portfolio and asset management services to retirement services and insurance clients. We are seeking a Senior Engineer to join our Client Engineering team, where you will play a hands\-on role in building and operating the systems that support client\-facing operations, including onboarding and reporting.
This role is ideal for a seasoned back\-end or full\-stack engineer with a strong software engineering background and solid computer science fundamentals. You will spend the majority of your time designing, developing, and operating production systems in a complex, data\-driven financial environment, while also serving as a technical leader who mentors teammates and contributes to engineering excellence across the team.
Primary Responsibilities
Hands\-On Engineering \&amp; Ownership* Design, build, and maintain Python\-based services and APIs that support client onboarding, data ingestion, validation, and reporting.
* Own systems end to end, from technical design and implementation through deployment, monitoring, and production support.
* Build reliable, observable, and well\-tested platforms that handle business\-critical financial data at scale.
* Contribute to full\-stack components when required, including internal tools and client\-facing reporting interfaces.
System Design \&amp; Architecture* Lead the design of scalable, maintainable system architectures with a strong emphasis on correctness, performance, and operational simplicity.
* Make pragmatic architectural decisions that balance near\-term delivery with long\-term platform health.
* Continuously improve existing systems by reducing technical debt and operational risk.
Workflow \&amp; Platform Engineering* Design and implement workflow\-driven systems that orchestrate onboarding, approvals, validations, and reporting processes.
* Translate complex client, operational, and regulatory requirements into efficient and well\-engineered workflows.
* Drive automation and self\-service capabilities across the client lifecycle.
Collaboration \&amp; Technical Leadership* Act as a senior technical mentor, setting a high bar for engineering quality, ownership, and accountability.
* Partner closely with Product, Data, Operations, Security, and Compliance teams to deliver solutions aligned with business priorities.
* Provide hands\-on technical input into planning, estimation, and prioritization.
Qualifications \&amp; Experience
Required Qualifications* 6\+ years of professional software engineering experience, with deep expertise in back\-end development.
* Advanced proficiency in Python and modern Python frameworks (e.g., FastAPI, Flask, Django).
* Strong software engineering fundamentals, including system design, data modeling, testing, and code quality.
* Experience building distributed systems, APIs, and data\-intensive applications.
* Strong SQL skills and experience working with relational databases in production.
* Experience operating and supporting systems in production environments with high reliability and correctness requirements.
* Proven ability to take ownership and deliver independently in a high\-expectation environment.
* Ability to thrive in a fast\-paced, dynamic environment, balancing multiple tasks simultaneously.
* Entrepreneurial mindset with a strong sense of initiative and drive.
* Collaborate and adept working with professionals of all levels.
Preferred Qualifications* Full\-stack experience with modern front\-end technologies (e.g., React, TypeScript).
* Experience designing and building workflow\-based systems, including onboarding pipelines and approval or orchestration frameworks.
* Experience working with or building AI\-powered solutions, such as:
	+ LLM\-driven automation or decision support
	+ Intelligent document processing or data extraction
	+ AI\-assisted reporting, validation, or client\-facing tooling
* Experience with cloud platforms (AWS preferred) and infrastructure\-as\-code.
* Familiarity with financial services, client reporting, onboarding processes, or regulated environments.
* Exposure to event\-driven architectures, messaging systems, or data pipelines.
ABOUT APOLLO
Apollo is a high\-growth, global alternative asset manager. In our asset management business, we seek to provide our clients excess return at every point along the risk\-reward spectrum from investment grade to private equity with a focus on three investing strategies: yield, hybrid, and equity. For more than three decades, our investing expertise across our fully integrated platform has served the financial return needs of our clients and provided businesses with innovative capital solutions for growth. Through Athene, our retirement services business, we specialize in helping clients achieve financial security by providing a suite of retirement savings products and acting as a solutions provider to institutions. Our patient, creative, and knowledgeable approach to investing aligns our clients, businesses we invest in, our employees, and the communities we impact, to expand opportunity and achieve positive outcomes.
OUR PURPOSE AND CORE VALUES
Our clients rely on our investment acumen to help secure their future. We must never lose our focus and determination to be the best investors and most trusted partners on their behalf. We strive to be:
The leading provider of retirement income solutions to institutions, companies, and individuals.
The leading provider of capital solutions to companies. Our breadth and scale enable us to deliver capital for even the largest projects – and our small firm mindset ensures we will be a thoughtful and dedicated partner to these organizations. We are committed to helping them build stronger businesses.
A leading contributor to addressing some of the biggest issues facing the world today – such as energy transition, accelerating the adoption of new technologies, and social impact – where innovative approaches to investing can make a positive difference.
We are building a unique firm of extraordinary colleagues who:
Outperform expectations
Challenge Convention
Champion Opportunity
Lead responsibly
Drive collaboration
As One Apollo team, we believe that doing great work and having fun go hand in hand, and we are proud of what we can achieve together.
OUR BENEFITS
Apollo relies on its people to keep it a leader in alternative investment management, and the firm’s benefit programs are crafted to offer meaningful coverage for both you and your family. Please reach out to your Human Capital Business Partner for more detailed information on specific benefits.
Pay Range
$140,000 \- $205,000
Apollo Global Management, Inc. (together with its subsidiaries and affiliates) is committed to championing opportunity.
The firm and its affiliates comply with applicable discrimination and equal opportunities legislation in all of its jurisdictions and do not discriminate in employment or recruitment based on race, color, religion, gender, national origin, veteran status, disability, age, citizenship, marital or domestic/civil partnership status, sexual orientation, gender identity or expression or any other protected characteristic under applicable law.
The contents of the qualifications and experience section of this job description are a guideline only. If an applicant can otherwise demonstrate their suitability for the role they will be considered.*T**he base salary range for this position is listed above. This position is also eligible for a discretionary annual bonus based on personal, team, and Firm* *performance. Compensation* *ranges are based on several factors including job function, level, and geographic location. Final offer amounts are determined by multiple factors including candidate experience and expertise, and may vary from the amounts listed here.*</t>
        </is>
      </c>
    </row>
    <row r="98">
      <c r="A98" t="inlineStr">
        <is>
          <t>in-c10d21e9ae4a9434</t>
        </is>
      </c>
      <c r="B98" t="inlineStr">
        <is>
          <t>Software Engineer, Fulfillment Core Services</t>
        </is>
      </c>
      <c r="C98" t="inlineStr">
        <is>
          <t>Lyft</t>
        </is>
      </c>
      <c r="D98" t="inlineStr">
        <is>
          <t>indeed</t>
        </is>
      </c>
      <c r="E98">
        <f>HYPERLINK("https://www.indeed.com/viewjob?jk=c10d21e9ae4a9434", "https://www.indeed.com/viewjob?jk=c10d21e9ae4a9434")</f>
        <v/>
      </c>
      <c r="F98">
        <f>HYPERLINK("https://grnh.se/2wtuimpa2us", "https://grnh.se/2wtuimpa2us")</f>
        <v/>
      </c>
      <c r="G98" t="inlineStr">
        <is>
          <t>Seattle, WA, US</t>
        </is>
      </c>
      <c r="H98" s="2" t="n">
        <v>46036</v>
      </c>
      <c r="I98" t="inlineStr">
        <is>
          <t>At Lyft, our purpose is to serve and connect. We aim to achieve this by cultivating a work environment where all team members belong and have the opportunity to thrive.
Core Services powers the passenger and driver state machines from request and accept through drop\-off and payment completion. The team enables a multitude of ride variations like autonomous vehicles, taxis, scheduled, business concierge, health and more. The "Core Services" are a suite of distributed Python and Golang systems central to Lyft's backend.
As a software engineer on the team, you will work on integrating new rider and driver products and features onto the state machine and enhancing the performance and reliability of ride state transitions. If you are excited about solving back\-end distributed systems problems and owning a mission\-critical part of Lyft's operations, this team is for you.
As a software engineer at Lyft, you will collaborate with other engineers and cross\-functional teams, such as product, data science, and analytics, to lead and execute large projects—from concept to efficient execution. We are looking for a motivated Software Engineer who is passionate about solving challenging technical problems and excited to work in a fast\-paced, innovative, and cross\-functional environment. In this role, you will tackle some of the most interesting and impactful problems in ridesharing.
Key traits for success include being passionate about Lyft's business and product, a quick learner, a collaborative mindset, and an eagerness to drive initiatives both within and across teams. You'll be joining a small, close\-knit team with passionate, collaborative co\-workers.
**Responsibilities**
--------------------
* Design, develop, deploy, monitor, operate and maintain existing or new elements of the Fulfillment tech stack
* Write well\-crafted, well\-tested, readable, maintainable code
* Have a good grasp and ability to explain the various tradeoffs made in decisions
* Participate in code reviews to ensure code quality and distribute knowledge
* Lead projects from idea to positive execution
* Proactively participate in resolving ongoing incidents
* Unblock, support, effectively communicate, and obtain buy\-in across teams to achieve results
* Share your knowledge by giving brown bags, tech talks, and evangelizing appropriate tech and engineering best practices
**Experience**
--------------
* BS/MS or equivalent in Computer Engineering, Computer Science, or related field or relevant work experience
* 2\+ years of software engineering industry experience
* Proficiency in object\-oriented programming
* Experience designing, debugging and running fault\-tolerant, highly available, large\-scale distributed systems
* Experience working with public cloud platforms (e.g., AWS, GCP, Microsoft Azure, etc.)
* Proficiency in scripting languages to use APIs to automate manual processes
* Experience with common CI tools (Jenkins, Buildkite, CircleCI, TeamCity), and proficiency in at least one of those tools
* Solid knowledge of distributed systems, relational and NoSQL databases
* Ability to communicate in English in writing, meetings, and presentations
* Fulfillment owns services written in Golang and Python
**Benefits:**
-------------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Seattle area is $128,000 \- $160,000,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99">
      <c r="A99" t="inlineStr">
        <is>
          <t>in-1b0fce05395ad54b</t>
        </is>
      </c>
      <c r="B99" t="inlineStr">
        <is>
          <t>Cleared Junior Software Engineer</t>
        </is>
      </c>
      <c r="C99" t="inlineStr">
        <is>
          <t>Yellow Duck Technologies, Inc.</t>
        </is>
      </c>
      <c r="D99" t="inlineStr">
        <is>
          <t>indeed</t>
        </is>
      </c>
      <c r="E99">
        <f>HYPERLINK("https://www.indeed.com/viewjob?jk=1b0fce05395ad54b", "https://www.indeed.com/viewjob?jk=1b0fce05395ad54b")</f>
        <v/>
      </c>
      <c r="F99">
        <f>HYPERLINK("https://gethired.com/job/cleared-junior-software-engineer-1?rcid=inply", "https://gethired.com/job/cleared-junior-software-engineer-1?rcid=inply")</f>
        <v/>
      </c>
      <c r="G99" t="inlineStr">
        <is>
          <t>Annapolis Junction, MD, US</t>
        </is>
      </c>
      <c r="H99" s="2" t="n">
        <v>46036</v>
      </c>
      <c r="I99" t="inlineStr">
        <is>
          <t>Yellow Duck Technologies is actively seeking Junior Software Developers who hold TS/SCI Full Scope Polygraph clearance.  
Requirements:* **Must have an active TS/SCI clearance with Full Scope Polygraph**
* 3\+ years of experience and a bachelor's degree in a technical discipline
* Experience with Python, JavaScript, and/or Java
* Familiarity with database systems and version control systems
* Strong communication and collaboration abilities
Yellow Duck is hiring cleared technical professionals at all skill levels. If you possess an active TS/SCI clearance with Full Scope Polygraph, please submit your resume for a friendly follow\-up and quick job\-matching response!
*Yellow Duck Technologies provides equal employment opportunities (EEO) to all employees and applicants for employment without regard to race, color, ethnicity, religion, sex, sexual orientation, gender identity and expression, national origin, disability, genetic information, veteran status, or any other protected characteristic or class.*</t>
        </is>
      </c>
    </row>
    <row r="100">
      <c r="A100" t="inlineStr">
        <is>
          <t>in-ad248f31c4eea7f3</t>
        </is>
      </c>
      <c r="B100" t="inlineStr">
        <is>
          <t>Cleared AI/ML Software Engineer</t>
        </is>
      </c>
      <c r="C100" t="inlineStr">
        <is>
          <t>Yellow Duck Technologies, Inc.</t>
        </is>
      </c>
      <c r="D100" t="inlineStr">
        <is>
          <t>indeed</t>
        </is>
      </c>
      <c r="E100">
        <f>HYPERLINK("https://www.indeed.com/viewjob?jk=ad248f31c4eea7f3", "https://www.indeed.com/viewjob?jk=ad248f31c4eea7f3")</f>
        <v/>
      </c>
      <c r="F100">
        <f>HYPERLINK("https://gethired.com/job/cleared-ai-ml-software-engineer?rcid=inply", "https://gethired.com/job/cleared-ai-ml-software-engineer?rcid=inply")</f>
        <v/>
      </c>
      <c r="G100" t="inlineStr">
        <is>
          <t>Annapolis Junction, MD, US</t>
        </is>
      </c>
      <c r="H100" s="2" t="n">
        <v>46036</v>
      </c>
      <c r="I100" t="inlineStr">
        <is>
          <t>Yellow Duck Technologies is seeking a Software Engineer with TS/SCI FSP clearance to join our artificial intelligence and machine learning (AI/ML) team. Responsibilities include training, hosting, and the optimization of Large Language Model (LLM) instances within our computing environment.  
Requirements:* **Must have an active TS/SCI clearance with Full Scope Polygraph.**
* 12\+ years of experience in software engineering, with a focus on machine learning or natural language processing.
* Degree in Computer Science, Artificial Intelligence, or a related field.
* Strong expertise in deep learning frameworks such as TensorFlow, PyTorch, or MXNet.
* Proficiency in programming languages such as Python, C\+\+, or Java.
* Solid understanding of LLM architectures, training techniques, and evaluation methodologies.
* Familiarity with cloud platforms (e.g., AWS, GCP) and their machine learning services.
* Knowledge of software engineering best practices, including version control, testing, and continuous integration/deployment.
* Excellent problem\-solving and debugging skills.
* Strong communication and collaboration abilities to work effectively with cross\-functional teams.
Yellow Duck is hiring cleared technical professionals at all skill levels. If you possess an active TS/SCI clearance with Full Scope Polygraph, please submit your resume for a friendly follow\-up and quick job\-matching response!  
*Yellow Duck Technologies provides equal employment opportunities (EEO) to all employees and applicants for employment without regard to race, color, ethnicity, religion, sex, sexual orientation, gender identity and expression, national origin, disability, genetic information, veteran status, or any other protected characteristic or class.*</t>
        </is>
      </c>
    </row>
    <row r="101">
      <c r="A101" t="inlineStr">
        <is>
          <t>in-aebcd85ae49d8d6f</t>
        </is>
      </c>
      <c r="B101" t="inlineStr">
        <is>
          <t>Staff Software Engineer, Camera ISP (C++)</t>
        </is>
      </c>
      <c r="C101" t="inlineStr">
        <is>
          <t>Latitude AI</t>
        </is>
      </c>
      <c r="D101" t="inlineStr">
        <is>
          <t>indeed</t>
        </is>
      </c>
      <c r="E101">
        <f>HYPERLINK("https://www.indeed.com/viewjob?jk=aebcd85ae49d8d6f", "https://www.indeed.com/viewjob?jk=aebcd85ae49d8d6f")</f>
        <v/>
      </c>
      <c r="F101">
        <f>HYPERLINK("https://grnh.se/sdcmlmd71us", "https://grnh.se/sdcmlmd71us")</f>
        <v/>
      </c>
      <c r="G101" t="inlineStr">
        <is>
          <t>Palo Alto, CA, US</t>
        </is>
      </c>
      <c r="H101" s="2" t="n">
        <v>46036</v>
      </c>
      <c r="I101" t="inlineStr">
        <is>
          <t>Latitude AI (lat.ai) develops automated driving technologies, including L3, for Ford vehicles at scale. We're driven by the opportunity to reimagine what it's like to drive and make travel safer, less stressful, and more enjoyable for everyone.
When you join the Latitude team, you'll work alongside leading experts across machine learning and robotics, cloud platforms, mapping, sensors and compute systems, test operations, systems and safety engineering – ***all dedicated to making a real, positive impact on the driving experience for millions of people.***
As a Ford Motor Company subsidiary, we operate independently to develop automated driving technology at the speed of a technology startup. Latitude is headquartered in Pittsburgh with engineering centers in Dearborn, Mich., and Palo Alto, Calif.
**Meet the team:**
The Embedded Software team is responsible for developing the hardware drivers, sensor streaming, hardware safety monitoring, and vehicle interfaces for the autonomy system. As a Camera ISP software engineer on the sensor team, you will be responsible for the design and implementation of the ISP software algorithms, ISP integration and Image quality for the camera sensing system. We're looking for a Staff Software Engineer with strong C\+\+ expertise to work on Camera ISP (Image Signal Processing) systems. This role sits at the intersection of software, imaging algorithms and camera hardware.
**What you'll do:**
* Develop C\+\+ components for ISP control/configuration and data flow management
* Integrate and maintain vendor ISP libraries into the camera software stack
* Drive system\-level design decisions balancing image quality, performance and latency
* Work with ISP algorithms such as \- Auto Exposure(AE), Auto White Balance (AWB), Noise reduction, HDR and tone mapping
* Establish best practices for ISP bring\-up, tuning integration, Image quality debugging and ISP tuning validation and tuning releases
* Develop optimal imager register settings to balance image quality and pipeline needs by working closely with the imager vendor
* Debug image quality issues using raw frames, ISP statistics and camera pipeline logs
* Strategize ISP roadmap by collaborating closely with Camera Hardware team, Imager Vendor, SoC Vendor and external ISP vendors
**What you'll need to succeed:**
* Bachelor's degree in Computer Engineering, Computer Science, Electrical Engineering, Robotics or a related field and 7\+ years of relevant experience (or Master's degree and 5\+ years of relevant experience, or PhD and 2\+ years of relevant experience)
* Strong C\+\+ experience in modern C\+\+ with development of embedded systems.
* Solid understanding of Camera ISP concepts, imaging pipelines and hardware accelerators (ISP, GPU etc).
* Strong knowledge of camera hardware including \- Image Sensors, ISP hardware blocks and SoC architecture.
* Familiarity with low\-level debugging including registers, memory and timing issues.
* Experience with Linux or Embedded OS camera stacks
**Nice to have:**
* Experience with Automotive specific camera sensors and SoCs
* Familiarity with MIPI CSI\-2 / C\-PHY/ D\-PHY, Camera frameworks (OpenVx), Image quality tuning processes and image quality validation workflows
**What we offer you:**
* Competitive compensation packages
* High\-quality individual and family medical, dental, and vision insurance
* Health savings account with available employer match
* Employer\-matched 401(k) retirement plan with immediate vesting
* Employer\-paid group term life insurance and the option to elect voluntary life insurance
* Paid parental leave
* Paid medical leave
* Unlimited vacation
* 15 paid holidays
* Daily lunches, snacks, and beverages available in all office locations
* Pre\-tax spending accounts for healthcare and dependent care expenses
* Pre\-tax commuter benefits
* Monthly wellness stipend
* Adoption/Surrogacy support program
* Backup child and elder care program
* Professional development reimbursement
* Employee assistance program
* Discounted programs that include legal services, identity theft protection, pet insurance, and more
* Company and team bonding outlets: employee resource groups, quarterly team activity stipend, and wellness initiatives
Learn more about Latitude's team, mission and career opportunities at lat.ai!
The expected base salary range for this full\-time position in California is $218,240 \- $327,360 USD. Actual starting pay will be based on job\-related factors, including exact work location, experience, relevant training and education, and skill level. Latitude employees are also eligible to participate in Latitude's annual bonus programs, equity compensation, and generous Company benefits program, subject to eligibility requirements.
Candidates for positions with Latitude AI must be legally authorized to work in the United States on a permanent basis.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is>
      </c>
    </row>
    <row r="102">
      <c r="A102" t="inlineStr">
        <is>
          <t>in-e7e887dee7489cbf</t>
        </is>
      </c>
      <c r="B102" t="inlineStr">
        <is>
          <t>Software Developer (Provisioning)</t>
        </is>
      </c>
      <c r="C102" t="inlineStr">
        <is>
          <t>National Information Solutions Cooperative (NISC)</t>
        </is>
      </c>
      <c r="D102" t="inlineStr">
        <is>
          <t>indeed</t>
        </is>
      </c>
      <c r="E102">
        <f>HYPERLINK("https://www.indeed.com/viewjob?jk=e7e887dee7489cbf", "https://www.indeed.com/viewjob?jk=e7e887dee7489cbf")</f>
        <v/>
      </c>
      <c r="F102">
        <f>HYPERLINK("https://grnh.se/zcz4vb581us", "https://grnh.se/zcz4vb581us")</f>
        <v/>
      </c>
      <c r="G102" t="inlineStr">
        <is>
          <t>Bismarck, ND, US</t>
        </is>
      </c>
      <c r="H102" s="2" t="n">
        <v>46036</v>
      </c>
      <c r="I102" t="inlineStr">
        <is>
          <t>NISC develops and implements enterprise\-level and customer\-facing software solutions for over 960\+ energy cooperatives and communication organizations across North America. Our mission is to deliver technology solutions and services that are Member\-focused, quality\-driven and valued\-priced. We exist to serve our Members and help them serve their communities through our innovative software products, services and outstanding customer support. We are an AI\-forward company committed to being a technology leader in our industry. NISC has been ranked in ComputerWorld's Best Places to Work for 23 years, and we are looking for qualified individuals to join our team.
**Summary:**
Implementing NISC's Provisioning application – this provides provisioning and auditing capabilities from NISC to various telephone switches, television head ends, access software, and other third\-party software applications.
This position will work with the member/customer to effectively implement the applications. This includes working with a project manager to manage project timelines, communicating with internal and external individuals of project expectations, and configuring the application via creating or modifying the necessary interface code and applications options. It also includes analyzing the data from the member/customer's current system to ensure that it is properly converted into the NISC software.
**Work Schedule:**
* Hybrid (after an initial training period) from either of these office locations:
	+ Cedar Rapids, IA
	+ Mandan, ND
* Hybrid Schedule: Minimum of working 3 days per week in the office and ability to work up to all 5 days a week in the office, as needed
* Required Days from an Office Location: Tuesday and Wednesday \- the third required day will be up to the candidate and their supervisor to choose
**Essential Functions:**
* Performs basic research, design and development of software systems
* Utilizes NISC best practice for specific existing device implementations
* Works with Members on pre\-sales calls to confirm standard implementation requirements
* Researches, analyzes, and resolves basic to moderately complex software maintenance
* Provides superior customer support to internal and external customers in all encounters
* Participate in discussions involving software design
* Participate in code reviews; utilizes code reviews to improve quality of code
* Identify gaps in features and functionality in software and oversee resolution
* Follows all established software implementation methodologies and procedures
* Performs quality testing as it relates to system integration dependent on the tasks assigned
* Prepare and complete implementation documents
* Assists customers in all aspects of implementation including troubleshooting, training, and on\-going support
* Reviews and prioritizes assigned change requests
* Other duties as assigned
* Commitment to NISC's Statement of Shared Values
**Desired Job Experience:**
* Strong customer orientation
* Basic knowledge of Linux and Microsoft Windows
* Excellent research and problem\-solving skills with a strong attention to detail
* Excellent verbal and written interpersonal and communication skills
* Familiarity with Java
* Ability to organize and prioritize
* Ability to work independently, as well as in a team environment
* Ability to interact in a positive manner with internal and external contacts
* Basic programming skills required
* Familiarity with programming concepts such as expect4j, XML, SOAP, REST, etc.
* Familiarity with Application Programming Interfaces (API)
* Familiarity with .XSLT scripting and/or AWK scripting
* Commitment to NISC's Statement of Shared Values
**Desired Education:**
Bachelor's Degree in a Computer Science, MIS, IS, Business Administration, or technical degree
**Minimum Physical Requirements:**
The physical demands described here are representative of those that must be met by an employee to successfully perform the essential functions of this position. Reasonable accommodations may be made to enable individuals with disabilities to perform the essential functions. Employees must be able to see, speak, and hear, to operate computer keyboards or office equipment, and are required to stand, walk, and sit.
**Disclaimer:**
Management may modify this job description by assigning or reassigning duties and responsibilities at any time.</t>
        </is>
      </c>
    </row>
    <row r="103">
      <c r="A103" t="inlineStr">
        <is>
          <t>in-5d99fe8ab339ca53</t>
        </is>
      </c>
      <c r="B103" t="inlineStr">
        <is>
          <t>Junior Software Developer</t>
        </is>
      </c>
      <c r="C103" t="inlineStr">
        <is>
          <t>CACI International</t>
        </is>
      </c>
      <c r="D103" t="inlineStr">
        <is>
          <t>indeed</t>
        </is>
      </c>
      <c r="E103">
        <f>HYPERLINK("https://www.indeed.com/viewjob?jk=5d99fe8ab339ca53", "https://www.indeed.com/viewjob?jk=5d99fe8ab339ca53")</f>
        <v/>
      </c>
      <c r="F103">
        <f>HYPERLINK("https://careers.caci.com/global/en/job/CACIGLOBAL321137EXTERNALENGLOBAL/Junior-Software-Developer?utm_source=indeed&amp;utm_medium=phenom-feeds", "https://careers.caci.com/global/en/job/CACIGLOBAL321137EXTERNALENGLOBAL/Junior-Software-Developer?utm_source=indeed&amp;utm_medium=phenom-feeds")</f>
        <v/>
      </c>
      <c r="G103" t="inlineStr">
        <is>
          <t>National Harbor, MD, US</t>
        </is>
      </c>
      <c r="H103" s="2" t="n">
        <v>46036</v>
      </c>
      <c r="I103" t="inlineStr">
        <is>
          <t>Junior Software Developer
Job Category: Information Technology
Time Type: Full time
Minimum Clearance Required to Start: Secret
Employee Type: Regular
Percentage of Travel Required: Up to 25%
Type of Travel: Local
\* \* \***The Opportunity:**
CACI is seeking a versatile and skilled Software Junior Developer with expertise in both AI technologies and project management. This role will involve designing, coding, testing, and debugging software applications, with a focus on generative AI models and applications. The ideal candidate will have a strong understanding of software development principles, programming languages, and development tools, as well as the ability to manage projects according to predefined scope, schedule, budget, and quality standards. The developer will work collaboratively with cross\-functional teams to deliver high\-quality software solutions and innovative projects that leverage generative AI to create new content, enhance existing systems, and meet mission requirements. This position will also support FEMA Integrated Public Alert and Warning System (IPAWS) in leading the future of emergency communications with the public.
**Responsibilities:**
Software and Generative AI Development:
* Design, develop, and maintain software applications and generative AL models in accordance with project requirements.
* Serve as a key member of one or more prototyping teams, providing support to teammates and collaborating effectively to deliver functional software applications within tight deadlines.
* Engage actively in all agile delivery phases and ceremonies, including release and sprint planning, artifact creation, sprint testing, demonstrations, and retrospectives, to ensure seamless project execution and continuous improvement.
* Maintain a proactive stance in staying attuned to the latest advancements in AI technologies, tools, and best practices to ensure the application of cutting\-edge solutions in project delivery.
* Demonstrate the capability to work autonomously on complex tasks with minimal direction and management oversight, showcasing initiative and self\-motivation.
* Adhere to coding standards and best practices and ensure the ethical use of generative AI technologies and adherence to data privacy standards.
Project Management:
* Develop and maintain detailed project plans, including scope, schedule, budget, and resource allocation.
* Support project teams, providing guidance, support, and motivation to ensure project goals are met.
* Ensure project deliverables are completed on time, within scope, and to the required quality standards.
* Prepare and present project reports, dashboards, and documentation to stakeholders.
* Foster a collaborative environment and promote best practices in project management.
**Qualifications:**
*Required:*
* Must have a SECRET security clearance
* Bachelor’s degree in software development, Computer Engineering, or a related development discipline.
* Exhibit expertise in multiple programming languages, including but not limited to Python, Java, JavaScript, and TypeScript.
* Demonstrate proven experience with cloud services and platforms, such as AWS and Google Cloud, including the ability to deploy, manage, and scale applications effectively.
* Maintain a solid understanding of cloud architecture principles.
* Possess the ability to comprehend and manage API development and management processes.
* Minimum of 3 years in software development, with proven expertise in programming languages such as Java, Python, C\#, or similar, and experience with software development methodologies (e.g., Agile, Scrum).
* Minimum of 3 years in generative AI development, including proven experience with machine learning frameworks (e.g., TensorFlow, PyTorch) and generative models such as GANs, VAEs, and transformer\-based models, along with a strong background in deep learning and neural networks.
* Minimum of 2 years in project management, with a proven track record of successfully delivering projects, and experience in managing projects.
* Excellent problem\-solving and analytical skills, with the ability to understand API development and management.
* 
**\_\_\_\_\_\_\_\_\_\_\_\_\_\_\_\_\_\_\_\_\_\_\_\_\_\_\_\_\_\_\_\_\_\_\_\_\_\_\_\_\_\_\_\_\_\_\_\_\_\_\_\_\_\_\_\_\_\_\_\_\_\_\_\_\_\_\_\_\_\_\_\_\_\_\_\_\_\_\_\_\_\_\_\_\_\_\_\_**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$66,700 \- $133,300*CACI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104">
      <c r="A104" t="inlineStr">
        <is>
          <t>in-1879ccbb4059cec1</t>
        </is>
      </c>
      <c r="B104" t="inlineStr">
        <is>
          <t>Software Developer</t>
        </is>
      </c>
      <c r="C104" t="inlineStr">
        <is>
          <t>CACI International</t>
        </is>
      </c>
      <c r="D104" t="inlineStr">
        <is>
          <t>indeed</t>
        </is>
      </c>
      <c r="E104">
        <f>HYPERLINK("https://www.indeed.com/viewjob?jk=1879ccbb4059cec1", "https://www.indeed.com/viewjob?jk=1879ccbb4059cec1")</f>
        <v/>
      </c>
      <c r="F104">
        <f>HYPERLINK("https://careers.caci.com/global/en/job/CACIGLOBAL321132EXTERNALENGLOBAL/Software-Developer?utm_source=indeed&amp;utm_medium=phenom-feeds", "https://careers.caci.com/global/en/job/CACIGLOBAL321132EXTERNALENGLOBAL/Software-Developer?utm_source=indeed&amp;utm_medium=phenom-feeds")</f>
        <v/>
      </c>
      <c r="G104" t="inlineStr">
        <is>
          <t>Bethesda, MD, US</t>
        </is>
      </c>
      <c r="H104" s="2" t="n">
        <v>46036</v>
      </c>
      <c r="I104" t="inlineStr">
        <is>
          <t>Software Developer
Job Category: Information Technology
Time Type: Full time
Minimum Clearance Required to Start: TS/SCI with Polygraph
Employee Type: Regular
Percentage of Travel Required: None
Type of Travel: None
\* \* \***CACI is seeking a highly motivated and independent Software Developer to support an Intelligence Community (IC) customer focused on improving cross‑IC code sharing and enterprise software efficiency. This role requires a developer who thrives in autonomous environments, excels at creative problem‑solving, and can apply Agile methodologies within a mission‑critical setting. You will support software development for websites and web‑based applications used across the enterprise, ensuring consistent performance, usability, and modernization. You will own the full lifecycle of application development, sustainment, and modernization while collaborating with stakeholders across the organization**
-----------------------------------------------------------------------------------------------------------------------------------------------------------------------------------------------------------------------------------------------------------------------------------------------------------------------------------------------------------------------------------------------------------------------------------------------------------------------------------------------------------------------------------------------------------------------------------------------------------------------------------------------------------------------------------------------------------------------------
**Responsibilities:**
---------------------
* **Manage all aspects of the application lifecycle, including bug fixes, feature Design, develop, and modify enterprise grade software systems with an emphasis on UI/UX and scalable architecture**
---------------------------------------------------------------------------------------------------------------------------------------------------------------------------------------------------
* **Produce detailed technical specifications and write high quality, efficient, maintainable code**
--------------------------------------------------------------------------------------------------
* **Reverse engineer existing applications to understand system behavior and dependencies**
-----------------------------------------------------------------------------------------
* **Implement updates, patches, and modernization efforts to ensure system reliability and performance**
------------------------------------------------------------------------------------------------------
* **Document system architecture, workflows, and development processes for future reference**
-------------------------------------------------------------------------------------------
* **Provide user support, troubleshoot issues, and deliver timely resolutions**
-----------------------------------------------------------------------------
* **Evaluate modernization paths, including refactoring, re platforming, or replacing legacy components**
-------------------------------------------------------------------------------------------------------
* **Develop visually intuitive, content rich user interfaces with seamless navigation**
-------------------------------------------------------------------------------------
* **Analyze customer requirements and determine the most effective technologies and approaches to meet mission needs**
--------------------------------------------------------------------------------------------------------------------
* **Design, build, test, and maintain software applications aligned with customer requirements and enterprise standards**
-----------------------------------------------------------------------------------------------------------------------
* **Perform software process management and configuration management throughout the SDLC**
----------------------------------------------------------------------------------------
* **Resolve software issues and incorporate enhancements based on user feedback and mission priorities**
------------------------------------------------------------------------------------------------------
* **Support software architecture development, requirements analysis, process execution, and integration of COTS/GOTS tools with both new and legacy systems.**
-------------------------------------------------------------------------------------------------------------------------------------------------------------
**Qualifications:**
**Required:**
---------------------------------
* **Active TS/SCI with Polygraph**
--------------------------------
* **Bachelor’s degree and 8\+ years of relevant experience; or 10 years with AA/AS; or 12 years with HS diploma**
---------------------------------------------------------------------------------------------------------------
* **5\+ years in a leadership role**
----------------------------------
* **Proven experience in designing and implementing microservices architectures.**
--------------------------------------------------------------------------------
* **Strong knowledge of software architecture principles and practices.**
-----------------------------------------------------------------------
* **Excellent leadership, communication, and interpersonal skills.**
------------------------------------------------------------------
* **Ability to collaborate effectively with upper management and cross\-functional teams.**
-----------------------------------------------------------------------------------------
* **Demonstrated success in maximizing software reuse and driving profitability.**
--------------------------------------------------------------------------------
* **Ability to work independently and within agile team constructs to lead developers in fast paced, collaborative environments**
-------------------------------------------------------------------------------------------------------------------------------
* **Knowledge of modern software engineering, to include DevSecOps practices and continuous integration/continuous deployment (CI/CD) pipelines, version control, automated testing, and Agile software development best practices**
----------------------------------------------------------------------------------------------------------------------------------------------------------------------------------------------------------------------------------
* **Experience conducting software demonstrations and presenting technical capabilities**
---------------------------------------------------------------------------------------
* **Technical proficiency in:**
-----------------------------
	+ **WordPress**
	-------------
	+ **SharePoint**
	--------------
	+ **JavaScript**
	--------------
	+ **HTML/CSS**
	------------
	+ **REST APIs**
	-------------
	+ **React and/or Angular**
	------------------------
**Desired:**
------------
* **Experience using ServiceNow for ticketing, workflow tracking, and Agile/Scrum sprint boards**
-----------------------------------------------------------------------------------------------
* **Experience with AWS services (EC2, S3, CloudFormation, CloudWatch)**
----------------------------------------------------------------------
* **Familiarity with Git/GitLab for version control and CI/CD pipelines.**
------------------------------------------------------------------------
* 
**\_\_\_\_\_\_\_\_\_\_\_\_\_\_\_\_\_\_\_\_\_\_\_\_\_\_\_\_\_\_\_\_\_\_\_\_\_\_\_\_\_\_\_\_\_\_\_\_\_\_\_\_\_\_\_\_\_\_\_\_\_\_\_\_\_\_\_\_\_\_\_\_\_\_\_\_\_\_\_\_\_\_\_\_\_\_\_\_**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$103,800 \- $218,100*CACI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105">
      <c r="A105" t="inlineStr">
        <is>
          <t>in-f30122db95178a5d</t>
        </is>
      </c>
      <c r="B105" t="inlineStr">
        <is>
          <t>Senior Software Engineer, Data Lakehouse</t>
        </is>
      </c>
      <c r="C105" t="inlineStr">
        <is>
          <t>Braze</t>
        </is>
      </c>
      <c r="D105" t="inlineStr">
        <is>
          <t>indeed</t>
        </is>
      </c>
      <c r="E105">
        <f>HYPERLINK("https://www.indeed.com/viewjob?jk=f30122db95178a5d", "https://www.indeed.com/viewjob?jk=f30122db95178a5d")</f>
        <v/>
      </c>
      <c r="F105">
        <f>HYPERLINK("https://grnh.se/2kxljd5i1us", "https://grnh.se/2kxljd5i1us")</f>
        <v/>
      </c>
      <c r="G105" t="inlineStr">
        <is>
          <t>New York, NY, US</t>
        </is>
      </c>
      <c r="H105" s="2" t="n">
        <v>46036</v>
      </c>
      <c r="I105"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contribute: Acting with autonomy, having accountability and being open to new perspectives are essential to our continued success.
Our deep curiosity to learn and our eagerness to share diverse passions with others gives us balance and injects a one\-of\-a\-kind vibrancy into our culture.
If you are driven to solve exhilarating challenges and have a bias toward action in the face of change, you will be empowered to make a real impact here, with a sharp and passionate team at your back. If Braze sounds like a place where you can thrive, we can't wait to meet you.
**WHAT YOU'LL DO**
We're looking for a Senior Software Engineer to grow our Data Lakehouse team's capacity for impact. The Data Lakehouse team provides the foundational infrastructure and tools that enable teams across the company to store, query, and analyze data at scale. This includes managing an incredible amount of event data across data platforms like Snowflake and ClickHouse: tens of billions of rows are inserted daily, shared with internal teams, and shared with external customers.
**WHO YOU ARE**
* 6\+ years of full\-stack development experience, with a strong focus on building scalable web applications. While our primary focus is on the back\-end, we own our features end\-to\-end and regularly deliver front\-end experiences
* Experienced building automated data pipeline, asynchronous processing, or ETL applications using tools like Kafka, Airflow, Sidekiq, SQS, and RabbitMQ
* Experienced technical leader with a track record of driving architectural decisions and contributing to technical strategy
* Strong understanding of design, data structures, and algorithms
* A self\-starter with great communication and organizational skills who has worked in an agile team environment before
* Willingness to learn the technologies required to deliver what customers need
Bonus points:
* Professional experience building software at scale, handling high volumes of data and traffic
* Professional experience with Ruby on Rails, Python, React, Snowflake, microservice architecture, and distributed systems
* Familiarity with modern data warehousing, BI, and analytics
* Experience with agile processes
* A passion for incrementally delivering high\-quality software which delights customers
For candidates based in the United States, the pay range for this position at the start of employment is expected to be between $128,842 and $232,200/year with an expected On Target Earnings (OTE) between $144,000 and $258,000/year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
\#LI\-Hybrid
**WHAT WE OFFER**
*Braze benefits vary by location, and we encourage you to review our specific benefits offerings for each country* *here**. More details on benefits plans will be provided if you receive an offer of employment.*
From offering comprehensive benefits to fostering hybrid ways of working, we've got you covered so you can prioritize work\-life harmony. Braze offers benefits such as:
* Competitive compensation that may include equity
* Retirement and Employee Stock Purchase Plans
* Flexible paid time off
* Comprehensive benefit plans covering medical, dental, vision, life, and disability
* Family services that include fertility benefits and equal paid parental leave
* Professional development supported by formal career pathing, learning platforms, and a yearly learning stipend
* A curated in\-office employee experience, designed to foster community, team connections, and innovation
* Opportunities to give back to your community, including an annual company\-wide Volunteer Week and donation matching
* Employee Resource Groups that provide supportive communities within Braze
* Collaborative, transparent, and fun culture recognized as a Great Place to Work®
**ABOUT BRAZE**  
Braze is the leading customer engagement platform that empowers brands to Be Absolutely Engaging.™ Braze helps brands deliver great customer experiences that drive value both for consumers and for their businesses. Built on a foundation of composable intelligence, BrazeAI™ allows marketers to combine and activate AI agents, models, and features at every touchpoint throughout the Braze Customer Engagement Platform for smarter, faster, and more meaningful customer engagement. From cross\-channel messaging and journey orchestration to Al\-powered decisioning and optimization, Braze enables companies to turn action into interaction through autonomous, 1:1 personalized experiences.  
The company has repeatedly been recognized as a Leader in marketing technology by industry analysts, and was voted a G2 "Best of Marketing and Digital Advertising Software Product" in 2025\.  
Braze was also named a 2025 Best Companies To Work For by U.S. News \&amp; World Report, a 2025 America's Greatest Companies by Newsweek, and a 2025 Fortune Best Workplace in Technology™ by Great Place To Work®, among other accolades. Braze is also proudly certified as a Great Place to Work® in the U.S., the UK, Australia, and Singapore.  
The company is headquartered in New York with offices in Austin, Berlin, Bucharest, Chicago, Dubai, Jakarta, London, Paris, San Francisco, São Paulo, Singapore, Seoul, Sydney and Tokyo.
**BRAZE IS AN EQUAL OPPORTUNITY EMPLOYER**
At Braze, we strive to create equitable growth and opportunities inside and outside the organization.
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*you*.
We know that sometimes different circumstances can lead talented people to hesitate to apply for a role unless they meet 100% of the criteria. If this sounds familiar, we encourage you to apply, as we'd love to meet you.
*Please see our**Candidate Privacy Policy* *for more information on how Braze processes your personal information during the recruitment process and, if applicable based on your location, how you can exercise any privacy rights.*</t>
        </is>
      </c>
    </row>
    <row r="106">
      <c r="A106" t="inlineStr">
        <is>
          <t>in-0e70214441ee33de</t>
        </is>
      </c>
      <c r="B106" t="inlineStr">
        <is>
          <t>Senior Software Engineer, Data</t>
        </is>
      </c>
      <c r="C106" t="inlineStr">
        <is>
          <t>Acquisition.com</t>
        </is>
      </c>
      <c r="D106" t="inlineStr">
        <is>
          <t>indeed</t>
        </is>
      </c>
      <c r="E106">
        <f>HYPERLINK("https://www.indeed.com/viewjob?jk=0e70214441ee33de", "https://www.indeed.com/viewjob?jk=0e70214441ee33de")</f>
        <v/>
      </c>
      <c r="F106">
        <f>HYPERLINK("https://jobs.ashbyhq.com/acquisition/2edd72af-66c6-46a0-9134-0348c6af8557?utm_source=jwLM1vQLR1", "https://jobs.ashbyhq.com/acquisition/2edd72af-66c6-46a0-9134-0348c6af8557?utm_source=jwLM1vQLR1")</f>
        <v/>
      </c>
      <c r="G106" t="inlineStr">
        <is>
          <t>New York, NY, US</t>
        </is>
      </c>
      <c r="H106" s="2" t="n">
        <v>46036</v>
      </c>
      <c r="I106" t="inlineStr">
        <is>
          <t>**Role:**
=========
The Senior Software Engineer, Data will own the architecture, implementation, and evolution of Acquisition.com’s core data infrastructure, with a primary focus on finance, people, and legal data domains. This role is responsible for transforming data from a wide range of internal and external systems into trusted, well\-modeled assets that power our corporate dashboards and decision\-making.
You will operate in a lean, high\-ownership environment, taking data initiatives from concept to production. Your work will sit at the intersection of raw operational data and executive\-level insight, making complex systems simple, reliable, and actionable.
We are looking for someone who enjoys solving hard data problems, building durable pipelines, and continuously improving how data supports business operations. With the right architecture and tooling, you will materially reduce friction across the organization.
**Responsibilities:**
=====================
* Design, implement, and maintain robust, automated data pipelines using modern ETL and ELT tools, including Fivetran for ingestion and dbt for transformation and orchestration.
* Model and optimize data in Snowflake to support analytics, operational reporting, and automation, particularly for finance, people, and legal teams.
* Ensure data reliability through automated quality checks, monitoring, observability, and lineage visibility.
* Build reusable abstractions, libraries, and internal frameworks, primarily in TypeScript and SQL, to support scalable ingestion and transformation of structured and unstructured data.
* Partner closely with analytics, engineering, and business stakeholders to deliver consistent, executive\-ready insights through tools such as Metabase and a centralized corporate dashboard.
* Leverage AWS and infrastructure as code to manage data storage, compute, and deployment workflows in a secure and scalable way.
* Continuously evolve data architecture to meet changing needs around performance, scale, governance, security, and compliance.
**Requirements:**
=================
* 5\+ years of experience building and scaling modern data infrastructure in production environments.
* Strong experience designing and operating ETL and ELT workflows, ideally with Fivetran and dbt, in distributed data systems.
* Expert level SQL skills and proficiency in at least one general\-purpose language, with strong preference for TypeScript. Python or Scala experience is also valuable.
* Deep knowledge of Snowflake, analytical data modeling, and dbt best practices.
* Experience working with AWS, infrastructure as code, CI CD pipelines, and monitoring and alerting systems.
* Familiarity with agent\-driven development tools such as Cursor and Claude Code, or strong interest in adopting AI\-assisted development workflows.
* Experience supporting analytics and reporting use cases, ideally using Metabase.
**Results:**
============
* Reliable, automated data flows that power analytics, dashboards, and operational workflows.
* Significant reduction in manual reporting through self\-service, well\-modeled Snowflake assets and Metabase dashboards.
* Increased trust in data through strong validation, monitoring, and observability.
* Faster, higher\-quality decision\-making enabled by unified, well\-documented data models.
* A scalable, compliant, and future\-ready data ecosystem that supports continued company growth.
* Data solutions that deliver immediate business value while establishing long\-term architectural patterns.
**Schedule:**
=============
* Work hours aligned with local time zone or Pacific time zone 8a\-5p M\-F
* Flexible to travel to Vegas roughly 4\-6 times per year
* Must be flexible and able to work additional hours/weekends before workshop events/holidays if the situation warrants it
**Location:**
=============
* Remote, USA
* Must reside in AL, AZ, CA, FL, GA, IL, IN, MD, MI, MN, NV, NY, OH, OR, PA, TN, TX, UT, WA
**Compensation:**
=================
* $171,000 \- $220,000 base salary
*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**Benefits:**
=============
We offer a comprehensive, evolving benefits package designed to support your health, family, and wellbeing. Some key offerings:
* Flexible Unlimited Paid Time Off and Company\-wide Holidays
* Employer sponsored Medical, Dental, \&amp; Vision plans
	+ $1,950 annual Employer HSA contribution
	+ FSA options including dependent care
	+ Employee assistance program and mental health resources
* Employer match program for 401(k), eligible for both Traditional and Roth accounts
* $1,200 annual wellness reimbursement through JOON that supports health, family care, pet care, fitness, and more!
* For local or visiting team members, enjoy access to a state of the art gym at our HQ in Las Vegas
* ***Benefits eligibility applies only to full\-time roles.***
**ACQ Core Values:**
====================
Our core values are the heart and soul of this incredible company. The right person for this role will appreciate each of these values, personally subscribe to them, and understand why each is critical to having a great business.
**Competitive Greatness**
-------------------------
Be at your best when your best is needed. Enjoyment of a hard challenge. Those who have the drive to constantly improve, the superior intellect and long term commitment to see incremental improvements become compounding returns.
**Sincere Candor**
------------------
Have the self awareness to accurately perceive and communicate hard truths that improve others and self, the courage to do so, and the humility to accept them, even when it hurts. Nothing great can be built without feedback: internally or externally.
**Unimpeachable Character**
---------------------------
Be the type of person with whom people are always proud to associate, personally and professionally. We look for true alignment of thoughts, words, and actions towards a goal worth pursuing.
Compensation Range: $171K \- $220K</t>
        </is>
      </c>
    </row>
    <row r="107">
      <c r="A107" t="inlineStr">
        <is>
          <t>in-da995d428d5014b8</t>
        </is>
      </c>
      <c r="B107" t="inlineStr">
        <is>
          <t>Staff Software Engineer, Database Infrastructure</t>
        </is>
      </c>
      <c r="C107" t="inlineStr">
        <is>
          <t>GitHub</t>
        </is>
      </c>
      <c r="D107" t="inlineStr">
        <is>
          <t>indeed</t>
        </is>
      </c>
      <c r="E107">
        <f>HYPERLINK("https://www.indeed.com/viewjob?jk=da995d428d5014b8", "https://www.indeed.com/viewjob?jk=da995d428d5014b8")</f>
        <v/>
      </c>
      <c r="F107">
        <f>HYPERLINK("https://www.github.careers/careers-home/jobs/4866?lang=en-us", "https://www.github.careers/careers-home/jobs/4866?lang=en-us")</f>
        <v/>
      </c>
      <c r="G107" t="inlineStr">
        <is>
          <t>US</t>
        </is>
      </c>
      <c r="H107" s="2" t="n">
        <v>46036</v>
      </c>
      <c r="I107" t="inlineStr">
        <is>
          <t>* United States
* Engineering
* Experienced Professional
* Individual Contributor
* Yes
* 4866
* Full Time
**Job Description**
-------------------
**About GitHub**  
GitHub is the world’s leading platform for agentic software development — powered by Copilot to build, scale, and deliver secure software. Over 180 million developers, including more than 90% of the Fortune 100 companies, use GitHub to collaborate, and more than 77,000 organisations have adopted GitHub Copilot.  
**Locations**  
In this role you can work from Remote, United States  
**Overview**  
GitHub is looking for engineers to join our Database Infrastructure team. We're a team that focuses on ensuring the reliability and scalability of the databases that power GitHub. The Database platform is home to hundreds of terabytes of unique data, serving over 20 million queries per second on average across our fleet. We create self\-service infrastructure to empower engineers across the organization.
**Responsibilities*** Design and build a core part of GitHub’s infrastructure, work to scale our database solution
* Be a subject matter expert on MySQL and database administration within GitHub
* Cultivate open source projects developed at GitHub and build things you are proud to share
* Design, develop and maintain tooling for operating database systems and self\-service tooling for GitHub developers
* Write technical documentation on how to use internal tooling and best practices for leveraging MySQL
* Escalate risks and advocate for the health and quality of the systems that the team builds
* Participate in an on\-call rotation and respond to incidents as needed
* Develop and design plans for disaster recovery and systems failovers
* The team is highly distributed across geographies and timezones, and you will thrive in an environment of remote work and asynchronous communication
**Qualifications**  
Required Qualifications:
* 9\+ years experience in Software Engineering, Computer Science, or related technical discipline with proven experience maintaining and delivering production software coding in languages including, but not limited to, C, C\+\+, C\#, Java, JavaScript, Go, Ruby, Rust, or Python
	+ OR Associate’s Degree in Computer Science, Electrical Engineering, Electronics Engineering, Math, Physics, Computer Engineering, Computer Science, or related field AND 5\+ years experience in Software Engineering, Computer Science, or related technical discipline with proven experience maintaining and delivering production software coding in languages including, but not limited to, C, C\+\+, C\#, Java, JavaScript, Go, Ruby, Rust, or Python
	+ OR Bachelor's Degree in Computer Science, Electrical Engineering, Electronics Engineering, Math, Physics, Computer Engineering, Computer Science, or related field AND 4\+ years experience in Software Engineering, Computer Science, or related technical discipline with proven experience maintaining and delivering production software coding in languages including, but not limited to, C, C\+\+, C\#, Java, JavaScript, Go, Ruby, Rust, or Python
	+ OR Master's Degree in Computer Science, Electrical Engineering, Electronics Engineering, Math, Physics, Computer Engineering, Computer Science, or related field AND 2\+ years experience in Software Engineering, Computer Science, or related technical discipline with proven experience maintaining and delivering production software coding in languages including, but not limited to, C, C\+\+, C\#, Java, JavaScript, Go, Ruby, Rust, or Python.
	+ OR Doctorate in Computer Science, Electrical Engineering, Electronics Engineering, Math, Physics, Computer Engineering, Computer Science, or related field.
	+ OR equivalent experience
* 3\+ years experience in using monitoring tooling such as Datadog, Sentry, Prometheus, VividCortex, or similar to diagnose performance or availability issues
* 5\+ years experience building, deploying and maintaining databases at scale such as MySQL or PostgreSQL in Linux environments
Preferred Qualifications:
* Excitement about building, operating, and maintaining resilient, scalable systems that impact a global community of users with the ability to break down complex systems into manageable components
* Drive for observability to understand performance and be able to diagnose problems
* Effective communication skills and willingness to pair on problems, brainstorm in public, and enthusiastically engage with your teammates in group problem solving
* Experience writing design docs and getting consensus on technical decisions from a broader group
* Familiarity with database internals and experience with change management (especially database migrations)
**Compensation Range**  
The base salary range for this job is USD $140,400\.00 \- USD $372,300\.00 /Yr.  
These pay ranges are intended to cover roles based across the United States. An individual's base pay depends on various factors including geographical location and review of experience, knowledge, skills, abilities of the applicant. At GitHub certain roles are eligible for benefits and additional rewards, including annual bonus and stock. These rewards are allocated based on individual impact in role. In addition, certain roles also have the opportunity to earn sales incentives based on revenue or utilization, depending on the terms of the plan and the employee's role.
**GitHub values**
* Customer\-obsessed
* Ship to learn
* Growth mindset
* Own the outcome
* Better together
* Diverse and inclusive
**Manager fundamentals**
* Model
* Coach
* Care
**Leadership principles**
* Create clarity
* Generate energy
* Deliver success
**Who We Are**  
GitHub is the world’s leading AI\-powered developer platform with 150 million developers and counting. We’re also home to the biggest open\-source community on earth (and 99% of the world’s software has open\-source code in its DNA). Many of the apps and programs you use every day are built on GitHub.  
Our teams are dreamers, doers, and pioneers, leading the way in AI, driving humanitarian efforts around the globe, and even sending open source to Mars (and beyond!). At GitHub, our goal is to create the space you need to do your best work. We’re remote\-first and offer competitive pay, generous learning and growth opportunities, and excellent benefits to support you, wherever you are—because we know that people flourish when they can work on their own terms.  
Join us, and let’s change the world, together.  
**EEO Statement**  
GitHub is made up of people from a wide variety of backgrounds and lifestyles. We embrace diversity and invite applications from people of all walks of life. We don't discriminate against employees or applicants based on gender identity or expression, sexual orientation, race, religion, age, national origin, citizenship, disability, pregnancy status, veteran status, or any other differences. Also, if you have a disability, please let us know if there's any way we can make the interview process better for you; we're happy to accommodate!</t>
        </is>
      </c>
    </row>
    <row r="108">
      <c r="A108" t="inlineStr">
        <is>
          <t>in-933b81f03b46681d</t>
        </is>
      </c>
      <c r="B108" t="inlineStr">
        <is>
          <t>Senior Software Developer</t>
        </is>
      </c>
      <c r="C108" t="inlineStr">
        <is>
          <t>SAIC</t>
        </is>
      </c>
      <c r="D108" t="inlineStr">
        <is>
          <t>indeed</t>
        </is>
      </c>
      <c r="E108">
        <f>HYPERLINK("https://www.indeed.com/viewjob?jk=933b81f03b46681d", "https://www.indeed.com/viewjob?jk=933b81f03b46681d")</f>
        <v/>
      </c>
      <c r="F108">
        <f>HYPERLINK("https://jsv3.recruitics.com/redirect?rx_cid=3284&amp;rx_jobId=2600290&amp;rx_url=https%3A%2F%2Fjobs.saic.com%2Fjobs%2F17223209-senior-software-developer%3Fbid%3D336%26rx_a%3D0%26rx_c%3D%26rx_ch%3Djobp4p%26rx_group%3D116479%26rx_id%3D1bdd0eba-f1fc-11f0-af06-254b6dc8b543%26rx_job%3D2600290%26rx_medium%3Dcpc%26rx_r%3Dnone%26rx_source%3Dindeed%26rx_ts%3D20260115T200407Z%26rx_vp%3Dcpc%26tm_company%3D2520%26tm_event%3Dview%26tm_job%3D2600290", "https://jsv3.recruitics.com/redirect?rx_cid=3284&amp;rx_jobId=2600290&amp;rx_url=https%3A%2F%2Fjobs.saic.com%2Fjobs%2F17223209-senior-software-developer%3Fbid%3D336%26rx_a%3D0%26rx_c%3D%26rx_ch%3Djobp4p%26rx_group%3D116479%26rx_id%3D1bdd0eba-f1fc-11f0-af06-254b6dc8b543%26rx_job%3D2600290%26rx_medium%3Dcpc%26rx_r%3Dnone%26rx_source%3Dindeed%26rx_ts%3D20260115T200407Z%26rx_vp%3Dcpc%26tm_company%3D2520%26tm_event%3Dview%26tm_job%3D2600290")</f>
        <v/>
      </c>
      <c r="G108" t="inlineStr">
        <is>
          <t>Hampton, VA, US</t>
        </is>
      </c>
      <c r="H108" s="2" t="n">
        <v>46036</v>
      </c>
      <c r="I108" t="inlineStr">
        <is>
          <t>Job ID: 2600290
**Location:** HAMPTON, VA, US
**Date Posted:** 2026\-01\-14
**Category:** Software
**Subcategory:** SW Engineer
**Schedule:** Full\-time
**Shift:** Day Job
**Travel:** Yes, 10 % of the Time
**Minimum Clearance Required:** Secret
**Clearance Level Must Be Able to Obtain:** Secret
**Potential for Remote Work:** No
 **Description**
SAIC is looking for a Senior Software Developer Configuration Manager/ Full Stack Developer to join our team of the Air Operations Center Weapons System (AOC WS) Falconer Program. The ideal candidate serves as a member of the Engineering and Sustainment software development team. Provides technical and design aspects and aids in the innovation and creation of government software and programs. The developer shall provide a proactive approach to problem\-solving as well as a detailed understanding of software dev configuration management.
**Responsibilities Include:**  
* Work alongside a team of programmers and system engineers and shall seek to facilitate the proper design and implementation of software.
* Creating and maintaining GitLab Pipelines.
* Managing source code using git and git tools.
* Managing weekly deployments to Production environment.
* Diagnosing and troubleshooting operational problems.
* Must be able to work independently and represent the program and SAIC at meetings and working groups with government and associate contractors.
Qualifications \- External **Qualifications**
**Required Education \&amp; Experience:**
* Must have an active Secret clearance.
* Bachelors and nine (9\) years or more experience; Masters and seven (7\) years or more experience.
* Experience managing multiple environments including Production, Staging, User Acceptance, and Integration.
* Experience using NPM to configure Javascript\-based applications and manage dependencies.
* Experience using Gradle/Maven to configure Java\-based REST services and manage dependencies.
* Managing containerized environments with Docker and/or Kubernetes.
* Unix/Shell scripting.
* Visual Studio Code/JetBrains IntelliJ IDEA or similar IDEs.
* Java.
* Javascript/Typescript.
* Building REST services.
* Object\-Relational Mapping tools (Hibernate preferred).
* Frontend Javascript frameworks (Angular preferred).
* HTML/CSS.
* Backend testing frameworks such as JUnit and Mockito.
* Frontend testing frameworks such as Jasmine and Karma.
* Database schema design and implementation (MySQL preferred).
* SQL.
**Desired experience with the following tools/technology:**
* Nexus Repository Manager.
* Static security code analysis using Sonarqube/Fortify/Sbom.
* Managing Kubernetes deployments through Argo CD.
* AWS S3\.
* Spring Boot.
* Front end Javascript frameworks such as Angular/React.
* Testing frameworks such as JUnit and Karma.
* Integration testing using Cypress.
* OAuth.
* Spring Boot.
* Integration testing with Cypress.
* Backend Dependency management with Gradle/Maven.
* Frontend Dependency management with NPM.
* Unix/Shell scripting.</t>
        </is>
      </c>
    </row>
    <row r="109">
      <c r="A109" t="inlineStr">
        <is>
          <t>in-3cc5c0485c353d1e</t>
        </is>
      </c>
      <c r="B109" t="inlineStr">
        <is>
          <t>Sr. Full Stack Software Engineer / BCS</t>
        </is>
      </c>
      <c r="C109" t="inlineStr">
        <is>
          <t>Securiport</t>
        </is>
      </c>
      <c r="D109" t="inlineStr">
        <is>
          <t>indeed</t>
        </is>
      </c>
      <c r="E109">
        <f>HYPERLINK("https://www.indeed.com/viewjob?jk=3cc5c0485c353d1e", "https://www.indeed.com/viewjob?jk=3cc5c0485c353d1e")</f>
        <v/>
      </c>
      <c r="F109">
        <f>HYPERLINK("https://securiport1.bamboohr.com/careers/213", "https://securiport1.bamboohr.com/careers/213")</f>
        <v/>
      </c>
      <c r="G109" t="inlineStr">
        <is>
          <t>Reston, VA, US</t>
        </is>
      </c>
      <c r="H109" s="2" t="n">
        <v>46036</v>
      </c>
      <c r="I109" t="inlineStr">
        <is>
          <t>**Job Summary:** Securiport LLC is a US company based in Reston, VA, specializing in the design and implementation of passenger biometric recognition, immigration processing, and intelligent information reporting and management systems based on advanced technological solutions. Securiport provides a complete immigration processing solution and analytics to maintain border security. Services include technical analysis, design, implementation, and maintenance of Securiport’s software solutions, training, and technical support to the field operations.  
The Sr. Software Engineer will report to the Software Development Manager, and you will be part of a cohesive team of senior software engineers, DevOps engineers, QA engineers, and business analysts. The incumbent will help build and maintain applications for web and Windows platforms using C\#, SQL Server, and other tools. You will work on APIs, microservices, and distributed systems, contributing to a secure, scalable, and high\-performance software ecosystem.  
This is a hands\-on position; so be ready to demonstrate experience and skills.  
**Essential Functions**
* Experience with full lifecycle software development \- requirements, design, development, test, and delivery.
* Experience with multiple computer languages and frameworks, with strong experience in one modern enterprise language (e.g. C\#).
* Demonstrated understanding of relational databases (e.g. SQL Server).
* Demonstrated experience developing quality APIs (REST/gRPC), microservices, and data access software.
* Experience with GitHub.
Experience implementing unit testing.  
* 
**Required Knowledge, Skills, Abilities**
* Demonstrated experience with C\# and .NET development.
* Demonstrated experience with SQL Server.
* Familiarity with microservices and APIs.
* Demonstrated experience developing for Windows platform.
**Plus**
* Experience with asynchronous, distributed systems development.
* Experience with MongoDB.
* Knowledge of Docker and Kubernetes.
* Experience with Kafka.
* Familiarity with Agile methodologies.
* Experience with Azure DevOps.
* Knowledge of JavaScript/TypeScript.
Experience developing UIs using React or similar framework.  
* 
**Required Education, Certifications/ Licenses, Related Experience**
* Bachelor’s degree in Computer Science, Computer Engineering, or related field.
* 10 years’ experience in related field.
* In lieu of degree, a total number of 11 years of experience in related field will meet the education and related experience requirements listed above.
* Experience with commercial cloud architectures (Azure, Amazon AWS).
* Experience with working in a Kubernetes or Docker environment.
* Experience with distributed computing enablers such as Apache Kafka.
Experience with NoSQL databases such as DGraph and MongoDB.  
* 
**Physical Job Requirements**
* This position requires the ability to remain in a stationary position (standing and/or seated) all the time.
This position requires the ability to spend all the time viewing computer monitors.  
* 
**Travel Requirements**
This position eventually may require international travel.  
* 
Securiport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Securiport is committed to working with and providing reasonable accommodations to applicants with physical and mental disabilities. Please see the United States Department of Labor's EEO poster and EEO poster supplement for additional information.  
Disclaimer: Nothing in this job description restricts management's right to assign or reassign duties and responsibilities to this job at any time. The above statements are intended to describe the general nature and level of work being performed by people assigned to this position at the time this job description was written. They are not intended to be an exhaustive list of all duties, responsibilities and skills required of personnel so classified. This document does not create an employment contract, implied or otherwise, and all employees in this position are employed “at \-will. ”</t>
        </is>
      </c>
    </row>
    <row r="110">
      <c r="A110" t="inlineStr">
        <is>
          <t>in-5768a0f2710ed61d</t>
        </is>
      </c>
      <c r="B110" t="inlineStr">
        <is>
          <t>Sr. Software Engineer - .NET / TMS</t>
        </is>
      </c>
      <c r="C110" t="inlineStr">
        <is>
          <t>Securiport</t>
        </is>
      </c>
      <c r="D110" t="inlineStr">
        <is>
          <t>indeed</t>
        </is>
      </c>
      <c r="E110">
        <f>HYPERLINK("https://www.indeed.com/viewjob?jk=5768a0f2710ed61d", "https://www.indeed.com/viewjob?jk=5768a0f2710ed61d")</f>
        <v/>
      </c>
      <c r="F110">
        <f>HYPERLINK("https://securiport1.bamboohr.com/careers/212", "https://securiport1.bamboohr.com/careers/212")</f>
        <v/>
      </c>
      <c r="G110" t="inlineStr">
        <is>
          <t>Reston, VA, US</t>
        </is>
      </c>
      <c r="H110" s="2" t="n">
        <v>46036</v>
      </c>
      <c r="I110" t="inlineStr">
        <is>
          <t>**Job Summary:** Securiport LLC is a US company based in Reston, VA, that specializes in the design and implementation of full solutions for border security. This includes passenger biometric recognition, immigration processing, advanced threat detection and screening, and intelligent information reporting and management systems based on advanced technological solutions. Securiport provides a complete immigration processing solution and analytics to maintain border security. Services include technical analysis, design, implementation, and maintenance of Securiport’s software solutions, training, and technical support to the field operations.  
You will help build and maintain microservices\-based applications designed for threat detection, screening, and analysis. Our systems are primarily built in C\# and SQL Server, with Kafka as a plus. You will work on APIs, microservices, and distributed systems, contributing to a secure, scalable, and high\-performance software ecosystem.  
You will collaborate with senior developers, DevOps engineers, and data experts in an Agile team environment. This is a great opportunity to enhance your backend development, database, and cloud computing skills while gaining hands\-on experience with industry’s best practices.  
**Essential Functions**
* Experience with full lifecycle software development \- requirements, design, development, test, and delivery.
* Experience with multiple computer languages and frameworks, with strong experience in one modern enterprise language (e.g. C\#).
* Demonstrated understanding of relational databases (e.g. SQL Server, MySQL).
* Demonstrated experience developing quality APIs (REST/gRPC), microservices, and data access software.
* Experience with asynchronous, distributed systems development.
* Experience with GitHub.
* Experience with modern CI/CD technologies and principles (e.g. Azure DevOps, Jenkins).
* Firm understanding and experience with building and deploying software into Docker containers.
* Demonstrated experience on small (5\-10 members) Agile teams.
Excellent writing, communications, presentation, and design skills.  
* 
**Required Knowledge, Skills, Abilities**
* Experience with C\# and .NET development.
* Understanding of relational databases (SQL Server, MySQL).
* Familiarity with microservices and APIs.
* Exposure to GitHub and CI/CD tools (Azure DevOps, Jenkins).
* Basic knowledge of Docker and Kubernetes (a plus but not required).
* Any experience with Kafka is a plus but not mandatory.
Using Cloud for deployment (e.g. AWS, Azure).  
* 
**Required Education, Certifications/ Licenses, Related Experience**
* Bachelor’s Degree in Computer Science, Computer Engineering, or related field required.
* 8 years’ experience in related field required.
* In lieu of degree, a total number of 12 years of experience in related field will meet the education and related experience requirements listed above. A strong portfolio and/or relevant certifications will be taken into consideration.
* Understanding of cloud architecture (AWS, Azure).
* Using GitHub for code management.
* Familiarity with Agile methodologies; experience with Azure DevOps is a plus.
* Basic understanding of CI/CD principles; hands\-on experience is a plus.
**These skills are desired but not required:**
* JavaScript/TypeScript development
* Developing UIs using React or similar framework
* Building analytics that process large and diverse data sets
* Understanding of modern software\-defined networking and storage
Background in systems engineering or systems administration.  
* 
**Physical Job Requirements**
* This position requires the ability to remain in a stationary position (standing and/or seated) all the time
This position requires the ability to spend all the time viewing computer monitors  
* 
**Travel Requirements**
* This position has no travel requirements
This position is fully on site with no remote option.  
* 
Securiport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Securiport is committed to working with and providing reasonable accommodations to applicants with physical and mental disabilities. Please see the United States Department of Labor's EEO poster and EEO poster supplement for additional information.  
Disclaimer: Nothing in this job description restricts management's right to assign or reassign duties and responsibilities to this job at any time. The above statements are intended to describe the general nature and level of work being performed by people assigned to this position at the time this job description was written. They are not intended to be an exhaustive list of all duties, responsibilities and skills required of personnel so classified. This document does not create an employment contract, implied or otherwise, and all employees in this position are employed “at\-will”.</t>
        </is>
      </c>
    </row>
    <row r="111">
      <c r="A111" t="inlineStr">
        <is>
          <t>in-ef8113db76e22f26</t>
        </is>
      </c>
      <c r="B111" t="inlineStr">
        <is>
          <t>SP - Software Engineer - Mission Planning</t>
        </is>
      </c>
      <c r="C111" t="inlineStr">
        <is>
          <t>BayOne Solutions</t>
        </is>
      </c>
      <c r="D111" t="inlineStr">
        <is>
          <t>indeed</t>
        </is>
      </c>
      <c r="E111">
        <f>HYPERLINK("https://www.indeed.com/viewjob?jk=ef8113db76e22f26", "https://www.indeed.com/viewjob?jk=ef8113db76e22f26")</f>
        <v/>
      </c>
      <c r="F111">
        <f>HYPERLINK("https://www2.jobdiva.com/candidates/myjobs/openjob_outside.jsp?a=gqjdnwjcebrekv6n9h8rbmzzvmztk50234z9012psk4xgcxd6b4y7ufhtefg6g6v&amp;from=COMP&amp;id=27101072&amp;SearchString=&amp;StatesString=", "https://www2.jobdiva.com/candidates/myjobs/openjob_outside.jsp?a=gqjdnwjcebrekv6n9h8rbmzzvmztk50234z9012psk4xgcxd6b4y7ufhtefg6g6v&amp;from=COMP&amp;id=27101072&amp;SearchString=&amp;StatesString=")</f>
        <v/>
      </c>
      <c r="G111" t="inlineStr">
        <is>
          <t>Foster City, CA, US</t>
        </is>
      </c>
      <c r="H111" s="2" t="n">
        <v>46030</v>
      </c>
      <c r="I111" t="inlineStr">
        <is>
          <t>TL;DR
LOCATION
Foster City, CA, United States
WORK ENVIRONMENT
In\-person
EXPECTED PAY
136\.25 USD Per Hour
SCHEDULE
Full time (usually 30\+ hours/week)
ASSIGNMENT LENGTH
Contract
OPPORTUNITY END DATE
02/10/2026
Basic information
JOB DESCRIPTION
\*\*\* is helping our client find a Software Engineer \- Mission Planning to develop high\-level routing solutions that guide the company’s autonomous vehicles in transporting passengers safely and efficiently.
In this role, you’ll build tools and infrastructure that enable the Mission Planning team to analyze data, iterate quickly, and improve routing behavior. Your work will frequently interface with mission planning software and the robot platform, giving you the rare opportunity to see your ideas directly reflected in real\-world autonomous behavior.
The ideal candidate is analytical, creative, and excited about solving complex navigation challenges, and wants to build both the algorithms and the tools that power them.
**As a Software Engineer \- Mission Planning, you'll:**  
Investigate complex navigation and routing scenarios, determine root causes, and engineer solutions that optimize autonomous vehicle mission performance.
Build tools and automation to accelerate analysis—starting with manual workflows and progressively evolving them into scalable, repeatable systems.
Develop mission planning algorithms, including graph search techniques and integration with behavioral planning components.
Collaborate closely with cross\-functional engineering teams to ensure seamless integration of software components.
ABOUT AN AUTONOMOUS MOBILITY COMPANY
N/A
Role specifics and target candidate profile
IDEAL CANDIDATE PROFILE
Software Engineer Onsite in Foster City, CA The Mission Planner team at Client's is responsible for creating high\-level routes for our autonomous vehicles to transport passengers to their destinations. You will work closely with our Cloud Services team to facilitate pick\-up and drop\-off requests, along with live traffic data among other inputs. You will also integrate closely with the decision\-making and trajectory planning and controls teams to allow dynamic planning. This team will enable the core ability for our vehicles to choose the best routes through cities and adapt in real\-time. We are seeking an engineer who is passionate about tackling the complexities of mission planning in dynamic cities. In this role, you will help build the tools and infrastructure that empower the Mission Planning team—enabling faster analysis, experimentation, and iteration. Your work will often interface directly with mission planning software and the robot platform, giving you the opportunity to see your tools and ideas come to life in real\-world autonomous behavior. If you’re driven to design robust systems and enjoy seeing your software make an impact on the robot, we’d love to hear from you.
DAILY TASKS
**Qualifications:** Bachelor’s degree in an engineering, mathematics, or related field 6\+ years of industry experience working on large code bases Strong proficiency in TypeScript/JavaScript and one or more of the frontend frameworks/libraries like React/Vue.js/Angular Basic C\+\+ knowledge Experience with Linux and systems programming Experience with database, front\-end and back\-end systems Experience with build systems, version control, and testing methodologies
REQUIRED SKILLS
**Bonus Qualifications:** Understanding and experience with a variety of graph search techniques (A\*, D\*, Dijkstra) Strong proficiency in C\+\+
BUSINESS DRIVER OF ROLE
**In this role, you will:** Investigate and diagnose complex navigation scenarios, determine root causes, and engineer solutions to optimize autonomous vehicle routing behavior. Build tools and automation to accelerate analysis, starting with manual investigations and evolving toward scalable, repeatable workflows. Develop mission planner algorithms, including graph search and integration with behavioral planning Work collaboratively with passionate team members to support the integration of software components from all teams throughout Client's.
CONVERSION LIKELIHOOD
unlikely
CANDIDATE SELL
Work for Client's
Employment information
FULL\-TIME/PART\-TIME
full\_time
ADDITIONAL CONTEXT ON REMOTE HIRES
TIMEZONE PREFERENCES
Hiring logistics and due diligence
WORK SCHEDULE
**Onsite in Foster City, CA \| 5 days in office Schedule:** Monday to Friday 8am\-5pm
INTERVIEW PROCESS
30\-minute Manager Zoom 1\.5 hour panel interview On\-site portion for the panel interview required</t>
        </is>
      </c>
    </row>
    <row r="112">
      <c r="A112" t="inlineStr">
        <is>
          <t>in-ef5df2561562e58d</t>
        </is>
      </c>
      <c r="B112" t="inlineStr">
        <is>
          <t>Lead Software Engineer 5</t>
        </is>
      </c>
      <c r="C112" t="inlineStr">
        <is>
          <t>Cloudinfrait</t>
        </is>
      </c>
      <c r="D112" t="inlineStr">
        <is>
          <t>indeed</t>
        </is>
      </c>
      <c r="E112">
        <f>HYPERLINK("https://www.indeed.com/viewjob?jk=ef5df2561562e58d", "https://www.indeed.com/viewjob?jk=ef5df2561562e58d")</f>
        <v/>
      </c>
      <c r="F112">
        <f>HYPERLINK("https://www2.jobdiva.com/candidates/myjobs/openjob_outside.jsp?a=hwjdnw5uokx3jas4336qy2dnhk59je0b99jv2ca7nh17wutffybwfdoqe5eajsb4&amp;SearchString=&amp;StatesString=&amp;source=indeed.com&amp;id=27091612&amp;compid=-1", "https://www2.jobdiva.com/candidates/myjobs/openjob_outside.jsp?a=hwjdnw5uokx3jas4336qy2dnhk59je0b99jv2ca7nh17wutffybwfdoqe5eajsb4&amp;SearchString=&amp;StatesString=&amp;source=indeed.com&amp;id=27091612&amp;compid=-1")</f>
        <v/>
      </c>
      <c r="G112" t="inlineStr">
        <is>
          <t>Denver, CO, US</t>
        </is>
      </c>
      <c r="H112" s="2" t="n">
        <v>46028</v>
      </c>
      <c r="I112" t="inlineStr">
        <is>
          <t>JOB SUMMARY
This position is responsible for the design, development and support of new and existing software applications.
ESSENTIAL JOB FUNCTIONS AND RESPONSIBILITIES
* Acts as a subject matter expert in one of the following areas: front\-end user interface design
and implementation, middleware configuration and development, or back\-end service layer
design and development.
* Leads development projects across predominantly Java\-based technologies.
\-Manages the successful delivery of projects \- requires the ability to plan, coordinate and lead
activities across the full delivery lifecycle.
* Works closely with the department's project managers, business analysts, architects and
software engineers, as well as communicating with key project stakeholders.
* Works closely with peer team leaders; ensures the structured and coordinated planning of your
team's development.
* Supports and guides developers at the coding level.
* Responsible for the full development lifecycle of business applications developed using a
micro\-services architecture.
* Ensures projects adhere to the IT department's documented development methodology,
policies, procedures, and security guidelines.
* Provides direct technical support to software engineers.
* Participates in code reviews.
* Leads design meetings and work with software architects to develop the overall design of new
systems, modules, and data layouts.
* Writes functional and design documentation, user requirements, unit test plans, and user
documentation.
* Acts as scrum master when necessary.
* Interfaces with and support contractors and vendors when necessary.
* Provides input and guidance to the release management team.
* Works directly and foster strong relationships with peer IT groups.
* Presents product demonstrations to IT management and product stakeholders.
* Participates in other projects or duties as assigned.
* Occasional business travel may be required.
KNOWLEDGE, SKILLS AND ABILITIES
* Expert\-level knowledge in the design, development, and delivery of cloud\-native data and
application systems using AWS services such as Lambda (Python), API Gateway, EventBridge,
Glue, Athena, Step Functions, S3, and DynamoDB.
* Demonstrated ability to lead technical design and implementation of serverless, event\-driven data
architectures that enable scalable, secure, and maintainable solutions across the enterprise.
* Mastery of software engineering principles, programming patterns, and data engineering best
practices, including modular design, data modeling, and distributed processing.
* Proven proficiency in Python, SQL, and scripting for data transformation, validation, and
automation; familiarity with additional languages (e.g., TypeScript, Bash) as needed for integration
work.
* Deep understanding of data pipeline design (ETL/ELT) and data modeling for both NoSQL
(DynamoDB) and relational systems (SQL Server via pymssql), with focus on performance,
scalability, and data integrity.
* Experienced in data quality management, including rule\-based validation, reconciliation, and
monitoring through CloudWatch and log aggregation frameworks.
* Strong grasp of microservices and API\-first architecture, including design and deployment of
REST/GraphQL services for data access and consumption.
* Demonstrated leadership in continuous integration and continuous deployment (CI/CD) practices
using GitLab, and infrastructure as code (IaC) through AWS CDK or Terraform.
* Skilled in data analytics enablement and integration with Athena, QuickSight, and downstream BI
tools to expose actionable insights.
* Deep understanding of data governance, lineage, and security, ensuring compliance with HIPAA,
PHI, and PII handling standards across all environments.
* Experienced in test\-driven development (TDD) and test\-driven data development (TDDD),
implementing unit, integration, and validation frameworks for reliability and auditability.
* Provides technical direction and mentorship to engineering and data teams, fostering a culture of
collaboration, excellence, and continuous learning.
* Adept at influencing design decisions across teams and communicating architectural trade\-offs to
both technical and non\-technical audiences.
* Demonstrates strong problem\-solving and analytical skills, capable of diagnosing complex issues
across cloud, data, and integration layers.
* Works effectively in an Agile development environment, applying engineering best practices that
support iterative delivery and operational excellence.
* Excellent time management, prioritization, and communication skills, with the ability to coordinate
multiple parallel efforts while maintaining quality and consistency.
* Self\-starter and detail\-oriented individual who drives initiatives from concept through implementation
with minimal supervision.
* Proven ability to build cross\-functional relationships with product owners, analysts, and stakeholders
to ensure data solutions align with business outcomes.
* Demonstrates professionalism, accountability, and ownership, consistently delivering high\-quality
solutions under tight timelines.
EDUCATION AND TRAINING
* Bachelor Degree technical computer discipline required; Computer Science degree preferred.
* Ten (10\) plus years of industry experience.
* Previous employment in the healthcare or insurance industry preferred.
* Or equivalent combination of education and/or experience.
Other Competencies
\-Drive for Results \- Establishes aggressive goals and takes appropriate, calculated risks to
achieve results. Acts with a sense of urgency regarding personal and organizational goals and
priorities. Demonstrates discipline and does the right thing, even when it is difficult. Shows
determination and persistence in the face of challenges.
\-Customer\-Focus \- Listens to understand the customer s perspective and is patient with their
frustrations and struggles. Anticipates customer needs and demonstrates commitment to
exceeding their expectations. Shares ideas on how to enhance the customer experience.
Builds rapport with customers through being empathetic and demonstrating reliability.
\-Self\-Awareness \- Thinks through possible outcomes and impact on others before taking
action. Recognizes strong emotional reactions and directs the energy into productive behavior
and communication. Can articulate personal values and aspirations. Leverages personal
strengths while working on managing weaknesses.
\-Valuing Others \- Values and embraces the individuality of others by treating everyone with
dignity, respect, and compassion. Appreciates other cultures and perspectives and seeks
common ground through listening and demonstrating empathy. Credits others for their
contributions and accomplishments. Builds relationships across the organization through
transparency and extending trust to others.
\-Learning Agility and Development \- Seeks after and takes on challenging assignments to
broaden skills and perspective. Proactively seeks out resources to support personal
development (books, articles, online resources, company resources, subject matter experts,
etc.) Reflects on and discusses successes and failures to learn and strive for continuous</t>
        </is>
      </c>
    </row>
    <row r="113">
      <c r="A113" t="inlineStr">
        <is>
          <t>in-6491abc563ea5a93</t>
        </is>
      </c>
      <c r="B113" t="inlineStr">
        <is>
          <t>Software Developer</t>
        </is>
      </c>
      <c r="C113" t="inlineStr">
        <is>
          <t>Pleasant Valley Corporation</t>
        </is>
      </c>
      <c r="D113" t="inlineStr">
        <is>
          <t>indeed</t>
        </is>
      </c>
      <c r="E113">
        <f>HYPERLINK("https://www.indeed.com/viewjob?jk=6491abc563ea5a93", "https://www.indeed.com/viewjob?jk=6491abc563ea5a93")</f>
        <v/>
      </c>
      <c r="F113">
        <f>HYPERLINK("https://pleasant-valley-corporation.breezy.hr/p/1d98bea9abff-software-developer?source=indeed", "https://pleasant-valley-corporation.breezy.hr/p/1d98bea9abff-software-developer?source=indeed")</f>
        <v/>
      </c>
      <c r="G113" t="inlineStr">
        <is>
          <t>Medina, OH, US</t>
        </is>
      </c>
      <c r="H113" s="2" t="n">
        <v>46022</v>
      </c>
      <c r="I113" t="inlineStr">
        <is>
          <t>**Software Developer**
======================
*Join one of the nation's rapidly expanding leaders in Commercial Construction and Facility Management!*
**PLEASANT VALLEY CORPORATION****,** a successful and stable, family\-owned and operated Commercial Real Estate Firm established in 1976 and headquartered in Medina, Ohio, boasts a dynamic presence across four key divisions: Construction, Facility Management, Property Management, and Real Estate Brokerage. Our comprehensive suite of commercial property services is characterized by effective project management, proactive communication, top\-tier workmanship, and cutting\-edge solutions.
**WE OFFER:**
* An exceptional culture and positive work environment
* Competitive earnings
* Comprehensive benefits
* Personal recognition
* Individual development opportunities
* A clear path for career advancement!
\_\_\_\_\_\_\_\_\_\_\_\_\_\_\_\_\_\_\_\_\_\_\_\_\_\_\_\_\_\_\_\_\_\_\_\_\_\_\_\_\_\_\_\_\_\_\_\_\_\_\_\_\_\_\_\_\_\_\_
**Shift**
M\-F \| 8:30a – 5:00p
 **Work Location**
Onsite – Medina, Ohio
 **Division**
Shared Services
 **Team**
Information Technology
 **Reports To**
Software Development Manager
\_\_\_\_\_\_\_\_\_\_\_\_\_\_\_\_\_\_\_\_\_\_\_\_\_\_\_\_\_\_\_\_\_\_\_\_\_\_\_\_\_\_\_\_\_\_\_\_\_\_\_\_\_\_\_\_\_\_\_
**Job Purpose**
---------------
The Software Developer is responsible for designing, developing, and delivering innovative software solutions that align with the evolving needs of our clients and markets. This role focuses on leveraging Microsoft technologies, along with other modern, state\-of\-the\-art tools and frameworks, to build scalable, reliable, and forward\-looking applications.
\_\_\_\_\_\_\_\_\_\_\_\_\_\_\_\_\_\_\_\_\_\_\_\_\_\_\_\_\_\_\_\_\_\_\_\_\_\_\_\_\_\_\_\_\_\_\_\_\_\_\_\_\_\_\_\_\_\_\_
**Responsibilities**
--------------------
* **Design \&amp; Development:** Build high\-performing C\# microservices, REST APIs, distributed systems, and modern user interfaces using .NET Core, Blazor, and other UI frameworks.
* **Code Quality:** Write clean, maintainable code with proper documentation, conduct code reviews, and develop unit and integration tests to ensure reliability.
* **Problem Solving:** Troubleshoot internal systems, resolve technical challenges, and identify opportunities to enhance workflows and overall system performance.
* **Collaboration:** Work closely with Developers, QA, and Product teams in an Agile/SCRUM environment, sharing expertise and supporting peers to achieve project goals.
* **Continuous Improvement:** Stay current with emerging technologies, recommend new tools and processes, and contribute to the evolution of development standards and practices.
\_\_\_\_\_\_\_\_\_\_\_\_\_\_\_\_\_\_\_\_\_\_\_\_\_\_\_\_\_\_\_\_\_\_\_\_\_\_\_\_\_\_\_\_\_\_\_\_\_\_\_\_\_\_\_\_\_\_\_
**Requirements**
----------------
* **Experience \&amp; Education:** 3–5 years of related experience with a bachelor's degree in Information Technology or Business, or 5–7 years of related experience without a degree.
* **Technical Skills:** Advanced proficiency in .NET Core, Blazor, Microsoft SQL, C\#, JavaScript/TypeScript, HTML5, CSS, and JSON, with experience developing REST APIs.
* **Testing Expertise:** Minimum of 3 years using XUnit/NUnit or equivalent testing frameworks, manual testing best practices, and testing legacy applications.
* **Business Knowledge:** Entry\-level understanding of commercial construction, facility management, or real estate brokerage is preferred but not required.
* **Software Proficiency:** Working knowledge of MS Office (Word, Excel, PowerPoint, Outlook), CRM systems, SharePoint, and financial/budgeting software.
\_\_\_\_\_\_\_\_\_\_\_\_\_\_\_\_\_\_\_\_\_\_\_\_\_\_\_\_\_\_\_\_\_\_\_\_\_\_\_\_\_\_\_\_\_\_\_\_\_\_\_\_\_\_\_\_\_
### ***Do YOU have these qualities?***
**Apply now to explore a fulfilling career with Pleasant Valley Corporation!**</t>
        </is>
      </c>
    </row>
    <row r="114">
      <c r="A114" t="inlineStr">
        <is>
          <t>in-ef0a1a6f61cd7239</t>
        </is>
      </c>
      <c r="B114" t="inlineStr">
        <is>
          <t>Senior Software Engineer (Level 3)</t>
        </is>
      </c>
      <c r="C114" t="inlineStr">
        <is>
          <t>Lockheed Martin</t>
        </is>
      </c>
      <c r="D114" t="inlineStr">
        <is>
          <t>indeed</t>
        </is>
      </c>
      <c r="E114">
        <f>HYPERLINK("https://www.indeed.com/viewjob?jk=ef0a1a6f61cd7239", "https://www.indeed.com/viewjob?jk=ef0a1a6f61cd7239")</f>
        <v/>
      </c>
      <c r="F114">
        <f>HYPERLINK("https://click.appcast.io/t/8S-2Og4IrR2ogMS8YnVXE8PdrdoEb48034tTVWe-8go=", "https://click.appcast.io/t/8S-2Og4IrR2ogMS8YnVXE8PdrdoEb48034tTVWe-8go=")</f>
        <v/>
      </c>
      <c r="G114" t="inlineStr">
        <is>
          <t>Colorado Springs, CO, US</t>
        </is>
      </c>
      <c r="H114" s="2" t="n">
        <v>45967</v>
      </c>
      <c r="I114" t="inlineStr">
        <is>
          <t>**Job ID:** 709940BR
**Date posted:** Nov. 07, 2025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 Generating and simulating operational level plans to explore the art of the possible, how we could defend the ultimate high ground in a future space war
* Dynamically optimizing both terrestrial and space\-based sensors to provide comprehensive space domain awareness
* Strategically optimizing the placement and maneuvering of constellations of satellites to satisfy multiple, evolving priorities
Our team leverages industry standard open\-source software solutions such as GitLab, Kubernetes, Docker, and Rancher. Our automation\-first and "everything as code" mindset allows our software engineers to focus their time and efforts on what is most important \- building cutting edge functionality for our end users.
As a Software Engineer on an Agile Scrum Team, you will have the opportunity to rapidly develop and deploy solutions for a complex space system following core engineering principles, ultimately enabling the delivery of fully functioning mission capability to end users securely and continuously.  
**Basic Qualifications:**  
* Software development experience with .net or C\#
* Experience working in an Agile development environment, using tools such as Jira and Confluence
* US Citizenship Required: No clearance required to start, but the ability to obtain and maintain security clearance level required for position.
**Desired Skills:**  
* Software development experience with object\-oriented programming languages such as Java and JavaScript (Node.js)
* Experience with software version control tools, such as GIT
* Experience with CI/CD (e.g., deployment pipelines, automated build, configuration tools, etc.)
* Knowledge of database management systems, such as PostgreSQL or MySQL
* Experience with API design and development, such as RESTful APIs
\#LMSpaceSoftwareEng \#SpaceSecurity  
**Security Clearance Statement:** This position requires a government security clearance, you must be a US Citizen for consideration.  
**Clearance Level:** Top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115">
      <c r="A115" t="inlineStr">
        <is>
          <t>in-caf21010ad37cb8c</t>
        </is>
      </c>
      <c r="B115" t="inlineStr">
        <is>
          <t>Senior Software Engineer - Level 3</t>
        </is>
      </c>
      <c r="C115" t="inlineStr">
        <is>
          <t>Lockheed Martin</t>
        </is>
      </c>
      <c r="D115" t="inlineStr">
        <is>
          <t>indeed</t>
        </is>
      </c>
      <c r="E115">
        <f>HYPERLINK("https://www.indeed.com/viewjob?jk=caf21010ad37cb8c", "https://www.indeed.com/viewjob?jk=caf21010ad37cb8c")</f>
        <v/>
      </c>
      <c r="F115">
        <f>HYPERLINK("https://click.appcast.io/t/HO1Lyhj2rasnhIamgXLupEOcauzgDv3e3pa1_wdBCzU=", "https://click.appcast.io/t/HO1Lyhj2rasnhIamgXLupEOcauzgDv3e3pa1_wdBCzU=")</f>
        <v/>
      </c>
      <c r="G115" t="inlineStr">
        <is>
          <t>Colorado Springs, CO, US</t>
        </is>
      </c>
      <c r="H115" s="2" t="n">
        <v>45967</v>
      </c>
      <c r="I115" t="inlineStr">
        <is>
          <t>**Job ID:** 710000BR
**Date posted:** Nov. 07, 2025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 Generating and simulating operational level plans to explore the art of the possible, how we could defend the ultimate high ground in a future space war
* Dynamically optimizing both terrestrial and space\-based sensors to provide comprehensive space domain awareness
* Strategically optimizing the placement and maneuvering of constellations of satellites to satisfy multiple, evolving priorities
Our team leverages industry standard open\-source software solutions such as GitLab, Kubernetes, Docker, and Rancher. Our automation\-first and "everything as code" mindset allows our software engineers to focus their time and efforts on what is most important \- building cutting edge functionality for our end users.
As a Software Engineer on an Agile Scrum Team, you will have the opportunity to rapidly develop and deploy solutions for a complex space system following core engineering principles, ultimately enabling the delivery of fully functioning mission capability to end users securely and continuously.  
**Basic Qualifications:**  
* Software development experience with .net or C\#
* Experience working in an Agile development environment, using tools such as Jira and Confluence
* US Citizenship Required: No clearance required to start, but the ability to obtain and maintain security clearance level required for position.
**Desired Skills:**  
* Software development experience with object\-oriented programming languages such as Java and JavaScript (Node.js)
* Experience with software version control tools, such as GIT
* Experience with CI/CD (e.g., deployment pipelines, automated build, configuration tools, etc.)
* Knowledge of database management systems, such as PostgreSQL or MySQL
* Experience with API design and development, such as RESTful APIs
\#LMSpaceSoftwareEng \#SpaceSecurity  
**Security Clearance Statement:** This position requires a government security clearance, you must be a US Citizen for consideration.  
**Clearance Level:** Top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116">
      <c r="A116" t="inlineStr">
        <is>
          <t>in-1a77ac3c32d3ce41</t>
        </is>
      </c>
      <c r="B116" t="inlineStr">
        <is>
          <t>Software Engineer (Level 2)</t>
        </is>
      </c>
      <c r="C116" t="inlineStr">
        <is>
          <t>Lockheed Martin</t>
        </is>
      </c>
      <c r="D116" t="inlineStr">
        <is>
          <t>indeed</t>
        </is>
      </c>
      <c r="E116">
        <f>HYPERLINK("https://www.indeed.com/viewjob?jk=1a77ac3c32d3ce41", "https://www.indeed.com/viewjob?jk=1a77ac3c32d3ce41")</f>
        <v/>
      </c>
      <c r="F116">
        <f>HYPERLINK("https://click.appcast.io/t/j0SFSe_LPhrJWbPewVoxxhADCWGP3MnsZ9hPeXdB0Hw=", "https://click.appcast.io/t/j0SFSe_LPhrJWbPewVoxxhADCWGP3MnsZ9hPeXdB0Hw=")</f>
        <v/>
      </c>
      <c r="G116" t="inlineStr">
        <is>
          <t>Colorado Springs, CO, US</t>
        </is>
      </c>
      <c r="H116" s="2" t="n">
        <v>45967</v>
      </c>
      <c r="I116" t="inlineStr">
        <is>
          <t>**Job ID:** 709925BR
**Date posted:** Nov. 07, 2025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 Generating and simulating operational level plans to explore the art of the possible, how we could defend the ultimate high ground in a future space war
* Dynamically optimizing both terrestrial and space\-based sensors to provide comprehensive space domain awareness
* Strategically optimizing the placement and maneuvering of constellations of satellites to satisfy multiple, evolving priorities
Our team leverages industry standard open\-source software solutions such as GitLab, Kubernetes, Docker, and Rancher. Our automation\-first and "everything as code" mindset allows our software engineers to focus their time and efforts on what is most important \- building cutting edge functionality for our end users.
As a Software Engineer on an Agile Scrum Team, you will have the opportunity to rapidly develop and deploy solutions for a complex space system following core engineering principles, ultimately enabling the delivery of fully functioning mission capability to end users securely and continuously.  
**Basic Qualifications:**  
* Experience working on large\-scale software projects with multiple teams and stakeholders
* US Citizenship Required: No clearance required to start, but the ability to obtain and maintain security clearance level required for position.
**Desired Skills:**  
* Software development experience with object\-oriented programming languages such as Java and JavaScript (Node.js)
* Software development experience with .net or C\#
* Experience with software version control tools, such as GIT
\#LMSpaceSoftwareEng \#SpaceSecurity  
**Security Clearance Statement:** This position requires a government security clearance, you must be a US Citizen for consideration.  
**Clearance Level:** Top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$76,500 \- $134,895\.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117">
      <c r="A117" t="inlineStr">
        <is>
          <t>in-cf8d1f44632941c7</t>
        </is>
      </c>
      <c r="B117" t="inlineStr">
        <is>
          <t>Senior Software Engineer (Level 3)</t>
        </is>
      </c>
      <c r="C117" t="inlineStr">
        <is>
          <t>Lockheed Martin</t>
        </is>
      </c>
      <c r="D117" t="inlineStr">
        <is>
          <t>indeed</t>
        </is>
      </c>
      <c r="E117">
        <f>HYPERLINK("https://www.indeed.com/viewjob?jk=cf8d1f44632941c7", "https://www.indeed.com/viewjob?jk=cf8d1f44632941c7")</f>
        <v/>
      </c>
      <c r="F117">
        <f>HYPERLINK("https://click.appcast.io/t/8D5qDl-w_Hc5uFcyfVrNBIXyJC2PFTXYCvsClDrnD7w=", "https://click.appcast.io/t/8D5qDl-w_Hc5uFcyfVrNBIXyJC2PFTXYCvsClDrnD7w=")</f>
        <v/>
      </c>
      <c r="G117" t="inlineStr">
        <is>
          <t>Colorado Springs, CO, US</t>
        </is>
      </c>
      <c r="H117" s="2" t="n">
        <v>45967</v>
      </c>
      <c r="I117" t="inlineStr">
        <is>
          <t>**Job ID:** 709995BR
**Date posted:** Nov. 07, 2025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 Generating and simulating operational level plans to explore the art of the possible, how we could defend the ultimate high ground in a future space war
* Dynamically optimizing both terrestrial and space\-based sensors to provide comprehensive space domain awareness
* Strategically optimizing the placement and maneuvering of constellations of satellites to satisfy multiple, evolving priorities
Our team leverages industry standard open\-source software solutions such as GitLab, Kubernetes, Docker, and Rancher. Our automation\-first and "everything as code" mindset allows our software engineers to focus their time and efforts on what is most important \- building cutting edge functionality for our end users.
As a Software Engineer on an Agile Scrum Team, you will have the opportunity to rapidly develop and deploy solutions for a complex space system following core engineering principles, ultimately enabling the delivery of fully functioning mission capability to end users securely and continuously.  
**Basic Qualifications:**  
* Software development experience with .net or C\#
* Experience working in an Agile development environment, using tools such as Jira and Confluence
* US Citizenship Required: No clearance required to start, but the ability to obtain and maintain security clearance level required for position.
**Desired Skills:**  
* Software development experience with object\-oriented programming languages such as Java and JavaScript (Node.js)
* Experience with software version control tools, such as GIT
* Experience with CI/CD (e.g., deployment pipelines, automated build, configuration tools, etc.)
* Knowledge of database management systems, such as PostgreSQL or MySQL
* Experience with API design and development, such as RESTful APIs
\#LMSpaceSoftwareEng \#SpaceSecurity  
**Security Clearance Statement:** This position requires a government security clearance, you must be a US Citizen for consideration.  
**Clearance Level:** Top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118">
      <c r="A118" t="inlineStr">
        <is>
          <t>in-c18fef3d55959224</t>
        </is>
      </c>
      <c r="B118" t="inlineStr">
        <is>
          <t>Software Engineer (Level 2)</t>
        </is>
      </c>
      <c r="C118" t="inlineStr">
        <is>
          <t>Lockheed Martin</t>
        </is>
      </c>
      <c r="D118" t="inlineStr">
        <is>
          <t>indeed</t>
        </is>
      </c>
      <c r="E118">
        <f>HYPERLINK("https://www.indeed.com/viewjob?jk=c18fef3d55959224", "https://www.indeed.com/viewjob?jk=c18fef3d55959224")</f>
        <v/>
      </c>
      <c r="F118">
        <f>HYPERLINK("https://click.appcast.io/t/_-sa7DEztENztNsCujMNkIw6IECA4LugFpKlCZfgiuY=", "https://click.appcast.io/t/_-sa7DEztENztNsCujMNkIw6IECA4LugFpKlCZfgiuY=")</f>
        <v/>
      </c>
      <c r="G118" t="inlineStr">
        <is>
          <t>Colorado Springs, CO, US</t>
        </is>
      </c>
      <c r="H118" s="2" t="n">
        <v>45967</v>
      </c>
      <c r="I118" t="inlineStr">
        <is>
          <t>**Job ID:** 709923BR
**Date posted:** Nov. 07, 2025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This position is contingent upon the program award expected in late 2025\.  
* Generating and simulating operational level plans to explore the art of the possible, how we could defend the ultimate high ground in a future space war
* Dynamically optimizing both terrestrial and space\-based sensors to provide comprehensive space domain awareness
* Strategically optimizing the placement and maneuvering of constellations of satellites to satisfy multiple, evolving priorities
Our team leverages industry standard open\-source software solutions such as GitLab, Kubernetes, Docker, and Rancher. Our automation\-first and "everything as code" mindset allows our software engineers to focus their time and efforts on what is most important \- building cutting edge functionality for our end users.
As a Software Engineer on an Agile Scrum Team, you will have the opportunity to rapidly develop and deploy solutions for a complex space system following core engineering principles, ultimately enabling the delivery of fully functioning mission capability to end users securely and continuously.  
**Basic Qualifications:**  
* Experience working on large\-scale software projects with multiple teams and stakeholders
* US Citizenship Required: No clearance required to start, but the ability to obtain and maintain a Top Secret security clearance
**Desired Skills:**  
* Software development experience with object\-oriented programming languages such as Java and JavaScript (Node.js)
* Software development experience with .net or C\#
* Experience with software version control tools, such as GIT
\#LMSpaceSoftwareEng \#SpaceSecurity  
**Security Clearance Statement:** This position requires a government security clearance, you must be a US Citizen for consideration.  
**Clearance Level:** Top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$76,500 \- $134,895\.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119">
      <c r="A119" t="inlineStr">
        <is>
          <t>in-08cdf363a75d9c76</t>
        </is>
      </c>
      <c r="B119" t="inlineStr">
        <is>
          <t>Senior Software Engineer (Level 3)</t>
        </is>
      </c>
      <c r="C119" t="inlineStr">
        <is>
          <t>Lockheed Martin</t>
        </is>
      </c>
      <c r="D119" t="inlineStr">
        <is>
          <t>indeed</t>
        </is>
      </c>
      <c r="E119">
        <f>HYPERLINK("https://www.indeed.com/viewjob?jk=08cdf363a75d9c76", "https://www.indeed.com/viewjob?jk=08cdf363a75d9c76")</f>
        <v/>
      </c>
      <c r="F119">
        <f>HYPERLINK("https://click.appcast.io/t/4XlLz5cm5S47H5-H4rVbLcJlKqAovm9zncZfYxN4OBk=", "https://click.appcast.io/t/4XlLz5cm5S47H5-H4rVbLcJlKqAovm9zncZfYxN4OBk=")</f>
        <v/>
      </c>
      <c r="G119" t="inlineStr">
        <is>
          <t>Colorado Springs, CO, US</t>
        </is>
      </c>
      <c r="H119" s="2" t="n">
        <v>45967</v>
      </c>
      <c r="I119" t="inlineStr">
        <is>
          <t>**Job ID:** 709998BR
**Date posted:** Nov. 07, 2025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 Generating and simulating operational level plans to explore the art of the possible, how we could defend the ultimate high ground in a future space war
* Dynamically optimizing both terrestrial and space\-based sensors to provide comprehensive space domain awareness
* Strategically optimizing the placement and maneuvering of constellations of satellites to satisfy multiple, evolving priorities
Our team leverages industry standard open\-source software solutions such as GitLab, Kubernetes, Docker, and Rancher. Our automation\-first and "everything as code" mindset allows our software engineers to focus their time and efforts on what is most important \- building cutting edge functionality for our end users.
As a Software Engineer on an Agile Scrum Team, you will have the opportunity to rapidly develop and deploy solutions for a complex space system following core engineering principles, ultimately enabling the delivery of fully functioning mission capability to end users securely and continuously.  
**Basic Qualifications:**  
* Software development experience with .net or C\#
* Experience working in an Agile development environment, using tools such as Jira and Confluence
* US Citizenship Required: No clearance required to start, but the ability to obtain and maintain security clearance level required for position.
**Desired Skills:**  
* Software development experience with object\-oriented programming languages such as Java and JavaScript (Node.js)
* Experience with software version control tools, such as GIT
* Experience with CI/CD (e.g., deployment pipelines, automated build, configuration tools, etc.)
* Knowledge of database management systems, such as PostgreSQL or MySQL
* Experience with API design and development, such as RESTful APIs
\#LMSpaceSoftwareEng \#SpaceSecurity  
**Security Clearance Statement:** This position requires a government security clearance, you must be a US Citizen for consideration.  
**Clearance Level:** Top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120">
      <c r="A120" t="inlineStr">
        <is>
          <t>in-eba3f403b56b77d0</t>
        </is>
      </c>
      <c r="B120" t="inlineStr">
        <is>
          <t>Software Engineer Staff (Level 4)</t>
        </is>
      </c>
      <c r="C120" t="inlineStr">
        <is>
          <t>Lockheed Martin</t>
        </is>
      </c>
      <c r="D120" t="inlineStr">
        <is>
          <t>indeed</t>
        </is>
      </c>
      <c r="E120">
        <f>HYPERLINK("https://www.indeed.com/viewjob?jk=eba3f403b56b77d0", "https://www.indeed.com/viewjob?jk=eba3f403b56b77d0")</f>
        <v/>
      </c>
      <c r="F120">
        <f>HYPERLINK("https://click.appcast.io/t/1hBWshypzl2KVX6J2Gq-Egm8CmqUDgb8Sk-3vV6fusA=", "https://click.appcast.io/t/1hBWshypzl2KVX6J2Gq-Egm8CmqUDgb8Sk-3vV6fusA=")</f>
        <v/>
      </c>
      <c r="G120" t="inlineStr">
        <is>
          <t>Colorado Springs, CO, US</t>
        </is>
      </c>
      <c r="H120" s="2" t="n">
        <v>45967</v>
      </c>
      <c r="I120" t="inlineStr">
        <is>
          <t>**Job ID:** 710090BR
**Date posted:** Nov. 07, 2025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 Generating and simulating operational level plans to explore the art of the possible, how we could defend the ultimate high ground in a future space war
* Dynamically optimizing both terrestrial and space\-based sensors to provide comprehensive space domain awareness
* Strategically optimizing the placement and maneuvering of constellations of satellites to satisfy multiple, evolving priorities
Our team leverages industry standard open\-source software solutions such as GitLab, Kubernetes, Docker, and Rancher. Our automation\-first and "everything as code" mindset allows our software engineers to focus their time and efforts on what is most important \- building cutting edge functionality for our end users.
As a Software Engineer on an Agile Scrum Team, you will have the opportunity to rapidly develop and deploy solutions for a complex space system following core engineering principles, ultimately enabling the delivery of fully functioning mission capability to end users securely and continuously.  
**Basic Qualifications:**  
* Software development experience with .net or C\#
* Experience working in an Agile development environment, using tools such as Jira and Confluence
* Experience with application containerization (e.g., Docker, Kubernetes, Helm, Rancher, etc.) in a cloud environment (e.g., AWS, Azure, OpenStack, OpenShift, etc.)
* US Citizenship Required: No clearance required to start, but the ability to obtain and maintain a Top Secret security clearance
**Desired Skills:**  
* Software development experience with object\-oriented programming languages such as Java and JavaScript (Node.js)
* Strong time management skills that enable on\-time project delivery
* Experience with software version control tools, such as GIT
* Experience with CI/CD (e.g., deployment pipelines, automated build, configuration tools, etc.)
* Knowledge of database management systems, such as PostgreSQL or MySQL
* Experience with API design and development, such as RESTful APIs
* Development experience with Linux and shell scripting (e.g., bash, ash, ksh)
* Strong critical thinking and problem\-solving skills
* Familiarity with the Space Domain
\#LMSpaceSoftwareEng \#SpaceSecurity  
**Security Clearance Statement:** This position requires a government security clearance, you must be a US Citizen for consideration.  
**Clearance Level:** Top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$113,900 \- $200,905\.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121">
      <c r="A121" t="inlineStr">
        <is>
          <t>in-a15ba47cfec1b895</t>
        </is>
      </c>
      <c r="B121" t="inlineStr">
        <is>
          <t>Software Engineer Staff (Level 4)</t>
        </is>
      </c>
      <c r="C121" t="inlineStr">
        <is>
          <t>Lockheed Martin</t>
        </is>
      </c>
      <c r="D121" t="inlineStr">
        <is>
          <t>indeed</t>
        </is>
      </c>
      <c r="E121">
        <f>HYPERLINK("https://www.indeed.com/viewjob?jk=a15ba47cfec1b895", "https://www.indeed.com/viewjob?jk=a15ba47cfec1b895")</f>
        <v/>
      </c>
      <c r="F121">
        <f>HYPERLINK("https://click.appcast.io/t/Tc0eYMWz1xmRRsgmn0UlI_ZTXoQOz2r1HXJ5CiWPjug=", "https://click.appcast.io/t/Tc0eYMWz1xmRRsgmn0UlI_ZTXoQOz2r1HXJ5CiWPjug=")</f>
        <v/>
      </c>
      <c r="G121" t="inlineStr">
        <is>
          <t>Colorado Springs, CO, US</t>
        </is>
      </c>
      <c r="H121" s="2" t="n">
        <v>45967</v>
      </c>
      <c r="I121" t="inlineStr">
        <is>
          <t>**Job ID:** 710089BR
**Date posted:** Nov. 07, 2025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 Generating and simulating operational level plans to explore the art of the possible, how we could defend the ultimate high ground in a future space war
* Dynamically optimizing both terrestrial and space\-based sensors to provide comprehensive space domain awareness
* Strategically optimizing the placement and maneuvering of constellations of satellites to satisfy multiple, evolving priorities
Our team leverages industry standard open\-source software solutions such as GitLab, Kubernetes, Docker, and Rancher. Our automation\-first and "everything as code" mindset allows our software engineers to focus their time and efforts on what is most important \- building cutting edge functionality for our end users.
As a Software Engineer on an Agile Scrum Team, you will have the opportunity to rapidly develop and deploy solutions for a complex space system following core engineering principles, ultimately enabling the delivery of fully functioning mission capability to end users securely and continuously.  
**Basic Qualifications:**  
* Software development experience with .net or C\#
* Experience working in an Agile development environment, using tools such as Jira and Confluence
* Experience with application containerization (e.g., Docker, Kubernetes, Helm, Rancher, etc.) in a cloud environment (e.g., AWS, Azure, OpenStack, OpenShift, etc.)
* US Citizenship Required: No clearance required to start, but the ability to obtain and maintain a Top Secret security clearance
**Desired Skills:**  
* Software development experience with object\-oriented programming languages such as Java and JavaScript (Node.js)
* Strong time management skills that enable on\-time project delivery
* Experience with software version control tools, such as GIT
* Experience with CI/CD (e.g., deployment pipelines, automated build, configuration tools, etc.)
* Knowledge of database management systems, such as PostgreSQL or MySQL
* Experience with API design and development, such as RESTful APIs
* Development experience with Linux and shell scripting (e.g., bash, ash, ksh)
* Strong critical thinking and problem\-solving skills
* Familiarity with the Space Domain
\#LMSpaceSoftwareEng \#SpaceSecurity  
**Security Clearance Statement:** This position requires a government security clearance, you must be a US Citizen for consideration.  
**Clearance Level:** Top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$113,900 \- $200,905\.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122">
      <c r="A122" t="inlineStr">
        <is>
          <t>in-17dbff7466a61cc4</t>
        </is>
      </c>
      <c r="B122" t="inlineStr">
        <is>
          <t>Software Engineer Staff - (Level 4)</t>
        </is>
      </c>
      <c r="C122" t="inlineStr">
        <is>
          <t>Lockheed Martin</t>
        </is>
      </c>
      <c r="D122" t="inlineStr">
        <is>
          <t>indeed</t>
        </is>
      </c>
      <c r="E122">
        <f>HYPERLINK("https://www.indeed.com/viewjob?jk=17dbff7466a61cc4", "https://www.indeed.com/viewjob?jk=17dbff7466a61cc4")</f>
        <v/>
      </c>
      <c r="F122">
        <f>HYPERLINK("https://click.appcast.io/t/xoGseQiAg3uEcyRtU8oRK3NDCta7hpHSesrspWFtb2M=", "https://click.appcast.io/t/xoGseQiAg3uEcyRtU8oRK3NDCta7hpHSesrspWFtb2M=")</f>
        <v/>
      </c>
      <c r="G122" t="inlineStr">
        <is>
          <t>Colorado Springs, CO, US</t>
        </is>
      </c>
      <c r="H122" s="2" t="n">
        <v>45967</v>
      </c>
      <c r="I122" t="inlineStr">
        <is>
          <t>**Job ID:** 710088BR
**Date posted:** Nov. 07, 2025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 Generating and simulating operational level plans to explore the art of the possible, how we could defend the ultimate high ground in a future space war
* Dynamically optimizing both terrestrial and space\-based sensors to provide comprehensive space domain awareness
* Strategically optimizing the placement and maneuvering of constellations of satellites to satisfy multiple, evolving priorities
Our team leverages industry standard open\-source software solutions such as GitLab, Kubernetes, Docker, and Rancher. Our automation\-first and "everything as code" mindset allows our software engineers to focus their time and efforts on what is most important \- building cutting edge functionality for our end users.
As a Software Engineer on an Agile Scrum Team, you will have the opportunity to rapidly develop and deploy solutions for a complex space system following core engineering principles, ultimately enabling the delivery of fully functioning mission capability to end users securely and continuously.  
**Basic Qualifications:**  
* Software development experience with .net or C\#
* Experience working in an Agile development environment, using tools such as Jira and Confluence
* Experience with application containerization (e.g., Docker, Kubernetes, Helm, Rancher, etc.) in a cloud environment (e.g., AWS, Azure, OpenStack, OpenShift, etc.)
* US Citizenship Required: No clearance required to start, but the ability to obtain and maintain a Top Secret security clearance
**Desired Skills:**  
* Software development experience with object\-oriented programming languages such as Java and JavaScript (Node.js)
* Strong time management skills that enable on\-time project delivery
* Experience with software version control tools, such as GIT
* Experience with CI/CD (e.g., deployment pipelines, automated build, configuration tools, etc.)
* Knowledge of database management systems, such as PostgreSQL or MySQL
* Experience with API design and development, such as RESTful APIs
* Development experience with Linux and shell scripting (e.g., bash, ash, ksh)
* Strong critical thinking and problem\-solving skills
* Familiarity with the Space Domain
\#LMSpaceSoftwareEng \#SpaceSecurity  
**Security Clearance Statement:** This position requires a government security clearance, you must be a US Citizen for consideration.  
**Clearance Level:** Top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$113,900 \- $200,905\.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li-4359163502</t>
        </is>
      </c>
      <c r="B2" t="inlineStr">
        <is>
          <t>Engineering Program Manager - Software Developer Productivity - CoreOS</t>
        </is>
      </c>
      <c r="C2" t="inlineStr">
        <is>
          <t>Apple</t>
        </is>
      </c>
      <c r="D2" t="inlineStr">
        <is>
          <t>linkedin</t>
        </is>
      </c>
      <c r="E2">
        <f>HYPERLINK("https://www.linkedin.com/jobs/view/4359163502", "https://www.linkedin.com/jobs/view/4359163502")</f>
        <v/>
      </c>
      <c r="F2" t="inlineStr"/>
      <c r="G2" t="inlineStr">
        <is>
          <t>California, United States</t>
        </is>
      </c>
      <c r="H2" t="inlineStr"/>
      <c r="I2" t="inlineStr">
        <is>
          <t>**Summary**
 Why Apple? Imagine what you could do here. At Apple, new insights have a way of becoming phenomenal products, services, and customer experiences very quickly. Bring passion and dedication to your job and there's no telling what you could accomplish. nnThe Software Developer Productivity team is looking for an experienced program manager to join the Core OS Platform Services and Operations EPM team. This is an opportunity to drive key software initiatives as a partner specifically with the Operations and Workflow Engineering groups within the Platform Services organization. We are looking for an experienced Software Engineering Program Manager to lead highly cross\-functional technology efforts designing, building, optimizing, and shipping software in all phases of development from pre\-silicon simulation, to sample bring\-up, to already\-shipping systems. nnThis role requires an energetic and motivated individual with strong communication, organization, and technical skills who works well in a fast\-paced dynamic environment. The ideal candidate will be self\-motivated and also have a desire to learn, develop, and build on technical expertise during product development. Our environment cultivates product innovation, rapid product iteration, and a liberating amount of autonomy.
**Description**
 We are looking for someone to drive, own, and improve the quality and efficiency of Core OS software operations. In this role you will be the central hub bringing together different teams from SW Engineering, Quality, Development Operations, and Build and Test platform organizations, with the goal of improving the operational effectiveness of the organization.nu003cliu003eCreating and maintaining detailed project plans, schedule, and status documentation for our Ops and Workflow initiatives.nu003cliu003eBringing together and collaborating with large cross\-functional stakeholder groups. nu003cliu003eServing as a liaison to communicate information regarding requirements, changes, milestones reached, and other pertinent information.nu003cliu003ePresent and communicate new feature initiatives, top issues, risks, and critical achievements to executive leadership. nu003cliu003eDriving focus to critical path deliverables and track execution of dependencies. nu003cliu003eCoordinating complex and highly dependent groups of changes through our build and integration systems.nu003cliu003eActing as a liason with the Build EPM team around software program deadlines and milestonesnu003cliu003eProactively identifying risks to software delivery, developing mitigation strategies, and facilitating resolutions.
**Minimum Qualifications**
 At least 5 years of experience in program or project management in software developmentnKnowledge of software engineering standard methodologies and related dependenciesnFamiliar with components of Computer Architecture and Operating SystemsnExcellent spoken and written communication with the ability to tailor communication style to multiple audiencesnOrganization and multi\-tasking skills with great attention to detail
**Preferred Qualifications**
 Strong leadership skills including ability to build trusting relationships and influence othersnBuild and Release Engineering / Release Management nProject Management experience in software development life cyclenUnderstanding software build pipelines, merging, test systems and methods, and the delivery of codeContinuous Integration and Continuous DeliverynDevOps Lifecycle Improvement InitiativesnDeveloper Productivity nAnalytics (splunk/Tableau preferred)nKnowledge of operating system internals architecture skills and experience: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3">
      <c r="A3" t="inlineStr">
        <is>
          <t>li-4359028324</t>
        </is>
      </c>
      <c r="B3" t="inlineStr">
        <is>
          <t>Full Stack Engineer - Maps Data Platform Workflow Team</t>
        </is>
      </c>
      <c r="C3" t="inlineStr">
        <is>
          <t>Apple</t>
        </is>
      </c>
      <c r="D3" t="inlineStr">
        <is>
          <t>linkedin</t>
        </is>
      </c>
      <c r="E3">
        <f>HYPERLINK("https://www.linkedin.com/jobs/view/4359028324", "https://www.linkedin.com/jobs/view/4359028324")</f>
        <v/>
      </c>
      <c r="F3" t="inlineStr"/>
      <c r="G3" t="inlineStr">
        <is>
          <t>Cupertino, CA</t>
        </is>
      </c>
      <c r="H3" t="inlineStr"/>
      <c r="I3" t="inlineStr">
        <is>
          <t>**Summary**
 The Maps Data Platform Workflows Team oversees the processing and management of data and workflows at the core of Apple Maps. We build and maintain the systems that enable processing and workflow management of petabytes of map data that powers the Apple Maps experience used by millions of people every day!nnAs a Maps Data Platform engineer, youʼll design and help implement systems which empower teams across engineering and operations to build our future Apple Maps experiences!n
**Description**
 The Maps Data Platform Workflows Team builds and maintains the foundation that powers Apple Maps. We are responsible for providing scalable and extensible workflows that handles petabytes of map data, enabling various aspects of Map building including but not limited to data ingest, map updates, review process, and traceability.nnAs a full\-stack engineer on the team, you will primarily be responsible to build user experiences that powers various workflows involved in Map building life cycle. This position is ideal for innovative engineers who are passionate and excited to work in complex, fast\-paced and ambiguous environments to deliver tangible results keeping in mind our end users and their experiences.
**Minimum Qualifications**
 Bachelor’s degree and 4\+ years of experience building and maintaining production systems.nStrong hands\-on experience with React, including hooks, context, and performance optimization techniques. Proficiency in TypeScript for building scalable and maintainable frontend applications.nExperience with modern state management solutions such as Redux Toolkit, React Query, or Apollo.nFamiliarity with data visualization and charting libraries such as Highcharts, Recharts, Chart.js, or D3\.nSolid understanding of component\-based architecture and reusable UI patterns.nExperience in building scalable and low latency JVM\-based web services using Scala or Java.nStrong understanding of distributed data storage systems (both databases and indexes).
**Preferred Qualifications**
 Experience with platform based approach to building user experiences with integration with REST and/or GraphQL APIs to enable scalability and reusability.nExperience with Geospatial applications or mapping libraries (Mapbox, Leaflet or similar)nUnderstanding of authentication and authorization mechanisms, including JWT and OAuth.nProven success applying Generative AI to production systems beyond prompt engineering.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4">
      <c r="A4" t="inlineStr">
        <is>
          <t>li-4359190201</t>
        </is>
      </c>
      <c r="B4" t="inlineStr">
        <is>
          <t>Software Engineer (AML), AI u0026 Data Platforms (AiDP)</t>
        </is>
      </c>
      <c r="C4" t="inlineStr">
        <is>
          <t>Apple</t>
        </is>
      </c>
      <c r="D4" t="inlineStr">
        <is>
          <t>linkedin</t>
        </is>
      </c>
      <c r="E4">
        <f>HYPERLINK("https://www.linkedin.com/jobs/view/4359190201", "https://www.linkedin.com/jobs/view/4359190201")</f>
        <v/>
      </c>
      <c r="F4">
        <f>HYPERLINK("https://jobs.apple.com/en-us/details/200639149&amp;urlHash=QiGd", "https://jobs.apple.com/en-us/details/200639149&amp;urlHash=QiGd")</f>
        <v/>
      </c>
      <c r="G4" t="inlineStr">
        <is>
          <t>Austin, TX</t>
        </is>
      </c>
      <c r="H4" t="inlineStr"/>
      <c r="I4" t="inlineStr">
        <is>
          <t>**Summary**
 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 Imagine what you could do here! At Apple, new ideas have a way of becoming extraordinary products, services, and customer experiences very quickly. Bring passion and dedication to your job and there's no telling what you could accomplish. A passion for product ownership and track record will prove critical to success on our team. Be ready to make something extraordinary when here. Multifaceted, encouraging people and innovative, industry\-defining technologies are the norm at Apple. Would you like to work in a fast\-paced environment where your technical abilities will be challenged on a day to day basis? If so, Apple’s AI u0026 Data Platform (AiDP) team is seeking a Software Engineer to work on building and scaling best in class data and reporting apps presenting metrics u0026 performance indicators with the least latency and outstanding user experience.. You will engage directly with key business partners to understand the business strategies and solution needs. You will drive and lead functional u0026 technical discussions with development teams and expected to design and own end to end applications. You will enjoy the benefits of working in a fast growing business where you are inspired to
**Description**
 As a Machine Learning Engineer, you will work on building intelligent systems to democratize AI across a wide range of solutions within Apple. You will drive the development and deployment of innovative AI models and systems that directly impact the capabilities and performance of Apple’s products and services. You will implement robust, scalable ML infrastructure, including data storage, processing, and model serving components, to support seamless integration of AI/ML models into production environments. You will develop novel feature engineering, data augmentation, prompt engineering and fine\-tuning frameworks that achieve optimal performance on specific tasks and domains. You will design and implement automated ML pipelines for data preprocessing, feature engineering, model training, hyper\-parameter tuning, and model evaluation, enabling rapid experimentation and iteration. You will also implement advanced model compression and optimization techniques to reduce the resource footprint of language models while preserving their performance. There are massive opportunities for you deliver impactful influences to Apple.
**Minimum Qualifications**
 BS in Computer Science or related field or equivalent.nn3\+ years of machine learning engineering experience in feature engineering, model training, model serving, model monitoring and model refresh management.nnExperience developing AI/ML systems at scale in production or in high\-impact research environments.nnPassionate about computer vision, natural language processing, especially in LLMs and Generative AI systems.nnKnowledge with the common frameworks and tools such as PyTorch or TensorFlow.
**Preferred Qualifications**
 Experience in Anomaly detection and forecasting u0026 related methodologies nnExperience and proficiency in python u0026 writing efficient SQLs. nnStrong coding and software engineering skills, and familiarity with software engineering principles around testing, code reviews and deployment.nnProven experience with transformer models such as BERT, GPT etc., and a proven understanding of their underlying principles is a plusnnData Visualization Tools: Proficient in data visualization, with experience in software such as Superset, Streamlit, Tableau, Business Objects, and Looker
**Pay \&amp; Benefits**
 At Apple, base pay is one part of our total compensation package and is determined within a range. This provides the opportunity to progress as you grow and develop within a role. The base pay range for this role is between $147,400 and $220,900,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5">
      <c r="A5" t="inlineStr">
        <is>
          <t>li-4357698676</t>
        </is>
      </c>
      <c r="B5" t="inlineStr">
        <is>
          <t>Software Engineer (AML), AI u0026 Data Platforms (AiDP)</t>
        </is>
      </c>
      <c r="C5" t="inlineStr">
        <is>
          <t>Apple</t>
        </is>
      </c>
      <c r="D5" t="inlineStr">
        <is>
          <t>linkedin</t>
        </is>
      </c>
      <c r="E5">
        <f>HYPERLINK("https://www.linkedin.com/jobs/view/4357698676", "https://www.linkedin.com/jobs/view/4357698676")</f>
        <v/>
      </c>
      <c r="F5" t="inlineStr"/>
      <c r="G5" t="inlineStr">
        <is>
          <t>Austin, TX</t>
        </is>
      </c>
      <c r="H5" t="inlineStr"/>
      <c r="I5" t="inlineStr">
        <is>
          <t>**Summary**
 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 Imagine what you could do here! At Apple, new ideas have a way of becoming extraordinary products, services, and customer experiences very quickly. Bring passion and dedication to your job and there's no telling what you could accomplish. A passion for product ownership and track record will prove critical to success on our team. Be ready to make something extraordinary when here. Multifaceted, encouraging people and innovative, industry\-defining technologies are the norm at Apple. Would you like to work in a fast\-paced environment where your technical abilities will be challenged on a day to day basis? If so, Apple’s AI u0026 Data Platform (AiDP) team is seeking a Software Engineer to work on building and scaling best in class data and reporting apps presenting metrics u0026 performance indicators with the least latency and outstanding user experience.. You will engage directly with key business partners to understand the business strategies and solution needs. You will drive and lead functional u0026 technical discussions with development teams and expected to design and own end to end applications. You will enjoy the benefits of working in a fast growing business where you are inspired to
**Description**
 As a Machine Learning Engineer, you will work on building intelligent systems to democratize AI across a wide range of solutions within Apple. You will drive the development and deployment of innovative AI models and systems that directly impact the capabilities and performance of Apple’s products and services. You will implement robust, scalable ML infrastructure, including data storage, processing, and model serving components, to support seamless integration of AI/ML models into production environments. You will develop novel feature engineering, data augmentation, prompt engineering and fine\-tuning frameworks that achieve optimal performance on specific tasks and domains. You will design and implement automated ML pipelines for data preprocessing, feature engineering, model training, hyper\-parameter tuning, and model evaluation, enabling rapid experimentation and iteration. You will also implement advanced model compression and optimization techniques to reduce the resource footprint of language models while preserving their performance. There are massive opportunities for you deliver impactful influences to Apple.
**Minimum Qualifications**
 BS in Computer Science or related field or equivalent.nn3\+ years of machine learning engineering experience in feature engineering, model training, model serving, model monitoring and model refresh management.nnExperience developing AI/ML systems at scale in production or in high\-impact research environments.nnPassionate about computer vision, natural language processing, especially in LLMs and Generative AI systems.nnKnowledge with the common frameworks and tools such as PyTorch or TensorFlow.
**Preferred Qualifications**
 Experience in Anomaly detection and forecasting u0026 related methodologies nnExperience and proficiency in python u0026 writing efficient SQLs. nnStrong coding and software engineering skills, and familiarity with software engineering principles around testing, code reviews and deployment.nnProven experience with transformer models such as BERT, GPT etc., and a proven understanding of their underlying principles is a plusnnData Visualization Tools: Proficient in data visualization, with experience in software such as Superset, Streamlit, Tableau, Business Objects, and Looker
**Pay \&amp; Benefits**
 At Apple, base pay is one part of our total compensation package and is determined within a range. This provides the opportunity to progress as you grow and develop within a role. The base pay range for this role is between $147,400 and $220,900,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6">
      <c r="A6" t="inlineStr">
        <is>
          <t>li-4362814157</t>
        </is>
      </c>
      <c r="B6" t="inlineStr">
        <is>
          <t>Software Engineer, Backend</t>
        </is>
      </c>
      <c r="C6" t="inlineStr">
        <is>
          <t>VITL</t>
        </is>
      </c>
      <c r="D6" t="inlineStr">
        <is>
          <t>linkedin</t>
        </is>
      </c>
      <c r="E6">
        <f>HYPERLINK("https://www.linkedin.com/jobs/view/4362814157", "https://www.linkedin.com/jobs/view/4362814157")</f>
        <v/>
      </c>
      <c r="F6">
        <f>HYPERLINK("https://jobs.ashbyhq.com/VITL/89aa9bfb-f035-492a-a6e3-428264cf68cd/application?utm_source=3kyPXAM647&amp;urlHash=fmqI", "https://jobs.ashbyhq.com/VITL/89aa9bfb-f035-492a-a6e3-428264cf68cd/application?utm_source=3kyPXAM647&amp;urlHash=fmqI")</f>
        <v/>
      </c>
      <c r="G6" t="inlineStr">
        <is>
          <t>Nashville, TN</t>
        </is>
      </c>
      <c r="H6" t="inlineStr"/>
      <c r="I6" t="inlineStr">
        <is>
          <t>**The Role**
 We are hiring exceptional backend software engineers to architect and build our platform. You'll be among our first engineers, working directly with our Head of Product \&amp; Engineering and the CEO to design and implement the core architecture that everything else will be built on.
 This is a true 0\-to\-1 opportunity. You'll have enormous influence over our technical decisions, own significant parts of the product, and help define our engineering culture as we grow the team. This role is ideal for someone who loves moving quickly, cares deeply about product quality, and thrives in high\-ownership environments.
**What You’ll Do**
* Greenfield architecture: You'll design and build our core systems – APIs, database architecture, infrastructure, and data pipelines – while optimizing for performance and maintainability.
* Real ownership: You'll own entire features end\-to\-end, from talking to users and stakeholders to writing specs, understanding our strategy, and shipping to production.
* Healthcare impact: You’ll work on real\-world problems that directly improve patient care.
* Fast iteration: We move quickly, ship constantly, and learn from real users.
**What You Bring**
* 5\+ years experience building and shipping production systems with modern backend technologies: cloud platforms (AWS/GCP), databases (Postgres/MySQL, DynamoDB, Spanner, or similar), APIs, data pipelines (Airflow, Dagster, or similar), and modern languages (Python, Golang, Java/Kotlin, or similar)
* Track record of taking ownership and startup mentality: You've built something meaningful from scratch – led projects, started a company, built a side project, or worked at an early\-stage startup. You thrive in ambiguity, move fast, and care about solving real problems with unfailing attention to detail.
* Strong communication skills: You can write clearly and make persuasive technical arguments.
**Preferred**
* Experience with BaaS platforms (Supabase, Firebase, Railway, Hasura, or similar)
* Familiarity with AI\-native coding tools (Claude Code, Cursor)
* Healthcare domain knowledge (HIPAA, EPCS, PDMP, EHR/EMR systems)
* Front\-end expertise (React, TypeScript, Next.js, or similar)
**Compensation**
 The base salary range for this role is competitive and will be determined based on the candidate’s relevant skills, experience, and geographic location. In addition to base pay, total compensation may include performance\-based incentives, benefits and company options.
**Security, Privacy \&amp; Compliance**
 This role may handle PHI/PII and must follow HIPAA, company privacy policies, and least\-privilege access practices.
**EEO \&amp; Inclusion**
 VITL is an Equal Opportunity Employer. We consider all qualified applicants without regard to race, color, religion, sex, sexual orientation, gender identity, national origin, disability, veteran status, or other legally protected characteristics. If you meet most—but not all—requirements, we encourage you to apply.
**About VITL**
 VITL is a Nashville\-based healthtech company providing beautifully simple e\-prescribing infrastructure for cash\-pay medical practices. Through its open pharmacy marketplace, VITL connects clinics with verified 503A compounding pharmacies nationwide, enabling real\-time price comparison, multi\-pharmacy ordering, and Amazon\-style patient tracking, all through a single, elegant interface. Founded in 2024, VITL serves nearly 500 clinics representing 125,000 patients across the United States.</t>
        </is>
      </c>
    </row>
    <row r="7">
      <c r="A7" t="inlineStr">
        <is>
          <t>li-4362794930</t>
        </is>
      </c>
      <c r="B7" t="inlineStr">
        <is>
          <t>Software Engineer, Full-Stack</t>
        </is>
      </c>
      <c r="C7" t="inlineStr">
        <is>
          <t>VITL</t>
        </is>
      </c>
      <c r="D7" t="inlineStr">
        <is>
          <t>linkedin</t>
        </is>
      </c>
      <c r="E7">
        <f>HYPERLINK("https://www.linkedin.com/jobs/view/4362794930", "https://www.linkedin.com/jobs/view/4362794930")</f>
        <v/>
      </c>
      <c r="F7">
        <f>HYPERLINK("https://jobs.ashbyhq.com/VITL/da21fcb2-1817-4c87-bdfe-ee3d1c5cc7a8/application?utm_source=3kyPXAM647&amp;urlHash=uALh", "https://jobs.ashbyhq.com/VITL/da21fcb2-1817-4c87-bdfe-ee3d1c5cc7a8/application?utm_source=3kyPXAM647&amp;urlHash=uALh")</f>
        <v/>
      </c>
      <c r="G7" t="inlineStr">
        <is>
          <t>Nashville, TN</t>
        </is>
      </c>
      <c r="H7" t="inlineStr"/>
      <c r="I7" t="inlineStr">
        <is>
          <t>The Role
 We are hiring exceptional full\-stack software engineers to architect and build our platform. You'll be among our first engineers, working directly with our Head of Product \&amp; Engineering and CEO to design and implement the core architecture that everything else will be built on.
 This is a true 0\-to\-1 opportunity. You'll have enormous influence over our technical decisions, own significant parts of the product, and help define our engineering culture as we grow the team. This role is ideal for someone who loves moving quickly, cares deeply about product quality, and thrives in high\-ownership environments.
 What You’ll Do
* Greenfield architecture: You'll design and build our core systems – customer\-facing user interfaces, web experiences, design system, APIs, backend integrations – while optimizing for performance, usability, and maintainability.
* Real ownership: You'll own entire features end\-to\-end, from talking to users and stakeholders to writing specs, understanding our strategy, and shipping to production.
* Healthcare impact: You’ll work on real\-world problems that directly improve patient care.
* Fast iteration: We move quickly, ship constantly, and learn from real users.
 What You Bring
* 5\+ years experience building and shipping full\-stack production systems with polished front\-end \&amp; backend experiences: with React, TypeScript, Next.js, or similar and modern backend languages (Python, Golang, Java/Kotlin, or similar)
* Track record of taking ownership and startup mentality: You've built something meaningful from scratch – led projects, started a company, built a side project, or worked at an early\-stage startup. You thrive in ambiguity, move fast, and care about solving real problems with unfailing attention to detail.
* Strong communication skills: You can write clearly and make persuasive technical
 arguments.
**Preferred**
* 5\+ years of deep backend experience with cloud platforms (AWS/GCP), databases (Postgres/MySQL, DynamoDB, Spanner, or similar), APIs, and data pipelines (Airflow, Dagster, or similar)
* Experience with modern PaaS platforms (Vercel, Netlify, or similar)
* Familiarity with AI\-native coding tools (Claude Code, Cursor)
* Healthcare domain knowledge (HIPAA, EPCS, PDMP, EHR/EMR systems)
**Compensation**
 The base salary range for this role is competitive and will be determined based on the candidate’s relevant skills, experience, and geographic location. In addition to base pay, total compensation may include performance\-based incentives, benefits and company options.
**Security, Privacy \&amp; Compliance**
 This role may handle PHI/PII and must follow HIPAA, company privacy policies, and least\-privilege access practices.
**EEO \&amp; Inclusion**
 VITL is an Equal Opportunity Employer. We consider all qualified applicants without regard to race, color, religion, sex, sexual orientation, gender identity, national origin, disability, veteran status, or other legally protected characteristics. If you meet most—but not all—requirements, we encourage you to apply.
**About VITL**
 VITL is a Nashville\-based healthtech company providing beautifully simple e\-prescribing infrastructure for cash\-pay medical practices. Through its open pharmacy marketplace, VITL connects clinics with verified 503A compounding pharmacies nationwide, enabling real\-time price comparison, multi\-pharmacy ordering, and Amazon\-style patient tracking, all through a single, elegant interface. Founded in 2024, VITL serves nearly 500 clinics representing 125,000 patients across the United States.</t>
        </is>
      </c>
    </row>
    <row r="8">
      <c r="A8" t="inlineStr">
        <is>
          <t>li-4359181317</t>
        </is>
      </c>
      <c r="B8" t="inlineStr">
        <is>
          <t>Software Engineer - Setup</t>
        </is>
      </c>
      <c r="C8" t="inlineStr">
        <is>
          <t>Apple</t>
        </is>
      </c>
      <c r="D8" t="inlineStr">
        <is>
          <t>linkedin</t>
        </is>
      </c>
      <c r="E8">
        <f>HYPERLINK("https://www.linkedin.com/jobs/view/4359181317", "https://www.linkedin.com/jobs/view/4359181317")</f>
        <v/>
      </c>
      <c r="F8">
        <f>HYPERLINK("https://jobs.apple.com/en-us/details/200632852&amp;urlHash=DnV3", "https://jobs.apple.com/en-us/details/200632852&amp;urlHash=DnV3")</f>
        <v/>
      </c>
      <c r="G8" t="inlineStr">
        <is>
          <t>California, United States</t>
        </is>
      </c>
      <c r="H8" t="inlineStr"/>
      <c r="I8" t="inlineStr">
        <is>
          <t>**Summary**
 Apple devices have revolutionized how people live, connect, and work. It’s not by chance! By thoughtfully blending beautiful, premium hardware with intuitive, innovative system software, we design and build a uniquely impactful user experience. The leading edge of this user experience is made up by the essential apps, components, and frameworks of System Experience.nnCome help dramatically improve the first experience that every iPhone, iPad, and Mac customer sees — the Setup experience. Work with an energetic, hard\-working, fun team of managers, engineers, cross\-functional teams, and world\-class designers to deliver the best system experiences on the planet!
**Description**
 We’re the System Experience Setup team. We build Setup Assistant, the software that guides every iPhone, iPad, and Mac customer to set up their new device. Setup Assistant is the front door to these products – it is the most visible, critical piece of our customer onboarding process. We work with multiple cross\-functional teams to continuously evolve the setup experience, which includes introducing many new hardware and software features.nnWe're looking for a software engineer to join our team and solve impactful problems alongside experienced engineers. As an engineer on the Setup team, you'll contribute to feature development and bug fixes while learning our codebase and development practices. You'll have opportunities to work on user\-facing features that millions of customers interact with, all while receiving mentorship from senior team members. You'll also collaborate with talented engineering and cross\-functional partners in a supportive environment designed to help you learn, grow, and deliver great user experiences.
**Minimum Qualifications**
 Bachelor of Computer Science or equivalent skills and work experiencenFoundation for growth — you have 1\-3 years of software engineering experience and are ready to take on increasing responsibility
**Preferred Qualifications**
 Customer focus — you make high\-quality, user\-centric product decisionsnDrive for customer impact — you are deeply motivated to build the best essential user experiences for billions of usersnExcellent communication and collaboration skills across disciplines and teams.
**Pay \&amp; Benefits**
 At Apple, base pay is one part of our total compensation package and is determined within a range. This provides the opportunity to progress as you grow and develop within a role. The base pay range for this role is between $147,400 and $220,900,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9">
      <c r="A9" t="inlineStr">
        <is>
          <t>li-4362784686</t>
        </is>
      </c>
      <c r="B9" t="inlineStr">
        <is>
          <t>Full-Stack Software Engineer</t>
        </is>
      </c>
      <c r="C9" t="inlineStr">
        <is>
          <t>Clasp</t>
        </is>
      </c>
      <c r="D9" t="inlineStr">
        <is>
          <t>linkedin</t>
        </is>
      </c>
      <c r="E9">
        <f>HYPERLINK("https://www.linkedin.com/jobs/view/4362784686", "https://www.linkedin.com/jobs/view/4362784686")</f>
        <v/>
      </c>
      <c r="F9" t="inlineStr"/>
      <c r="G9" t="inlineStr">
        <is>
          <t>Boston, MA</t>
        </is>
      </c>
      <c r="H9" t="inlineStr"/>
      <c r="I9" t="inlineStr">
        <is>
          <t>Location: Boston, MA (Hybrid — 2 days per week in office)
**About Us**
 Clasp is a venture\-backed, mission\-driven startup transforming access to education and career pathways. We’re revolutionizing how employers attract and retain critical talent while tackling the student debt crisis. (Yep—we think BIG.)
 Our platform connects employers, educational institutions, and diverse talent using accessible education financing as the thread. More than a fintech startup, we’re a catalyst for economic mobility.
 We’re proud to be a Forbes Fintech 50 company, a portfolio company of SHRM (the largest HR organization in the world), and a recipient of “Startup of the Year” from StartUp Boston. Join us as we reshape the future of work and education—one opportunity at a time.
**The Role – Full\-Stack Engineer**
 We’re looking for a Full\-Stack Software Engineer to join our Engineering team as we scale our product to serve tens of thousands more students and expand partnerships with alternative education providers and employers.
 This role is ideal for an engineer who enjoys building end\-to\-end features, collaborating closely with product and design, and growing their technical depth in a production environment. We’re especially excited about engineers who are deeply customer\-obsessed—who think beyond the ticket in front of them, care about how real users experience the product, and take pride in leaving systems, code, and processes better than they found them.
 You’ll contribute meaningfully across the stack—frontend, backend, and infrastructure—while learning from experienced engineers and operating within a strong DevOps culture. At Clasp, engineers have real ownership over the systems they build. You’ll be trusted to take features from idea to production, improve existing systems, and continuously strengthen your craft as part of a supportive, mission\-driven team.
**What You’ll Do**
* Build, enhance, and maintain features across our application management and loan repayment platform, contributing to both frontend and backend systems
* Leave the codebase and systems better than you found them by improving clarity, reliability, documentation, and developer experience as you work
* Develop polished, accessible user experiences for students and administrators, and reliable APIs for internal and external partners
* Build with a strong sense of customer empathy, considering usability, accessibility, and long\-term maintainability in everyday engineering decisions
* Collaborate with product managers, designers, and fellow engineers to understand requirements and translate them into well\-designed, maintainable solutions
* Write high\-quality, well\-tested code and participate in code reviews to continuously improve team standards
* Contribute to system reliability and performance by improving existing services, fixing bugs, and addressing technical debt
* Participate in our DevOps culture by owning the services you build, supporting deployments, and helping maintain production stability
* Learn and grow by taking on increasingly complex problems over time, with support and mentorship from senior engineers
* Participate in on\-call rotations as needed, contributing to resilient, observable, and well\-monitored systems
**What You’ll Need**
* Bachelor’s degree in Computer Science, Software Engineering, Information Systems, or equivalent practical experience (bootcamp or professional experience)
* 2–6\+ years of experience building web applications in a production environment (startup or fast\-paced product team preferred)
* Experience contributing to full\-stack systems, including frontend, backend, and basic cloud infrastructure
* A customer\-first mindset and a sense of ownership over the quality and durability of the work you ship
* Care for craft—taking pride in improving existing systems, not just shipping new features
* Comfort working with modern CI/CD pipelines and deployment workflows (e.g., GitHub Actions, CircleCI, Jenkins)
* Ability to collaborate effectively with cross\-functional partners and communicate technical ideas clearly
* Experience working in or interest in regulated environments (e.g., fintech, healthcare, education) is a plus, but not required
**Technical Experience (some combination of):**
* Languages \&amp; Frameworks: JavaScript / TypeScript, React, Next.js, Python (Django, Flask, FastAPI, or similar)
* Frontend: HTML, CSS, responsive design principles; familiarity with Figma designs
* Databases: SQL (PostgreSQL preferred)
* Cloud: AWS or Google Cloud
* DevOps: CI/CD pipelines, basic cloud and container tooling
 You don’t need to be an expert in everything—we value strong fundamentals, curiosity, and a growth mindset.
**What We Give In Return**
* Competitive cash and equity compensation
* Health benefits (medical, dental, vision) and 401(k)
* Commuter benefits
* Flexible PTO policy
* A collaborative, mission\-driven team with strong technical mentorship
* Opportunities to grow your skills and career as Clasp scales
**Compensation**
 The salary range for this position is competitive and will be commensurate with the candidate's experience, qualifications, and industry knowledge, ranging between $100,000 to $145,000 annually. In addition to the base salary, we offer an attractive equity component as part of our compensation package, providing an opportunity for eligible employees to share in the success and growth of our company. We are committed to offering competitive compensation and benefits packages to attract and retain top talent.
**Closing**
 If you are a highly driven individual with a passion for technology, and you thrive in a dynamic and fast\-paced environment, we want to hear from you! Join us in revolutionizing the workforce solution industry and making a meaningful impact on businesses worldwide. Apply now to be a part of our growing team!
 We are committed to creating a diverse and inclusive workplace where all employees feel valued, respected, and empowered to contribute their unique perspectives and talents. Clasp is an equal opportunity employer and prohibits discrimination and harassment of any kind. We embrace diversity and are dedicated to providing equal employment opportunities to all individuals regardless of race, color, religion, sex, sexual orientation, gender identity, national origin, age, disability, veteran status, or any other characteristic protected by law.</t>
        </is>
      </c>
    </row>
    <row r="10">
      <c r="A10" t="inlineStr">
        <is>
          <t>li-4362746294</t>
        </is>
      </c>
      <c r="B10" t="inlineStr">
        <is>
          <t>Software Developer</t>
        </is>
      </c>
      <c r="C10" t="inlineStr">
        <is>
          <t>Kenda Tires</t>
        </is>
      </c>
      <c r="D10" t="inlineStr">
        <is>
          <t>linkedin</t>
        </is>
      </c>
      <c r="E10">
        <f>HYPERLINK("https://www.linkedin.com/jobs/view/4362746294", "https://www.linkedin.com/jobs/view/4362746294")</f>
        <v/>
      </c>
      <c r="F10" t="inlineStr"/>
      <c r="G10" t="inlineStr">
        <is>
          <t>North Canton, OH</t>
        </is>
      </c>
      <c r="H10" t="inlineStr"/>
      <c r="I10" t="inlineStr">
        <is>
          <t>**Kenda Overview**
 Kenda is a recognized leader in tire/wheel production, with over 12,000 employees worldwide, where quality, honesty, and customer service are core values. We offer premium performance at a value price in a variety of tire markets that include: passenger car and light truck, powersports, bicycle, wheelchair and specialty tires. This position is an opportunity to be part of a “world\-class” organization, with excellent advancement and growth opportunities.
 Headquartered in Taiwan, the company supplies original equipment to many international automotive industries. With tire factories in Taiwan, China, Vietnam, and Indonesia, Kenda is currently ranked in the top 25 tire companies in the world with global sales of approximately US $1\.2 billion.
**Kenda American Technology Center**
 Kenda American Technology Center (KATC) is responsible for advancing Kenda’s global design capabilities and developing new automotive, powersport, and bicycle tires for the North American marketplace. KATC was established in 2014 and is located in North Canton, Ohio. KATC currently has a staff of 50 and is expected to grow to 70\~80 employees as Kenda expands its North American customer base. Departments include Tire Development, Tire Research, Tire Testing, and Tire Materials. Facilities include a Tire Testing Laboratory, Rubber Mixing Laboratory, and Material Analysis Laboratory in addition to the R\&amp;D office space.
**Position Overview**
 Kenda’s research group focuses on providing leading edge tire technology and applications to improve the tire design and development process. A software developer is responsible for implementing existing design processes, building applications to perform scientific analyses, and maintaining infrastructure systems to aid in the global expansion of tire development operations. An individual in this position will work alongside the computer aided engineering team to develop software applications to improve the tire design and research functions. We are looking for a motivated problem solver that is proficient in React, Django, or C\# development and can work on a team composed of software developers \&amp; mechanical engineers to support our digital twin technologies.
 \*This is an on\-site position\*
**Benefits**
* Competitive salary depending on qualifications and relevant experience.
* Benefits package includes medical, dental, life, accident, critical care, and short\-term \&amp; long\-term disability insurances.
* 401K retirement program with employer match.
* Paid holidays, sick time, vacation time and maternity/paternity leave.
* Employee purchase pricing on automotive, power sport and bicycle tires.
* Collaborative learning environment.
* Welcoming and relaxed office culture.
**Skills \&amp; Experience**
* Experience in at least one or more modern programming languages: Python, C\+\+, C\#
* Experience with Linux and Windows OS
* Experience with Git and distributed version control systems
* Problem solving is necessary
* Experience with web frameworks Django, Angular, or React a plus
* Experience with HPCs/scientific computing a plus
**Responsibilities**
* Develop and implement internal applications for tire development processes.
* Maintain and update existing customized software applications.
* Collaborate with engineering teams to analyze problems and identify solutions.
* Refine global processes and streamline complex systems.
* Work with end users for application release and support.
**Location \&amp; Travel:**
* This position is an on\-site position at our North American R\&amp;D center in North Canton, OH.
* Occasional travel to our international R\&amp;D centers may be required (Taiwan, Germany).
 Equal Opportunity Employer (EOE)</t>
        </is>
      </c>
    </row>
    <row r="11">
      <c r="A11" t="inlineStr">
        <is>
          <t>li-4362728505</t>
        </is>
      </c>
      <c r="B11" t="inlineStr">
        <is>
          <t>Software Engineer</t>
        </is>
      </c>
      <c r="C11" t="inlineStr">
        <is>
          <t>Unusual Machines</t>
        </is>
      </c>
      <c r="D11" t="inlineStr">
        <is>
          <t>linkedin</t>
        </is>
      </c>
      <c r="E11">
        <f>HYPERLINK("https://www.linkedin.com/jobs/view/4362728505", "https://www.linkedin.com/jobs/view/4362728505")</f>
        <v/>
      </c>
      <c r="F11" t="inlineStr"/>
      <c r="G11" t="inlineStr">
        <is>
          <t>Orlando, FL</t>
        </is>
      </c>
      <c r="H11" t="inlineStr"/>
      <c r="I11" t="inlineStr">
        <is>
          <t>**You in This Role** 
 As a Software Engineer \- Test \&amp; Production Tools at Unusual Machines, you will design and build Windows\-based software that powers the testing and production of FPV/UAV electronics. You'll work hands\-on with flight controllers, ESCs, motors, and related hardware, creating reliable tools that automate flashing, configuration, and test execution on the facility floor.
 This role sits at the intersection of software, hardware, and manufacturing. You'll immediately contribute to in\-progress tools and test fixtures, then continue shaping scalable production and test systems for future products and production lines. This is a highly practical, impact\-driven role for an engineer who enjoys building robust tools that directly support real\-world manufacturing.
**A Day in the Life**
* Developing and maintaining Windows\-based Python tools used by production operators and test engineers
* Automating firmware flashing and configuration for flight controllers, ESCs, and other electronics
* Building and refining simple, operator\-friendly GUIs with clear status indicators and pass/fail results
* Integrating software with test fixtures, automation hardware, and external microcontrollers
* Running and troubleshooting production tests alongside hardware and manufacturing teams
* Reviewing logs, test data, and yield reports to support quality and traceability
* Updating tools and scripts as products, firmware, and manufacturing processes evolve
**What You'll Do**
* Design and develop Windows\-based applications in Python to support production and engineering test workflows
* Automate firmware flashing and device configuration using serial, USB, DFU, SWD, and related interfaces
* Build robust GUIs for facility use with clear logging, error handling, and reporting
* Interface with test fixtures and automation hardware to trigger tests and capture measurements
* Implement structured data logging and report generation for yield tracking and quality analysis
* Translate SOPs and manual test procedures into reliable automated test scripts
* Maintain and improve existing tools as products and production lines scale
**What You'll Bring**
 Required:
* Degree in Computer Science, Computer Engineering, Electrical Engineering, or equivalent practical experience
* 3\+ years of experience developing Windows\-based software tools, ideally for hardware, test, or production environments
* Strong proficiency in Python on Windows
* Experience with at least one GUI framework (PySide/PyQt, Tkinter, or similar)
* Hands\-on experience with serial and USB communication and device programming tools
* Familiarity with electronic test concepts and lab equipment (oscilloscopes, power supplies, DMMs)
* Comfort working closely with hardware, test, and manufacturing engineers
**Preferred:**
* Experience building automated test systems or production test software
* FPV/UAV, embedded systems, or flight electronics experience
* Familiarity with flight controller firmware such as Betaflight, ArduPilot, INAV, or PX4
**What You'll Gain**
* Direct impact on how FPV/UAV electronics are tested and produced
* Hands\-on ownership of tools used daily on the facility floor
* Close collaboration with hardware, manufacturing, and engineering teams
* The opportunity to improve and scale production systems as new products launch
* A practical, high\-impact engineering role supporting real\-world hardware at scale
 You'll work closely with Engineering, Test, and Manufacturing teams to ensure production tools are reliable, scalable, and aligned with Unusual Machines' growing product portfolio.
**Compensation \&amp; Benefits**
* Competitive compensation package
* Comprehensive benefits including medical, dental, and vision
* 401(k)
* Unlimited PTO
* Catered lunches for all employees every day of the week
* Employee product discounts
**About Us**
 Unusual Machines is a U.S.\-based drone and drone parts company focused on the small and First\-Person View (FPV) segments of the drone market. Our brands \- Rotor Riot and Fat Shark \- are two of the most respected names in FPV and have helped shape the industry through e\-commerce, product development, and a deep connection with the pilot community.
 We're expanding into enterprise and defense \- bringing our obsessive attention to performance, design, and U.S.\-based manufacturing into high\-stakes environments like search and rescue, STEM education, and military innovation. With several of our products already approved by the Defense Innovation Unit, we're solving procurement issues for customers who demand speed, agility, and compliance.
 If you love working at the intersection of community, content, and cutting\-edge technology, you'll feel right at home here.
*We are an equal opportunity employer that does not discriminate on the basis of race, national origin, gender, gender identity, sexual orientation, protected veteran status, disability, age, or other legally protected status.*
*Unusual Machines participates in E\-Verify. E\-Verify is an Internet\-based system that compares information from an employee's Form I\-9, Employment Eligibility Verification, to data from U.S. Department of Homeland Security and Social Security Administration records to confirm employment eligibility.*
*We unfortunately cannot offer visa sponsorship for this position.*</t>
        </is>
      </c>
    </row>
    <row r="12">
      <c r="A12" t="inlineStr">
        <is>
          <t>li-4359146341</t>
        </is>
      </c>
      <c r="B12" t="inlineStr">
        <is>
          <t>Software Engineer</t>
        </is>
      </c>
      <c r="C12" t="inlineStr">
        <is>
          <t>Apple</t>
        </is>
      </c>
      <c r="D12" t="inlineStr">
        <is>
          <t>linkedin</t>
        </is>
      </c>
      <c r="E12">
        <f>HYPERLINK("https://www.linkedin.com/jobs/view/4359146341", "https://www.linkedin.com/jobs/view/4359146341")</f>
        <v/>
      </c>
      <c r="F12" t="inlineStr"/>
      <c r="G12" t="inlineStr">
        <is>
          <t>New York, NY</t>
        </is>
      </c>
      <c r="H12" t="inlineStr"/>
      <c r="I12" t="inlineStr">
        <is>
          <t>**Summary**
 At Apple, we focus deeply on our customers’ experience. Apple Ads brings this same approach to advertising, helping people find exactly what they’re looking for and helping advertisers grow their businesses.nnOur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**Description**
 Ads Engineering builds ad tech the Apple way—privacy\-preserving, user\-centric, and built to scale. Our infrastructure supports massive real\-time demand with low latency, precision, and global reach. Our work spans distributed systems, large\-scale data infrastructure, LLMs, and Generative AI. We design and build best of breed systems for dealing with our complex and ever\-growing platform needs that help deliver highly optimized advertising content to consumers.
**Minimum Qualifications**
 3 or more years of industry experience building scalable micro services or data driven platforms.nStrong computer science fundamentals.nPrior experience with OOPS programming (eg., Java/C\+\+ or equivalent)nFamiliarity with cloud paradigms ( e.g AWS or GCP )nExpertise in building backend distributed systemsnExperience with creating solutions using public cloud technologies and APIsnStrong understanding of Micro\-service design and high\-scale performance tuningnExpertise in relational and non relational datastore nProficiency in data processing technologies (e.g Kafka, Spark, Flink )nStrong problem solving and debugging skills.nA desire to work in a fast\-paced work environment.nBachelor's degree in Computer Science/Engineering discipline or equivalent. Master's degree preferred.
**Preferred Qualifications**
 5\+ years of experience in software engineeringnProficiency in JavanPrior experience in advertising industry is a plus
**Pay \&amp; Benefits**
 At Apple, base pay is one part of our total compensation package and is determined within a range. This provides the opportunity to progress as you grow and develop within a role. The base pay range for this role is between $147,400 and $220,900,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3">
      <c r="A13" t="inlineStr">
        <is>
          <t>li-4362841852</t>
        </is>
      </c>
      <c r="B13" t="inlineStr">
        <is>
          <t>Software Engineer 1</t>
        </is>
      </c>
      <c r="C13" t="inlineStr">
        <is>
          <t>Intuit</t>
        </is>
      </c>
      <c r="D13" t="inlineStr">
        <is>
          <t>linkedin</t>
        </is>
      </c>
      <c r="E13">
        <f>HYPERLINK("https://www.linkedin.com/jobs/view/4362841852", "https://www.linkedin.com/jobs/view/4362841852")</f>
        <v/>
      </c>
      <c r="F13">
        <f>HYPERLINK("https://dsp.prng.co/-gov-Bb&amp;urlHash=0VWA", "https://dsp.prng.co/-gov-Bb&amp;urlHash=0VWA")</f>
        <v/>
      </c>
      <c r="G13" t="inlineStr">
        <is>
          <t>Mountain View, CA</t>
        </is>
      </c>
      <c r="H13" t="inlineStr"/>
      <c r="I13" t="inlineStr">
        <is>
          <t>**Overview**
 This role is ideal for those at the start of their professional journey, who are eager to learn, grow, and make an immediate impact. As this is a general posting, we’ll align you with a team based on your skills, interests, and career aspirations to set you up for success.
 We're cultivating a culture that prioritizes innovators, risk\-takers, and imaginative thinkers. In pursuit of becoming AI\-native, we recognize that fostering a "builder" mindset is essential.
 You’ll help create solutions that transform how millions of consumers and small businesses manage their finances in cloud, platform, mobile, and SaaS environments. Working in a culture that embraces experimentation and rapid prototyping, you’ll collaborate closely with customers and cross\-functional teams, turning ideas into real impact while building the skills to launch a rewarding career.
**Responsibilities**
 Backend Engineering:
* Experience developing web applications using server\-side languages, such as Java, Python, or Node.js.
* Familiarity with database technologies such as MySQL, PostgreSQL, or MongoDB
* Understanding of RESTful API design principles and ability to work with API integrations
* Experience with server frameworks such as Express, Spring MVC or Django
**Across All Tech Stacks**
* Contribute to our core products and services, as well as systems that power critical engineering operations.
* See your work launched and help solve meaningful problems for customers.
* Learn and apply proven best practices in designing, building, and supporting software projects.
* Receive hands\-on guidance, detailed feedback, and mentorship from experienced team members.
* Collaborate closely with peers across disciplines and build strong, supportive working relationships.
* Gain exposure to innovation methods like Design for Delight to experiment, iterate, and create impact.
**Qualifications**
* Bachelor’s or Master’s degree in Computer Science, a related technical field, or equivalent practical experience.
* Foundational understanding of Agile development, object\-oriented design, and programming principles.
* Coursework, internships, personal projects, or academic experience with one or more programming languages (e.g., Java, Python, JavaScript, C\+\+, etc.).
* Basic knowledge of front\-end web technologies (HTML, CSS, JavaScript) and familiarity with frameworks or tools is a plus.
* Strong written, verbal, and collaboration skills with the ability to work effectively in a team environment.
* Willingness to learn and adapt to new priorities, tools, and technologies in a fast\-paced, dynamic environment.
* Able to leverage AI tools and platforms to enhance productivity and problem\-solving
* Comfortable using AI\-assisted development environments (such as GitHub Copilot, Tabnine, or similar tools) to improve code quality and speed. (this might be too similar to the point above)
* Able to identify tasks that could be automated or optimized using AI technologies.
* Demonstrates awareness of ethical considerations, bias, and limitations of AI tools, applying them responsibly.
* Can effectively review and validate AI\-generated outputs to ensure correctness and maintain software quality standards.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4">
      <c r="A14" t="inlineStr">
        <is>
          <t>li-4359163570</t>
        </is>
      </c>
      <c r="B14" t="inlineStr">
        <is>
          <t>Full Stack Software Engineer</t>
        </is>
      </c>
      <c r="C14" t="inlineStr">
        <is>
          <t>Apple</t>
        </is>
      </c>
      <c r="D14" t="inlineStr">
        <is>
          <t>linkedin</t>
        </is>
      </c>
      <c r="E14">
        <f>HYPERLINK("https://www.linkedin.com/jobs/view/4359163570", "https://www.linkedin.com/jobs/view/4359163570")</f>
        <v/>
      </c>
      <c r="F14" t="inlineStr"/>
      <c r="G14" t="inlineStr">
        <is>
          <t>Austin, TX</t>
        </is>
      </c>
      <c r="H14" t="inlineStr"/>
      <c r="I14" t="inlineStr">
        <is>
          <t>**Summary**
 Do you love creating elegant solutions to highly complex challenges? Do you intrinsically see the importance of every detail? As part of our Hardware Technology organization, you’ll help design and build highly available web applications and data visualization frameworks. You will work across the software stack, from designing scalable APIs and data pipelines to creating intuitive front\-end interfaces, and integrating AI\-powered features into our services. In this highly visible role, you will be part of an agile software team that produces high\-quality tools and services used across the organization for tracking, triaging, and debugging various chip design workflows to enable hardware engineering teams to design the world’s most advanced silicon more efficiently!
**Description**
 Primary responsibilities for this role include: nn\- Designing and maintaining end\-to\-end web applications, including frontend, backend, and database layers nn\- Developing and debugging tools in a custom Linux environment nn\- Collaborating with cross\-functional teams to create dashboards that visualize and track critical chip design metrics nn\- Developing and deploying REST APIs that serve both traditional and AI\-driven features nn\- Contributing to CI/CD pipelines, testing, and monitoring to ensure reliability
**Minimum Qualifications**
 Minimum requirement of BS \+ 10 years of relevant industry experience nnHands\-on experience in at least one general\-purpose programming language (Python, JavaScript, or Go) nnExperience with frontend web development (React and modern JavaScript frameworks) nnExperience with SQL and NoSQL databases nnExperience with a Linux environment nnUnderstanding of RESTful API design and authentication techniques (Eg. JWT, OAuth etc)
**Preferred Qualifications**
 Strong knowledge of data structures, algorithms, and software design principles nnWorking knowledge of Splunk or the Elastic Stack nnExperience building microservices based web architecture nnExperience with CI/CD tools such as TeamCity, GitLab, etc. nnExperience with Docker or Kubernetes container orchestration nnExperience integrating LLM APIs (e.g., OpenAI, Claude, Gemini) into applications nnAbility to work in a dynamic and highly collaborative team environment nnStrong attention to detail and excellent analytical capabilities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5">
      <c r="A15" t="inlineStr">
        <is>
          <t>li-4357608376</t>
        </is>
      </c>
      <c r="B15" t="inlineStr">
        <is>
          <t>Software Engineer</t>
        </is>
      </c>
      <c r="C15" t="inlineStr">
        <is>
          <t>Apple</t>
        </is>
      </c>
      <c r="D15" t="inlineStr">
        <is>
          <t>linkedin</t>
        </is>
      </c>
      <c r="E15">
        <f>HYPERLINK("https://www.linkedin.com/jobs/view/4357608376", "https://www.linkedin.com/jobs/view/4357608376")</f>
        <v/>
      </c>
      <c r="F15" t="inlineStr"/>
      <c r="G15" t="inlineStr">
        <is>
          <t>Cupertino, CA</t>
        </is>
      </c>
      <c r="H15" t="inlineStr"/>
      <c r="I15" t="inlineStr">
        <is>
          <t>**Summary**
 In Sensing u0026 Connectivity, we use on\-device sensors and wireless technologies to understand motion and orientation, help pinpoint location, understand user’s context, and combine on\-device data with machine learning to create immersive and intelligent experiences.nn
**Description**
 On this team, you will tackle a wide range of challenges and collaborate closely with CoreMotion, CoreLocation, Maps, and AIML experts. You will engage in investigative and research\-like projects to explore and prototype solutions for complex, open\-ended problems.
**Minimum Qualifications**
 Proficiency with Objective\-C, Swift, or similar embedded programming languagenSolid software engineering fundamentals — including data structures u0026 algorithms, object\-oriented design, and concurrencynInter\-process communication and systems development experiencenUnderstanding of patterns, approaches, and constraints for large language model promptingn
**Preferred Qualifications**
 Ability to work collaboratively and explain complex ideas clearlynStrong analytical and quantitative skills with a solid foundation in mathematics and physicsnInterest in climate science, environmental impact reduction, or sustainability metricsnA proven track record of shipping applications / delivering code to production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6">
      <c r="A16" t="inlineStr">
        <is>
          <t>li-4359181308</t>
        </is>
      </c>
      <c r="B16" t="inlineStr">
        <is>
          <t>Software Engineer - Backend Systems</t>
        </is>
      </c>
      <c r="C16" t="inlineStr">
        <is>
          <t>Apple</t>
        </is>
      </c>
      <c r="D16" t="inlineStr">
        <is>
          <t>linkedin</t>
        </is>
      </c>
      <c r="E16">
        <f>HYPERLINK("https://www.linkedin.com/jobs/view/4359181308", "https://www.linkedin.com/jobs/view/4359181308")</f>
        <v/>
      </c>
      <c r="F16" t="inlineStr"/>
      <c r="G16" t="inlineStr">
        <is>
          <t>Cupertino, CA</t>
        </is>
      </c>
      <c r="H16" t="inlineStr"/>
      <c r="I16" t="inlineStr">
        <is>
          <t>**Summary**
 Do you want to help define the future of delivering Apple software to customers? Join Software Delivery’s Build Experience team to help work on new technologies that will be used to deliver Apple platforms to millions of customers. nnOur team has a passion for innovation and engineering and is looking for individuals with a genuine excitement to collaborate with others to solve sophisticated problems with a focus on the user experience.
**Description**
 We are looking for a passionate and experienced developer, a product\-minded engineer who cares deeply about user experience, architectural excellence, and writing code that is as beautiful as the products it powers. nnIn this role, you will have a profound impact on software engineering productivity by designing and building the next generation of productivity applications used by Apple engineers. As a member of the team, you will lead technical discussions, mentor other engineers, and drive features from concept to launch. Your responsibilities will include:nn\- Designing, developing, and maintaining sophisticated, high\-performance applications.n\- Collaborating closely with cross\-functional teams, including HI designers, project managers, and engineers, to define and deliver world\-class features.n\- Leading architectural and design discussions, ensuring our solutions are robust, scalable, and forward\-thinking.n\- Writing clean, elegant, and well\-tested code that sets the standard for quality on the team.n\- Mentoring and guiding other engineers, fostering a culture of technical excellence, continuous improvement and providing constructive feedback in code reviews.n\- Taking ownership of the full development lifecycle, from initial concept and prototyping through to testing, release, and post\-launch support.n
**Minimum Qualifications**
 Technologies: Swift on Server, Go, Temporal or equivalentnKnowledge: problem solving, architecture, debugging, and testingnUser\-focused: passion for quality, attention to details, and delivering outstanding user experiencesnCollaboration: excellent communication skills and genuine interest to mentor others and collaborate with teams across a wide range of technology and disciplines
**Preferred Qualifications**
 Experience with databases (relational and NoSQL databases like Cassandra)nKnowledge of containerization, orchestration technologies, networking and securitynExperience with server side development and systems programming nExperience leading the technical development of larger features and collaborating across organizational boundaries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7">
      <c r="A17" t="inlineStr">
        <is>
          <t>li-4357668670</t>
        </is>
      </c>
      <c r="B17" t="inlineStr">
        <is>
          <t>Software Engineer - Data</t>
        </is>
      </c>
      <c r="C17" t="inlineStr">
        <is>
          <t>Apple</t>
        </is>
      </c>
      <c r="D17" t="inlineStr">
        <is>
          <t>linkedin</t>
        </is>
      </c>
      <c r="E17">
        <f>HYPERLINK("https://www.linkedin.com/jobs/view/4357668670", "https://www.linkedin.com/jobs/view/4357668670")</f>
        <v/>
      </c>
      <c r="F17" t="inlineStr"/>
      <c r="G17" t="inlineStr">
        <is>
          <t>Sunnyvale, CA</t>
        </is>
      </c>
      <c r="H17" t="inlineStr"/>
      <c r="I17" t="inlineStr">
        <is>
          <t>**Summary**
 We are seeking a highly skilled and experienced software / data ETL engineer to join our small but impactful data processing team. You will play a crucial role in designing, building, and implementing robust and efficient ETL (Extract, Transform, Load) processes for large datasets. nnThis role requires a proven ability to design and implement ETL/ELT pipelines, and a high proficiency in Python and remote development. While a strong foundation in data science and analytics is not required, experience in these areas is a plus, as opportunities may arise to contribute to developing reporting tools and data analysis.nnAre you ready to leave an enduring mark on the world of technology?
**Description**
 You will work closely with our team, receiving clear technical instructions, to implement data processing pipelines, optimize existing pipelines, to help ensure the timely and accurate delivery of data to multiple internal teams.
**Minimum Qualifications**
 Bachelor's degree in Computer Science, Engineering, or a related fieldn5\+ years of experience in data engineering, with a strong focus on ETL/ELT processesnHigh proficiency in Python
**Preferred Qualifications**
 Experience with data quality and validation techniquesnProven experience working with large datasetsnExperience with Big Data formats and tooling such as Parquet, IcebergnExperience with media data formats (i.e. photos and video) and metadata formats such as CSV and JSONnExpertise in at least one cloud platform (e.g., AWS, Azure, GCP) and relevant servicesnExperience with Dagster and other data orchestration frameworksnExperience with dbtnExperience with CI/CD pipelinesnExperience with data visualization tools (e.g., Tableau, Superset)nExperience in SQL, data science and analyticsnExperience with databases like postgres/TrinonStrong communication and collaboration skillsnExcellent problem\-solving and analytical skillsnAbility to work effectively with limited contextual information and follow detailed technical specifications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8">
      <c r="A18" t="inlineStr">
        <is>
          <t>li-4359146139</t>
        </is>
      </c>
      <c r="B18" t="inlineStr">
        <is>
          <t>Software Engineer - Workout u0026 Fitness</t>
        </is>
      </c>
      <c r="C18" t="inlineStr">
        <is>
          <t>Apple</t>
        </is>
      </c>
      <c r="D18" t="inlineStr">
        <is>
          <t>linkedin</t>
        </is>
      </c>
      <c r="E18">
        <f>HYPERLINK("https://www.linkedin.com/jobs/view/4359146139", "https://www.linkedin.com/jobs/view/4359146139")</f>
        <v/>
      </c>
      <c r="F18" t="inlineStr"/>
      <c r="G18" t="inlineStr">
        <is>
          <t>Cupertino, CA</t>
        </is>
      </c>
      <c r="H18" t="inlineStr"/>
      <c r="I18" t="inlineStr">
        <is>
          <t>**Summary**
 Join the team that is revolutionizing the watch! As a software engineer on the Apple Watch Workout team you will be responsible for building extraordinary fitness features. You’ll work closely with the Design and QA teams to develop software of superior quality that will empower millions of users to help live their best lives. As a driving force behind the Fitness experience at Apple, your contributions empower our users to take charge of their health and fitness journeys. Above all, we value passion and collaboration when building impactful products that help change people’s lives.
**Description**
 The Workout team is responsible for bringing comprehensive Workout and Fitness experiences to life on watchOS and iOS. As an engineer on our team, your primary responsibility will be to help develop the Workout and Fitness apps. You’ll also contribute to different levels of the engineering stack throughout the development process, including as we continue to expand intelligence features like Workout Buddy in the Fitness space.
**Minimum Qualifications**
 BS CE/CS or equivalent experience requirednExcellent Swift coding abilitynDeep commitment to product qualitynExcellent communication and collaborative skillsnEnthusiastic about working on a cross functional team
**Preferred Qualifications**
 An interest in building consumer applications in the Fitness spacenExperience optimizing applications and profiling throughout the stacknExperience improving and expanding on existing complex projects and systems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9">
      <c r="A19" t="inlineStr">
        <is>
          <t>li-4357688603</t>
        </is>
      </c>
      <c r="B19" t="inlineStr">
        <is>
          <t>Senior Software Engineer</t>
        </is>
      </c>
      <c r="C19" t="inlineStr">
        <is>
          <t>Apple</t>
        </is>
      </c>
      <c r="D19" t="inlineStr">
        <is>
          <t>linkedin</t>
        </is>
      </c>
      <c r="E19">
        <f>HYPERLINK("https://www.linkedin.com/jobs/view/4357688603", "https://www.linkedin.com/jobs/view/4357688603")</f>
        <v/>
      </c>
      <c r="F19">
        <f>HYPERLINK("https://jobs.apple.com/en-us/details/200619935&amp;urlHash=7Cxy", "https://jobs.apple.com/en-us/details/200619935&amp;urlHash=7Cxy")</f>
        <v/>
      </c>
      <c r="G19" t="inlineStr">
        <is>
          <t>Sunnyvale, CA</t>
        </is>
      </c>
      <c r="H19" t="inlineStr"/>
      <c r="I19" t="inlineStr">
        <is>
          <t>**Summary**
 Imagine what you could do here. At Apple, new ideas have a way of becoming extraordinary products, services, and customer experiences very quickly. Bring passion and dedication to your job and there's no telling what you could accomplish.nnThe people here at Apple don’t just craft products \- they build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it.nnOur organization combines ground breaking software engineering with the power of machine learning to build systems that shape the future. We're seeking a Senior Software Engineer who values outstanding user experiences and has a passion for crafting extraordinary products. Join a results\-oriented, innovative team working on high\-visibility projects within Apple’s Operations organization, where growth and collaboration are core values. If this resonates with you, we encourage you to consider joining us!n
**Description**
 We are seeking a Senior Software Engineer with both strategic vision and hands\-on engineering expertise. This individual will be responsible for defining and implementing the architecture, roadmap, and deployment of our intelligent systems. Ideal candidates will have strong engineering and machine learning expertise, with the ability to guide complex projects from concept to adoption.n
**Minimum Qualifications**
 Bachelor’s degree in Computer Science, Software Engineering, Machine Learning, or related field.n8\+ years of software development experience with a focus on software engineering and machine learning.nExpertise in developing large\-scale, distributed computing systems.nProficiency in designing, implementing, and supporting scalable systems.nProven track record in architecting and deploying intelligent systems, from strategy to execution.nStrong proficiency in languages like Python, Java, or similar, with a solid understanding of frontend frameworks.nSkilled with cloud platforms (AWS, GCP) and containerization tools (Docker, Kubernetes).nAbility to translate technical concepts into clear, business\-focused insights and communicate effectively with stakeholders.
**Preferred Qualifications**
 Master’s degree in Computer Science, Software Engineering, Machine Learning, or related field.nPassion for solving complex problems and uncovering hidden insights through data.nn
**Pay \&amp; Benefits**
 At Apple, base pay is one part of our total compensation package and is determined within a range. This provides the opportunity to progress as you grow and develop within a role. The base pay range for this role is between $212,000 and $318,400,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20">
      <c r="A20" t="inlineStr">
        <is>
          <t>li-4359137551</t>
        </is>
      </c>
      <c r="B20" t="inlineStr">
        <is>
          <t>Full Stack Software Engineer</t>
        </is>
      </c>
      <c r="C20" t="inlineStr">
        <is>
          <t>Apple</t>
        </is>
      </c>
      <c r="D20" t="inlineStr">
        <is>
          <t>linkedin</t>
        </is>
      </c>
      <c r="E20">
        <f>HYPERLINK("https://www.linkedin.com/jobs/view/4359137551", "https://www.linkedin.com/jobs/view/4359137551")</f>
        <v/>
      </c>
      <c r="F20" t="inlineStr"/>
      <c r="G20" t="inlineStr">
        <is>
          <t>Cupertino, CA</t>
        </is>
      </c>
      <c r="H20" t="inlineStr"/>
      <c r="I20" t="inlineStr">
        <is>
          <t>**Summary**
 Imagine what you could do here. At Apple, new ideas have a way of becoming products, services, and customer experiences very quickly. Every single day, people do amazing things at Apple. Do you want to impact billions of users by developing extraordinary products with a prime focus on accuracy, understandability and performance of the product? You will become part of a hands\-on development team that furthers engineering perfection, creativity and innovation. Dynamic, inspiring people and innovative technologies are the norm here. We want you to join our team if you are a resourceful software engineer with the desire to research and develop solutions that do not yet exist. Bring passion and dedication to your job and there's no telling what you could accomplish.
**Description**
 We are looking for a motivated and experienced full\-stack software engineer with in\-depth knowledge in web application design and development.nn\- You will be working on designing and developing innovative front\-end and backend software features using micro services architecture for our organization’s internal web applications.n\- Our ideal candidate must have demonstrated expertise in Java/J2EE stack, Node.js, React, Typescript, JavaScript, MongoDB and PostgreSQL. n\- You are comfortable with analyzing business requirements, identifying gaps, and translating requirements into technical designs. n\- You are proficient and adhere to the best practices of software development, such as agile development, code reviews, continuous integration, and automated testing. n\- You have worked closely with project managers, UI/UX designers, and other stakeholders to define requirements, estimate efforts accordingly, and ultimately deliver quality work on\-time.
**Minimum Qualifications**
 Bachelor’s degree with 3\+ years relevant experience required.n3\+ years’ experience with Java, J2EE, and Java related technologies such as Spring Framework.nHands on experience in highly scalable distributed and systems UI development such as JavaScript, HTML, CSS.nExperience in public cloud environments like AWS, GCP and others.nExperience in SQL and NoSQL distributed databases such as PostgreSQL and MongoDB. nStrong knowledge and understanding of data structures, algorithms, design patterns, concurrency, multi\-threading and scalability.nExperience developing RESTful APIs.nAbility to work in a dynamic and highly collaborative team environment.nStrong attention to detail and excellent analytical capabilities.
**Preferred Qualifications**
 Master’s degree with 3\+ years relevant experience required.nExperience in Node.js, React or Angular.nKnowledge of containerization concepts like Kubernetes, Docker and others.nExperience with continuous integration (e.g. Jenkins) and testing frameworks (e.g. JUnit).nExperience in Swift for Mac OS application development.nExperience in Python3 and UNIX shell scripting.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21">
      <c r="A21" t="inlineStr">
        <is>
          <t>li-4362861640</t>
        </is>
      </c>
      <c r="B21" t="inlineStr">
        <is>
          <t>Software Engineer 1</t>
        </is>
      </c>
      <c r="C21" t="inlineStr">
        <is>
          <t>Intuit</t>
        </is>
      </c>
      <c r="D21" t="inlineStr">
        <is>
          <t>linkedin</t>
        </is>
      </c>
      <c r="E21">
        <f>HYPERLINK("https://www.linkedin.com/jobs/view/4362861640", "https://www.linkedin.com/jobs/view/4362861640")</f>
        <v/>
      </c>
      <c r="F21">
        <f>HYPERLINK("https://dsp.prng.co/kpSbMdb&amp;urlHash=IbdW", "https://dsp.prng.co/kpSbMdb&amp;urlHash=IbdW")</f>
        <v/>
      </c>
      <c r="G21" t="inlineStr">
        <is>
          <t>San Diego, CA</t>
        </is>
      </c>
      <c r="H21" t="inlineStr"/>
      <c r="I21" t="inlineStr">
        <is>
          <t>**Overview**
 This role is ideal for those at the start of their professional journey, who are eager to learn, grow, and make an immediate impact. As this is a general posting, we’ll align you with a team based on your skills, interests, and career aspirations to set you up for success.
 We're cultivating a culture that prioritizes innovators, risk\-takers, and imaginative thinkers. In pursuit of becoming AI\-native, we recognize that fostering a "builder" mindset is essential.
 You’ll help create solutions that transform how millions of consumers and small businesses manage their finances in cloud, platform, mobile, and SaaS environments. Working in a culture that embraces experimentation and rapid prototyping, you’ll collaborate closely with customers and cross\-functional teams, turning ideas into real impact while building the skills to launch a rewarding career.
**Responsibilities**
 Backend Engineering:
* Experience developing web applications using server\-side languages, such as Java, Python, or Node.js.
* Familiarity with database technologies such as MySQL, PostgreSQL, or MongoDB
* Understanding of RESTful API design principles and ability to work with API integrations
* Experience with server frameworks such as Express, Spring MVC or Django
**Across All Tech Stacks**
* Contribute to our core products and services, as well as systems that power critical engineering operations.
* See your work launched and help solve meaningful problems for customers.
* Learn and apply proven best practices in designing, building, and supporting software projects.
* Receive hands\-on guidance, detailed feedback, and mentorship from experienced team members.
* Collaborate closely with peers across disciplines and build strong, supportive working relationships.
* Gain exposure to innovation methods like Design for Delight to experiment, iterate, and create impact.
**Qualifications**
* Bachelor’s or Master’s degree in Computer Science, a related technical field, or equivalent practical experience.
* Foundational understanding of Agile development, object\-oriented design, and programming principles.
* Coursework, internships, personal projects, or academic experience with one or more programming languages (e.g., Java, Python, JavaScript, C\+\+, etc.).
* Basic knowledge of front\-end web technologies (HTML, CSS, JavaScript) and familiarity with frameworks or tools is a plus.
* Strong written, verbal, and collaboration skills with the ability to work effectively in a team environment.
* Willingness to learn and adapt to new priorities, tools, and technologies in a fast\-paced, dynamic environment.
* Able to leverage AI tools and platforms to enhance productivity and problem\-solving
* Comfortable using AI\-assisted development environments (such as GitHub Copilot, Tabnine, or similar tools) to improve code quality and speed. (this might be too similar to the point above)
* Able to identify tasks that could be automated or optimized using AI technologies.
* Demonstrates awareness of ethical considerations, bias, and limitations of AI tools, applying them responsibly.
* Can effectively review and validate AI\-generated outputs to ensure correctness and maintain software quality standards.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2">
      <c r="A22" t="inlineStr">
        <is>
          <t>li-4357688534</t>
        </is>
      </c>
      <c r="B22" t="inlineStr">
        <is>
          <t>Senior Software Engineer, Commerce</t>
        </is>
      </c>
      <c r="C22" t="inlineStr">
        <is>
          <t>Apple</t>
        </is>
      </c>
      <c r="D22" t="inlineStr">
        <is>
          <t>linkedin</t>
        </is>
      </c>
      <c r="E22">
        <f>HYPERLINK("https://www.linkedin.com/jobs/view/4357688534", "https://www.linkedin.com/jobs/view/4357688534")</f>
        <v/>
      </c>
      <c r="F22" t="inlineStr"/>
      <c r="G22" t="inlineStr">
        <is>
          <t>New York, NY</t>
        </is>
      </c>
      <c r="H22" t="inlineStr"/>
      <c r="I22" t="inlineStr">
        <is>
          <t>**Summary**
 The Apple Services Engineering team powers the App Store, Apple TV, Apple Music, nApple Podcasts, and Apple Books, combining Apple's passion for art and technology on a nmassive scale. We are looking for a Senior Software Engineer to join our Commerce team, which nmanages purchases and subscriptions for millions of customers and developers worldwide.
**Description**
 This is an opportunity to tackle the challenges of building a world\-class, extraordinary, and nscalable commerce platform. You will work on adding new integrations, scaling data nflows, and re\-imagining existing processes to accommodate new features, architectures, and country\-nspecific requirements. This role operates at an immense scale of volume and complexity, in a nfast\-paced environment where the best engineers and scientists collaborate to deliver fantastic nproducts for our customers.
**Minimum Qualifications**
 Two years of experience in qualifications below:nStrong experience with Java programming and Object\-Oriented Programming principles.nKnowledge of databases (both SQL and NoSQL, e.g., Cassandra) and entity\-relationship modeling.nExperience building and working with highly scalable applications and RESTful web services.nFamiliarity with scalability, performance issues, and programming for eventual consistency.nExcellent interpersonal, communication, and presentation skills to leadership. nFamiliarity with UX principles and Frontend UI engineering
**Preferred Qualifications**
 A Master’s Degree in Computer Engineering/Computer Science is preferred.nStrong sense of responsibility and an interest in the commerce domain.nExcellent judgment and integrity with the ability to make timely and sound decisions.nWillingness to take ownership, set direction, and navigate ambiguity.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23">
      <c r="A23" t="inlineStr">
        <is>
          <t>li-4355198609</t>
        </is>
      </c>
      <c r="B23" t="inlineStr">
        <is>
          <t>Software Developer</t>
        </is>
      </c>
      <c r="C23" t="inlineStr">
        <is>
          <t>Apple</t>
        </is>
      </c>
      <c r="D23" t="inlineStr">
        <is>
          <t>linkedin</t>
        </is>
      </c>
      <c r="E23">
        <f>HYPERLINK("https://www.linkedin.com/jobs/view/4355198609", "https://www.linkedin.com/jobs/view/4355198609")</f>
        <v/>
      </c>
      <c r="F23">
        <f>HYPERLINK("https://jobs.apple.com/en-us/details/200634755&amp;urlHash=H1Eh", "https://jobs.apple.com/en-us/details/200634755&amp;urlHash=H1Eh")</f>
        <v/>
      </c>
      <c r="G23" t="inlineStr">
        <is>
          <t>Sunnyvale, CA</t>
        </is>
      </c>
      <c r="H23" t="inlineStr"/>
      <c r="I23" t="inlineStr">
        <is>
          <t>**Summary**
 Apple builds products that enrich lives, and at the heart of those experiences is world\-class software. The Sensing Software team is seeking an outstanding Software Developer to help drive the software development and architecture underlying next generation Apple products. In this role, you will shape foundational application and system architectures across iOS, watchOS, and emerging platforms, collaborating deeply with cross\-functional hardware, algorithms, data engineering, and product design teams.nnYou will leverage your expertise in large\-scale system design, performance optimization, and Apple’s software frameworks to build robust platforms that power novel sensing and research experiences. This is a highly visible, highly technical role requiring strong technical leadership, clarity of thought, and the ability to influence technical direction across teams!
**Description**
 In this role, you will lead architectural efforts across current and future Apple sensing and research software platforms. You will partner with hardware, algorithms, and multi\-functional engineering teams to define the application and system software layers that support groundbreaking features and data\-driven experiences.
**Minimum Qualifications**
 Bachelors Degree in Computer Science, Computer Engineering, Electrical Engineering, or equivalent and 10\+ years relevant experience nnExperience leading, designing and driving architecture for complex, multi module applications or system software.nnExperience influencing technical decisions across cross\-functional partners (Algorithms, HW, QE, Data Engineering).nnExperience developing high\-quality iOS/watchOS/macOS applications (App Store or internal enterprise distribution).nnExperience with essential tools: Xcode, Instruments, LLDB, Time Profiler, Memory Graph Debugger.
**Preferred Qualifications**
 Experience in driving architectural decisions, presenting clear technical strategies, mentor in engineers, and influencing without authority.nnAbility to break down ambiguous technical spaces, define clear architectural patterns, and guide teams on implementation.nnDeep knowledge of Apple’s development frameworks u0026 toolchains.nnDeep understanding of concurrency, asynchronous programming (GCD, Swift Concurrency, Actors), and high\-performance architectures.nnStrong grasp of scalability, reliability, power efficiency, and performance tuning for resource constrained devices.nnStrong command of object\-oriented and protocol\-oriented design, data structures, algorithms, and system design principles.nnExperience with RESTful APIs, local persistence, distributed systems, and full\-stack interactions.nnExceptional problem\-solving, debugging, and triage skills.nnExcellent written and verbal communication skills.nnPrior experience in technical leadership, architecture, or platform\-level roles preferred.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24">
      <c r="A24" t="inlineStr">
        <is>
          <t>li-4362930769</t>
        </is>
      </c>
      <c r="B24" t="inlineStr">
        <is>
          <t>Staff Software Engineer, AI Platform</t>
        </is>
      </c>
      <c r="C24" t="inlineStr">
        <is>
          <t>LinkedIn</t>
        </is>
      </c>
      <c r="D24" t="inlineStr">
        <is>
          <t>linkedin</t>
        </is>
      </c>
      <c r="E24">
        <f>HYPERLINK("https://www.linkedin.com/jobs/view/4362930769", "https://www.linkedin.com/jobs/view/4362930769")</f>
        <v/>
      </c>
      <c r="F24" t="inlineStr"/>
      <c r="G24" t="inlineStr">
        <is>
          <t>Mountain View, CA</t>
        </is>
      </c>
      <c r="H24" t="inlineStr"/>
      <c r="I24"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**Job Description**
 This role can be based in Mountain View, CA, San Francisco, CA, or Bellevue, WA.
 Join us to push the boundaries of scaling large models together. The team is responsible for scaling LinkedIn's AI model training, feature engineering and serving with hundreds of billions of parameters models and large scale feature engineering infra for all AI use cases from recommendation models, large language models, to computer vision models. We optimize performance across algorithms, AI frameworks, data infra, compute software, and hardware to harness the power of our GPU fleet with thousands of latest GPU cards. The team also works closely with the open source community and has many open source committers (TensorFlow, Horovod, Ray, vLLM, Hugginface, DeepSpeed etc.) in the team. Additionally, this team focussed on technologies like LLMs, GNNs, Incremental Learning, Online Learning and Serving performance optimizations across billions of user queries.
 Model Training Infrastructure: As an engineer on the AI Training Infra team, you will play a crucial role in building the next\-gen training infrastructure to power AI use cases. You will design and implement high performance data I/O, work with open source teams to identify and resolve issues in popular libraries like Huggingface, Horovod and PyTorch, enable distributed training over 100s of billions of parameter models, debug and optimize deep learning training, and provide advanced support for internal AI teams in areas like model parallelism, tensor parallelism, Zero\+\+ etc. Finally, you will assist in and guide the development of containerized pipeline orchestration infrastructure, including developing and distributing stable base container images, providing advanced profiling and observability, and updating internally maintained versions of deep learning frameworks and their companion libraries like Tensorflow, PyTorch, DeepSpeed, GNNs, Flash Attention. PyTorch Lightning and more.
 Feature Engineering: this team shapes the future of AI with the state\-of\-the\-art Feature Platform, which empowers AI Users to effortlessly create, compute, store, consume, monitor, and govern features within online, offline, and nearline environments, optimizing the process for model training and serving. As an engineer in the team, you will explore and innovate within the online, offline, and nearline spaces at scale (millions of QPS, multi terabytes of data, etc), developing and refining the infrastructure necessary to transform raw data into valuable feature insights. Utilizing leading open\-source technologies like Spark, Beam, and Flink and more, you will play a crucial role in processing and structuring feature data, ensuring its most optimal storage in the Feature Store, and serving feature data with high performance.
 Model Serving Infrastructure: this team builds low latency high performance applications serving very large \&amp; complex models across LLM and Personalization models. As an engineer, you will build compute efficient infra on top of native cloud, enable GPU based inference for a large variety of use cases, cuda level optimizations for high performance, enable on\-device and online training. Challenges include scale (10s of thousands of QPS, multiple terabytes of data, billions of model parameters), agility (experiment with hundreds of new ML models per quarter using thousands of features), and enabling GPU inference at scale.
 ML Ops: The MLOps and Experimentation team is responsible for the infrastructure that runs MLOps and experimentation systems across LinkedIn. From Ramping to Observability, this org powers the AI products that define LinkedIn. This team, inside MLOps, is responsible for AI Metadata, Observability, Orchestration, Ramping and Experimentation for all models; building tools that enable our product and infrastructure engineers to optimize their models and deliver the best performance possible.
 As a Staff Software Engineer, you will have first\-hand opportunities to advance one of the most scalable AI platforms in the world. At the same time, you will work together with our talented teams of researchers and engineers to build your career and your personal brand in the AI industry.
**Responsibilities**
* Owning the technical strategy for broad or complex requirements with insightful and forward\-looking approaches that go beyond the direct team and solve large open\-ended problems.
* Designing, implementing, and optimizing the performance of large\-scale distributed serving or training for personalized recommendation as well as large language models.
* Improving the observability and understandability of various systems with a focus on improving developer productivity and system sustenance.
* Mentoring other engineers, defining our challenging technical culture, and helping to build a fast\-growing team.
* Working closely with the open\-source community to participate and influence cutting edge open\-source projects (e.g., vLLMs, PyTorch, GNNs, DeepSpeed, Huggingface, etc.).
* Functioning as the tech\-lead for several concurrent key initiatives AI Infrastructure and defining the future of AI Platforms.
****Qualifications****
 Basic Qualifications
* Bachelor's Degree in Computer Science or related technical discipline, or equivalent practical experience
* 4\+ years of experience in the industry with leading/ building deep learning systems.
* 4\+ years of experience with Java, C\+\+, Python, Go, Rust, C\# and/or Functional languages such as Scala or other relevant coding languages
* Hands\-on experience developing distributed systems or other large\-scale systems.
**Preferred Qualifications**
* BS and 8\+ years of relevant work experienceMS and 7\+ years of relevant work experience, or PhD and 4\+ years of relevant work experience
* Previous experience working with geographically distributed co\-workers.
* Outstanding interpersonal communication skills (including listening, speaking, and writing) and ability to work well in a diverse, team\-focused environment with other SRE/SWE Engineers, Project Managers, etc.
* Experience building ML applications, LLM serving, GPU serving.
* Experience with search systems or similar large\-scale distributed systems
* Expertise in machine learning infrastructure, including technologies like MLFlow, Kubeflow and large scale distributed systems
* Experience with distributed data processing engines like Flink, Beam, Spark etc., feature engineering,
* Co\-author or maintainer of any open\-source projects
* Familiarity with containers and container orchestration systems
* Expertise in deep learning frameworks and tensor libraries like PyTorch, Tensorflow, JAX/FLAX
 Suggested Skills
* ML Algorithm Development
* Machine Learning and Deep Learning
* Information retrieval / recommendation systems / distributed serving / Big Data is a plus.
* Communication
* Stakeholder Management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$170,000 \- $277,000\.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additional information, visit: https://careers.linkedin.com/benefits.
****Additional Information****
 Team Name: DragonKnight (Pytorch \&amp; LLM Training) Team
 Team Description: We build LLM training and post\-training frameworks to support scalable and efficient LLM model training and optimizations. We also optimize LLM training by developing customized and efficient Triton kernels to improve training throughput and cut memory footprint.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25">
      <c r="A25" t="inlineStr">
        <is>
          <t>li-4357638651</t>
        </is>
      </c>
      <c r="B25" t="inlineStr">
        <is>
          <t>Senior Software Engineer - Watch Software</t>
        </is>
      </c>
      <c r="C25" t="inlineStr">
        <is>
          <t>Apple</t>
        </is>
      </c>
      <c r="D25" t="inlineStr">
        <is>
          <t>linkedin</t>
        </is>
      </c>
      <c r="E25">
        <f>HYPERLINK("https://www.linkedin.com/jobs/view/4357638651", "https://www.linkedin.com/jobs/view/4357638651")</f>
        <v/>
      </c>
      <c r="F25">
        <f>HYPERLINK("https://jobs.apple.com/en-us/details/200628230&amp;urlHash=Cj7R", "https://jobs.apple.com/en-us/details/200628230&amp;urlHash=Cj7R")</f>
        <v/>
      </c>
      <c r="G25" t="inlineStr">
        <is>
          <t>Cupertino, CA</t>
        </is>
      </c>
      <c r="H25" t="inlineStr"/>
      <c r="I25" t="inlineStr">
        <is>
          <t>**Summary**
 Apple is a place where extraordinary people come together to do their life’s best work. Our people don’t just create products — they craft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it.nnAs an engineer on the watchOS Media team you will be responsible for building the future of the Music, Podcasts, Now Playing, Photos, Camera Remote, and TV Remote apps on watchOS. Our team also creates and maintains the frameworks that power all media apps and experiences on the Apple Watch and supports seamless integration with other devices including iPhones, AirPods, HomePods, and AppleTVs.
**Description**
 Our team is responsible for bringing many different media and remote control experiences to life on watchOS. Your primary responsibility will be to help develop new features within our apps and frameworks, but you’ll also be expected to contribute to different levels of the engineering stack throughout the development process. These include many responsibilities relating to the design, development, and testing of this software that will ship to millions of users.
**Minimum Qualifications**
 8 years of related experiencenA Bachelor’s degree or equivalent work experiencenExpertise developing in Objective\-C or Swift.nProven experience contributing to at least one application or framework.nA deep commitment to product quality and a fantastic attention to detail.nA consistent record of completing projects on\-time and to specification.nExperience optimizing applications and profiling throughout the stack.nExcellent communication and collaborative skills and enthusiastic about working on a cross functional team.nUpbeat, adaptable, and results oriented with a positive attitude.
**Preferred Qualifications**
 Systems knowledge, hands\-on experience with inter\-process communication.nExperience improving and expanding on existing complex projects and systemsnA strong intuition for UI/UX design.nAn interest in building consumer facing applications and experiences in the media space.nPassionate Apple Watch user or are open to becoming one.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26">
      <c r="A26" t="inlineStr">
        <is>
          <t>li-4359028511</t>
        </is>
      </c>
      <c r="B26" t="inlineStr">
        <is>
          <t>Software Engineer, Xcode</t>
        </is>
      </c>
      <c r="C26" t="inlineStr">
        <is>
          <t>Apple</t>
        </is>
      </c>
      <c r="D26" t="inlineStr">
        <is>
          <t>linkedin</t>
        </is>
      </c>
      <c r="E26">
        <f>HYPERLINK("https://www.linkedin.com/jobs/view/4359028511", "https://www.linkedin.com/jobs/view/4359028511")</f>
        <v/>
      </c>
      <c r="F26" t="inlineStr"/>
      <c r="G26" t="inlineStr">
        <is>
          <t>Cupertino, CA</t>
        </is>
      </c>
      <c r="H26" t="inlineStr"/>
      <c r="I26" t="inlineStr">
        <is>
          <t>**Summary**
 At Apple, we build products that enrich people’s lives. The Tools and Frameworks group empowers developers inside and outside of Apple to build amazing products for our platforms using Xcode, Xcode Cloud and more!nnOur team develops the testing experience in Xcode \- in addition to the UI Testing API that ships as part of XCTest. Testing is a key part of building high\-quality applications, and as a member of this team you’ll play a significant role in shaping the tools used by millions of developers every day to validate their code.nnThis position entails designing and implementing the full testing experience \- everything from UI in Xcode down to the OS\-level daemons that power them \- we engineer the testing solutions Apple provides.
**Description**
 The Testing Experience Engineering team is seeking a creative and highly motivated software engineer to join us in designing and building next\-generation testing products, infrastructure, and workflows. As a member of the team you’ll work with engineers across Apple to design new features that enhance developer workflows and productivity, focusing heavily on details that enhance the user experience.nnIn this role, you will design and build Xcode’s testing frameworks and user interfaces \- the products that empower testing. In pursuit of a seamless developer experience, you’ll be responsible for helping to shape service architectures and APIs, building robust client implementations, and delivering rich user interfaces.nnIdeal candidates will have a strong passion for software development, systems programming, a thorough understanding of computer science fundamentals, and an appetite to learn the specifics of Apple’s platforms and tools.
**Minimum Qualifications**
 Professional experience with compiled programming languages such as Swift, Objective\-C, C/C\+\+, Java/KotlinnFamiliarity with basic operating system concepts (e.g., cross\-process communication)nB.S. in Computer Science or equivalent experience
**Preferred Qualifications**
 2\+ years of professional experience with Apple platform development using Xcode nProfessional experience designing and engineering shipping productsn\* Experience collaborating with cross\-functional teams to design and build systems software with a customer focusnPassionate about details and comfortable with complex, multi\-faceted problem spacesnPassion for developer\-focused UX, tools, and API designnComfort with large and established codebases, including complex debugging scenarios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27">
      <c r="A27" t="inlineStr">
        <is>
          <t>li-4357608481</t>
        </is>
      </c>
      <c r="B27" t="inlineStr">
        <is>
          <t>Software Engineer, Infrastructure</t>
        </is>
      </c>
      <c r="C27" t="inlineStr">
        <is>
          <t>Apple</t>
        </is>
      </c>
      <c r="D27" t="inlineStr">
        <is>
          <t>linkedin</t>
        </is>
      </c>
      <c r="E27">
        <f>HYPERLINK("https://www.linkedin.com/jobs/view/4357608481", "https://www.linkedin.com/jobs/view/4357608481")</f>
        <v/>
      </c>
      <c r="F27" t="inlineStr"/>
      <c r="G27" t="inlineStr">
        <is>
          <t>Cupertino, CA</t>
        </is>
      </c>
      <c r="H27" t="inlineStr"/>
      <c r="I27"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something.nnEmbedded within Apple’s Security Engineering u0026 Architecture organization, this role is on an engineering team that builds security infrastructure into Apple’s production build system and provides security engineering expertise and leadership across Apple to create security controls, observability, detections, responses, and workflows.
**Description**
 Our team cares deeply about providing Apple’s customers with the highest standard in security and privacy on our products. We design and build software that implements security features into Apple’s build systems that affect the software that is shipped to Apple’s customers. In addition to writing software, we perform security analysis on these internal systems to assess threats and security risks. Ultimately, our mission is to protect the security and privacy for our customers’ 1B\+ devices.nnHere are examples of the kinds of projects you will be working on with us:nn\- Implement an identity\-aware access proxy for internal service to service communicationnn\- Evangelize and drive the adoption of these technologies across the organizationnn\- Build tools and integrations for 10k developers to easily sign code and code reviews
**Minimum Qualifications**
 BS/MS in Computer Science or 5\+ years equivalent experiencennAbility to demonstrate strong problem solving and logic in backend programmingnnExperienced with building cloud services and distributed systems at scalennDemonstrated end\-to\-end ownership of cross\-organizational projects
**Preferred Qualifications**
 Excellent Swift, Objective\-C, or Go programming skillsnnExperience with high\-availability operations management, including deployment automation and rollback strategiesnnFamiliarity with security architecture design and reviewnnEffective communication of complex technical conceptsnnTrack record of shipping customer\-facing services or productsnn5\+ years of experience with cross\-functional technical leadership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28">
      <c r="A28" t="inlineStr">
        <is>
          <t>li-4357658609</t>
        </is>
      </c>
      <c r="B28" t="inlineStr">
        <is>
          <t>Software Developer/Data Engineer - Apple Music</t>
        </is>
      </c>
      <c r="C28" t="inlineStr">
        <is>
          <t>Apple</t>
        </is>
      </c>
      <c r="D28" t="inlineStr">
        <is>
          <t>linkedin</t>
        </is>
      </c>
      <c r="E28">
        <f>HYPERLINK("https://www.linkedin.com/jobs/view/4357658609", "https://www.linkedin.com/jobs/view/4357658609")</f>
        <v/>
      </c>
      <c r="F28">
        <f>HYPERLINK("https://jobs.apple.com/en-us/details/200632618&amp;urlHash=ZbGs", "https://jobs.apple.com/en-us/details/200632618&amp;urlHash=ZbGs")</f>
        <v/>
      </c>
      <c r="G28" t="inlineStr">
        <is>
          <t>Cupertino, CA</t>
        </is>
      </c>
      <c r="H28" t="inlineStr"/>
      <c r="I28" t="inlineStr">
        <is>
          <t>**Summary**
 This team is more than a group of engineers — it’s a group of music lovers. That passion has made Apple Music the world’s most complete music experience, with over 60 million songs, thousands of playlists, and daily selections from music experts for 115 countries. The team’s data\-driven engineers focus relentlessly on the customer experience by running worldwide experiments and analyzing usage and latency, while collaborating with Apple’s product groups. As a result, someone can use the Shazam app to identify an intriguing song in a café in the morning, add it to their playlist from Apple Watch, listen to it through their AirPods on their commute, and share it with their family on HomePod at dinnertime. And there’s more where that came from, because personalization powered by machine learning and music science helps listeners discover more of what they love. Apple Music is a huge part of Apple’s business because it’s a big part of people’s lives.
**Description**
 We are seeking a hardworking, performance\-savvy, engineer to build out the big data platform and services, which power many of these customer features — existing and new. As a core member of the Data Engineering team you will be responsible for designing and implementing features that rely on processing and serving very large datasets with an awareness of scalability. This will include crafting systems to model, ingest, process and compute large\-scale, mission\-critical data across Apple Music. High\-throughput and reliability are essential. The computed datasets are produced for internal reporting used by executives and they are also shared across many teams within the ASE organization, such as the Search team, Recommendation team, AB team, Marketing team. You will also enjoy the benefits of working in a fast growing business where you are encouraged to “Think Different” to solve very interesting technical challenges and where your efforts play a key role in the success of Apple’s business. This is your opportunity to help engineer highly visible global\-scale systems with petabytes of data, supporting hundreds of millions of users. Come join us to help deliver the next amazing Apple product!
**Minimum Qualifications**
 Bachelor’s degree in Engineering, Computer Science, Business Information Systems, or related fieldnAt least 5\+ years relevant industry experiencenProficiency and hands\-on experience in at least one of Java or Scala.nExperience with Apache Flink or SparknSkilled at writing clean, performant and well\-tested code, as well as reviewing and debugging existing code.nSolid Computer Science fundamentals, including algorithms and data structures.nA strong command of distributed data processing fundamentals and patterns (e.g., partitioning, data locality, distributed consensus).nExcellent communication skills, with the ability to articulate complex technical designs and concepts to both technical and non\-technical stakeholders.nGood critical thinking skills.
**Preferred Qualifications**
 Experience with Apache Iceberg tablesnExperience with Apache BeamnFamiliarity with Docker and KubernetesnFamiliarity with Apache Airflow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29">
      <c r="A29" t="inlineStr">
        <is>
          <t>li-4353380145</t>
        </is>
      </c>
      <c r="B29" t="inlineStr">
        <is>
          <t>Software Engineer</t>
        </is>
      </c>
      <c r="C29" t="inlineStr">
        <is>
          <t>Gravitate Energy LLC</t>
        </is>
      </c>
      <c r="D29" t="inlineStr">
        <is>
          <t>linkedin</t>
        </is>
      </c>
      <c r="E29">
        <f>HYPERLINK("https://www.linkedin.com/jobs/view/4353380145", "https://www.linkedin.com/jobs/view/4353380145")</f>
        <v/>
      </c>
      <c r="F29" t="inlineStr"/>
      <c r="G29" t="inlineStr"/>
      <c r="H29" t="inlineStr"/>
      <c r="I29" t="inlineStr">
        <is>
          <t>**About Gravitate** 
 Gravitate’s mission is to elevate the fuel industry through intelligent automation and connected data. We help organizations buy, price, sell, dispatch, and deliver fuel with greater accuracy, transparency, and control. Our vision is to achieve full autonomous supply and dispatch, redefine how fuel is sold over the rack, and connect the market end\-to\-end through Crossroads—our unified data platform that brings together refiners, wholesalers, retailers, carriers, and customers. Our goal is simple: empower the fuel market to operate smarter, faster, and more profitably with every gallon.
**What will you be doing?** 
 Gravitate provides AI\-enabled collaboration, automation, and decision support software for the fuel space. As a Software Engineer, you will be working within our backend team, to design, build, and maintain backend services and APIs that power Gravitate’s intelligent automation and connected data platform.. We are looking for a clean programmer, who gets excited about solving hard problems, and wants to be a part of an organization where they can strategize best\-of\-class solutions.
**You are an ideal candidate if:** 
* You have experience developing software with modern programming languages such as Python
* You have experience developing web application backends/APIs especially when related to distributed systems
* You feel comfortable working with data persistence technologies such as MongoDB, MSSQL, Postgres, MySQL, Maria, etc, both in terms of practical application to problem solving as well as designing/optimizing within those systems when needed.
* You enjoy solving problems and puzzles but know when to ask for help
* You are passionate about the art/craft of coding
* You get excited about new and emerging technologies, whether that be the latest feature in your favorite programming language, or platforms/services that enable you to solve problems in new and exciting ways
* You have strong, well\-formed opinions on design and development decisions, yet you remain open to considering new ideas and approaches.
* You’re the type of person who is a lifelong learner that embraces change and new technologies
* You enjoy not only mastering the practical application of the tools you use but also understanding the internals of how they work and what makes them the right choice for a given problem
**Minimum qualifications:** 
* 3\+ years experience with one or more general purpose programming languages/design patterns, preferably Python
* Experience with or a conceptual understanding of JSON/Rest API’s
* Experience working with relational or NoSQL databases such as PostgreSQL, MySQL, or MongoDB.
* Familiarity with basic software development tools such as IDEs, database administration tools, and version control tools (GIT).
* Basic understanding of common data structures, algorithms, and design patterns.
* Critical thinking problem\-solving skills and the ability to think through business scenarios
* Experience writing SQL queries for performance, building stored procedures, database views.
* Experience designing JSON/Rest API's
* BS in Computer Science or engineering or equivalent technical experience
**Preferred qualifications:** 
* Working knowledge of Docker, Git, MongoDB, CI/CD
* Experience with application orchestration technologies such as Kubernetes
**About the Gravitate team:** 
 To understand who our people are, you should first understand what they’re not: replaceable. Each member of the team is chosen carefully and with intention. We believe that finding the right fit is more important than a laundry list of credentials – and that people are people first, and titles second.
 Because we hire the Gravitate way, our team is certainly one of a kind. We’ve brought together incredible talent that regularly collaborates to create clean, fresh solutions. That effort has led to remarkable opportunities, including work with many Fortune 500 clients. We’ve found that the winning combination of exciting achievements, trust in one another and open communication lays the groundwork for long\-lasting, successful careers. That, and the fact that we clap for each other at every opportunity.
 Problem solvers, go\-getters and charge\-takers \- we (really) want to hear from you.</t>
        </is>
      </c>
    </row>
    <row r="30">
      <c r="A30" t="inlineStr">
        <is>
          <t>li-4340786222</t>
        </is>
      </c>
      <c r="B30" t="inlineStr">
        <is>
          <t>Software Engineer</t>
        </is>
      </c>
      <c r="C30" t="inlineStr">
        <is>
          <t>eNGINE</t>
        </is>
      </c>
      <c r="D30" t="inlineStr">
        <is>
          <t>linkedin</t>
        </is>
      </c>
      <c r="E30">
        <f>HYPERLINK("https://www.linkedin.com/jobs/view/4340786222", "https://www.linkedin.com/jobs/view/4340786222")</f>
        <v/>
      </c>
      <c r="F30" t="inlineStr"/>
      <c r="G30" t="inlineStr"/>
      <c r="H30" t="inlineStr"/>
      <c r="I30" t="inlineStr">
        <is>
          <t>**eNGINE** 
 builds Technical Teams. We are a Solutions and Placement firm shaped by decades of interaction with Technical professionals. Our inspiration is continuous learning and engagement with the markets we serve, the talent we represent, and the teams we build. Our Consulting Workforce is encouraged to enjoy career fulfillment in the form of challenging projects, schedule flexibility, and paid training/certifications. Successful outcomes start and finish with
 **eNGINE** 
 .
**eNGINE** 
 is hiring a Software Engineer who’s excited to build modern, scalable products in a fast\-moving environment. If you’re passionate about clean architecture, automation\-first development, and creating impactful technology in the healthcare space, we’d love to talk.
 What You’ll Do:
* Collaborate within a small, cross\-functional team to influence product design and system architecture
* Build software for a next\-generation healthcare technology platform using a cloud\-based microservices model
* Lead development projects and mentor other engineers
* Create scalable, automation\-focused solutions that support rapid growth
* Write reliable, well\-tested code
* Follow secure coding best practices for sensitive healthcare data
* Develop clean, intuitive front\-end interfaces using modern React
 Tech Stack:
* Python / Flask
* React
* SQL
* Cloud \+ containerization environment
* Microservices architecture
 What We’re Looking For:
* Bachelor’s degree in Computer Science, Information Science, Engineering, or related field (preferred)
* 4\+ years of experience building software in a modern development environment
* Experience working in cloud environments with container strategies
* Proficiency in
 **either** 
 : Python \+ SQL or React
* Strong communication skills and a collaborative mindset
* Experience with microservices is required
 Bonus Points:
* Healthcare technology experience
* Experience with both Python and JavaScript/TypeScript
* Background scaling applications in production
*Apply today and see how eNGINE can make a difference in your career!* 
*No C2C/sponsorship/relocation available.*</t>
        </is>
      </c>
    </row>
    <row r="31">
      <c r="A31" t="inlineStr">
        <is>
          <t>li-4362843989</t>
        </is>
      </c>
      <c r="B31" t="inlineStr">
        <is>
          <t>Full Stack Software Engineer</t>
        </is>
      </c>
      <c r="C31" t="inlineStr">
        <is>
          <t>HOGNFJORD'S RUSTNE RØSTER</t>
        </is>
      </c>
      <c r="D31" t="inlineStr">
        <is>
          <t>linkedin</t>
        </is>
      </c>
      <c r="E31">
        <f>HYPERLINK("https://www.linkedin.com/jobs/view/4362843989", "https://www.linkedin.com/jobs/view/4362843989")</f>
        <v/>
      </c>
      <c r="F31" t="inlineStr"/>
      <c r="G31" t="inlineStr">
        <is>
          <t>Charlotte, NC</t>
        </is>
      </c>
      <c r="H31" t="inlineStr"/>
      <c r="I31" t="inlineStr">
        <is>
          <t>Construction is the second\-largest industry in the world—nearly 4x the size of SaaS—yet it still operates without the automated feedback loops that modern software teams rely on. Without real\-time observability, issues are detected too late, contributing to over $3 Trillion in annual global waste.
 Doxel brings computer vision and AI to construction, giving teams real\-time visibility into progress, risk, and execution. From hospitals to data centers, and from field leaders to executive teams, Doxel is used every day to support better decisions and faster delivery. Our platform is trusted by industry leaders including Shell, Genentech, HCA Healthcare, Kaiser, Turner, and Layton.
 Doxel’s automated progress tracking solution keeps teams aligned with hard facts that leave no ambiguity on where the project is today, where it will be tomorrow and what decisions need to be made to land it on schedule and on budget. This enables our customers to deliver projects, on average, 11% ahead of schedule with up to 16% savings on monthly cash flow.
 Backed by Insight Partners and Andreessen Horowitz and with a rapidly growing team of engineers, scientists, construction veterans, and Enterprise go\-to\-market teams, we're driven to help our customers win.
 Join us as we continue our journey to transform the $15T Construction Industry!
 The Role
 As a full stack engineer at Doxel, you will help define and build the next generation of our project management, commissioning, and field\-enablement tools—systems trusted by the world’s largest general contractors and owners delivering mega\-projects at unprecedented scale.
 You’ll help build and deliver full\-stack applications that handle massive volumes of complex field data—including videos, images, structured forms, and IoT device outputs—and transform them into fast, intuitive workflows for both office teams and field workers. You’ll architect mobile and web experiences that make capturing, reviewing, and acting on this data effortless in environments where reliability, speed, and clarity matter.
 You’ll partner closely with product, design, backend, CV/ML, and platform engineering teams to turn Doxel’s AI and data systems into beautifully executed user experiences. You’ll provide technical leadership end to end shipping 0\-1 projects, as well mentoring and coaching across engineering on best practices.
**Your Day to Day**
* Designing and developing full\-stack applications powering project management, commissioning workflows, and data capture
* Building web and mobile tools for field teams to upload videos, images, structured forms, IoT readings, and issue documentation
* Developing intuitive, high\-performance UIs that handle complex data streams and large\-scale datasets
* Working on backend services and APIs that support rapid data ingestion, processing, and review at enterprise scale
* Collaborate cross\-functionally with backend, CV/ML, product, design, and 3D visualization teams to deliver seamless end\-to\-end features
**What Success Looks Like**
* Managing individual project priorities, deadlines and deliverables
* Designing and implementing new user\-facing features in Doxel’s products
* Optimizing web applications to maximize speed and scale
* Collaborating cross\-functionally with backend, CV/ML, product, design, and 3D visualization teams to deliver seamless end\-to\-end features
* Contributing to technical planning, feature roadmaps, and long\-term architectural decisions for Doxel’s applications ecosystem
* Championing usability and field readiness ensuring tools are simple, fast, and resilient in tough real\-world construction environments
**What You Bring**
* 5\+ years of experience building and shipping full\-stack web and mobile applications
* Expertise with modern full\-stack frameworks (e.g., Nuxt.js, Next.js, , or similar)
* Strong engineering experience with Typescript, Python or Java, and APIs
* Experience developing applications that handle large\-scale multimodal datasets (3d components, videos, images) and/or IoT data inputs
* Strong familiarity with cloud environments (AWS, GCP, or Azure) and containerized infrastructure
* Experience working with a team to design domain\-driven data models and working with OLTP/OLAP system
**Preferred Experience**
* Experience with data warehousing tools such as Redshift, Snowflake, Databricks, or BigQuery
* Background with offline\-capable architectures and mobile\-first data collection tools
* Experience with 3D visualization (three.js), geospatial data, or computer\-vision\-powered experiences
* Exposure to ML/AI\-driven feature development
* Comfort with CI/CD pipelines, observability tooling, and automated testing best practices
**Benefits \&amp; Company Culture**
* Competitive Base Salary \+ Equity Package
* Remote first culture (for most roles)
* Comprehensive Health Insurance (Medical, Dental, Vision)
* Home Office Stipend
* Monthly allowance for cell phone and internet
* Flexible PTO, generous company holiday policy, and unlimited sick days
 Pay is based on a variety of factors such as location, skill level, qualifications, competencies, and overall experience.
*Doxel is an equal opportunity employer and actively seeks diversity at our company. All applicants will be considered for employment without attention to race, color, religion, sex, sexual orientation, gender identity, national origin, veteran or disability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2">
      <c r="A32" t="inlineStr">
        <is>
          <t>li-4359008573</t>
        </is>
      </c>
      <c r="B32" t="inlineStr">
        <is>
          <t>Senior Software Engineer (Data Platform/Backend)</t>
        </is>
      </c>
      <c r="C32" t="inlineStr">
        <is>
          <t>Apple</t>
        </is>
      </c>
      <c r="D32" t="inlineStr">
        <is>
          <t>linkedin</t>
        </is>
      </c>
      <c r="E32">
        <f>HYPERLINK("https://www.linkedin.com/jobs/view/4359008573", "https://www.linkedin.com/jobs/view/4359008573")</f>
        <v/>
      </c>
      <c r="F32" t="inlineStr"/>
      <c r="G32" t="inlineStr">
        <is>
          <t>Seattle, WA</t>
        </is>
      </c>
      <c r="H32" t="inlineStr"/>
      <c r="I32" t="inlineStr">
        <is>
          <t>**Summary**
 Imagine what you could do here. At Apple, new ideas have a way of becoming great products, services, and customer experiences very quickly. Bring passion and dedication to your job and there's no telling what you can accomplish. We are seeking an exceptional engineer with a background in large scale software development and delivery in hyper\-scale distributed computing environments. You will work within cybersecurity software engineering team that drives Apache Spark’s state\-of\-the art features and pushes the boundaries of what is possible in our industry.
**Description**
 Apple is seeking an extraordinary individual to work on a team supporting and developing platform services which underpin mission critical information security capabilities. Apache Spark expertise or equivalent is a prerequisite. nnThe ideal candidate is deeply technical, hands\-on, and has enough experience with OSS software to understand when and how to contribute as needed. While previous experience in information security is not required, a sincere drive for security and privacy is required. nnThis role will work closely with our engineering teams and with partner teams to ensure the successful design, development, and delivery of product objectives. The successful candidate will have a passion for technical excellence and team collaboration with a heavy focus on automation, scalability, and reliability for all layers of the stack. This role will work closely with developers and users of our platforms to ensure the successful design, development, and delivery of product objectives.
**Minimum Qualifications**
 Demonstrated expertise and knowledge of large data platforms, e.g. Apache Spark Structured Streaming or Apache Lucene internalsnDemonstrated track record delivering results in a strongly team\-oriented environmentnProven track record of shipping high performance and high quality services: JVM languages (Scala and Java preferred), Golang, or SwiftnDemonstrated proficiency with data modeling, data lake, lakehouse, and/or data warehousing
**Preferred Qualifications**
 Experience working with cloud compute environments like OpenStack, AWS, and GCPnExpertise in writing high\-quality code, tests, CI/CD, documentation, and production servicesnProficiency with Golang and PythonnRelational Databases and SQLnExceptional written and verbal communication skills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33">
      <c r="A33" t="inlineStr">
        <is>
          <t>li-4357668696</t>
        </is>
      </c>
      <c r="B33" t="inlineStr">
        <is>
          <t>Systems Software Engineer</t>
        </is>
      </c>
      <c r="C33" t="inlineStr">
        <is>
          <t>Apple</t>
        </is>
      </c>
      <c r="D33" t="inlineStr">
        <is>
          <t>linkedin</t>
        </is>
      </c>
      <c r="E33">
        <f>HYPERLINK("https://www.linkedin.com/jobs/view/4357668696", "https://www.linkedin.com/jobs/view/4357668696")</f>
        <v/>
      </c>
      <c r="F33" t="inlineStr"/>
      <c r="G33" t="inlineStr">
        <is>
          <t>San Diego, CA</t>
        </is>
      </c>
      <c r="H33" t="inlineStr"/>
      <c r="I33" t="inlineStr">
        <is>
          <t>**Summary**
 The Product Integrity group is looking for a Systems Software Engineer to develop future products. As a member of the OS Diagnostics team you will develop and maintain software used to characterize, calibrate and test new hardware, debug software and hardware both independently and multi\-functionally, and work with many other teams at Apple and at various contract manufacturers. Your experience writing and debugging software on different hardware platforms will be meaningful to your success.nn
**Description**
 In this role you will be responsible for developing, debugging and maintaining internal software running on many Apple products. You will have the opportunity to work with a wide variety of worldwide cross\-functional teams including Hardware Engineering, Software Engineering, Operations, and our Contract Manufacturing partners. You will engage with many products from early development through mass production where your contributions will directly impact hardware quality and end user experiences. nn
**Minimum Qualifications**
 BS in CS/CE/EE and 0\-2\+ years of software engineer career experiencenExpertise in at least one of C\+\+/Objective\-C/SwiftnExperience developing drivers/applications in Unix, Linux, or macOSn
**Preferred Qualifications**
 Experience with building embedded system architectures and using interfaces such as I2C, USB, PCIenExperience building and debugging distributed applicationsnExperience debugging at all levels of an operating systemnExperience with Python/Lua/BashnProven task managementnEffective communication skillsn
**Pay \&amp; Benefits**
 At Apple, base pay is one part of our total compensation package and is determined within a range. This provides the opportunity to progress as you grow and develop within a role. The base pay range for this role is between $120,300 and $210,100,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34">
      <c r="A34" t="inlineStr">
        <is>
          <t>li-4359137645</t>
        </is>
      </c>
      <c r="B34" t="inlineStr">
        <is>
          <t>Full Stack Software Engineer, Generative AI</t>
        </is>
      </c>
      <c r="C34" t="inlineStr">
        <is>
          <t>Apple</t>
        </is>
      </c>
      <c r="D34" t="inlineStr">
        <is>
          <t>linkedin</t>
        </is>
      </c>
      <c r="E34">
        <f>HYPERLINK("https://www.linkedin.com/jobs/view/4359137645", "https://www.linkedin.com/jobs/view/4359137645")</f>
        <v/>
      </c>
      <c r="F34" t="inlineStr"/>
      <c r="G34" t="inlineStr">
        <is>
          <t>Cupertino, CA</t>
        </is>
      </c>
      <c r="H34" t="inlineStr"/>
      <c r="I34" t="inlineStr">
        <is>
          <t>**Summary**
 Imagine what you could do here. The people here at Apple don’t just create products — they create the kind of wonders that have revolutionized entire industries. It’s the diversity of those people and their ideas that inspires the innovation that runs through everything we do, from amazing technology to industry\-leading environmental efforts. Join Apple, and help us lead the future generation of innovation.nnWe are looking for an outstanding Full Stack Software Engineer to play a key role in designing and developing the next generation of AIML\-powered professional training applications, employing ground breaking large language models (LLMs), visual intelligence models, voice interfaces, and other emerging technologies. This includes architecting scalable, secure, and high\-performance systems that deliver personalized, adaptive learning experiences for global teams. You will collaborate closely with multi\-functional partners in engineering, product management, and design to integrate AIML\-driven features that enhance content creation, interactive training, and analytics capabilities.
**Description**
 In this role, you will focus on the following key areas:nn\- Developing high quality software systems according to the specifications of product and engineering leadershipnn\- Designing, developing, and maintaining applications across the frontend and backendnn\- Implementing generative AI capabilities into content toolsnn\- Optimizing performance, scalability, and security of full stack applicationsnn\- Working with multi\-functional teams to integrate with multiple enterprise systems nn\- Triaging issues and using debugging tools and skills to identify solutions nn\- Maintaining expertise in full stack development and generative AIn
**Minimum Qualifications**
 8\+ years of professional software engineering experiencennStrong experience with machine learning integration, particularly LLMs, computer vision, and voice technologies.nnAbility to design and build AIML\-driven training applications, incorporating multi\-modal inputs such as text, image, and voice.nnProficiency in cloud\-based architectures (e.g., AWS, GCP, Azure) for deploying scalable AIML systems.nnFamiliarity with MLOps standard methodologies, including model training, deployment, and monitoring. nnExperience with modern front\-end (JavaScript/TypeScript, React, or similar frameworks) and back\-end (Node.js, Python, Java, or similar) frameworks to support interactive and responsive AIML applications. nnDeep understanding of data pipelines, data privacy, and security compliance for handling sensitive training data.nnSolid coding fundamentals and a thirst to improve and challenge yourself nnExcellent communication and soft skillsnnAbility to work on a highly collaborative cross\-functional teamnnPassion for high quality user experiences and an unmatched attention to detail nnBS in Computer Science or equivalent field
**Preferred Qualifications**
 Experience with RAG pipelines and prompt engineeringnnExperience deploying AI features into production at scalennBackground in personalization/adaptive learning technologiesnnnnn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35">
      <c r="A35" t="inlineStr">
        <is>
          <t>li-4359128360</t>
        </is>
      </c>
      <c r="B35" t="inlineStr">
        <is>
          <t>Software Engineer - Developer Tools</t>
        </is>
      </c>
      <c r="C35" t="inlineStr">
        <is>
          <t>Apple</t>
        </is>
      </c>
      <c r="D35" t="inlineStr">
        <is>
          <t>linkedin</t>
        </is>
      </c>
      <c r="E35">
        <f>HYPERLINK("https://www.linkedin.com/jobs/view/4359128360", "https://www.linkedin.com/jobs/view/4359128360")</f>
        <v/>
      </c>
      <c r="F35" t="inlineStr"/>
      <c r="G35" t="inlineStr">
        <is>
          <t>San Diego, CA</t>
        </is>
      </c>
      <c r="H35" t="inlineStr"/>
      <c r="I35"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nnThe Central Automation and Tools team is seeking an experienced software developer to design, build and maintain reporting tools aimed at measuring u0026 maintaining the quality of existing features. Our team works in a fast\-paced environment that relies heavily on strong communication and relationships with QA teams across Apple.
**Description**
 In this role, you will lead efforts to define and maintain reporting tools used by hundreds of teams across the company. A successful candidate will combine technical expertise, a desire to help shape the product roadmap, and have a keen eye for solving pain points the user experience of internal tools. Be responsible for understanding tooling needs, driving their designs, and developing and maintaining the infrastructure for a data reporting tool. Work closely with other team members and internal customers to identify and understand the key features and requirements to implement will be the key to your success.
**Minimum Qualifications**
 Bachelor's degree in Computer Science, Computer Engineering or equivalent experience.n3\+ years of Web Development Experience in Python or equivalent programming Language.nExperience in Web Development technologies such as Django, ReactJS, AngularJS.nStrong debugging and triaging capabilities.n5\+ years of experience with CI/CD tools, cloud and containerization technologies such as Docker, Kubernetes, Nginx and Rio.n3\+ years of experience with API development and databases (relational and non\-relational).
**Preferred Qualifications**
 Participated in product development discussions and map functional requirements to a technical design and a project schedulenProficient at balancing multiple efforts simultaneously and meeting strict deadlinesnSuperior organizational and communication skills (oral, written and interpersonal) including the ability to communicate technical concepts to a non\-technical audience.nAbility to work well with all levels of engineers, managers, project managers, and designersnProficient in testing methodologies, QA terminologies and processes.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36">
      <c r="A36" t="inlineStr">
        <is>
          <t>li-4357658632</t>
        </is>
      </c>
      <c r="B36" t="inlineStr">
        <is>
          <t>Software Engineer, Edge Services</t>
        </is>
      </c>
      <c r="C36" t="inlineStr">
        <is>
          <t>Apple</t>
        </is>
      </c>
      <c r="D36" t="inlineStr">
        <is>
          <t>linkedin</t>
        </is>
      </c>
      <c r="E36">
        <f>HYPERLINK("https://www.linkedin.com/jobs/view/4357658632", "https://www.linkedin.com/jobs/view/4357658632")</f>
        <v/>
      </c>
      <c r="F36">
        <f>HYPERLINK("https://jobs.apple.com/en-us/details/200633420&amp;urlHash=ZYM9", "https://jobs.apple.com/en-us/details/200633420&amp;urlHash=ZYM9")</f>
        <v/>
      </c>
      <c r="G36" t="inlineStr">
        <is>
          <t>California, United States</t>
        </is>
      </c>
      <c r="H36" t="inlineStr"/>
      <c r="I36"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something.nnImagine what you could do here. At Apple, new ideas have a way of becoming extraordinary products, services, and customer experiences very quickly. Bring passion and dedication to your job and there's no telling what you could accomplish.nnThe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it.nnThe Edge Engineering team provides software engineering services which operates Edge Infrastructure for Apple. Our Edge infrastructure supports content distribution for Apple's installed base of devices and the related services that are used by more than a billion people.n
**Description**
 We’re looking for a software engineer with a unique blend of experience and interest in systems, architecture, network and software development practices. You will be part of a forward\-thinking and dynamic team responsible for supporting Apple’s Edge Infrastructure. n
**Minimum Qualifications**
 Experience with domain\-specific languages (DSLs), versioned and compatibility of configurations, interpreter concepts, and configuration developer tools. nnStrong knowledge of networking protocols like HTTP, TLS, or TCP/IP.nnExperience deploying and managing applications on Kubernetes such as Helm, Pulumi, Fluxn
**Preferred Qualifications**
 Familiarity with proxy systems such as NGINX or Envoy.nnA passion for solving complex problems at scale and driving technical innovation.n
**Pay \&amp; Benefits**
 At Apple, base pay is one part of our total compensation package and is determined within a range. This provides the opportunity to progress as you grow and develop within a role. The base pay range for this role is between $147,400 and $220,900,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37">
      <c r="A37" t="inlineStr">
        <is>
          <t>li-4359137670</t>
        </is>
      </c>
      <c r="B37" t="inlineStr">
        <is>
          <t>Software Engineer - Backend u0026 Infrastructure</t>
        </is>
      </c>
      <c r="C37" t="inlineStr">
        <is>
          <t>Apple</t>
        </is>
      </c>
      <c r="D37" t="inlineStr">
        <is>
          <t>linkedin</t>
        </is>
      </c>
      <c r="E37">
        <f>HYPERLINK("https://www.linkedin.com/jobs/view/4359137670", "https://www.linkedin.com/jobs/view/4359137670")</f>
        <v/>
      </c>
      <c r="F37" t="inlineStr"/>
      <c r="G37" t="inlineStr">
        <is>
          <t>Cupertino, CA</t>
        </is>
      </c>
      <c r="H37" t="inlineStr"/>
      <c r="I37" t="inlineStr">
        <is>
          <t>**Summary**
 Do you want to help define the future of delivering Apple software to customers? Join the Insights u0026 Release Technologies team to develop productivity products and release technologies focused on optimizing engineering workflows, so that we can deliver amazing software and experiences to millions of Apple users faster.nnOur team has a passion for innovation and is looking for individuals with a genuine excitement to collaborate with others to solve complex problems with a focus on the user experience.
**Description**
 We are looking for a passionate and experienced Backend / DevOps Engineer who cares deeply about architectural excellence and writing scalable, reliable code that is as beautiful as the products it powers.nnAs a member of the team, you will lead technical discussions, mentor other engineers, and drive features from concept to launch. Your responsibilities will include:nn\- Designing, building, and maintaining robust, scalable, and observable systems.n\- Collaborating closely with cross\-functional teamsn\- Reducing operational toil by developing automation and tooling to prevent and rapidly resolve production issues.n\- Leading architectural and design discussions to ensure our solutions are robust, scalable, and forward\-thinking.n\- Owning and refining systems incident management processes to ensure high availability.n\- Mentoring and guiding other engineers by providing constructive feedback in code reviews and fostering a culture of technical excellence and continuous improvement.
**Minimum Qualifications**
 Technologies: Experience with Swift on Server, Go or equivalent.nInfrastructure: Knowledge of containerization, orchestration technologies, networking, observability tools, and security.nSystem Reliability: Expertise in scaling systems, performance analysis, and capacity planning for global, distributed systems.nCollaboration: Excellent communication skills and a genuine interest in mentoring others and collaborating with teams across a wide range of technologies and disciplines.
**Preferred Qualifications**
 Experience with databases (relational and NoSQL, such as Cassandra).nExperience with server\-side development and systems programming.nDemonstrated ability to lead incident response for high\-impact outages.nFamiliarity with using Generative AI (GenAI) or Large Language Models (LLMs) to accelerate operational tasks, such as automating runbooks, generating scripts, or analyzing incident data.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38">
      <c r="A38" t="inlineStr">
        <is>
          <t>li-4359058373</t>
        </is>
      </c>
      <c r="B38" t="inlineStr">
        <is>
          <t>Software Engineer, Infrastructure, Google Cloud</t>
        </is>
      </c>
      <c r="C38" t="inlineStr">
        <is>
          <t>Google</t>
        </is>
      </c>
      <c r="D38" t="inlineStr">
        <is>
          <t>linkedin</t>
        </is>
      </c>
      <c r="E38">
        <f>HYPERLINK("https://www.linkedin.com/jobs/view/4359058373", "https://www.linkedin.com/jobs/view/4359058373")</f>
        <v/>
      </c>
      <c r="F38" t="inlineStr"/>
      <c r="G38" t="inlineStr">
        <is>
          <t>Sunnyvale, CA</t>
        </is>
      </c>
      <c r="H38" t="inlineStr"/>
      <c r="I38" t="inlineStr">
        <is>
          <t>**Minimum qualifications:**
* Bachelor’s degree or equivalent practical experience.
* 2 years of experience with software development in one or more programming languages, or 1 year of experience with an advanced degree.
* Experience coding with languages like C\+\+, or Python
**Preferred qualifications:**
* Master's degree or PhD in Computer Science or related technical fields.
* 2 years of experience with data structures and algorithms.
* Experience building and developing infrastructure or distributed systems.
* Experience optimizing software system performance.
* Experience in networking technologies/concepts such as software defined networking (SDN).
* Knowledge of internet routing technologies and router/switch telemetry.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In this role,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Review code developed by other developers and provide feedback to ensure best practices (e.g., style guidelines, checking code in, accuracy, testability, and efficiency).
* Design, develop, and integrate features for Google’s software\-defined WAN (SDN) to ensure high availability, global scalability, and seamless new product introductions (NPI).
* Debug and resolve issues within an integrated networking ecosystem, focusing on traffic engineering, congestion management, and admission control.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9">
      <c r="A39" t="inlineStr">
        <is>
          <t>li-4362745615</t>
        </is>
      </c>
      <c r="B39" t="inlineStr">
        <is>
          <t>Software Engineer, Fulfillment Core Services</t>
        </is>
      </c>
      <c r="C39" t="inlineStr">
        <is>
          <t>Lyft</t>
        </is>
      </c>
      <c r="D39" t="inlineStr">
        <is>
          <t>linkedin</t>
        </is>
      </c>
      <c r="E39">
        <f>HYPERLINK("https://www.linkedin.com/jobs/view/4362745615", "https://www.linkedin.com/jobs/view/4362745615")</f>
        <v/>
      </c>
      <c r="F39">
        <f>HYPERLINK("http://boards.greenhouse.io/lyft/jobs/8362270002?gh_src=dd08aaff2us&amp;urlHash=Vt81", "http://boards.greenhouse.io/lyft/jobs/8362270002?gh_src=dd08aaff2us&amp;urlHash=Vt81")</f>
        <v/>
      </c>
      <c r="G39" t="inlineStr">
        <is>
          <t>Seattle, WA</t>
        </is>
      </c>
      <c r="H39" t="inlineStr"/>
      <c r="I39" t="inlineStr">
        <is>
          <t>At Lyft, our purpose is to serve and connect. We aim to achieve this by cultivating a work environment where all team members belong and have the opportunity to thrive.
 Core Services powers the passenger and driver state machines from request and accept through drop\-off and payment completion. The team enables a multitude of ride variations like autonomous vehicles, taxis, scheduled, business concierge, health and more. The “Core Services” are a suite of distributed Python and Golang systems central to Lyft’s backend.
 As a software engineer on the team, you will work on integrating new rider and driver products and features onto the state machine and enhancing the performance and reliability of ride state transitions. If you are excited about solving back\-end distributed systems problems and owning a mission\-critical part of Lyft’s operations, this team is for you.
 As a software engineer at Lyft, you will collaborate with other engineers and cross\-functional teams, such as product, data science, and analytics, to lead and execute large projects—from concept to efficient execution. We are looking for a motivated Software Engineer who is passionate about solving challenging technical problems and excited to work in a fast\-paced, innovative, and cross\-functional environment. In this role, you will tackle some of the most interesting and impactful problems in ridesharing.
 Key traits for success include being passionate about Lyft’s business and product, a quick learner, a collaborative mindset, and an eagerness to drive initiatives both within and across teams. You'll be joining a small, close\-knit team with passionate, collaborative co\-workers.
**Responsibilities**
* Design, develop, deploy, monitor, operate and maintain existing or new elements of the Fulfillment tech stack
* Write well\-crafted, well\-tested, readable, maintainable code
* Have a good grasp and ability to explain the various tradeoffs made in decisions
* Participate in code reviews to ensure code quality and distribute knowledge
* Lead projects from idea to positive execution
* Proactively participate in resolving ongoing incidents
* Unblock, support, effectively communicate, and obtain buy\-in across teams to achieve results
* Share your knowledge by giving brown bags, tech talks, and evangelizing appropriate tech and engineering best practices
**Experience**
* BS/MS or equivalent in Computer Engineering, Computer Science, or related field or relevant work experience
* 2\+ years of software engineering industry experience
* Proficiency in object\-oriented programming
* Experience designing, debugging and running fault\-tolerant, highly available, large\-scale distributed systems
* Experience working with public cloud platforms (e.g., AWS, GCP, Microsoft Azure, etc.)
* Proficiency in scripting languages to use APIs to automate manual processes
* Experience with common CI tools (Jenkins, Buildkite, CircleCI, TeamCity), and proficiency in at least one of those tools
* Solid knowledge of distributed systems, relational and NoSQL databases
* Ability to communicate in English in writing, meetings, and presentations
* Fulfillment owns services written in Golang and Python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Seattle area is $128,000 \- $160,000,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40">
      <c r="A40" t="inlineStr">
        <is>
          <t>li-4359154552</t>
        </is>
      </c>
      <c r="B40" t="inlineStr">
        <is>
          <t>Software Engineer, Shortcuts</t>
        </is>
      </c>
      <c r="C40" t="inlineStr">
        <is>
          <t>Apple</t>
        </is>
      </c>
      <c r="D40" t="inlineStr">
        <is>
          <t>linkedin</t>
        </is>
      </c>
      <c r="E40">
        <f>HYPERLINK("https://www.linkedin.com/jobs/view/4359154552", "https://www.linkedin.com/jobs/view/4359154552")</f>
        <v/>
      </c>
      <c r="F40" t="inlineStr"/>
      <c r="G40" t="inlineStr">
        <is>
          <t>Cupertino, CA</t>
        </is>
      </c>
      <c r="H40" t="inlineStr"/>
      <c r="I40" t="inlineStr">
        <is>
          <t>**Summary**
 Play a part in the next revolution in human\-computer interaction. Contribute to a product that helps users tune their devices, making them more personal. Create groundbreaking technology to provide intelligence around the apps you use every day. Work with the people who created Shortcuts, Siri, and other system features that help millions of people get things done. Join the Shortcuts team at Apple. Our team is looking for iOS or macOS engineers passionate about building complex, performant systems that power Apple Intelligence. In this role, you'll be part of a cross\-functional and collaborative team that works on frameworks and systems that interact with first\-party apps and system services. You'll ship code that runs on the devices you use every day and powers products that are critical to the lives of millions of users!n
**Description**
 You will primarily be responsible for developing features and driving performance for the internal frameworks and subsystems that enable action running on Apple platforms. As a strong programmer and a creative problem solver, you will break down interesting technical challenges and create robust, performant solutions. You will work across teams and organizations, building relationships and crafting compelling system features. You finish projects with a keen eye to the details that surprise and delight customers. You are driven by building software that operates in extremely tight tolerances, where the pursuit of quality and the satisfaction of solving challenging technical challenges and constraints fuels your best work.nnYou will also play a crucial role in guiding our existing products, leveraging your ability to anticipate issues before they arrive, and lead development of essential technologies in early stages. You care deeply about software architecture and writing code that is robust and maintainable for the future. You are excited about developing new features, as well as maintaining existing code, fixing bugs, and contributing to overall system design. You know it’s all in the details.n
**Minimum Qualifications**
 B.S in Computer Science or a related field, or equivalent practical experience.nExperience building software and applications in Objective\-C or SwiftnFamiliarity with essential tools (Xcode, lldb, Instruments)nAttention to detail and focus on qualitynSkilled at communicating, whether verbally or in writingn
**Preferred Qualifications**
 Experience working with SQL, query optimization, distributed systems, and optimizing software for performance\-critical environmentsnExperience creating complex and performant user interfaces with UIKit, AppKit, or SwiftUIn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41">
      <c r="A41" t="inlineStr">
        <is>
          <t>li-4357698302</t>
        </is>
      </c>
      <c r="B41" t="inlineStr">
        <is>
          <t>Software Engineer (Full Stack), Supply Chain Integration</t>
        </is>
      </c>
      <c r="C41" t="inlineStr">
        <is>
          <t>Apple</t>
        </is>
      </c>
      <c r="D41" t="inlineStr">
        <is>
          <t>linkedin</t>
        </is>
      </c>
      <c r="E41">
        <f>HYPERLINK("https://www.linkedin.com/jobs/view/4357698302", "https://www.linkedin.com/jobs/view/4357698302")</f>
        <v/>
      </c>
      <c r="F41">
        <f>HYPERLINK("https://jobs.apple.com/en-us/details/200615065&amp;urlHash=l4hR", "https://jobs.apple.com/en-us/details/200615065&amp;urlHash=l4hR")</f>
        <v/>
      </c>
      <c r="G41" t="inlineStr">
        <is>
          <t>Sunnyvale, CA</t>
        </is>
      </c>
      <c r="H41" t="inlineStr"/>
      <c r="I41" t="inlineStr">
        <is>
          <t>**Summary**
 At Apple, new ideas quickly transform into groundbreaking products, services, and customer experiences. Bring passion and dedication to your work, and there’s no telling what can be accomplished.nnAs part of the Supply Chain Innovation team, you will play a pivotal role in building end\-to\-end, best\-in\-class software solutions for Apple’s Supply Chain needs, ranging from Supply Planning and Demand Planning to Product Distribution and beyond. You will collaborate with various internal stakeholders to define and implement solutions that optimize Apple’s internal business processes.
**Description**
 We are seeking a self\-starter, highly motivated individual who thrives on challenges and creative solutions. The ideal candidate excels in collaborative environments, produces high\-quality software under tight deadlines, and works independently while collaborating effectively with multi\-functional teams globally (US, Singapore, India u0026 Europe). This role impacts Apple’s business, requiring interaction with internal teams to deliver cutting\-edge products in a dynamic environment.
**Minimum Qualifications**
 4\+ years experience building Web Applications using HTML, CSS, and JavaScript frameworks and/or libraries such as React, Angular etc.nExperience in consuming and exposing web services (e.g., SOAP, REST)nExtensive knowledge of design patterns, enterprise architecture and software engineering principles, writing unit tests for web applicationsnProven ability to research, design, and develop complex technical solutions involving multiple technologies.nDevelopment experience with container orchestration systems such as Docker and Kubernetes
**Preferred Qualifications**
 Bachelor's / Master’s degree in Computer Science or equivalentnExperience with Java, Python, Pandas Data Frames, SQL Alchemy, numpy, etc.nExperience with various database technologies (RDBMS, Key\-Value, Document\-based, etc.) nExperience in defining continuous integration build processes for frontend web developmentnAI/ML\-related experience and strong understanding of LLMs, prompt engineering and RAG.nExperience in developing applications for the Supply Chain business domain.
**Pay \&amp; Benefits**
 At Apple, base pay is one part of our total compensation package and is determined within a range. This provides the opportunity to progress as you grow and develop within a role. The base pay range for this role is between $147,400 and $220,900,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42">
      <c r="A42" t="inlineStr">
        <is>
          <t>li-4359146507</t>
        </is>
      </c>
      <c r="B42" t="inlineStr">
        <is>
          <t>Software Engineer, Apple Services Engineering</t>
        </is>
      </c>
      <c r="C42" t="inlineStr">
        <is>
          <t>Apple</t>
        </is>
      </c>
      <c r="D42" t="inlineStr">
        <is>
          <t>linkedin</t>
        </is>
      </c>
      <c r="E42">
        <f>HYPERLINK("https://www.linkedin.com/jobs/view/4359146507", "https://www.linkedin.com/jobs/view/4359146507")</f>
        <v/>
      </c>
      <c r="F42">
        <f>HYPERLINK("https://jobs.apple.com/en-us/details/200638394&amp;urlHash=atRZ", "https://jobs.apple.com/en-us/details/200638394&amp;urlHash=atRZ")</f>
        <v/>
      </c>
      <c r="G42" t="inlineStr">
        <is>
          <t>Seattle, WA</t>
        </is>
      </c>
      <c r="H42" t="inlineStr"/>
      <c r="I42" t="inlineStr">
        <is>
          <t>**Summary**
 The iCloud Platform Client CI u0026 Testing team is seeking a Software Engineer to focus on Developer Productivity and At\-Desk Developer Experience. This role expands the team’s responsibility beyond CI pipeline reliability into establishing consistent, reliable, and scalable local development workflows. The engineer will own tooling, standards, and validation processes that ensure local development environments align closely with CI behavior, enabling engineers to move faster with greater confidence across a rapidly evolving OS, SDK, and toolchain ecosystem.
**Description**
 This role is responsible for improving developer productivity across iCloud Platform Client teams by standardizing local development environments, validating pre\-release toolchains, and building tooling that shifts quality earlier in the development lifecycle. The engineer will partner closely with CI, testing, and platform teams to reduce environment\-related friction, detect regressions earlier, and ensure consistent behavior between at\-desk development and CI systems.nnThe position sits within the CI u0026 Testing organization and operates at the intersection of local development workflows, CI infrastructure, and platform validation.
**Minimum Qualifications**
 Strong experience with CI/CD systems and automated testing for large\-scale software projectsnProficiency with macOS development tooling, including Xcode, SDKs, and build systemsnExperience building developer tooling, automation, or infrastructure to improve developer productivitynStrong programming skills in at least one systems or application language commonly used for tooling or automation such as Shell Scripting (Bash) and/or SwiftnExperience diagnosing and resolving build, test, and environment\-related issuesnAbility to work cross\-functionally with infrastructure and product engineering teamsnBachelor’s degree in an engineering\-related field or equivalent job\-related experience
**Preferred Qualifications**
 Experience working on Developer Productivity, Developer Experience, or Platform Infrastructure teamsnFamiliarity with pre\-release OS, SDK, or toolchain validation in large organizationsnExperience designing standardized development environments for multi\-team organizationsnKnowledge of test frameworks, linting tools, and static analysis systemsnExperience supporting large monorepos or complex dependency graphsnStrong documentation and technical communication skillsnExperience improving onboarding workflows and reducing time\-to\-productivity for new engineers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43">
      <c r="A43" t="inlineStr">
        <is>
          <t>li-4361307729</t>
        </is>
      </c>
      <c r="B43" t="inlineStr">
        <is>
          <t>Software Engineer</t>
        </is>
      </c>
      <c r="C43" t="inlineStr">
        <is>
          <t>eNGINE</t>
        </is>
      </c>
      <c r="D43" t="inlineStr">
        <is>
          <t>linkedin</t>
        </is>
      </c>
      <c r="E43">
        <f>HYPERLINK("https://www.linkedin.com/jobs/view/4361307729", "https://www.linkedin.com/jobs/view/4361307729")</f>
        <v/>
      </c>
      <c r="F43" t="inlineStr"/>
      <c r="G43" t="inlineStr"/>
      <c r="H43" t="inlineStr"/>
      <c r="I43" t="inlineStr">
        <is>
          <t>**eNGINE** 
 builds Technical Teams. We are a Solutions and Placement firm shaped by decades of interaction with Technical professionals. Our inspiration is continuous learning and engagement with the markets we serve, the talent we represent, and the teams we build. Our Consulting Workforce is encouraged to enjoy career fulfillment in the form of challenging projects, schedule flexibility, and paid training/certifications. Successful outcomes start and finish with
 **eNGINE** 
 .
**eNGINE** 
 is seeking a Software Engineer to join our Data Solutions team, focused on building and maintaining custom, code\-driven data pipelines and integrations. This role is ideal for an engineer who approaches data work as a software development problem—writing, testing, and deploying scalable solutions rather than relying on off\-the\-shelf ETL tools.
**Responsibilities:** 
* Design, develop, and maintain custom ETL and data integration processes using code
* Build data pipelines and transformation logic using
 **Python and/or C\#**
* Develop and deploy
 **Azure Functions** 
 to support data ingestion, processing, and orchestration
* Write, optimize, and maintain
 **SQL** 
 queries, views, and stored procedures
* Collaborate with data, application, and business teams to understand data requirements
* Ensure data quality, reliability, and performance across data workflows
* Troubleshoot production issues and continuously improve data solutions
**Required Skills \&amp; Experience:** 
* Strong software development experience with
 **Python and/or C\#**
* Hands\-on experience with
 **Azure Functions** 
 in a production environment
* Solid
 **SQL** 
 skills, including complex queries and performance tuning
* Experience performing
 **data engineering** 
 work such as ingestion, transformation, and integration
* Comfort building ETL processes through custom code rather than commercial ETL tools
**Preferred Qualifications:** 
* Experience working within Microsoft Azure–based data platforms
* Familiarity with cloud\-native architectures and event\-driven processing
* Experience supporting analytics, reporting, or downstream data consumers
*No C2C, relocation, or sponsorship for this role* 
*For finer details on how eNGINE can impact your career, apply today!*</t>
        </is>
      </c>
    </row>
    <row r="44">
      <c r="A44" t="inlineStr">
        <is>
          <t>li-4362792434</t>
        </is>
      </c>
      <c r="B44" t="inlineStr">
        <is>
          <t>Full Stack Engineer</t>
        </is>
      </c>
      <c r="C44" t="inlineStr">
        <is>
          <t>James Search Group</t>
        </is>
      </c>
      <c r="D44" t="inlineStr">
        <is>
          <t>linkedin</t>
        </is>
      </c>
      <c r="E44">
        <f>HYPERLINK("https://www.linkedin.com/jobs/view/4362792434", "https://www.linkedin.com/jobs/view/4362792434")</f>
        <v/>
      </c>
      <c r="F44" t="inlineStr"/>
      <c r="G44" t="inlineStr"/>
      <c r="H44" t="inlineStr"/>
      <c r="I44" t="inlineStr">
        <is>
          <t>**About the Company** 
 \- Our client is a globally recognized quantitative trading firm, known for its advanced technology\-driven approach to trading. They are committed to fostering a collaborative and innovative environment where talented engineers can thrive and make a real impact on the business.
**About the Role** 
 \- We're partnering with a leading Quantitative Finance Trading Firm, known for its innovative approach to trading and financial technology, to find a Full Stack Software Engineer. This is a fantastic opportunity for a passionate developer with expertise in C\+\+ or Java and Python to join a cutting\-edge team where your contributions will directly impact the firm's high\-performance trading systems and algorithms.
**Responsibilities** 
* Develop and optimize full\-stack applications that support complex quantitative trading strategies.
* Build and maintain robust, scalable systems, from front\-end user interfaces to back\-end infrastructure.
* Work closely with quants, traders, and data scientists to design and implement software solutions for algorithmic trading.
* Contribute to the continuous improvement of existing systems with a focus on speed, reliability, and performance.
* Collaborate in an agile environment, using modern development tools and techniques to solve real\-world financial problems.
**Qualifications** 
 \- Bachelors Degree
**Required Skills** 
* 1\-4\+ years experience with C\+\+ or Java with experience in Python for full\-stack development.
* Strong experience in building high\-performance, low\-latency systems (trading experience is a plus but not required).
* Familiarity with financial markets, trading systems, and quantitative strategies is beneficial but not mandatory.
* Excellent problem\-solving skills and the ability to think algorithmically.
* A keen eye for performance and the ability to optimize complex systems for speed and efficiency.
* Familiarity with cloud technologies and containerized environments (e.g., Docker, Kubernetes) is a plus.
* Ability to thrive in a fast\-paced, collaborative, and dynamic environment.
**Pay range and compensation package** 
 Competitive base salary
 Variable compensation / bonus
 Benefits and 401k
 Our client are an equal opportunity employer, dedicated to fostering a diverse and inclusive environment.
 To apply or learn more, please follow the instructions below and a member of the team will be in touch.</t>
        </is>
      </c>
    </row>
    <row r="45">
      <c r="A45" t="inlineStr">
        <is>
          <t>li-4362756102</t>
        </is>
      </c>
      <c r="B45" t="inlineStr">
        <is>
          <t>Software Engineer I</t>
        </is>
      </c>
      <c r="C45" t="inlineStr">
        <is>
          <t>Reflexive Concepts</t>
        </is>
      </c>
      <c r="D45" t="inlineStr">
        <is>
          <t>linkedin</t>
        </is>
      </c>
      <c r="E45">
        <f>HYPERLINK("https://www.linkedin.com/jobs/view/4362756102", "https://www.linkedin.com/jobs/view/4362756102")</f>
        <v/>
      </c>
      <c r="F45" t="inlineStr"/>
      <c r="G45" t="inlineStr">
        <is>
          <t>Linthicum, MD</t>
        </is>
      </c>
      <c r="H45" t="inlineStr"/>
      <c r="I45" t="inlineStr">
        <is>
          <t>**Reflexive Concepts is seeking a skilled Software Engineer I to join our team!**
**Requirements** 
* Active TS/SCI \&amp; FS Polygraph
* Seven (7\) years of SWE experience
* Bachelor's degree in Computer Science or related discipline from an accredited college or university is required
+ Four (4\) years of SWE experience on projects with similar software processes may be substituted for a bachelor's degree.
* Must be able to:
+ Analyze user requirements to derive software design and perfonnance requirements
+ Design and code new software or modify existing software to add new features
+ Debug existing software and correct defects
+ Integrate existing software into new or modified systems or operating environments
+ Develop simple data queries for existing or proposed databases or data repositories
+ Provide recommendations for improving documentation and software development process standards</t>
        </is>
      </c>
    </row>
    <row r="46">
      <c r="A46" t="inlineStr">
        <is>
          <t>li-4359008377</t>
        </is>
      </c>
      <c r="B46" t="inlineStr">
        <is>
          <t>Software Engineer (Python) - Supply Chain Integration</t>
        </is>
      </c>
      <c r="C46" t="inlineStr">
        <is>
          <t>Apple</t>
        </is>
      </c>
      <c r="D46" t="inlineStr">
        <is>
          <t>linkedin</t>
        </is>
      </c>
      <c r="E46">
        <f>HYPERLINK("https://www.linkedin.com/jobs/view/4359008377", "https://www.linkedin.com/jobs/view/4359008377")</f>
        <v/>
      </c>
      <c r="F46" t="inlineStr"/>
      <c r="G46" t="inlineStr">
        <is>
          <t>Austin, TX</t>
        </is>
      </c>
      <c r="H46" t="inlineStr"/>
      <c r="I46" t="inlineStr">
        <is>
          <t>**Summary**
 At Apple, new ideas quickly transform into groundbreaking products, services, and customer experiences. Bring passion and dedication to your work, and there’s no telling what can be accomplished.nnAs part of the Supply Chain Innovation team, you will play a pivotal role in building end\-to\-end, best\-in\-class software solutions for Apple’s Supply Chain needs, ranging from Supply Planning and Demand Planning to Product Distribution and beyond. You will collaborate with various internal collaborators to define and implement solutions that optimize Apple’s internal business processes.
**Description**
 The ideal candidate excels in collaborative environments, produces high\-quality software under tight deadlines, and works independently while collaborating effectively with multi\-functional teams globally (US, Singapore, India, u0026 Europe). This role impacts Apple’s business, requiring interaction with internal teams to deliver innovative products in a dynamic environment.
**Minimum Qualifications**
 Bachelor's / Master’s degree in Computer Science or related field.nMinimum 4 years of professional experience in software development using Python, with a consistent track record in designing, developing, and maintaining RESTful APIs using frameworks like FastAPI, Django REST Framework, or Flask.nProficient in data manipulation, analysis, and processing with libraries like Pandas, NumPy, and Polars, enabling efficient handling of large datasets and complex transformations. nExperience with distributed computing frameworks like PySpark, Celery, or Dask.nExperience with design patterns, enterprise architecture, software engineering principles, and modern Python development practices, including writing and performing comprehensive unit/integration tests for robust and maintainable web applications.
**Preferred Qualifications**
 Proficiency in cloud development and deployment using platforms such as AWS, Google Cloud Platform (GCP), etc., including services related to compute, storage, data processing, and managed database solutions.nDevelopment experience with containerization and orchestration systems, specifically Docker and Kubernetes, for scalable deployment of applications and data pipelines.nStrong background in database modeling, design, and management for both SQL and NoSQL databases, and proficiency with Object\-Relational Mappers (ORMs), along with exposure to caching technologies such as Redis, and workflow orchestration tools such as Apache Airflow.nExperience in AI/ML, particularly in working with Large Language Models (LLMs), Agentic AI systems, prompt engineering, and Retrieval\-Augmented Generation (RAG) techniques, to enhance data\-driven decision making, automation, or user interaction.nUnderstanding of supply chain management processes, including demand planning, inventory management, logistics, and order fulfillment with experience in developing applications for the Supply Chain business domain.
**Pay \&amp; Benefits**
 u003cpu003eApple accepts applications to this posting on an ongoing basis.u003c/pu003e</t>
        </is>
      </c>
    </row>
    <row r="47">
      <c r="A47" t="inlineStr">
        <is>
          <t>li-4362718049</t>
        </is>
      </c>
      <c r="B47" t="inlineStr">
        <is>
          <t>Software Engineer II, Minecraft</t>
        </is>
      </c>
      <c r="C47" t="inlineStr">
        <is>
          <t>Mojang Studios</t>
        </is>
      </c>
      <c r="D47" t="inlineStr">
        <is>
          <t>linkedin</t>
        </is>
      </c>
      <c r="E47">
        <f>HYPERLINK("https://www.linkedin.com/jobs/view/4362718049", "https://www.linkedin.com/jobs/view/4362718049")</f>
        <v/>
      </c>
      <c r="F47" t="inlineStr"/>
      <c r="G47" t="inlineStr">
        <is>
          <t>Redmond, WA</t>
        </is>
      </c>
      <c r="H47" t="inlineStr"/>
      <c r="I47" t="inlineStr">
        <is>
          <t>**Overview**
 At Mojang Studios, the creators of Minecraft, we are on a mission to build a better world through the power of play.
 Why play? Well, play is at the heart of everything we do. It’s the blocky backbone of our games, the core of our development philosophy, and even the origin of our name. From the relentless experimentation of our endlessly inspiring community to the classrooms where Minecraft has become an essential teaching tool, play is the bedrock of our existence.
 We enable millions to create and play together, connect people across the globe, and foster a community that is among the most active and passionate in the world. Our community is global and incredibly diverse. When we are developing anything within our franchise, we keep this in mind. We want everyone to not only feel included in Minecraft, but also to see themselves in what we make. Our goal is for the Mojang Studios team to be as diverse as our community.
 Minecraft inspires millions to create together, connects people across the globe, and brings together a community that is among the most active and passionate in the world. Franchise Technology and Services team is looking for a developer to drive the timely delivery of next generation of game technology and foundations.
 The Software Engineer II, role takes end\-to\-end ownership for development and quality of products and services that delight customers and add strategic value to Microsoft. They evaluate requirements, estimate costs, and design and implement products and services. They define and implement the quality criteria for their products and services, using measurements and insights to understand and validate the quality of experience for customers. They manage and improve the engineering process, manage risks, dependencies, and compromises, and integrate software into broader ecosystems and/or products and services.
 You will work with peers across disciplines (Design, Production, and Quality) to build robust features on a schedule. Identifying technological opportunities, risks, and prototyping new techniques to create high quality player\-focused games.
 In the end, it’s the people of Mojang Studios that make this place truly special. When you join, you’ll find yourself in the company of incredibly bright, warm, and creative individuals – all united and working toward a single goal. Come help us reach it!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Designing, Developing and Coordinating features using Microsoft Azure compute and Storage
* Ensuring timely, high\-quality deliverables with extensible and maintainable quality code
* Actively communicate within and across teams to reach successful outcomes through collaboration
* Building partnerships with developers, program managers, and designers
* Embody our Culture \&amp; Values
**Qualifications**
**Required Qualifications:**
* Bachelor's Degree in Computer Science or related technical field AND 2\+ years technical engineering experience with coding in languages including, but not limited to, C\#, Java,
+ OR equivalent experience.
**Preferred Qualifications**
* Master's Degree in Computer Science or related technical field AND 3\+ years technical engineering experience with coding in languages including, but not limited to C\#, Java, OR Bachelor's Degree in Computer Science or related technical field AND 5\+ years technical engineering experience with coding in languages including, but not limited to, C\#, Java, OR equivalent experience.
* Understanding of test\- and performance\-driven methodology to build services. We need to ensure that our services are both robust and handle extremely high scale.
* Experience writing cloud\-based web services, preferably in Azure .
* Understanding of Azure for compute, storage, cache, and Virtual Machines (VMs), or comparable cloud\-based web services.
 \#mojangjobs \#gamingjobs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8">
      <c r="A48" t="inlineStr">
        <is>
          <t>li-4359008284</t>
        </is>
      </c>
      <c r="B48" t="inlineStr">
        <is>
          <t>Software Engineer, Infrastructure</t>
        </is>
      </c>
      <c r="C48" t="inlineStr">
        <is>
          <t>Apple</t>
        </is>
      </c>
      <c r="D48" t="inlineStr">
        <is>
          <t>linkedin</t>
        </is>
      </c>
      <c r="E48">
        <f>HYPERLINK("https://www.linkedin.com/jobs/view/4359008284", "https://www.linkedin.com/jobs/view/4359008284")</f>
        <v/>
      </c>
      <c r="F48" t="inlineStr"/>
      <c r="G48" t="inlineStr">
        <is>
          <t>Austin, TX</t>
        </is>
      </c>
      <c r="H48" t="inlineStr"/>
      <c r="I48" t="inlineStr">
        <is>
          <t>**Summary**
 This role focuses on designing and maintaining the secure infrastructure that powers Apple’s global security systems. You’ll help build large\-scale compute and automation platforms that enable our teams to develop, test, and deploy security solutions quickly and reliably. Join a group that ensures Apple’s security and privacy technologies are fast, resilient, and built to protect users around the world!
**Description**
 As a Security Infrastructure Software Engineer, you will design and build the large\-scale systems that power Apple’s internal security and privacy operations. You’ll work on pipelines, automation frameworks, and distributed services that support vulnerability detection, data processing, and secure workflows.nnThis role combines software engineering and reliability engineering — you’ll be making our services performant, observable, and highly available while continually improving developer productivity and operational efficiency. You’ll collaborate across Apple and partner organizations to evolve infrastructure that underpins Apple’s security analysis and response capabilities.
**Minimum Qualifications**
 Bachelor’s degree in Computer Science, or equivalent practical experience (5\+ years).nnStrong programming skills in Python, Go, or Java.nnExperience designing and operating high\-availability infrastructure or security systems.nn Experience building and operating distributed systems or cloud\-native applications at scale.nnProficiency with Kubernetes, container orchestration, and CI/CD pipelines.nnStrong coding skills producing maintainable, efficient, and testable software.nnExperience deploying and supporting production systems handling sensitive or critical workloads.nnBackground in monitoring, observability, and incident response.nnFamiliarity with infrastructure\-as\-code (Terraform, Ansible, or CloudFormation).nnDemonstrated collaboration and problem\-solving skills in complex engineering environments.nnRequirement for on\-call rotation, including weekends.
**Preferred Qualifications**
 Experience with cloud infrastructure (AWS, GCP, or internal orchestration platforms).nnDeep understanding of observability pipelines, metrics, logs, and traces.nnFamiliarity with data processing or streaming frameworks at scale.nnExperience building internal dashboards using React or JavaScript.nnBackground in security automation, vulnerability management, or threat analysis systems.nnStrong scripting and tooling expertise for system orchestration and deployment automation.nnUnderstanding of networking, Linux internals, and system design fundamentals.nnAbility to automate operational workflows and optimize developer efficiency.nnClear communication of complex technical topics across multi\-disciplinary teams.nnEnthusiasm for learning and applying emerging technologies in security and infrastructure.nnPassion for building secure, scalable, and reliable systems that empower Apple’s engineers.
**Pay \&amp; Benefits**
 u003cpu003eApple accepts applications to this posting on an ongoing basis.u003c/pu003e</t>
        </is>
      </c>
    </row>
    <row r="49">
      <c r="A49" t="inlineStr">
        <is>
          <t>li-4357668824</t>
        </is>
      </c>
      <c r="B49" t="inlineStr">
        <is>
          <t>Software Engineer - Strategic Data Solutions</t>
        </is>
      </c>
      <c r="C49" t="inlineStr">
        <is>
          <t>Apple</t>
        </is>
      </c>
      <c r="D49" t="inlineStr">
        <is>
          <t>linkedin</t>
        </is>
      </c>
      <c r="E49">
        <f>HYPERLINK("https://www.linkedin.com/jobs/view/4357668824", "https://www.linkedin.com/jobs/view/4357668824")</f>
        <v/>
      </c>
      <c r="F49">
        <f>HYPERLINK("https://jobs.apple.com/en-us/details/200640140&amp;urlHash=0PcR", "https://jobs.apple.com/en-us/details/200640140&amp;urlHash=0PcR")</f>
        <v/>
      </c>
      <c r="G49" t="inlineStr">
        <is>
          <t>Austin, TX</t>
        </is>
      </c>
      <c r="H49" t="inlineStr"/>
      <c r="I49" t="inlineStr">
        <is>
          <t>**Summary**
 Are you ready to apply your educational experience to real\-world problems? Are you passionate about applying your data skills in a real\-world tech environment? nnImagine what you could do here. At Apple, new ideas have a way of becoming extraordinary products, services, and customer experiences very quickly. Bring passion and dedication to your job and there's no telling what you could accomplish. Join Apple, and help us leave the world better than we found it. Apple’s Strategic Data Solutions team is responsible for mitigating fraud, waste and abuse company\-wide while optimizing and empowering our customers and internal partners. nnThe SDS software engineering team is building an environment to enable ground breaking data analysis over Petabytes of data. We work side\-by\-side with machine learning engineers and implement scalable, easy\-to\-use systems and tools. We are seeking a customer\- focused, passionate and driven Software Engineer with experience in building analytic tools and solutions.
**Description**
 With the expansive data we have, our job is to build meaningful data relationships and engagement experiences for our internal customers. If you’re interested in being a part of a team that’s constantly learning and problem\-solving, we’d love to talk with you. As a Software Engineer on the SDS team, you will work closely with Machine Learning Engineers and other Software Engineers to lead the design and implementation of systems and tools to support the fraud prevention efforts of SDS. nnYou will be: n
* Developing and implementing production software for preventing fraud n
* Responsible for system architecture design n
* Working with external infrastructure teams to drive the development of infrastructure needs n
* Innovating by recognizing opportunities for automation and tools improvements n
* Responsible for developing and implementing process improvements to bring efficiency and stability to fraud analytics n
* Responsible for technical leadership for a team of data scientists n
* Lead the team to increase the level of maturity and skill in analytical software development n
* Responsible for release engineering
**Minimum Qualifications**
 Mastery of one of Python, Java, Scala, C\+\+ or equivalent languagen3\+ years of experience in software engineering/data sciencenExperience building data science or data analysis tools on Hadoop/cloud based systemsnBS or advanced degree in Computer Science, related field or equivalent experience
**Preferred Qualifications**
 Some experience with Docker, Kubernetes, or cloud platform deploymentnExperience with Relational databases and NoSQL databasesnDemonstrated understanding of the full software development lifecyclenExcellent problem solving, critical thinking, and communication skillsnSolid grasp of computer science fundamentals including data structures and algorithmsnSolid ability to evaluate and apply new technologies in a short timenSelf\-motivated, proactive, and solution\-oriented
**Pay \&amp; Benefits**
 u003cpu003eApple accepts applications to this posting on an ongoing basis.u003c/pu003e</t>
        </is>
      </c>
    </row>
    <row r="50">
      <c r="A50" t="inlineStr">
        <is>
          <t>li-4359058395</t>
        </is>
      </c>
      <c r="B50" t="inlineStr">
        <is>
          <t>Software Engineer (Full Stack), eBusiness Services</t>
        </is>
      </c>
      <c r="C50" t="inlineStr">
        <is>
          <t>Apple</t>
        </is>
      </c>
      <c r="D50" t="inlineStr">
        <is>
          <t>linkedin</t>
        </is>
      </c>
      <c r="E50">
        <f>HYPERLINK("https://www.linkedin.com/jobs/view/4359058395", "https://www.linkedin.com/jobs/view/4359058395")</f>
        <v/>
      </c>
      <c r="F50" t="inlineStr"/>
      <c r="G50" t="inlineStr">
        <is>
          <t>Texas, United States</t>
        </is>
      </c>
      <c r="H50" t="inlineStr"/>
      <c r="I50" t="inlineStr">
        <is>
          <t>**Summary**
 Are you meticulously organized and highly observant? Join our Information Systems and Technology group and play a vital function on one of two Apple teams: Software and Services and Corporate Functions. From Apple ID to the Apple website to our data centers around the globe, our diverse collection of engineers, designers and creators manage the massive systems and services that so many people rely on every single day. We also build the custom tools that empower other Apple employees to solve problems on their own. Joining this group means you’ll be part of the Apple nerve center. You could play a meaningful role in helping Apple connect with over a billion customer devices around the world. Or you could help over 130,000 employees stay connected with each other and our suppliers. Together, you and your team will help everyone at Apple do what they do best: explore every possibility. Do you love working on challenges that no one has solved yet? Imagine what you could do here. At Apple, new ideas have a way of becoming extraordinary products, services, and customer experiences very quickly. Bring passion and dedication to your job and there's no telling what you could accomplish!
**Description**
 Join our team, we work in a startup\-like environment and you will be part of every stage of development working multi\-functionally with user interface designers, business, development engineers, architects, and operations from the concept phase to deployment. The team is focused on rapid application development, research, innovation, and creating new products and solutions. Apple’s global ETS eBusiness team seeks an outstanding senior full\-stack Java Engineer to implement innovative and scalable solutions. This is an excellent opportunity for a very enthusiastic, hardworking, who focuses on results to provide integration solutions using various technology stacks and platforms. Enjoy the benefits of working in a fast\-growing business where you are encouraged to
**Minimum Qualifications**
 3\+ years of Java/J2EE\-based web application development experience.n3\+ years experience in writing server\-side code in Java including business logic, data transformations.n3\+ years experience with open\-source frameworks like Spring/Spring\-Boot, Hibernate, etc.nEducation: Bachelors Degree in Computer Science or equivalent experience.
**Preferred Qualifications**
 Hands\-on experience in designing and developing user interfaces ensuring responsiveness, accessibility, and a user\-friendly experience.nWorking experience in frontend frameworks like Angular, React etc, and frontend libraries like JQuery, Bootstrap.nHands\-on experience in Unix, Oracle, and non\-relational databases like MongoDB.nWorking experience in Agile development methodology.nResults\-oriented and demonstrates ownership and accountability.nCommunicate quickly and clearly, and collaborate with other team members.
**Pay \&amp; Benefits**
 u003cpu003eApple accepts applications to this posting on an ongoing basis.u003c/pu003e</t>
        </is>
      </c>
    </row>
    <row r="51">
      <c r="A51" t="inlineStr">
        <is>
          <t>li-4359163699</t>
        </is>
      </c>
      <c r="B51" t="inlineStr">
        <is>
          <t>Software Engineer - AirPods Tools</t>
        </is>
      </c>
      <c r="C51" t="inlineStr">
        <is>
          <t>Apple</t>
        </is>
      </c>
      <c r="D51" t="inlineStr">
        <is>
          <t>linkedin</t>
        </is>
      </c>
      <c r="E51">
        <f>HYPERLINK("https://www.linkedin.com/jobs/view/4359163699", "https://www.linkedin.com/jobs/view/4359163699")</f>
        <v/>
      </c>
      <c r="F51">
        <f>HYPERLINK("https://jobs.apple.com/en-us/details/200636773&amp;urlHash=lNPw", "https://jobs.apple.com/en-us/details/200636773&amp;urlHash=lNPw")</f>
        <v/>
      </c>
      <c r="G51" t="inlineStr">
        <is>
          <t>San Diego, CA</t>
        </is>
      </c>
      <c r="H51" t="inlineStr"/>
      <c r="I51" t="inlineStr">
        <is>
          <t>**Summary**
 The Audio Products Firmware team is looking for an energetic engineer to join our team.nThis is an individual contributor role to develop the CI testing pipelines and tooling requirednto build Audio products. You will have the opportunity to have a major impact on thendevelopment for Apple's consumer audio products. In this role, you will work with anwide cross\-functional team to continually improve the efficiency of the firmware andnsoftware in Apple products.
**Description**
 This is a high visibility job that involves a deep understanding of our cutting edgentechnologies. The ideal candidate is a self\-starter with excellent communication skillsnand attention to detail. You must be a great teammate, but also be able to workneffectively on their own. We are seeking someone who is passionate about our productsnand is interested in improving the quality for our customers.nnThe people here at Apple don’t just build products — they build the kind of wonder that’snrevolutionized entire industries. Excellent communication and collaboration is a must, asnyou will be asked to partner with team members and other engineering teams.
**Minimum Qualifications**
 Bachelor’s or Master’s degree in Software Engineering or a related fieldnMinimum 5 years of developing large\-scale software applications in PythonnStrong understanding of Object Oriented Programming and software fundamentals (data structures, multi\-threading, algorithms…etc)nCritical thinking, problem solving proven record, ability to solve unknown difficult/complex problemsnA strong advocate for collaborative development practices, including code reviews, and a commitment to producing maintainable codenSolid understanding of testing principles and experience implementing effective unit tests and integration testsnFamiliarity with Git for version control and basic Git operationsnExceptional communication skills, both written and verbalnA self\-starter who thrives in a fast\-paced, team\-oriented environment and enjoys learning new technologiesn
**Preferred Qualifications**
 Proficient with CI/CD technologies: Jenkins, GitLab , Kube, PostgrenExperience with tools, and frameworks for embedded systems (Make, gcc, clang, google test, static analysis, gcov, pytest etc.)nExperience with deploying Kubernetes clusters in real\-world applicationsnExperience with Splunk, Tableau, or other modern visualization toolsnAble to plan, coordinate, and lead cross\-functional projects and bring them to completion.nAble to architect performant, scalable, and fault tolerant systems nSkilled at creative problem solving, critical thinking, prioritization, and communicationnPassion for quality and attention to detailn
**Pay \&amp; Benefits**
 At Apple, base pay is one part of our total compensation package and is determined within a range. This provides the opportunity to progress as you grow and develop within a role. The base pay range for this role is between $171,600 and $258,100,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52">
      <c r="A52" t="inlineStr">
        <is>
          <t>li-4357648520</t>
        </is>
      </c>
      <c r="B52" t="inlineStr">
        <is>
          <t>Software Engineer, Intelligent System Experience</t>
        </is>
      </c>
      <c r="C52" t="inlineStr">
        <is>
          <t>Apple</t>
        </is>
      </c>
      <c r="D52" t="inlineStr">
        <is>
          <t>linkedin</t>
        </is>
      </c>
      <c r="E52">
        <f>HYPERLINK("https://www.linkedin.com/jobs/view/4357648520", "https://www.linkedin.com/jobs/view/4357648520")</f>
        <v/>
      </c>
      <c r="F52" t="inlineStr"/>
      <c r="G52" t="inlineStr">
        <is>
          <t>Cupertino, CA</t>
        </is>
      </c>
      <c r="H52" t="inlineStr"/>
      <c r="I52" t="inlineStr">
        <is>
          <t>**Summary**
 We are looking for an engineer to join the Intelligent System Experience team. You will collaborate with engineering, data engineering, product, design, QE and other cross\-functional teams in order to drive logging and metrics work for the tentpole! You should be able to thrive in a fast\-paced environment with rapidly changing priorities, and have a passion for caring about Apple’s users!!
**Description**
 You will lead planning and implementation of metrics and logging strategy for the tentpole. That means that you will: Collaborate with the engineering management, teammates, product, design, data engineering, QE and cross\-functional partners to deliver on the metrics and logging strategy. Lead software development work by writing code, answering questions and doing code reviews. Provide clear, timely and objective communication. Proactively identify issues and solutions, and marshal resources necessary to attack and resolve any issues related to your area of ownership.
**Minimum Qualifications**
 Experience with instrumenting production code, including getting privacy approvals.nExcellent coding skills in any programming language and strong understanding of data structures.nKnowledge of technical system architecture and systems design tradeoffs.nStrong analytical thinking, analysis, and problem\-solving skills.nGood verbal and written communication skills, including negotiation, presentation, and influence.nClient side code development experience.
**Preferred Qualifications**
 5\+ years of software development experience.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53">
      <c r="A53" t="inlineStr">
        <is>
          <t>li-4352291372</t>
        </is>
      </c>
      <c r="B53" t="inlineStr">
        <is>
          <t>Java Software Developer</t>
        </is>
      </c>
      <c r="C53" t="inlineStr">
        <is>
          <t>BeaconFire Inc.</t>
        </is>
      </c>
      <c r="D53" t="inlineStr">
        <is>
          <t>linkedin</t>
        </is>
      </c>
      <c r="E53">
        <f>HYPERLINK("https://www.linkedin.com/jobs/view/4352291372", "https://www.linkedin.com/jobs/view/4352291372")</f>
        <v/>
      </c>
      <c r="F53" t="inlineStr"/>
      <c r="G53" t="inlineStr">
        <is>
          <t>New Jersey, United States</t>
        </is>
      </c>
      <c r="H53" t="inlineStr"/>
      <c r="I53" t="inlineStr">
        <is>
          <t>💻
 **Job Title: Java Full Stack Developer** 
 📍
 **Location:** 
 Central New Jersey, USA (Hybrid/On\-site)
 🏢
 **Company:** 
 BeaconFire Inc.
 🕒
 **Job Type:** 
 Full\-Time \| Entry\-Level
 🌍
 **Visa Sponsorship:** 
 Available (E\-Verified Employer)
 🔹
 **About Us** 
**BeaconFire Inc.** 
 is a Central NJ\-based tech consulting firm specializing in
 **Software Development** 
 ,
 **Web Development** 
 , and
 **Business Intelligence** 
 . We’re looking for passionate and motivated individuals with a strong background in
 **Computer Science** 
 or
 **Software Engineering** 
 to join our team as
 **Java Full Stack Developers** 
 .
 🔹
 **Job Description** 
 As a
 **Java Full Stack Developer** 
 , you’ll be part of a collaborative team building secure, scalable, and high\-performance applications using
 **Java** 
 ,
 **Spring** 
 ,
 **Angular** 
 ,
 **React** 
 , and other modern technologies. You'll gain real\-world development experience while working on enterprise\-level projects.
 🔧
 **Key Responsibilities:** 
* Develop full\-stack applications using
 **Java 8\+/JEE** 
 ,
 **Spring** 
 ,
 **Angular 2\+** 
 ,
 **React.js** 
 ,
 **TypeScript** 
 ,
 **HTML5** 
 , and
 **CSS** 
 .
* Write clean, scalable, and maintainable code.
* Create, deploy, and maintain
 **automated system tests** 
 .
* Collaborate with QA teams to identify and resolve defects efficiently.
* Support continuous improvement through research and implementation of new technologies.
* Work within agile teams to meet sprint goals and deliver user stories.
 ✅
 **Requirements:** 
* Proficiency in
 **Java** 
 and
 **JavaScript** 
 .
* Solid understanding of
 **OOP** 
 principles and data structures (Collections, Maps, Lists, Sets, etc.).
* Familiarity with
 **software development life cycle (SDLC)** 
 .
* Knowledge of
 **SQL** 
 and relational databases like
 **SQL Server** 
 or
 **Oracle** 
 .
 ⭐
 **Preferred Qualifications:** 
* Master’s Degree in
 **Computer Science** 
 or a related field.
* 0–1 year of practical experience in Java development.
* Experience with
 **Spring** 
 ,
 **Maven** 
 ,
 **Angular** 
 ,
 **HTML/CSS** 
 .
* Familiarity with tools and servers like
 **Tomcat** 
 ,
 **RabbitMQ** 
 ,
 **WebLogic** 
 .
* Knowledge of
 **JSP** 
 ,
 **J2EE** 
 , and
 **JDBC** 
 is a plus.
**🎯 Why Join BeaconFire?** 
* 💼 Entry\-level opportunity with competitive pay.
* 🌍
 **Visa sponsorship available.**
* 🤝 Mentorship and hands\-on experience in full\-stack development.
* 🚀 Exposure to modern tools, frameworks, and enterprise projects.
* 🧠 Continuous learning in a collaborative, growth\-focused environment.</t>
        </is>
      </c>
    </row>
    <row r="54">
      <c r="A54" t="inlineStr">
        <is>
          <t>li-4362469710</t>
        </is>
      </c>
      <c r="B54" t="inlineStr">
        <is>
          <t>Full Stack Engineer</t>
        </is>
      </c>
      <c r="C54" t="inlineStr">
        <is>
          <t>Locus Robotics</t>
        </is>
      </c>
      <c r="D54" t="inlineStr">
        <is>
          <t>linkedin</t>
        </is>
      </c>
      <c r="E54">
        <f>HYPERLINK("https://www.linkedin.com/jobs/view/4362469710", "https://www.linkedin.com/jobs/view/4362469710")</f>
        <v/>
      </c>
      <c r="F54" t="inlineStr"/>
      <c r="G54" t="inlineStr"/>
      <c r="H54" t="inlineStr"/>
      <c r="I54" t="inlineStr">
        <is>
          <t>**About The Company**
 Locus Robotics is a pioneering leader in the rapidly expanding field of eCommerce order fulfillment optimization. The company specializes in developing innovative robotic solutions that significantly enhance warehouse efficiency and productivity. By integrating advanced robotics with existing warehouse management systems, Locus Robotics empowers warehouse operators to achieve 2\-3X improvements in operational efficiency over traditional cart\-picking methods. Their cutting\-edge technology addresses real\-world logistics challenges faced by major global brands, making them a trusted partner in the logistics and supply chain industry. With a commitment to innovation and excellence, Locus Robotics fosters a dynamic work environment that encourages collaboration, continuous learning, and technological advancement.
**About The Role**
 We are seeking a highly experienced and motivated Principal Full Stack Engineer to join our team remotely within the United States or at our offices in Wilmington, MA, or Nashua, NH. In this pivotal role, you will lead the design and development of our robotic warehouse execution software, shaping the technical direction of our products. Your expertise will help improve core functionalities, introduce new features, and ensure the robustness of our backend environment. This position offers a unique opportunity to work on innovative technology that directly impacts the efficiency of warehouse operations worldwide. You will collaborate with cross\-functional teams including UX designers, product managers, and fellow engineers to deliver high\-quality solutions that meet our strategic objectives.
**Qualifications**
* Bachelor’s Degree in Computer Science, Software Engineering, or a related field
* 10\+ years of professional experience in software development
* Proficiency in SQL, C\#, and .NET frameworks
* Strong object\-oriented design and development skills
* Experience with API\-first development, particularly RESTful APIs
* Hands\-on UI development experience with frameworks such as React.js or Angular.js
* Expertise in designing multi\-threaded applications and managing their production support
* Proven experience with microservices architecture and asynchronous messaging systems
* Solid understanding of relational and NoSQL database technologies, preferably Microsoft SQL
* Strong analytical, problem\-solving, and attention to detail skills
* Deep knowledge of agile methodologies and Scrum practices
* Experience with Test Driven Development and automated testing frameworks
* Knowledge of warehouse automation systems is a plus
* Familiarity with additional programming languages like Java, Go, Python, or Rust is advantageous
* Excellent written and verbal communication skills in English
**Responsibilities**
* Lead software architecture design, including conducting design reviews to ensure scalable and maintainable solutions
* Provide technical leadership within a talented engineering team to support current systems and lay the groundwork for future innovations
* Develop high\-quality, well\-tested code for cloud\-based and self\-hosted SaaS products
* Participate in integration, system, and performance testing, including the development and utilization of test tools
* Take ownership of complex technical components and troubleshoot customer issues efficiently
* Write automated test cases within testing frameworks to ensure product reliability
* Collaborate within a Scrum environment to plan, prioritize, and deliver incremental software releases
* Build strong working relationships with UX designers, product managers, and other stakeholders
* Mentor junior team members and act as a technical resource across projects
* Contribute to technical strategy, process improvements, and ongoing innovation initiatives
* Perform other duties as assigned to support team and organizational goals
**Benefits**
* Competitive salary and performance\-based incentives
* Flexible remote work options within the United States
* Opportunities for professional growth and development
* Collaborative and innovative work environment
* Health, dental, and vision insurance plans
* Retirement savings plans with company match
* Paid time off and holidays
* Access to cutting\-edge technology and tools
 Equal Opportunity
 Locus Robotics is an Equal Opportunity Employer. We celebrate diversity and are committed to creating an inclusive environment for all employees. All qualified applicants will receive consideration for employment without regard to race, color, religion, sex, national origin, age, disability, or any other protected status under applicable law.</t>
        </is>
      </c>
    </row>
    <row r="55">
      <c r="A55" t="inlineStr">
        <is>
          <t>li-4357638715</t>
        </is>
      </c>
      <c r="B55" t="inlineStr">
        <is>
          <t>Software Engineer - Apple Vision Pro</t>
        </is>
      </c>
      <c r="C55" t="inlineStr">
        <is>
          <t>Apple</t>
        </is>
      </c>
      <c r="D55" t="inlineStr">
        <is>
          <t>linkedin</t>
        </is>
      </c>
      <c r="E55">
        <f>HYPERLINK("https://www.linkedin.com/jobs/view/4357638715", "https://www.linkedin.com/jobs/view/4357638715")</f>
        <v/>
      </c>
      <c r="F55" t="inlineStr"/>
      <c r="G55" t="inlineStr">
        <is>
          <t>Los Angeles, CA</t>
        </is>
      </c>
      <c r="H55" t="inlineStr"/>
      <c r="I55"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something.nnApple Vision Pro is a revolutionary spatial computer that seamlessly blends digital content with your physical space. It will allow us to do the things we love in ways never before possible — all while staying connected to the people around us.nnThe Vision Products Group (VPG) is looking for a Software Engineer to help us push the limits of the next generation of interactive experiences on our platform. This team is working with some of Apple’s most advanced technologies including spatial computing, augmented reality (AR), ARKit and Metal 3, to create ground\-breaking new products. As a member of our creative organization, you will have the uniquely rewarding opportunity to craft future products that will delight and inspire millions of people every single day.n
**Description**
 Apple makes the newest technologies accessible to create amazing user experiences. You will have the opportunity to work in a team developing system level frameworks enabling these experiences, in close collaboration with creative teams across Apple and VPG. The candidate for this role will be comfortable working in a dynamic and creative environment.nnEngineers are expected to work quickly and smartly to help determine the viability of ideas and technologies. You will need a keen understanding of GPUs and lower level programming and an ambition to improve, innovate and explore these technologies to enable creatives to surprise and delight our users.n
**Minimum Qualifications**
 BS/MS in Computer Science OR equivalent degree OR equivalent experiencenAt least 8 years of relevant industry experiencenProgramming skills and knowledge of C\+\+nProficient in mathematics for 3D realtime applications (linear algebra)nUnderstanding of GPU hardware architecture and how that affects solutionsnProficient in at least one of the major modern graphics APIs (Metal, Vulkan, DirectX, Consoles, etc)nExcellent communication and collaboration skillsnExperience delivering high quality software to end users
**Preferred Qualifications**
 Apple CPU/GPU architecturenDesign and implementation of real\-time 3D and/or spatial experiencesnExperience writing optimized code using e.g. profiling tools, assembly, SIMD, compute, etcnFamiliarity with macOS and Unix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56">
      <c r="A56" t="inlineStr">
        <is>
          <t>li-4359128489</t>
        </is>
      </c>
      <c r="B56" t="inlineStr">
        <is>
          <t>Senior Backend Platform Software Engineer - Special Projects</t>
        </is>
      </c>
      <c r="C56" t="inlineStr">
        <is>
          <t>Apple</t>
        </is>
      </c>
      <c r="D56" t="inlineStr">
        <is>
          <t>linkedin</t>
        </is>
      </c>
      <c r="E56">
        <f>HYPERLINK("https://www.linkedin.com/jobs/view/4359128489", "https://www.linkedin.com/jobs/view/4359128489")</f>
        <v/>
      </c>
      <c r="F56" t="inlineStr"/>
      <c r="G56" t="inlineStr">
        <is>
          <t>Cupertino, CA</t>
        </is>
      </c>
      <c r="H56" t="inlineStr"/>
      <c r="I56"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**Description**
 As an engineer in the Special Projects group, you will have an opportunity to be part of an innovation\-focused organization within Apple that is building tooling for model evaluation. These platforms serve the integrations between robotics, generative AI, and data analysis. You will be able to work on highly ambitious, high\-reward, and impactful projects in the early stages of development. This team has a strong focus on building useful tooling and shipping innovative user experiences for our cross\-functional partners. Our ideal team member is fearless when it comes to trying new things and is willing to iterate on ideas. We value team members who can quickly prototype, iterating all the way to high\-quality implementations. Moreover, we value team members who can collaborate effectively with cross\-functional teams across the organization.
**Minimum Qualifications**
 Strong Python development experience.nStrong experience with infra, cloud\-native platform engineering, and Kubernetes deployment.nExperience with relational database systems.nExperience with large\-scale web development.nPassion for software system architecture, API design, and developer experience. nIndustry experience bringing AI systems from advanced research to production.nExcellent team collaboration skills.nStrong verbal and written communication skills.nBS/MS/PhD in Computer Science or a related field.
**Preferred Qualifications**
 Experience with React.js and web UI frameworks is a plus. nExperience with ML systems and model evaluation is a plus.nExperience with robotics, embodied AI, or LLMs is a plus.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57">
      <c r="A57" t="inlineStr">
        <is>
          <t>li-4362852360</t>
        </is>
      </c>
      <c r="B57" t="inlineStr">
        <is>
          <t>Senior Software Engineer</t>
        </is>
      </c>
      <c r="C57" t="inlineStr">
        <is>
          <t>Umbra</t>
        </is>
      </c>
      <c r="D57" t="inlineStr">
        <is>
          <t>linkedin</t>
        </is>
      </c>
      <c r="E57">
        <f>HYPERLINK("https://www.linkedin.com/jobs/view/4362852360", "https://www.linkedin.com/jobs/view/4362852360")</f>
        <v/>
      </c>
      <c r="F57" t="inlineStr"/>
      <c r="G57" t="inlineStr">
        <is>
          <t>Reston, VA</t>
        </is>
      </c>
      <c r="H57" t="inlineStr"/>
      <c r="I57" t="inlineStr">
        <is>
          <t>Umbra is an American space technology company delivering advanced systems, from sensors to spacecraft, that empower customers worldwide with unmatched access to critical information from space. Our mission is simple and ambitious: redefine space—for people, systems, and missions in every domain. Umbra's ecosystem operates through three business units: Remote Sensing (the data), Space Systems (the components), and Mission Solutions (the platforms).Together, our teams develop capabilities that deliver persistent access, resilient performance, and mission\-ready solutions, advancing U.S. space leadership while keeping the world safe and informed.
**About The Team**
**Remote Sensing \- The Data**
 Remote Sensing is where Umbra got its start, and our agile Synthetic Aperture Radar (SAR) constellation remains the most capable on the market. We transform satellite data into real\-world, actionable insights that strengthen U.S. national security and intelligence, support disaster response, and advance scientific discovery. Our team delivers data at scale with unmatched quality, persistence, and the speed and responsiveness our partners demand.
 If you want to work on cutting\-edge space technology that's redefining what's possible in remote sensing, you belong here at Umbra.
**About The Job**
 We are seeking a Senior Software Engineer to join our Scheduling team and help expand our capacity to design, build, and maintain the critical systems that support our autonomous satellite operations. The individual filling this position will collaborate with product owners and multidisciplinary engineering teams to analyze, develop, and maintain backend software. In this role, you will take ownership of key services alongside our existing engineers, helping distribute operational responsibility and accelerate our roadmap delivery.
**Our aim is to hire this position to work in either our Santa Barbara/Goleta, CA office, Arlington, VA office, or Reston, VA office (coming soon).
 Key Responsibilities**
* Design, develop, and maintain reliable, scalable, and secure mission control and communications systems.
* Take shared ownership of critical services, reducing single\-threaded dependencies and improving team resilience.
* Contribute to architectural decisions and influence system design for reliability and maintainability.
* Collaborate with cross\-functional teams, including operations and platform engineering, to deliver end\-to\-end solutions.
* Participate in on\-call rotations and ensure system uptime and performance goals are met.
**Requirements**
****Required Qualifications****
* Bachelor of Science in Computer Science or equivalent experience.
* 5\-8\+ years of professional experience developing highly available web services with server\-side scripting languages, preferably Python.
* 3\-5\+ years of experience designing, developing, and testing intuitive and well\-documented commercial RESTful API.
* Demonstrated foundational understanding of software architecture, event\-driven microservices, interface design, and automated testing patterns.
* 2\+ years of professional experience developing automated build and test pipelines in a CI/CD lifecycle.
* Experience with database\-backed applications and relational database concepts, preferably Postgres.
* Solid understanding of cloud and application security, access control, and identity management.
* Experience developing Kubernetes/Docker containerized services.
* Experience with AWS or other cloud computing platforms.
* Ability to obtain and maintain a U.S. Government security clearance. Applicants must be U.S. citizens to obtain and maintain a security clearance.
****Desired Qualifications****
* Good communication skills, ability to work collaboratively in a team environment, and willingness to learn new skills and technology.
* Experience working in the aerospace industry.
* Experience designing and implementing scheduling systems and algorithms.
* Strong understanding of infrastructure monitoring principles, best practices, and implementation.
* Experience building custom GIS applications, STAC, or other imagery based APIs.
* Experience designing and documenting APIs with Swagger/OpenAPI.
* Active security clearance.
**Benefits**
* Flexible Time Off, Sick, Family \&amp; Medical Leave
* Medical, Dental, Vision, Life, LTD, STD (employer funded)
* Vol Life, Critical Illness, Accidental, Hospital Indemnity, Pet Insurance (employee funded)
* 401k with 3% non\-elective company contribution
* Stock Options
* Free Parking
* Free lunch in office daily
**Umbra is an Equal Opportunity Employer. We do not discriminate in hiring on the basis of sex, gender identity, sexual orientation, race, color, religious creed, national origin, physical or mental disability, protected veteran status, or any other characteristic protected by federal, state, or local law. U.S. Citizenship is required for all positions requiring an active U.S. Government security clearance or the ability to obtain and maintain a security clearance.**
**Employment Eligibility Verification**
 In compliance with federal laws, all hired persons will be required to verify their identity and eligibility to work in the United States by completing the required Employment Eligibility Verification Form (I\-9 Form) upon hire.
**ITAR/EAR Requirements**
 This position may include access to technology and/or data that is subject to U.S. export controls pursuant to ITAR and EAR. To comply with federal export controls, all persons hired must be a U.S. citizen, U.S. national, U.S. lawful permanent resident, refugee or asylee as defined by 8 U.S.C.
* 1324b(a)(3\), or must otherwise be eligible to obtain the required authorizations from the U.S. Department of State and/or U.S. Department of Commerce as applicable.
**Pay Transparency**
 This job posting may cover multiple career levels. To ensure greater transparency, we provide base salary ranges for all roles, regardless of location. Our standard pay ranges are based on the role's function and level, benchmarked against similar growth\-stage companies. Compensation may vary based on geographical location, as certain regions may have different cost\-of\-living factors. The final offer will also be influenced by the candidate's skills, responsibilities, and relevant experience.
**Compensation Range**
 The Compensation Range for this role is $155,000 \- $185,000 DOE.</t>
        </is>
      </c>
    </row>
    <row r="58">
      <c r="A58" t="inlineStr">
        <is>
          <t>li-4359058658</t>
        </is>
      </c>
      <c r="B58" t="inlineStr">
        <is>
          <t>Full Stack Engineer</t>
        </is>
      </c>
      <c r="C58" t="inlineStr">
        <is>
          <t>Cane Connects</t>
        </is>
      </c>
      <c r="D58" t="inlineStr">
        <is>
          <t>linkedin</t>
        </is>
      </c>
      <c r="E58">
        <f>HYPERLINK("https://www.linkedin.com/jobs/view/4359058658", "https://www.linkedin.com/jobs/view/4359058658")</f>
        <v/>
      </c>
      <c r="F58" t="inlineStr"/>
      <c r="G58" t="inlineStr">
        <is>
          <t>San Francisco, CA</t>
        </is>
      </c>
      <c r="H58" t="inlineStr"/>
      <c r="I58" t="inlineStr">
        <is>
          <t>Hybrid role \- Monday \- Thursday in office in downtown SF
 Friday\- WFH
 We’re looking for a Sr. Full Stack Engineer to lead the buildout of a brand\-new internal software platform from the ground up. This is a hands\-on role with significant ownership and technical influence—you’ll help shape the architecture, development practices, and future direction of the system. You’ll work across a modern full\-stack environment that includes Next.js, React, TypeScript, Node.js on the backend, PostgreSQL and Javascript.
 Contribute across the stack: building performant frontends with React \+ Next.js and modern, scalable APIs using Node.js and TypeScript.
 Make architectural decisions and establish best practices for testing, CI/CD, observability, and deployment. Mentor other engineers and help scale the team’s technical capabilities
 Evaluate and implement new technologies where appropriate.
 What We’re Looking For
* 5\+ years of software engineering experience with a strong background in full\-stack or backend development
* Deep experience with modern JavaScript/TypeScript frameworks—ideally React, Next.js, or similar
* Backend experience with Javascript
* Strong understanding of databases (PostgreSQL preferred)
* Familiarity with infrastructure\-as\-code and cloud platforms (AWS and/or Azure)
* Comfortable owning large, complex projects from idea to delivery
- 
 \*\*\*The company we are representing is in an exciting growth phase, having secured additional funding and closed out a very strong 2025\. In 2026, they plan to grow the organization by over 200%, creating a unique opportunity for someone who thrives in fast\-paced environments and is eager to roll up their sleeves and make a meaningful impact.
 In addition to competitive compensation, the company offers excellent benefits, a generous PTO plan, a work\-from\-home stipend, team off\-sites, and a genuinely warm, collaborative culture where people enjoy working together.</t>
        </is>
      </c>
    </row>
    <row r="59">
      <c r="A59" t="inlineStr">
        <is>
          <t>li-4362782690</t>
        </is>
      </c>
      <c r="B59" t="inlineStr">
        <is>
          <t>Full Stack Engineer</t>
        </is>
      </c>
      <c r="C59" t="inlineStr">
        <is>
          <t>Protech Talent</t>
        </is>
      </c>
      <c r="D59" t="inlineStr">
        <is>
          <t>linkedin</t>
        </is>
      </c>
      <c r="E59">
        <f>HYPERLINK("https://www.linkedin.com/jobs/view/4362782690", "https://www.linkedin.com/jobs/view/4362782690")</f>
        <v/>
      </c>
      <c r="F59" t="inlineStr"/>
      <c r="G59" t="inlineStr"/>
      <c r="H59" t="inlineStr"/>
      <c r="I59" t="inlineStr">
        <is>
          <t>**Fullstack Software Engineer**
**Location:** 
 New York City, Hybrid
**Salary:** 
 $150–350k \+ Equity
**Start Date:** 
 ASAP
**Company:**
 Our client is one of the fastest\-growing early\-stage fintech startups in the US, automating financial operating systems for small businesses. Backed by a powerful mission and early traction, the company is using cutting\-edge tech to rebuild trust and financial access for the tens of millions of small businesses, that need modern financial software that works for them.
 Small businesses, such as community pharmacies and independent auto dealers, are the heart of the US economy. However, due to the rise of AI, A digital economy, private equity consolidation, and inflationary pressures, a massive operational gap is forming between these SMBs and larger enterprises / tech\-forward industries. These larger companies employ full finance teams and leverage the latest finance software. Small businesses deserve the same resources.
 This role is ideal for someone who wants to be early at a fintech Rocketship, close to product and customers, and have a transformative career experience. You’ll help rewrite the financial future of America’s SMBs — and be deeply proud of what you’ve built.
**About the Product:**
 The platform is transforming how SMBs manage finances. By combining automation, data intelligence, and embedded finance, they’re closing the gap between legacy spreadsheets and the sophisticated tools used by large enterprises.
 Think: vertical SaaS \+ fintech infra \+ AI\-powered insights, purpose\-built for businesses like community pharmacies and auto dealers that are grinding it out daily without the tools they deserve.
**Funding \&amp; ARR:**
 Achieved a $17 million Series A, 6 months after Seed funding. Achieved $7 million in ARR with a team of 10 people in 15 months.
**About the Team:**
 The company is led by two founders from UC Berkeley, who have already had success with founding and investing into companies, who have built relationships with business owners from the ground up, earning their trust in a sector plagued by scepticism. Now, they’re partnered with influential trade associations across the country, to onboard their clients with the entities that will support them. They are operating in all 50 states (plus Puerto Rico), with concentration in states like Tennessee, Oklahoma, and Missouri.
 The team is currently 10 people and operates in\-person from a beautiful Flatiron\-based office in NYC. They’re hands\-on, ambitious, and customer obsessed. This is a team that doesn’t punch the clock, just like their customers don’t. deep product immersion is part of the culture, and they pride themselves on doing what it takes to deliver.
 If you’re looking for a cushy Big Tech gig, this isn’t it. But if you want to stretch yourself, grow fast, and build something that matters — this could be your career\-defining moment.
**About the Role:**
 As a
 **Fullstack Engineer** 
 , you’ll be responsible for shaping the financial backbone of American SMBs by building the systems that unlock financial data and intelligence, automate work\-flows, and co\-pilot their decisions. Your expertise won't just be used to build software. It will empower the tens of millions of hard\-working SMB owners across America.
**Responsibilities:** 
* Own and lead full\-stack development across the lifecycle: architecture, coding, testing, deployment, and production support.
* Collaborate closely with internal stakeholders and SMB customers to translate business challenges into robust technical solutions.
* Refine engineering tools, processes, and systems to scale productivity and improve quality.
* Play a key role in shaping the engineering culture and best practices.
* Contribute beyond engineering — we value builders who lean in on product, design, and business too.
**Tech Stack:**
* **Frontend/Backend:** 
 JavaScript, TypeScript, React, Node.js or Python or GO
* **Infrastructure:** 
 AWS
* **Other Tools:** 
 SQL, CI/CD pipelines, containerized microservices (Docker/Kubernetes a plus)
**Your Experience:**
* 2–15 years of experience as a Fullstack engineer with React \&amp; Node or another modern backend programming language such as Python or GO
* Can be backend of frontend leaning
* Strong foundation in CS (preferably from a top\-tier school or equivalent experience).
* History of early\-stage startup or founding engineer experience.
* Demonstrated experience shipping 0–1 products and architecting end\-to\-end solutions.
* SQL schema design and hands\-on backend development are core strengths.
* Worked in environments with fast\-paced iteration, ambiguity, and a deep customer focus.
* Passionate about the mission and long\-term impact of empowering underserved business owners.
**You will be a cultural fit if…**
* You’ve had fast career progression (Senior/Staff\-level growth early in your career).
* You have a high\-ownership mentality, you treat code, product, and customer outcomes as your responsibility. You drive your own results and are proactive at solving problems.
* You thrive in high\-accountability, high\-reward environments.
* You want to work in person with driven peers to iterate fast, learn fast, and win fast.
* You’ve interned or worked at top\-tier startups or tech companies.
* You’re relentlessly curious and think like a founder, you ask business questions and want to understand “why” just as much as “how.”
* You are an intelligent individual with analytical thinking, problem solving skills and can communicate eloquently.
* You want to push yourself, the company and the team to be the best and have the confidence to give your opinion on topics.
**Benefits:**
* Competitive salary \&amp; equity
* 100% employer\-paid Health, Dental, and Vision insurance
* Relocation reimbursement to NYC
* Daily team\-provided lunch \&amp; dinner (in\-office)
* Paid tech setup (laptop, monitor, peripherals)
* Beautiful Flatiron office
**Interview Process:**
1. **Intro Call** 
 with Co\-Founder
2. **Second Call** 
 with other Co\-Founder
3. **Technical Interview**
* One focused on architecture and a case study with the engineering team
* Once focused on backend Design and coding
1. **Final Pre\-Offer Meeting**
* Culture fit, Q\&amp;A, compensation alignment
* ✔️ Fast decision turnaround — you’ll know where you stand.</t>
        </is>
      </c>
    </row>
    <row r="60">
      <c r="A60" t="inlineStr">
        <is>
          <t>li-4359018586</t>
        </is>
      </c>
      <c r="B60" t="inlineStr">
        <is>
          <t>Senior Software Engineer - Business Technology Solutions</t>
        </is>
      </c>
      <c r="C60" t="inlineStr">
        <is>
          <t>Apple</t>
        </is>
      </c>
      <c r="D60" t="inlineStr">
        <is>
          <t>linkedin</t>
        </is>
      </c>
      <c r="E60">
        <f>HYPERLINK("https://www.linkedin.com/jobs/view/4359018586", "https://www.linkedin.com/jobs/view/4359018586")</f>
        <v/>
      </c>
      <c r="F60">
        <f>HYPERLINK("https://jobs.apple.com/en-us/details/200574454&amp;urlHash=XOkd", "https://jobs.apple.com/en-us/details/200574454&amp;urlHash=XOkd")</f>
        <v/>
      </c>
      <c r="G60" t="inlineStr">
        <is>
          <t>Sunnyvale, CA</t>
        </is>
      </c>
      <c r="H60" t="inlineStr"/>
      <c r="I60" t="inlineStr">
        <is>
          <t>**Summary**
 Imagine what you could do here. At Apple, new ideas have a way of becoming extraordinary products, services, and customer experiences very quickly. Bring passion and dedication to your job and there's no telling what you could accomplish. Join Apple, and help us leave the world better than we found it! nnThe Business Technology Solutions (BTS) team champions and executes technology\-enabled business solutions that have material top\-line and bottom\-line impact to Apple. We participate in all elements of the product or program development life cycle, launch revenue generating programs, implement cost efficiencies, support sustainable strategies and establish scalable technologies.
**Description**
 We are seeking a Senior Software Engineer responsible for the development and design of web applications and components. Design, code, test, and implement websites and applications, for either internal or external uses. Troubleshoot and resolve issues surrounding performance, response times, capacity and system limitations. In this role, you will be responsible for creating and modifying documentation corresponding to websites. An ideal candidate will collaborate with internal business partners, internal technology resources (database, system, networking) and external vendors. You will also maintain and update websites and ensure data quality, integrity and consistency across organization. This role requires both front\-end (GUI) and back\-end development experience.
**Minimum Qualifications**
 BS or advanced degree in Computer Science, related field or equivalent experiencenAt least 5 years in a senior engineer rolenExpert knowledge of the Ruby on Rails framework and Ruby as a core language (8 years minimum)nExpert knowledge of API design and interface technologies (JSON, ProtoBuf, REST, RPC, XML, etc)nExpert knowledge of basic frontend dev (HTML, CSS, JavaScript, Bootstrap, JQuery, etc)
**Preferred Qualifications**
 Expert knowledge of integrated testing frameworks (RSpec, MiniTest, etc)nExpert knowledge of GoLang, or a similar compiled, high\-concurrency, lower\-level language (Erlang, C\+\+, C, Rust, Java)nStrong desire to work in a fast\-paced, start\-up environment with multiple releases a daynSolid understanding of Continuous Integration suites (CircleCI, Jenkins, etc)nExposure to AWS and DevOpsnExcellent analytical and problem solving skillsnExcel in cross\-functional collaboration, communication and relationship building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61">
      <c r="A61" t="inlineStr">
        <is>
          <t>li-4358903096</t>
        </is>
      </c>
      <c r="B61" t="inlineStr">
        <is>
          <t>Software Engineer</t>
        </is>
      </c>
      <c r="C61" t="inlineStr">
        <is>
          <t>eNGINE</t>
        </is>
      </c>
      <c r="D61" t="inlineStr">
        <is>
          <t>linkedin</t>
        </is>
      </c>
      <c r="E61">
        <f>HYPERLINK("https://www.linkedin.com/jobs/view/4358903096", "https://www.linkedin.com/jobs/view/4358903096")</f>
        <v/>
      </c>
      <c r="F61" t="inlineStr"/>
      <c r="G61" t="inlineStr">
        <is>
          <t>Pittsburgh, PA</t>
        </is>
      </c>
      <c r="H61" t="inlineStr"/>
      <c r="I61" t="inlineStr">
        <is>
          <t>**eNGINE** 
 builds Technical Teams. We are a Solutions and Placement firm shaped by decades of interaction with Technical professionals. Our inspiration is continuous learning and engagement with the markets we serve, the talent we represent, and the teams we build. Our team is encouraged to enjoy career fulfillment in the form of challenging engagements, schedule flexibility, and paid training/certifications. Successful outcomes start and finish with eNGINE.
**eNGINE** 
 is actively hiring a Senior Software Engineer to join our Data Brokerage team as we migrate existing device data (hardware/firmware–generated) from a legacy, non\-scalable backend to a modern, AWS\-based architecture. This role is focused squarely on data pipelining, event\-driven architectures, and API enablement—not traditional application development.
**Key Responsibilities:** 
* Design, build, and maintain scalable data pipelines using AWS managed services
* Develop and manage event\-driven architectures using AWS EventBridge
* Implement and optimize data persistence and access patterns using AWS RDS
* Build, secure, and expose APIs using AWS API Gateway
* Develop backend services in C\#, with occasional use of Node.js where appropriate
* Design and support microservices\-based architectures
* Ensure reliability, scalability, and performance of data flows and APIs
* Collaborate closely with upstream ingestion teams and downstream consumers
* Participate fully in Agile ceremonies including daily standups, sprint planning, and retrospectives
**Required Qualifications:** 
* 5–10\+ years of professional software engineering experience
* Strong, hands\-on experience building AWS\-based data pipelines
* Deep working knowledge of: AWS RDS, AWS EventBridge, AWS API Gateway
* Proven experience developing backend services in C\#
* Solid understanding of microservices architecture and distributed systems
* Experience working in Agile / Scrum environments with two\-week sprints
* Strong communication skills and a collaborative mindset
 This role is best suited for engineers who are AWS\-native and data/pipeline focused, rather than traditional application developers who have only light AWS exposure.
**Nice to Have:** 
* Experience with Node.js in backend or API development
* Familiarity with IoT, device\-generated data, or high\-volume event streams
* Experience with monitoring, logging, and observability in AWS
* Exposure to infrastructure\-as\-code (CloudFormation, CDK, or Terraform)
 \*No C2C or sponsorship available
 Apply today and see how eNGINE can make a difference in your career!</t>
        </is>
      </c>
    </row>
    <row r="62">
      <c r="A62" t="inlineStr">
        <is>
          <t>li-4359146200</t>
        </is>
      </c>
      <c r="B62" t="inlineStr">
        <is>
          <t>Manager, Software Engineering, Tools</t>
        </is>
      </c>
      <c r="C62" t="inlineStr">
        <is>
          <t>Apple</t>
        </is>
      </c>
      <c r="D62" t="inlineStr">
        <is>
          <t>linkedin</t>
        </is>
      </c>
      <c r="E62">
        <f>HYPERLINK("https://www.linkedin.com/jobs/view/4359146200", "https://www.linkedin.com/jobs/view/4359146200")</f>
        <v/>
      </c>
      <c r="F62" t="inlineStr"/>
      <c r="G62" t="inlineStr">
        <is>
          <t>Cupertino, CA</t>
        </is>
      </c>
      <c r="H62" t="inlineStr"/>
      <c r="I62" t="inlineStr">
        <is>
          <t>**Summary**
 We are hiring an Engineering Manager to lead our Internal Tools team. This role focuses on team leadership, culture maintenance, and project delivery. The team is focused on internal users, and develops applications using a variety of languages. The manager's primary responsibility will be to support the team and ensure the successful delivery of internal software solutions.
**Description**
 The Software Engineering Manager will oversee a team responsible for building and maintaining internal software systems. nnKey responsibilities include: nn
* Team Leadership: Manage, coach, and mentor software engineers. Conduct performance reviews and support professional development. n
* Culture Development: Foster a productive and inclusive team environment. Promote effective communication and collaboration. n
* Planning u0026 Execution: Collaborate with stakeholders to define team roadmaps, prioritize projects, and allocate resources. Ensure timely delivery of software. n
* Process Improvement: Implement and refine development processes to improve team efficiency. n
* Technical Understanding: Maintain an understanding of the team's technical architecture and guide technical discussions. Address technical debt and ensure solutions are scalable and maintainable. n
* Hiring: Participate in the recruitment and onboarding of new engineering talent. n
* Collaboration: Coordinate with other departments to manage project dependencies and communicate team progress. n
* Blocker Removal: Identify and resolve impediments for the team.
**Minimum Qualifications**
 5\+ years of experience in a leadership role managing software engineering teams.nPrior experience as a software engineer with a strong understanding of the software development lifecycle and engineering best practices.nDemonstrated ability to coach and develop engineers.nExperience with project planning and resource allocation.
**Preferred Qualifications**
 Experience managing teams working with functional programming languages, specifically Clojure.nExperience building internal tools or platform systems.nFamiliarity with multiple programming languages (e.g., Swift, Python, JavaScript, Clojure).nExperience managing distributed or remote teams.nTrack record of driving process improvements.nStrong communication and interpersonal skills.nAbility to build and maintain a functional team environment.
**Pay \&amp; Benefits**
 At Apple, base pay is one part of our total compensation package and is determined within a range. This provides the opportunity to progress as you grow and develop within a role. The base pay range for this role is between $198,300 and $342,800,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63">
      <c r="A63" t="inlineStr">
        <is>
          <t>li-4362718598</t>
        </is>
      </c>
      <c r="B63" t="inlineStr">
        <is>
          <t>Software Engineer 2</t>
        </is>
      </c>
      <c r="C63" t="inlineStr">
        <is>
          <t>Weeghman &amp; Briggs, LLC</t>
        </is>
      </c>
      <c r="D63" t="inlineStr">
        <is>
          <t>linkedin</t>
        </is>
      </c>
      <c r="E63">
        <f>HYPERLINK("https://www.linkedin.com/jobs/view/4362718598", "https://www.linkedin.com/jobs/view/4362718598")</f>
        <v/>
      </c>
      <c r="F63" t="inlineStr"/>
      <c r="G63" t="inlineStr">
        <is>
          <t>Annapolis Junction, MD</t>
        </is>
      </c>
      <c r="H63" t="inlineStr"/>
      <c r="I63" t="inlineStr">
        <is>
          <t>Weeghman \&amp; Briggs is seeking Software Engineer 2\. Join our growing team and support an important mission within the Federal Government.
 Location: Annapolis Junction
 Clearance Required: TS/SCI w/ Polygraph
**Overview**
 The developers will focus on developing graphical user interfaces and dashboards, deploying and managing applications in an AWS cloud environment, integrating new functionality with established tools through tech transfer initiatives, automating key workflows, and integrating artificial intelligence (Al) and machine learning (ML) models into our workflows. The ideal candidate will be a versatile problem\-solver with a strong foundation in software development principles and a passion for building innovative solutions.
**Key Responsibilities**
* Develop and maintain user\-friendly GUls and interactive dashboards. Design, deploy, and manage applications and infrastructure in AWS. Integrate new features and functionalities into existing tools.
* Collaborate with cross\-functional teams throughout the software development lifecycle. Write clean, well\-documented, and testable code.
* Design, implement, and maintain automated workflows to streamline processes.
* Integrate Al/ML models into existing systems to enhance functionality and improve decision\-making. Monitor and optimize automated workflows and Al/ML model performance.
* Languages: Python, JavaScript, Typescript
* GUI/Dashboard: Expert\-level proficiency in at least one modern JavaScript framework. Experience with advanced UI patterns and data visualization libraries (D3\.js, etc.).
* AWS: Deep understanding of AWS services and architectures. Experience designing and implementing scalable, resilient, and secure cloud solutions. Expertise in Infrastructure as Code (Terraform, CloudFormation, or CDK).
* Automation/Al: Expert\-level Python scripting for automation. Deep experience with workflow orchestration tools. Proven ability to integrate and deploy Al/ML models into production systems. Understanding of Al/ML model training, inference, and monitoring.
* DevOps: Solid experience with Cl/CD pipelines, container orchestration (Kubernetes or ECS/EKS), and cloud monitoring tools.
* Tech Transfer: Experience integrating with existing software systems, reverse engineering APls (when necessary and legally permissible), and creating clear documentation.
* Skills: Strong leadership skills, ability to mentor junior engineers, and a proven track record of delivering high\-quality software solutions.
**The Ideal Candidate Will Be Responsible For The Following**
* Develops, maintains, and enhances complex and diverse software systems (e.g., processing\-intensive analytics, novel algorithm development, manipulation of extremely large data sets, real\-time systems, and business management information systems) based upon documented requirements.
* Works individually or as part of a team.
* Reviews and tests software components for adherence to the design requirements and documents test results.
* Resolves software problem reports.
* Utilizes software development and software design methodologies appropriate to the development environment.
* Provides specific input to the software components of system design to include hardware/software trade­ offs, software reuse, use of Commercial Off\-the\-shelf (COTS)/Government Off\-the\-shelf (GOTS) in place of new development, and requirements analysis and synthesis from system level individual software components.
 The Level 2 Software Engineer (SWE) shall possess the following capabilities:
* Analyze user requirements to derive software design and performance requirements.
* Debug existing software and correct defects.
* Provide recommendations for improving documentation and software development process standards.
* Design and code new software or modify existing software to add new features.
* Integrate existing software into new or modified systems or operating environments.
* Develop simple data queries for existing or proposed databases or data repositories.
* Write or review software and system documentation.
* Serve as team lead at the level appropriate to the software development process being used on any particular project.
* Design or implement complex database or data repository interfaces/queries.
* Develop or implement algorithms to meet or exceed system performance and functional standards.
* Assist with developing and executing test procedures for software components.
* Develop software solutions by analyzing system performance standards, confer with users or system engineers; analyze systems flow, data usage and work processes; and investigate problem areas.
* Modify existing software to correct errors, to adapt to new hardware, or to improve its performance.
* Design, develop and modify software systems, using scientific analysis and mathematical. models to predict and measure outcome and consequences of design.
* Design or implement complex algorithms requiring adherence to strict timing, system resource, or interface constraints; Perform quality control on team products.
* Implement recommendations for improving documentation and software development process standards.
* Oversee one or more software development teams and ensure the work is completed in accordance with the constraints of the software development process being used on any particular project.
* Confer with system engineers and hardware engineers to derive software requirements and to obtain information on project limitations and capabilities, performance requirements and interfaces.
* Coordinate software system installation and monitor equipment functioning to ensure operational specifications are met.
**Requirements**
* A current and active TS/SCI Clearance with a MD Polygraph is required to be considered.
* Fourteen (14\) years experience as a SWE in programs and contracts of similar scope, type, and complexity is required.
* A Bachelor's degree in Computer Science or related discipline from an accredited college or university is required.
* Four (4\) years of additional SWE experience on projects with similar software processes may be substituted for a bachelor's degree.
 Benefits: https://weeghmanandbriggs.com/summary\-of\-employee\-benefits\-2024/
 Weeghman \&amp; Briggs was established in 2016\. We are a team of like\-minded people who do business, generate ideas and realize them. Consulting and Cyber Security are our main directions and we know how to deal with many current issues and provide the best services in offering resolutions.
 Weeghman \&amp; Briggs is an Equal Employment Opportunity Employer. All qualified applicants will receive consideration for employment regardless of race, color, religion, sex, national origin, disability, veteran status, or any other characteristic protected by federal, state, or local laws.</t>
        </is>
      </c>
    </row>
    <row r="64">
      <c r="A64" t="inlineStr">
        <is>
          <t>li-4355198612</t>
        </is>
      </c>
      <c r="B64" t="inlineStr">
        <is>
          <t>Software Engineer (UI), Sales Engineering</t>
        </is>
      </c>
      <c r="C64" t="inlineStr">
        <is>
          <t>Apple</t>
        </is>
      </c>
      <c r="D64" t="inlineStr">
        <is>
          <t>linkedin</t>
        </is>
      </c>
      <c r="E64">
        <f>HYPERLINK("https://www.linkedin.com/jobs/view/4355198612", "https://www.linkedin.com/jobs/view/4355198612")</f>
        <v/>
      </c>
      <c r="F64" t="inlineStr"/>
      <c r="G64" t="inlineStr">
        <is>
          <t>Texas, United States</t>
        </is>
      </c>
      <c r="H64" t="inlineStr"/>
      <c r="I64" t="inlineStr">
        <is>
          <t>**Summary**
 Imagine what you could do here. At Apple, great ideas have a way of becoming great products, services and customer experiences very quickly. Bring passion and dedication to your job and there's no telling what you could accomplish. Apple is where individual imaginations gather together, committing to the values that lead to great work. Every new product we build, service we create, or Apple Store experience we deliver is the result of us making each other’s ideas stronger.nApple’s Sales Engineering team is shaping the future of Channel Sales with innovative, high\-impact applications. We’re looking for a Senior Web Front\-End Engineer to help us design and build the next generation of web platforms that power Apple’s global partner ecosystem. In this role, you’ll create responsive, scalable applications that accelerate strategic, high\-impact AI/ML and other breakthrough initiatives across Apple Channel Sales. If you’re passionate about modern JavaScript frameworks, cutting\-edge UI design, and building products that make a real difference, join our collaborative team and help us move fast on game\-changing ideas.
**Description**
 Apple’s Sales Engineering Rapid Application Development (RAD) team is looking for a Senior Web Front\-End Engineer to build responsive, scalable web applications that power Apple’s global Channel Sales. You’ll work with modern frameworks and technologies to craft intuitive, high\-performance user experiences. The ideal candidate is a web frontend expert who combines engineering excellence with creativity, has a passion for building pixel\-perfect interfaces, and thrives on delivering value quickly. You’ll work side by side with product, design, and backend teams to design, code, test, and launch applications that push the boundaries of innovation—whether enabling AI/ML\-powered solutions or pioneering new user experiences. If you love working on impactful products in a collaborative, experiment\-driven environment, Sales Engineering RAD team is where you’ll thrive.
**Minimum Qualifications**
 BS or MS in Computer Science or equivalent experience.n5\+ years experience in frontend engineering with modern JavaScript frameworks (React, Angular, or Vue).n3\+ years experience in HTML5, CSS3, and responsive design. n3\+ years experience with CSS libraries such as Tailwind or Bootstrap.
**Preferred Qualifications**
 Proven ability to build and scale large, performant web applications.nExperience writing unit and integration test (Jest, Playwright, Cypress etc).nFamiliar with Git and CI/CD tools.nExperience with full\-stack development (Node.js, Python, or Java backend).nFamiliarity with AI/ML\-powered applications, data visualization, or building tools that integrate with ML services.nWorking knowledge of distributed systems and cloud\-native infrastructure.nStrong eye for UI/UX design principles and accessibility standards.nDemonstrated ability to thrive in fast\-paced, rapid\-application\-development (RAD) environments, delivering innovative solutions quickly.
**Pay \&amp; Benefits**
 u003cpu003eApple accepts applications to this posting on an ongoing basis.u003c/pu003e</t>
        </is>
      </c>
    </row>
    <row r="65">
      <c r="A65" t="inlineStr">
        <is>
          <t>li-4359190016</t>
        </is>
      </c>
      <c r="B65" t="inlineStr">
        <is>
          <t>System Software Engineer</t>
        </is>
      </c>
      <c r="C65" t="inlineStr">
        <is>
          <t>Apple</t>
        </is>
      </c>
      <c r="D65" t="inlineStr">
        <is>
          <t>linkedin</t>
        </is>
      </c>
      <c r="E65">
        <f>HYPERLINK("https://www.linkedin.com/jobs/view/4359190016", "https://www.linkedin.com/jobs/view/4359190016")</f>
        <v/>
      </c>
      <c r="F65">
        <f>HYPERLINK("https://jobs.apple.com/en-us/details/200631589&amp;urlHash=Jx7b", "https://jobs.apple.com/en-us/details/200631589&amp;urlHash=Jx7b")</f>
        <v/>
      </c>
      <c r="G65" t="inlineStr">
        <is>
          <t>Seattle, WA</t>
        </is>
      </c>
      <c r="H65" t="inlineStr"/>
      <c r="I65" t="inlineStr">
        <is>
          <t>**Summary**
 The cloudOS team is responsible for all facets of delivering OS and system services on Apple silicon servers, including driving hardware and software initiatives to enable new Apple silicon\-based systems in data centers.
**Description**
 The Cloud OS System Software Team is looking for an exceptional software engineer to build and integrate software to orchestrate workloads across highly performant and energy efficient systems that will power the next generation of data centers. nnIn this highly collaborative role, you will be at the center of multiple efforts to utilize hardware acceleration for machine learning and high performance computing workloads. You will be part of a team that builds and maintains system software such as runtime libraries, frameworks, and daemons that will power the next generations of data centers. You will partner with teams across Apple to adapt, tailor, and scale software on a novel compute platform and will help to build the foundation of our future cloud architecture. nnWe are seeking a skilled Software Engineer to join our System Software Team focused on optimizing and maintaining the core infrastructure of our data center environments. You will work on enhancing operating system performance, scalability, and reliability, ensuring seamless operations for large\-scale distributed systems.nnIf you’re passionate about system engineering and optimizing OS performance at scale, we’d love to hear from you!
**Minimum Qualifications**
 4\+ years of software engineering experiencenProficiency in one of C/C\+\+, Obj\-C, SwiftnStrong knowledge of OS architecture, and low\-level system components.nPassion for software architecture, APIs, and high performance extensible softwarenExcellent communication skillsnCreative, collaborative, and product\-focusednSolid understanding of Linux or Apple OS system programming, including process management, IPC, signals, and daemon lifecycle.nBachelors or Masters in Computer Science, Computer Engineering, or equivalent experience.
**Preferred Qualifications**
 Familiarity with init systems (systemd, launchd, upstart) and service orchestration.nKnowledge of distributed systems, cloud computing, and large\-scale data center infrastructure is a plus.nExperience with Swift, Objective\-C and Apple development toolsnExperience with AI accelerators (GPUs, TPUs, ASICs) or distributed systemsnKnowledge of container technologies (Docker, Kubernetes) and AI workload orchestration.
**Pay \&amp; Benefits**
 At Apple, base pay is one part of our total compensation package and is determined within a range. This provides the opportunity to progress as you grow and develop within a role. The base pay range for this role is between $171,600 and $258,100,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66">
      <c r="A66" t="inlineStr">
        <is>
          <t>li-4362729280</t>
        </is>
      </c>
      <c r="B66" t="inlineStr">
        <is>
          <t>Software Engineer</t>
        </is>
      </c>
      <c r="C66" t="inlineStr">
        <is>
          <t>Scopely</t>
        </is>
      </c>
      <c r="D66" t="inlineStr">
        <is>
          <t>linkedin</t>
        </is>
      </c>
      <c r="E66">
        <f>HYPERLINK("https://www.linkedin.com/jobs/view/4362729280", "https://www.linkedin.com/jobs/view/4362729280")</f>
        <v/>
      </c>
      <c r="F66" t="inlineStr"/>
      <c r="G66" t="inlineStr">
        <is>
          <t>Culver City, CA</t>
        </is>
      </c>
      <c r="H66" t="inlineStr"/>
      <c r="I66" t="inlineStr">
        <is>
          <t>Scopely is looking for a
 **Full\-Stack Engineer** 
 to join our Monopoly GO! team in our Culver City studio hub, or remotely within the US!
 At Scopely, we care deeply about what we do and want to inspire play, every day \- whether in our work environments alongside our talented colleagues, or through our deep connections with our communities of players. We are a global team of game lovers who are developing, publishing and innovating the mobile games industry, connecting millions of people around the world daily.
 Monopoly GO! is our new casual game and a key franchise that has just become Scopely’s largest game, enjoyed by millions of players. The team is based in Europe and the US, and works every day to create captivating new experiences for our players.
**What You Will Do**
 You will have the opportunity to work in one of our game team pods, developing new features and contributing to a game that is played by millions of players around the world. You will be responsible for:
* Working closely with a small cross functional team to deliver world class content to our players
* Implementing new game mechanics and unit tests using Unity and C\#
* Ensuring technical performance is outstanding throughout development
* Collaborating and communicating with multi\-functional departments including: game design, QA, etc
* Participating in a strong engineering team and culture
**What We’re Looking For**
* Experience as part of a professional game development team or other relevant area
* Experience with and knowledge of Unity Game Engine or a similar technology (i.e. Unreal Engine)
* Strong software engineering fundamentals (data structures, concurrency, design patterns, algorithms)
* Knowledge of game framework architecture at scale, maintainability over time, robust API design, etc
* Solid understanding of mobile networking architecture
* Enjoy solving sophisticated technical problems, especially in large systems
* Willingness to learn and work with new technologies
* You’re an excellent tech communicator who knows how to share knowledge with non\-technical people
* You have a desire to seek out and address user feedback to drive outstanding application development
**Bonus Points**
* Experience building your own games as personal projects or game jams
* Experience with asset pipelines: asset bundles, dependency management, etc
* Mobile experience (iOS and Android): ability to debug native device issues, strong understanding of hardware and platform limitations, performance metrics, etc.
* Experience with AWS, Docker, Kibana, Ansible
* Experience with automated testing
 At Scopely, we create games for everyone \- and want to ensure that the people behind our games reflect that! We are committed to creating a diverse, supportive work environment where everyone is treated with respect. We are committed to providing equal employment opportunities and welcome individuals from all backgrounds to join us \&amp; embrace the adventure!
 Employment at Scopely is based solely on a person's merit and qualifications. Scopely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with arrest or conviction records, consistent with applicable federal, state and local law.
 For candidates in CA, CO, NJ, NY, and WA, the annual salary range is provided below. In addition to base pay, employees may be eligible for equity, bonuses, and a comprehensive benefits package, including healthcare benefits, retirement benefits, pet insurance, paid holidays, paid Scopely free days, and unlimited paid time off. Base pay offered may vary depending on job\-related knowledge, skills, and experience.
 CA, CO, NJ, NY, and WA Annual Salary Range
 $107,500 \- $165,000 USD
**About Us**
 Scopely is a global interactive entertainment and mobile\-first video game company, home to many top, award\-winning experiences such as "MONOPOLY GO!," “Star Trek™ Fleet Command,” “Stumble Guys,” “MARVEL Strike Force,” and “Yahtzee® With Buddies,” among others.
 Scopely creates, publishes, and live\-operates immersive games that empower a directed\-by\-consumer™ experience across multiple platforms\-\-from mobile, web, PC and beyond.
 Founded in 2011, Scopely is fueled by a world\-class team and a proprietary technology platform Playgami that supports one of the most diversified portfolios in the games industry.
 Recognized multiple times as one of Fast Company’s “World’s Most Innovative Companies,” Scopely is a multi\-billion\-dollar business due to its ability to create long\-lasting game experiences that players enjoy for years.
 Scopely has global operations in more than a dozen markets across Asia, EMEA, and North America, and is home to many internal game development teams, referred to as Scopely Studios, with additional game studio partners across four continents.
 Scopely was acquired by Savvy Games Group in July 2023 for $4\.9 billion, and is now an independent subsidiary of Savvy.
 For more information on Scopely, visit: scopely.com
 Notice to candidates: Scopely, Inc and its affiliates will never request payment or ask for financial information as a condition for applying to a position or receiving an offer of employment. All official Scopely, Inc. recruiters only use email domains that end with @scopely.com.
 Our official website is www.scopely.com. Please only apply to positions posted on our official website and ensure the recruiter only communicates via the official email domain.
 Should you have any questions or encounter any fraudulent requests/emails/websites, please immediately contact recruiting@scopely.com. Our job applicant privacy policies are available here: California Privacy Notice and EEA/UK Privacy Notice.
 Employment at Scopely is based solely on a person's merit and qualifications. Scopely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with arrest or conviction records, consistent with applicable federal, state and local law.</t>
        </is>
      </c>
    </row>
    <row r="67">
      <c r="A67" t="inlineStr">
        <is>
          <t>li-4362831739</t>
        </is>
      </c>
      <c r="B67" t="inlineStr">
        <is>
          <t>Software Engineer, Infrastructure</t>
        </is>
      </c>
      <c r="C67" t="inlineStr">
        <is>
          <t>Scaled Cognition</t>
        </is>
      </c>
      <c r="D67" t="inlineStr">
        <is>
          <t>linkedin</t>
        </is>
      </c>
      <c r="E67">
        <f>HYPERLINK("https://www.linkedin.com/jobs/view/4362831739", "https://www.linkedin.com/jobs/view/4362831739")</f>
        <v/>
      </c>
      <c r="F67" t="inlineStr"/>
      <c r="G67" t="inlineStr">
        <is>
          <t>San Jose, CA</t>
        </is>
      </c>
      <c r="H67" t="inlineStr"/>
      <c r="I67" t="inlineStr">
        <is>
          <t>Scaled Cognition is the world’s only model lab dedicated exclusively to customer experience and pioneering agentic models purpose\-built for reliable action\-taking enterprise applications. Backed by Khosla Ventures, the company’s flagship Agentic Pretrained Transformer (APT) eliminates hallucinations, enforces enterprise policies and increases reliability in real\-world CX workflows. Founded by serial AI entrepreneurs, former Microsoft Corporate Vice President of Conversational AI Dan Roth, and UC Berkeley AI Professor Dan Klein, and built by a team of world\-class PhD researchers and engineers, Scaled Cognition advances the science of agentic AI to deliver safe, policy\-aligned automation that enterprises can trust.
 As a
 *Software Engineer, Infrastructure* 
 at Scaled Cognition you will:
* Design and improve inference infrastructure that powers our AI models.
* Benchmark, profile, monitor and analyze latency and throughput and drive improvements throughout the stack.
* Collaborate with research scientists and product engineers to streamline the end\-to\-end process from model development to production deployment.
 You might be the right person for the job if you:
* Are a continuous learner and are eager to explore new tools and technologies.
* Thrive in a dynamic environment and are comfortable adapting to changing priorities while maintaining a focus on delivering high\-quality solutions.
* Have successfully navigated projects with significant product and technical ambiguity, and you excel at the intersection of complex technical challenges and user\-focused solutions.
 Key Qualifications:
* Experience deploying systems on major cloud platforms (AWS, GCP, Azure).
* Prior experience designing and implementing GPU infrastructure / tooling.
* A strong sense for scalability and developing secure, highly reliable environments.</t>
        </is>
      </c>
    </row>
    <row r="68">
      <c r="A68" t="inlineStr">
        <is>
          <t>li-4359163536</t>
        </is>
      </c>
      <c r="B68" t="inlineStr">
        <is>
          <t>Senior Software Engineer</t>
        </is>
      </c>
      <c r="C68" t="inlineStr">
        <is>
          <t>Apple</t>
        </is>
      </c>
      <c r="D68" t="inlineStr">
        <is>
          <t>linkedin</t>
        </is>
      </c>
      <c r="E68">
        <f>HYPERLINK("https://www.linkedin.com/jobs/view/4359163536", "https://www.linkedin.com/jobs/view/4359163536")</f>
        <v/>
      </c>
      <c r="F68" t="inlineStr"/>
      <c r="G68" t="inlineStr">
        <is>
          <t>Seattle, WA</t>
        </is>
      </c>
      <c r="H68" t="inlineStr"/>
      <c r="I68" t="inlineStr">
        <is>
          <t>**Summary**
 Are you interested in a career in the development of Capacity Engineering Platforms for  Infrastructure? We engineer systems, applications and services that facilitates  Infrastructure Capacity Lifecycle management that includes the collection, analysis, and reporting of capacity, utilization u0026 efficiency data. If you are passionate u0026 curious about how infrastructure is managed? This is the team to join. You’ll be exposed to modern, open\-source technologies that are standard to the Infrastructure engineering industry, and will work at scale that few organizations in the world have access to.
**Description**
 You will be working on a small team valuing cooperation, brainstorming, with an emphasis on design. You will be responsible for developing systems/ services, tools, and visualizations to make sense of the data. We are looking for a sharp engineer who also has a keen sense of how to build good products. You are also a team player \-\- ready to engage in lively design discussions, and able to give and receive constructive code reviews. Your curiosity drives you to explore new technologies and apply creative solutions to problems. The ideal candidate pays close attention to details, but also keeps sight of the bigger picture.
**Minimum Qualifications**
 BS degree or higher in Computer Science or a related fieldnn10\+ years of experience as a professional software engineernnKnow\-how in maintaining and debugging systems in Java runtime environmentsnnCompetency in Java u0026 Spring/ Springboot FW’s and other JVM languages like Scala or/and C\#, Clojure, or similar object\-oriented languagennDeep understanding, and strong hands on experience \- Multithreading, Networking (including non\-blocking IO), etcnnDeep experience in designing Enterprise architecture, system u0026 servicesnnConfidence with SQL databases like Postgres, Oracle and NoSQL databases like CassandrannExperience with running services using modern orchestrators like KubernetesnnExperience with development using UI fwk ReactnnExperience managing data in relational databases and developing ETL pipelinesnnExperience driving product features, functional specifications, and development schedules, represent team and technologynnPassion and prior experience designing and implementing outstanding large distributed systemsnnBe an advocate and driver for performance optimization, automation, and unit testsnnAbility to pick up new technologies quicklynnExcellent debugging, critical thinking, and communication skillsnnTireless attention to detailnnSolid documentation and technical writing skills
**Preferred Qualifications**
 Proficiency with source control systems (Git) and build tools such as Gradle, Maven, etc.nnUnderstanding of different data stores and when to use them (e.g. RDBMS, Cassandra, Solr, Redis)nnExperience implementing and administering logging, telemetry and monitoring tools like Splunk is a plusnnExperience in cluster management/orchestration software like Aurora or Ansible u0026 using tools such as Docker is a plusnnExperience working with Cloud based environment a plus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69">
      <c r="A69" t="inlineStr">
        <is>
          <t>li-4359028535</t>
        </is>
      </c>
      <c r="B69" t="inlineStr">
        <is>
          <t>Senior Software Engineer</t>
        </is>
      </c>
      <c r="C69" t="inlineStr">
        <is>
          <t>Apple</t>
        </is>
      </c>
      <c r="D69" t="inlineStr">
        <is>
          <t>linkedin</t>
        </is>
      </c>
      <c r="E69">
        <f>HYPERLINK("https://www.linkedin.com/jobs/view/4359028535", "https://www.linkedin.com/jobs/view/4359028535")</f>
        <v/>
      </c>
      <c r="F69">
        <f>HYPERLINK("https://jobs.apple.com/en-us/details/200608633&amp;urlHash=iAk0", "https://jobs.apple.com/en-us/details/200608633&amp;urlHash=iAk0")</f>
        <v/>
      </c>
      <c r="G69" t="inlineStr">
        <is>
          <t>San Diego, CA</t>
        </is>
      </c>
      <c r="H69" t="inlineStr"/>
      <c r="I69"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something.nnThere are more than two billion active Apple devices worldwide and we are striving for a billion more. Come join a small team of highly\-focused engineers who are working to make that possible. As a member of our team, you will have the opportunity to work on internal applications and services that play a critical role in how Apple develops and delivers high\-quality operating systems.
**Description**
 As an engineer on our team, you will iterate quickly to create, maintain, and improve apps and backend services that empower the day\-to\-day work of tens of thousands of Apple employees. You’ll spend most of your time writing code, reviewing contributions from others, and collaboratively designing technical solutions. nnWe obsess over the user experience. We strongly value creative problem\-solving and continuous improvement. When we find a great technical or process solution, we adopt and adapt it across our projects. Being disciplined about our day\-to\-day work gives us the freedom to respond flexibly and creatively to new challenges. nnOur work requires significant interaction with our users, cross\-functional partners, and leaders across Apple so the ideal candidate will excel at communication and collaboration in additional to technical skills.
**Minimum Qualifications**
 5\+ years building backend services in Ruby, Python, or SwiftnBachelor’s degree in Computer Science or related fields, or equivalent experiencenExperience leading engineering work for complex, cross\-functional projects
**Preferred Qualifications**
 Solid software engineering fundamentals including architecture and OO\-design patterns and functional programming.nExperience with tools, frameworks, libraries such as Kubernetes, continuous integration systems, Unix, relational or no\-SQL DatabasesnExperience writing tests and testable codenCan investigate and debug difficult problemsnCan create roadmaps and drive product vision by prioritizing excellent user experiencenPassion for quality and attention to detailnCreative thinker and strong problem solvernExcellent communication and collaboration skills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70">
      <c r="A70" t="inlineStr">
        <is>
          <t>li-4357688688</t>
        </is>
      </c>
      <c r="B70" t="inlineStr">
        <is>
          <t>Senior Software Engineer</t>
        </is>
      </c>
      <c r="C70" t="inlineStr">
        <is>
          <t>Apple</t>
        </is>
      </c>
      <c r="D70" t="inlineStr">
        <is>
          <t>linkedin</t>
        </is>
      </c>
      <c r="E70">
        <f>HYPERLINK("https://www.linkedin.com/jobs/view/4357688688", "https://www.linkedin.com/jobs/view/4357688688")</f>
        <v/>
      </c>
      <c r="F70" t="inlineStr"/>
      <c r="G70" t="inlineStr">
        <is>
          <t>San Diego, CA</t>
        </is>
      </c>
      <c r="H70" t="inlineStr"/>
      <c r="I70" t="inlineStr">
        <is>
          <t>**Summary**
 The Device Services (DS) Infrastructure team is seeking a technical leader and senior\-level software engineer to build the software systems that power how we test and validate Apple's products at scale. We manage a fleet of thousands of Apple devices used in a centralized, automated test system which is a critical tool used by engineers developing for iOS, watchOS, tvOS, and macOS.nnIn this role, you will lead the architecture and development of automation platforms, infrastructure services, and tools that enable efficient operation of device labs across Apple. You will partner closely with lab operations teams to ensure that the right tools and processes are established to support systematic operations at scale.n
**Description**
 We are looking for a highly motivated technical leader who thrives on building infrastructure that solves real operational challenges. You must enjoy working on multiple concurrent projects in a fast\-paced environment that fosters growth, teamwork and innovation. Some of your day\-to\-day activities will include:nn\- Leading the architecture and development of automation systems for device provisioning, testing, and orchestration across large\-scale lab environmentsn\- Designing and building backend services, APIs, and distributed systems for device management and lab operationsn\- Partnering with lab operations teams to understand workflows and opportunities for automationn\- Building data systems and analytics platforms that provide visibility into lab utilization, device health, and operational metricsn\- Driving infrastructure improvements including deployment pipelines, monitoring, alerting, and reliability practices n\- Driving continual improvement of technical standards and processes across the organizationn\- Mentoring engineers, conducting design reviews, and providing technical directionn\- Collaborating with teams building testing frameworks, remote access systems, and continuous integration softwaren\- Partnering with metrics teams to surface operational data and insightsn\- Providing technical leadership in debugging complex system issuesnn
**Minimum Qualifications**
 8\+ years of software engineering experience building large\-scale distributed systems, automation platforms, or infrastructure servicesnProven track record of technical leadership including architecture design, cross\-team collaboration, and mentoringnStrong experience with backend services development including APIs, databases, and microservices architecturesnExperience with device automation, orchestration systems, or infrastructure management platformsnExperience with Python, Go, or similar languages commonly used for infrastructure and automation
**Preferred Qualifications**
 Experience building software for physical lab environments, test automation systems, or hardware validation platformsnExperience collaborating with testing infrastructure, CI/CD, or remote access platform teamsnUnderstanding of metrics collection, observability systems, and data\-driven operational decision makingnKnowledge of hardware lifecycle management, device flashing/imaging, or mobile/embedded systemsnBackground in SRE practices including incident response, capacity planning, and service level objectivesnExperience developing software using SwiftnExperience working with macOS, iOS, and other Apple platformsnCreative thinker and strong problem solver with meticulous attention to detail
**Pay \&amp; Benefits**
 At Apple, base pay is one part of our total compensation package and is determined within a range. This provides the opportunity to progress as you grow and develop within a role. The base pay range for this role is between $193,000 and $290,100,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71">
      <c r="A71" t="inlineStr">
        <is>
          <t>li-4362775033</t>
        </is>
      </c>
      <c r="B71" t="inlineStr">
        <is>
          <t>Junior Software Engineer</t>
        </is>
      </c>
      <c r="C71" t="inlineStr">
        <is>
          <t>Professional Employment Group of Colorado</t>
        </is>
      </c>
      <c r="D71" t="inlineStr">
        <is>
          <t>linkedin</t>
        </is>
      </c>
      <c r="E71">
        <f>HYPERLINK("https://www.linkedin.com/jobs/view/4362775033", "https://www.linkedin.com/jobs/view/4362775033")</f>
        <v/>
      </c>
      <c r="F71" t="inlineStr"/>
      <c r="G71" t="inlineStr"/>
      <c r="H71" t="inlineStr"/>
      <c r="I71" t="inlineStr">
        <is>
          <t>As a Jr. Developer, you will contribute to product feature development, automation, and code quality improvements across design products such as Automated Utility Design (AUD), Physical for AutoCAD, and Protection \&amp; Control.
**Responsibilities:** 
 Feature Development:
* Implement new functionality, bug fixes, and enhancements within Design suite (C\#, .NET, AutoCAD APIs).
* Collaborate with senior developers to translate requirements and user stories into working software.
 Quality \&amp; Testing:
* Write unit and integration tests to maintain reliability and regression safety.
 Collaboration\&amp; Learning:
* Work closely with product management, QA, and design leads to deliver high\-quality, user\-focused features.
**Qualifications** 
 :
* Bachelor’s degree in Computer Science, Software Engineering, or related field (or equivalent experience).
* 0–3 years of professional or internship experience in software development.
* Familiarity with modern development tools such as VisualStudio, Git, and CI/CD pipelines.
* Understanding object\-oriented programming principles.
* Exposure to CAD or GIS software is a plus.
* Desire to work on software used by utilities and engineering firms in the energy and infrastructure industry.</t>
        </is>
      </c>
    </row>
    <row r="72">
      <c r="A72" t="inlineStr">
        <is>
          <t>li-4355198519</t>
        </is>
      </c>
      <c r="B72" t="inlineStr">
        <is>
          <t>Software Engineer - Diagnostics Tools</t>
        </is>
      </c>
      <c r="C72" t="inlineStr">
        <is>
          <t>Apple</t>
        </is>
      </c>
      <c r="D72" t="inlineStr">
        <is>
          <t>linkedin</t>
        </is>
      </c>
      <c r="E72">
        <f>HYPERLINK("https://www.linkedin.com/jobs/view/4355198519", "https://www.linkedin.com/jobs/view/4355198519")</f>
        <v/>
      </c>
      <c r="F72" t="inlineStr"/>
      <c r="G72" t="inlineStr">
        <is>
          <t>Cupertino, CA</t>
        </is>
      </c>
      <c r="H72" t="inlineStr"/>
      <c r="I72" t="inlineStr">
        <is>
          <t>**Summary**
 Join Apple's mission to deliver exceptional customer experiences by developing diagnostic tools that allow our technicians to keep millions of Apple devices running smoothly worldwide. As a Software Engineer on our team, you'll create innovative solutions that empower both customers and technicians to quickly identify and resolve device issues, ensuring every Apple product delivers the reliability and performance our users expect.
**Description**
 Imagine developing software that ships with every iPhone, iPad, Apple Watch, and Apple TV—tools that millions of people rely on to keep their devices healthy. In this role, you'll collaborate with other software engineers, backend developers, system architects, and quality assurance teams to create intuitive troubleshooting experiences that make complex technical problems simple to solve. Your code will directly impact customer satisfaction by enabling faster, more accurate device repairs and helping users maintain their devices with confidence.
**Minimum Qualifications**
 Solid understanding of object\-oriented design and programming principles, memory management, and multithreading.nMinimum 3 years of experience designing, implementing, testing, shipping, and/or supporting software.nHands\-on experience with Objective\-C, Swift, or other C\-based languages.nExperience building mobile software applications and systems.nB.S. or M.S. degree in Computer Science, Computer Engineering, or equivalent.
**Preferred Qualifications**
 Experience with source control and issue tracking systems.nCoding background on iOS and/or macOS.nExperience and interest in using LLM technologies and their integration, understanding how to leverage AI capabilities to enhance code quality, automate development tasks, and improve software solutions.n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73">
      <c r="A73" t="inlineStr">
        <is>
          <t>li-4359088551</t>
        </is>
      </c>
      <c r="B73" t="inlineStr">
        <is>
          <t>Software Engineer, Data Infrastructure and Engineering</t>
        </is>
      </c>
      <c r="C73" t="inlineStr">
        <is>
          <t>Apple</t>
        </is>
      </c>
      <c r="D73" t="inlineStr">
        <is>
          <t>linkedin</t>
        </is>
      </c>
      <c r="E73">
        <f>HYPERLINK("https://www.linkedin.com/jobs/view/4359088551", "https://www.linkedin.com/jobs/view/4359088551")</f>
        <v/>
      </c>
      <c r="F73" t="inlineStr"/>
      <c r="G73" t="inlineStr">
        <is>
          <t>Austin, TX</t>
        </is>
      </c>
      <c r="H73" t="inlineStr"/>
      <c r="I73" t="inlineStr">
        <is>
          <t>**Summary**
 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MLS Season Pass and now F1! nnEverything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Our platforms are highly\-performant, deployed at scale, and set new standards for enabling effective advertising while protecting user privacy.
**Description**
 We are looking for an ambitious and versatile Software Engineer who will be a key member of our team, delivering data solutions that solve exciting business problems. Job duties range from designing and implementing core data infrastructure, stream\-processing capabilities, to supporting critical privacy preserving pipelines. nnYou will have the opportunity to define, refine, and refactor approaches, designs, and architectures to meet the data engineering challenges we must solve. You will join a team of world\-class data engineers with an appetite for applying leading\-edge technologies to deliver extraordinary experiences to our customers. You will play a meaningful role building data products that deliver on Apple's privacy commitments and change the way advertising works with data. You will collaborate closely with the business to deliver relevant data and insight to inform our strategy and decisions. You should have 4\+ years experience in data engineering roles, ideally within the ads or media space. You will have an excellent understanding of scalable approaches and thrive working in Agile environments. The ability to be a good standout colleague under tight deadline constraints is key to success!
**Minimum Qualifications**
 4\+ years of industry experience building scalable data pipelines and data platformsnStrong computer science and data engineering fundamentalsnExpertise in programming languages such as Python/Java/Scala/RustnExpertise in NoSQL datastores (e.g. Cassandra, Keyspaces, ElastiCache)nExpertise in relational databases and SQLnExpertise in distributed systems and data processing technologies (e.g. Spark, Kafka, Flink)nExpertise in access management , building catalogs , query enginesnExpertise in building data compaction toolsnExperience building and scaling systems on premise and in the cloudnBS or MS in Computer Science, Software Engineering or related technical fields
**Preferred Qualifications**
 Strong technical skills with proven experience developing and supporting scalable data infrastructurenAbility to communicate effectively with multi\-functional technical and non\-technical teamsnPrior experience in advertising industry is a huge plusnContribution to open source distributed system projects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74">
      <c r="A74" t="inlineStr">
        <is>
          <t>li-4359146296</t>
        </is>
      </c>
      <c r="B74" t="inlineStr">
        <is>
          <t>Senior Media Software Engineer</t>
        </is>
      </c>
      <c r="C74" t="inlineStr">
        <is>
          <t>Apple</t>
        </is>
      </c>
      <c r="D74" t="inlineStr">
        <is>
          <t>linkedin</t>
        </is>
      </c>
      <c r="E74">
        <f>HYPERLINK("https://www.linkedin.com/jobs/view/4359146296", "https://www.linkedin.com/jobs/view/4359146296")</f>
        <v/>
      </c>
      <c r="F74" t="inlineStr"/>
      <c r="G74" t="inlineStr">
        <is>
          <t>California, United States</t>
        </is>
      </c>
      <c r="H74" t="inlineStr"/>
      <c r="I74"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something.nnApple Vision Pro is a revolutionary spatial computer that seamlessly blends digital content with your physical space. It will allow us to do the things we love in ways never before possible — all while staying connected to the people around us.nnThe Vision Products Group (VPG) is looking for a senior Media Software Engineer to help us push the limits of the next generation of spatial media. This team works on key technologies and frameworks that enables spatial media experiences on Vision Pro and future AR/VR products. As a member of our creative organization, you will have the uniquely rewarding opportunity to craft future products that will delight and inspire millions of people every single day.
**Description**
 We are looking for a Video/Imaging Software Engineer to join our team of media processing specialists. Your mission will be to work on the next generation media technologies, design, develop, and implement media processing pipeline and frameworks that powers exciting media experiences on Apple Vision Pro.nnWe need your passion, knowledge, and creativity to solve complex technical challenges. You will have a unique and direct opportunity to create products that will inspire millions of Apple’s customers as a core member of our fast\-paced group.
**Minimum Qualifications**
 B.S. or higher in Computer Science, Electrical Engineering OR equivalent degree OR equivalent experiencen10\+ years of experience with software developmentnExperience with image and video processing, media processing pipelinesnExcellent programming skills and proficient with one of the programming languages: C/C\+\+, Objective\-C, and SwiftnStrong problem solving and analytical thinking skillsnA strong focus on end user experiencenCreative and collaborative approach to problem solving, and a drive to build products that surprise and delight.
**Preferred Qualifications**
 Success shipping media products involving image and video processing, video capture/playback, or media processing pipeline is a plusnFamiliarity with AR/VR technologiesnExperience with iOS / macOS developmentnExperience with developing media SDKs, frameworks and customer facing APIsnHands\-on experience with core machine learning algorithms and toolsnExperience with media formats (HEVC, H264, JPEG, etc).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75">
      <c r="A75" t="inlineStr">
        <is>
          <t>li-4359008257</t>
        </is>
      </c>
      <c r="B75" t="inlineStr">
        <is>
          <t>Senior Software Engineer, Media Processing</t>
        </is>
      </c>
      <c r="C75" t="inlineStr">
        <is>
          <t>Apple</t>
        </is>
      </c>
      <c r="D75" t="inlineStr">
        <is>
          <t>linkedin</t>
        </is>
      </c>
      <c r="E75">
        <f>HYPERLINK("https://www.linkedin.com/jobs/view/4359008257", "https://www.linkedin.com/jobs/view/4359008257")</f>
        <v/>
      </c>
      <c r="F75" t="inlineStr"/>
      <c r="G75" t="inlineStr">
        <is>
          <t>Seattle, WA</t>
        </is>
      </c>
      <c r="H75" t="inlineStr"/>
      <c r="I75" t="inlineStr">
        <is>
          <t>**Summary**
 The Apple Services Engineering team is one of the most exciting examples of Apple’s long\-held passion for combining art and technology. These are the people who power the App Store, Apple TV, Apple Music, Apple Podcasts, and Apple Books. And they do it on a massive scale, meeting Apple’s high expectations with high performance to deliver a huge variety of entertainment in over 37 languages to more than 175 countries. These engineers build secure, end\-to\-end solutions. They develop the custom software used to process all the creative work, the tools that providers use to deliver that media, all the server\-side systems, and the APIs for many Apple services. nnThanks to Apple’s outstanding integration of hardware, software, and services, engineers here partner to get behind a single unified vision. That vision always includes a deep dedication to strengthening Apple’s privacy policy, one of Apple’s core values. Although services are a bigger part of Apple’s business than ever before, these teams remain small, nimble, and cross\-functional, offering greater exposure to the array of opportunities here.
**Description**
 As an Engineer on this exciting and dynamic Media Domain Platform team, you’ll work on the Media Processing for all of Apple’s Media usecases TV, music, movies, AppleTV\+, AppleTV channels, App Trailer, Editorial Videos etc. Our team handles the entire media life cycle, from media creation to international scheduling to developing custom media formats. Sounds exciting, right? nnAs a member of our team, you will partner with multiple engineering teams, design teams, business operations, and production support. You will help develop the next generation of sophisticated Media Processing Pipeline systems and work with our partner teams to help get Media Processing and workflow solutions into production. You will collaborate with and contribute to ASE’s Media Processing Services, helping in Media Processing. nnWe’re looking for someone whose “people skills” complement their technical skills, someone who loves improving things as much as building things, and someone who is passionate about discovering new ways to accelerate the rate at which we can improve our products. nnIf this sounds like you, join our team!
**Minimum Qualifications**
 5\+ years of Experience in a professional programming position with Java and similar languages.nAny other JVM or functional languages like Kotlin is a plus.nStrong understanding of building micro\-services using REST\-style APIsnIn\-depth knowledge of database systems and domain modeling techniquesnDeep understanding of both SQL and NoSQL databases like Cassandra and MongoDB.nExperience deploying software on elastic platforms such as Kubernetes, EC2, etc.nEnjoys fixing/improving things and finding solutions to difficult problemsnStrong belief in automation and tooling as a critical part of the software lifecyclenStrong written and oral communication skillsnPossess strong and clear communication abilities.nBachelor's degree in Computer Science, Computer Engineering or related field or equivalent experience
**Preferred Qualifications**
 7\+ years of Experience (Senior Developer), in a professional programming position with Java and similar languages.nAbility to work in a fast\-paced dynamic environment.nEnjoys fixing/improving things and finding solutions to difficult problems JSON, Protobuf serialization and gRPCn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76">
      <c r="A76" t="inlineStr">
        <is>
          <t>li-4362719185</t>
        </is>
      </c>
      <c r="B76" t="inlineStr">
        <is>
          <t>Software Engineer, Forward Deployed</t>
        </is>
      </c>
      <c r="C76" t="inlineStr">
        <is>
          <t>Ramp</t>
        </is>
      </c>
      <c r="D76" t="inlineStr">
        <is>
          <t>linkedin</t>
        </is>
      </c>
      <c r="E76">
        <f>HYPERLINK("https://www.linkedin.com/jobs/view/4362719185", "https://www.linkedin.com/jobs/view/4362719185")</f>
        <v/>
      </c>
      <c r="F76" t="inlineStr"/>
      <c r="G76" t="inlineStr">
        <is>
          <t>New York, United States</t>
        </is>
      </c>
      <c r="H76" t="inlineStr"/>
      <c r="I76"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Being a part of Forward Deployed Engineering (FDE), you will design and build solutions to support our largest customers and scale our enterprise motion. FDE is a high\-pace, customer\-facing, business\-focused engineering team, and we pave the way for Ramp to support the largest and most complex organizations in the world.
 On FDE, you will interact directly with customers and deliver solutions end to end — from understanding pain points and shaping product decisions to designing and implementing scalable systems. We are a full stack team and collaborate closely with sales and core product engineering.
 Check out our Engineering Blog for more on our tech stack, mission and values!
 What You’ll Do
* Deliver solutions end to end that meet the needs of our largest, strategic customers — understanding user pain points, scoping product specs, and designing and building software.
* Collaborate closely with our sales and go\-to\-market teams to close exciting deals, activate customers, and expand the value Ramp provides over time. We work with and support huge, world\-class companies at the scale of $100B\+ in valuation.
* Drive our core product engineering roadmap and make important prioritization and scoping decisions that determine when we build custom solutions vs. accelerate larger existing projects. Our team uses an embedding model where FDEs embed within core product engineering teams to develop expertise in the most relevant technical areas.
* Solve technical challenges to support new levels of scale, and help us develop and execute our strategy to grow our enterprise platform. For example, extending our data model for roles and permissions, seamlessly integrating with 3rd party systems with generalized data exports, and ingesting HRIS data at scale.
 What You Need
* A minimum of 2 years of software engineering experience preferred
* Track record of shipping high\-quality products and features at scale
* Ability to turn business and product ideas into engineering solutions
* Desire to work in a fast\-paced environment, continuously grow, and master your craft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77">
      <c r="A77" t="inlineStr">
        <is>
          <t>li-4363640080</t>
        </is>
      </c>
      <c r="B77" t="inlineStr">
        <is>
          <t>Full Stack Engineer</t>
        </is>
      </c>
      <c r="C77" t="inlineStr">
        <is>
          <t>Pentangle Tech Services | P5 Group</t>
        </is>
      </c>
      <c r="D77" t="inlineStr">
        <is>
          <t>linkedin</t>
        </is>
      </c>
      <c r="E77">
        <f>HYPERLINK("https://www.linkedin.com/jobs/view/4363640080", "https://www.linkedin.com/jobs/view/4363640080")</f>
        <v/>
      </c>
      <c r="F77" t="inlineStr"/>
      <c r="G77" t="inlineStr">
        <is>
          <t>Fridley, MN</t>
        </is>
      </c>
      <c r="H77" t="inlineStr"/>
      <c r="I77" t="inlineStr">
        <is>
          <t>**please apply only if you have experience in the automotive domain.** 
**Job Description** 
 Description
 We are currently looking for a software engineer to help us switch from a legacy test platform to a more modern C\# .NET platform. This team develops end\-of\-line test systems for electronics that will be going into generators. This test system application will sit on a PC and interact with electronic test equipment such as DMM, Signal Generators and Oscilloscopes.
 The main objective of this role will be to take the legacy VB .NET system and shift to modern platform. Some locations where manufacturing is done have limited network connectivity, so a thick architecture will be used. Data is then pushed to SQL Server / AWS Cloud. The lead engineer needs assistance specifically with the front\-end design of the applications/websites. This person needs to be an expert in Front\-End UI Design, specifically proficient with WPF. This person should be strong with C\#, XAML and AWS.
 These systems will need to be set up for two different types of users. Internal users and third\-party users at manufacturing sites. Will need to work with internal IT department to ensure procedures are followed.
 Requirements:
 BS in Computer Science or Computer Engineering
 4\+ years' experience with front end development / user interface
 4\+ years' experience with WPF
 4\+ years experience with XAML and AWS or related</t>
        </is>
      </c>
    </row>
    <row r="78">
      <c r="A78" t="inlineStr">
        <is>
          <t>li-4355198717</t>
        </is>
      </c>
      <c r="B78" t="inlineStr">
        <is>
          <t>AR/VR Software Engineer - Capture, Vision Products Software</t>
        </is>
      </c>
      <c r="C78" t="inlineStr">
        <is>
          <t>Apple</t>
        </is>
      </c>
      <c r="D78" t="inlineStr">
        <is>
          <t>linkedin</t>
        </is>
      </c>
      <c r="E78">
        <f>HYPERLINK("https://www.linkedin.com/jobs/view/4355198717", "https://www.linkedin.com/jobs/view/4355198717")</f>
        <v/>
      </c>
      <c r="F78">
        <f>HYPERLINK("https://jobs.apple.com/en-us/details/200641837&amp;urlHash=cqCy", "https://jobs.apple.com/en-us/details/200641837&amp;urlHash=cqCy")</f>
        <v/>
      </c>
      <c r="G78" t="inlineStr">
        <is>
          <t>Sunnyvale, CA</t>
        </is>
      </c>
      <c r="H78" t="inlineStr"/>
      <c r="I78" t="inlineStr">
        <is>
          <t>**Summary**
 Apple is where individual imaginations gather together, committing to the values that lead to great work. Every new product we build, service we create, or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something.nnApple Vision Pro is a revolutionary spatial computer that seamlessly blends digital content with your physical space. It will allow us to do the things we love in ways never before possible — all while staying connected to the people around us.nnThe Vision Products Group (VPG) is looking for a software engineer to work on exciting new capture and photography experiences. This team is working with some of Apple's most advanced technologies including augmented reality (AR), machine learning (ML) and computer vision (CV). As a member of our organization you will drive exploration of future products that will delight, inspire and empower millions of people.
**Description**
 As part of visionOS Capture and Photos team, you will define the overall experience of our platforms; ultimately impacting the way our customers use our products.nnYou will work closely with Apple's framework teams and Human Interface designers \- pushing you to think outside\-the\-box, and solve incredibly challenging and interesting problems in the AR/VR space.nnYou will have access to a wide variety of internal frameworks and services that will allow you to create an application that is deeply integrated into our operating systems.
**Minimum Qualifications**
 1\+ years experience in software developmentnProficiency in an application programming language, such as C/C\+\+, Objective\-C, Swift, etc.nExperience using Apple development tools and APIsnBS in Computer Science or equivalent experience
**Preferred Qualifications**
 Experience with building capture oriented applicationsnFamiliarity with computer vision techniques and algorithmsnAttention to detail, creativity, and a passion for AR/VR technologies and photographynProof of concept development expertisenExperience building complex applications that are functional, beautiful and delightful.nProficiency in iOS development practices
**Pay \&amp; Benefits**
 At Apple, base pay is one part of our total compensation package and is determined within a range. This provides the opportunity to progress as you grow and develop within a role. The base pay range for this role is between $126,800 and $190,900,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79">
      <c r="A79" t="inlineStr">
        <is>
          <t>li-4355191676</t>
        </is>
      </c>
      <c r="B79" t="inlineStr">
        <is>
          <t>Java Software Engineer</t>
        </is>
      </c>
      <c r="C79" t="inlineStr">
        <is>
          <t>Health Gorilla</t>
        </is>
      </c>
      <c r="D79" t="inlineStr">
        <is>
          <t>linkedin</t>
        </is>
      </c>
      <c r="E79">
        <f>HYPERLINK("https://www.linkedin.com/jobs/view/4355191676", "https://www.linkedin.com/jobs/view/4355191676")</f>
        <v/>
      </c>
      <c r="F79">
        <f>HYPERLINK("https://grnh.se/2wf4wk1r4us&amp;urlHash=7LxR", "https://grnh.se/2wf4wk1r4us&amp;urlHash=7LxR")</f>
        <v/>
      </c>
      <c r="G79" t="inlineStr"/>
      <c r="H79" t="inlineStr"/>
      <c r="I79" t="inlineStr">
        <is>
          <t>**Want to revolutionize healthcare?**
 To create a healthcare system with effective health information exchange, healthcare organizations need more than a series of connections between each other. They need assurance that the data being exchanged is meaningful and to know it will be delivered when and where they need it.
 Founded in 2014, Health Gorilla provides access to actionable patient data, supporting a diverse set of clinical use cases and improving outcomes across the country. We work with some of the leading companies in health IT, value\-based care, and digital health, including Virta Health, The Garage, Medhost, and many others. Health Gorilla is one of the five original organizations approved as a Qualified Health Information Network (QHIN) and the only QHIN to also be designated as a Qualified Health Information Organization (QHIO).
 As a Software Engineer II at Health Gorilla, you will report to the Engineering Manager on the Core Development team. You will be a part of building a world\-class Health Gorilla Clinical Network. You will work with other teams at Health Gorilla, from marketing and sales to product to research, scope, and implement new products and features of Health Gorilla Clinical Network. You will need to see the "big picture" and apply software engineering skills to it. We are looking for someone who has both Java Web Application Development and Database backgrounds to participate in our product development and support.
**What you will do at Health Gorilla:**
* As a part of the team of experienced developers, you will participate in all phases of Java development.
* You'll thrive in an evolving codebase, balancing the maintenance of existing core systems with the implementation of modern architectural patterns.
* We will help you to learn Healthcare IT, but if you know it better than we do \- we will ask you a lot of questions.
* We value clarity and long\-term maintainability, so robust documentation is a core part of our definition of 'Done'.
* Assess technical risks and come up with mitigation strategies.
* You will solve complex technical problems and manage technical debt.
* You will do technical research and propose improvements. We want to hear from you.
* Learn new standards and code to them. Maybe introduce a new standard of your own?
* Navigate complex documentation and find your way around if it's missing.
* Be responsible for the solutions proposed; be the owner of your work.
* Facilitate design, implementation, and delivery across multiple solutions on Health Gorilla Clinical Network.
**What you bring to the role:**
* 3\+ years of experience in Core Java, Enterprise Application Development, RESTfull API building, back\-end Web development, large\-scale, asynchronous applications development
* Experience collaborating in remote agile teams, SCRUM/ KANBAN
* Strong experience with SQL and NoSQL; MongoDB is a must
* Practical experience with Linux\-based platforms and dockerized services
* Experience or a strong interest in building high\-throughput, scalable transaction services
* Solid grasp of web security fundamentals. You have worked with OAuth or SAML and are ready to dive deeper into secure communication protocols like PKI and Mutual TLS.
* Exposure to cloud hosting (AWS preferred) and an understanding of Infrastructure as Code (Docker, Kubernetes, or basic scripting)
* Familiarity with Health IT protocols and standards is a bonus: FHIR, IHE TF, HL7, CCDA
**What You Will Love About Us!**
* Health Gorilla takes a market\-based approach to pay, and the base salary range for this role is $130,000 to $155,000, based on experience and geography. Please note that ranges may be modified at any time, and there is no guarantee offers will be at the top of a posted range.
* New hire stock option grant
* 401(k) plan with discretionary matching (historically matched at 3%)
* Flexible PTO plus 12 Holidays
* Medical, dental, and vision insurance for you and your family
* Short\-, long\-term disability, and life insurance
* Optional: Pet Insurance, Legal Services, and Credit Monitoring
* Mental health and wellness support
* Paid parental leave (up to 12 weeks)
* Monthly stipend for phone and internet
* Use of an Apple Laptop plus a $400 stipend for additional equipment
***Beware of job scams:***
* We will only contact you from our @healthgorilla.COM email address and communicate via phone or zoom
* We will never ask you for money or to purchase items such as a laptop to work with us
* If your resume has your home address listed, we recommend replacing with just a city, state
 Our goal is to be a diverse workforce that is representative, at all job levels as we know the more inclusive we are, the better our product will be.
 Health Gorilla is an equal opportunity employer. Applicants will not be discriminated against because of race, color, creed, sex, sexual orientation, gender identity or expression, age, religion, national origin, citizenship status, disability, ancestry, marital status, veteran status, medical condition, genetic information, or any protected category prohibited by local, state or federal laws.</t>
        </is>
      </c>
    </row>
    <row r="80">
      <c r="A80" t="inlineStr">
        <is>
          <t>li-4362773450</t>
        </is>
      </c>
      <c r="B80" t="inlineStr">
        <is>
          <t>Senior Full Stack Engineer - Web3</t>
        </is>
      </c>
      <c r="C80" t="inlineStr">
        <is>
          <t>Mesh</t>
        </is>
      </c>
      <c r="D80" t="inlineStr">
        <is>
          <t>linkedin</t>
        </is>
      </c>
      <c r="E80">
        <f>HYPERLINK("https://www.linkedin.com/jobs/view/4362773450", "https://www.linkedin.com/jobs/view/4362773450")</f>
        <v/>
      </c>
      <c r="F80" t="inlineStr"/>
      <c r="G80" t="inlineStr">
        <is>
          <t>San Francisco, CA</t>
        </is>
      </c>
      <c r="H80" t="inlineStr"/>
      <c r="I80" t="inlineStr">
        <is>
          <t>**About Mesh**
 At Mesh, our mission is to enable consumers to pay and be paid with any asset. Today, trillions of dollars in tokenized assets exist but remain largely unusable for everyday commerce. Mesh is bridging this gap by making crypto payments reliable, useful, and ubiquitous. We combine a powerful orchestration engine with a seamless consumer app to unlock liquidity for the world. Backed by leading investors like PayPal Ventures, Paradigm, and Galaxy Ventures, we are building the infrastructure for the next era of the global economy. Join us!
**Overview**
 We are seeking a talented and experienced Senior Full Stack Software Engineer (Web3\) with a strong background in building modern web applications and scalable backend systems. As a member of our team, you will play a crucial role in designing, developing, and maintaining our innovative software solutions, including integrating Web3 functionality such as wallet connections, signing flows, and on\-chain/off\-chain interactions. Mesh is a global company with headquarters in San Francisco, California USA. This candidate will work closely with the Engineering and Product teams spread across North America, Europe and India.
**What You'll Do**
* Design, build, and operate production\-grade Web3 systems used by real customers and assets at scale.
* Own features end\-to\-end across frontend, backend, and on\-chain components (with depth aligned to your strengths).
* Lead the design and implementation of complex workflows involving wallets, transactions, settlements, and orchestration.
* Partner closely with product, design, and external teams to turn ambiguous requirements into robust technical solutions.
* Improve system reliability, security, and performance across distributed and on\-chain components.
* Mentor other engineers and contribute to engineering best practices, architecture reviews, and technical direction.
**Who You Are** 
* 5\-7\+ years of professional experience as a Full\-stack Web3 Engineer with production experience across frontend, backend, and on\-chain components, comfortable owning systems end\-to\-end.
* Hands\-on experience with Web3 building blocks, such as wallet connectivity/integrations, dApp development, blockchain RPCs and indexing, and/or on\-chain/off\-chain payment \&amp; settlement flows.
* Familiar with DeFi primitives (e.g., DEXs, swaps, lending, trading platforms) and how they work in real systems.
* Experience with some combination of:
+ Modern frontend frameworks (e.g., TypeScript, React, Redux)
+ Backend services and APIs (e.g., C\#, Node.js, Go, Java, or similar)
+ Smart contracts and on\-chain interactions (e.g., Solidity)
* Strong understanding of the transaction lifecycle (signing, submission, execution) and a security\-first mindset when designing Web3 systems.
* Solid fundamentals in building scalable, reliable, observable distributed systems (monitoring, logging, tracing, performance).
* Frontend\-leaning or backend\-leaning profiles are welcome, as long as you have shipped Web3\-enabled systems in production and want to expand your scope over time.
**Why You’ll Love It Here**
 At Mesh, you're not stepping into a typical role—you're joining a rocket ship in mid\-liftoff. You'll tackle complex, meaningful problems that actually move an industry forward, working alongside a sharp, motivated team that moves quickly, collaborates deeply, and expects everyone to operate with ownership. This is the kind of place where you'll see your work ship fast, make real impact, and be able to point to something and say, "I built that." You'll grow fast, level up your skills, and get a front\-row seat to how a high\-growth company scales from the inside, with competitive comp, solid benefits, and room to stretch your craft all coming standard. If you're energized by building, learning, and shaping something big—this is where you'll want to be.
**How We Care For Our Team**
 We believe great work happens when people feel valued and supported. That starts with competitive salary and equity that grows as you and the company grow, plus comprehensive health coverage for you and your family. We offer unlimited PTO—and we mean it. Take the time you need to recharge and show up at your best.
 We're invested in your growth with a dedicated budget for courses, conferences, and certifications. Work from wherever you're most productive with our remote\-friendly approach, and count on having the top\-tier tools and equipment you need to do exceptional work.
 Mesh Pay is committed to equal employment opportunities regardless of race, color, genetic information, creed, religion, sex, sexual orientation, gender identity, lawful alien status, national origin, age, marital status, and non\-job related physical or mental disability, or protected veteran status. Pursuant to the San Francisco Fair Chance Ordinance, we will consider for employment qualified applicants with arrest and conviction records.</t>
        </is>
      </c>
    </row>
    <row r="81">
      <c r="A81" t="inlineStr">
        <is>
          <t>li-4357629302</t>
        </is>
      </c>
      <c r="B81" t="inlineStr">
        <is>
          <t>Software Developer</t>
        </is>
      </c>
      <c r="C81" t="inlineStr">
        <is>
          <t>CAI</t>
        </is>
      </c>
      <c r="D81" t="inlineStr">
        <is>
          <t>linkedin</t>
        </is>
      </c>
      <c r="E81">
        <f>HYPERLINK("https://www.linkedin.com/jobs/view/4357629302", "https://www.linkedin.com/jobs/view/4357629302")</f>
        <v/>
      </c>
      <c r="F81">
        <f>HYPERLINK("https://careers.cai.io/us/en/job/CAICAIUSR6936EXTERNALENUS/Software-Developer?utm_source=linkedin&amp;utm_medium=phenom-feeds&amp;urlHash=qPWV", "https://careers.cai.io/us/en/job/CAICAIUSR6936EXTERNALENUS/Software-Developer?utm_source=linkedin&amp;utm_medium=phenom-feeds&amp;urlHash=qPWV")</f>
        <v/>
      </c>
      <c r="G81" t="inlineStr">
        <is>
          <t>Fort Myers, FL</t>
        </is>
      </c>
      <c r="H81" t="inlineStr"/>
      <c r="I81" t="inlineStr">
        <is>
          <t>**Req Number**
 R6936
**Employment Type**
 Full time
**Worksite Flexibility**
 Onsite
**Who We Are**
 CAI is a global technology services firm with over 8,500 associates worldwide and a yearly revenue of $1 billion\+. We have over 40 years of excellence in uniting talent and technology to power the possible for our clients, colleagues, and communities. As a privately held company, we have the freedom and focus to do what is right—whatever it takes. Our tailor\-made solutions create lasting results across the public and commercial sectors, and we are trailblazers in bringing neurodiversity to the enterprise.
**Job Summary**
 We are looking for a motivated Software Developer ready to take us to the next level! If you have strong C\#/.NET skills, strong knowledge of SQL, Java, HTML5, and are looking for your next career move, apply now.
**Job Description**
 We are seeking a
 **Software Developer** 
 to join our team. This is a
 **full\-time, onsite** 
 position
 **located in Ft. Myers** 
 . In this role, you will design, develop, and test applications using various technologies to meet client specifications. You will also collaborate with a team to coordinate development, production deployment, and system support, including client training.
**What You'll Do**
* Meet with clients to gather and finalize application requirements
* Set tasks and development goals
* Develop new applications using SQL, Web API, C\#/.NET
* Design, code, and implement scalable applications usable across multiple platforms
* Test and debug code to ensure functionality
* Review website interfaces and software stability
* Troubleshoot and resolve software issues
* Maintain and update applications as needed
* Provide system training to staff and customers
* Maintain and organize source materials using SCCM tools like GitHub
**Required**
**What You'll Need**
* Bachelor’s degree in computer science or software engineering
* Proficiency in Visual Studio, C\#/.NET, Web API, PowerShell, and MVC Frameworks
* Strong knowledge of SQL, Java Language, HTML5, XML, jQuery, and Web Services
* High\-level coding skills and problem\-solving abilities
**Preferred**
* Experience with SCCM methods and version control using GitHub
* Proven ability to manage projects and deliver results
**Physical Demands**
* Ability to safely and successfully perform essential job functions consistent with ADA and other standards
* Sedentary work involving sitting or remaining stationary most of the time, with occasional movement to attend meetings, etc.
* Ability to conduct repetitive computer tasks, including using a mouse, keyboard, and monitor
**Reasonable accommodation statement**
 If you require a reasonable accommodation in completing this application, interviewing, completing any pre\-employment testing, or otherwise participating in the employment selection process, please direct your inquiries to application.accommodations@cai.io or (888\) 824 – 8111\.
 $70,000 \- $75,000 per year
 The pay range for this position is listed above. Exact compensation may vary based on several factors, including location, experience, and education. Benefit packages include medical, dental, and vision insurance, as well as 401k retirement account access. Employees in this role receive paid time off and may also be entitled to paid sick leave and/or other paid time off as provided by applicable law.</t>
        </is>
      </c>
    </row>
    <row r="82">
      <c r="A82" t="inlineStr">
        <is>
          <t>li-4359057710</t>
        </is>
      </c>
      <c r="B82" t="inlineStr">
        <is>
          <t>Software Engineer</t>
        </is>
      </c>
      <c r="C82" t="inlineStr">
        <is>
          <t>Brooksource</t>
        </is>
      </c>
      <c r="D82" t="inlineStr">
        <is>
          <t>linkedin</t>
        </is>
      </c>
      <c r="E82">
        <f>HYPERLINK("https://www.linkedin.com/jobs/view/4359057710", "https://www.linkedin.com/jobs/view/4359057710")</f>
        <v/>
      </c>
      <c r="F82" t="inlineStr"/>
      <c r="G82" t="inlineStr">
        <is>
          <t>Eden Prairie, MN</t>
        </is>
      </c>
      <c r="H82" t="inlineStr"/>
      <c r="I82" t="inlineStr">
        <is>
          <t>**Title: Software Engineer**
**Employment Type: Contract to Hire**
**Location: Fully On\-Site in Eden Prairie, MN**
 Brooksource is seeking an Associate Software Engineer to join a growing team at a Fortune 25 healthcare client. The organization is focusing on product modernization and digitizing applications. This role is special because not only are you entering a program designed to teach you the enviorment from day one, but you also are given a training curriculum to help you grow personally and professionally.
 Qualified candidates will have strong understanding of web application development and the software development life cycle. This is a great opportunity to get in on the ground floor of a cutting\-edge technology stack and impact future growth within the organization.
**QUALIFICATIONS:** 
* Bachelor’s degree in Computer Science or related degree program
* 1\+ years of software engineering experience in Java/J2EE
* Understanding of the Software Development Life Cycle as well as a grasp of what it means to be in an Agile environment
* Familiarity with Microsoft Azure cloud services, including core compute, storage, or deployment concepts.
* Exposure to AI and machine learning fundamentals through coursework or hands‑on projects.
* Foundational understanding of large language models (LLMs) and modern generative AI technologies.
* Interest in applying cloud‑based AI tools and exploring emerging frameworks within the Azure ecosystem.
**RESPONSIBILITIES:** 
* Contribute to the design, development, deployment, and support of software, including opportunities to learn how solutions integrate with Azure services.
* Assist with system enhancements, refactoring technical debt, and researching emerging technologies—especially cloud, AI, and LLM‑based tools.
* Design and develop APIs that support both current business needs and future cloud‑first or AI‑enabled initiatives.
* Build services that interact with Kafka and convert Spark/Scala code to API services, with exposure to optimization in Azure environments.
* Support team exploration of AI and large language models through research, prototypes, and related coursework.
* Participate in agile ceremonies, including stand‑ups, iteration planning, and design reviews.
**About Eight Eleven:**
*Eight Eleven Group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t>
        </is>
      </c>
    </row>
    <row r="83">
      <c r="A83" t="inlineStr">
        <is>
          <t>li-4362843177</t>
        </is>
      </c>
      <c r="B83" t="inlineStr">
        <is>
          <t>Senior Full-Stack Software Engineer</t>
        </is>
      </c>
      <c r="C83" t="inlineStr">
        <is>
          <t>Synergy ECP</t>
        </is>
      </c>
      <c r="D83" t="inlineStr">
        <is>
          <t>linkedin</t>
        </is>
      </c>
      <c r="E83">
        <f>HYPERLINK("https://www.linkedin.com/jobs/view/4362843177", "https://www.linkedin.com/jobs/view/4362843177")</f>
        <v/>
      </c>
      <c r="F83">
        <f>HYPERLINK("https://www.adzuna.com/details/5475222485?v=B67D01845E3303E520EB4F472FAC03AFCE7DBF52&amp;r=21065298&amp;frd=e8e3a14f622b75ca5c1c6478d0baad54&amp;ccd=b17a942e640766d46caaa5c82028d508&amp;utm_source=linkedin7&amp;utm_medium=organic&amp;chnlid=1931&amp;title=Senior%20Full-Stack%20Software%20Engineer&amp;a=e&amp;urlHash=lCbI", "https://www.adzuna.com/details/5475222485?v=B67D01845E3303E520EB4F472FAC03AFCE7DBF52&amp;r=21065298&amp;frd=e8e3a14f622b75ca5c1c6478d0baad54&amp;ccd=b17a942e640766d46caaa5c82028d508&amp;utm_source=linkedin7&amp;utm_medium=organic&amp;chnlid=1931&amp;title=Senior%20Full-Stack%20Software%20Engineer&amp;a=e&amp;urlHash=lCbI")</f>
        <v/>
      </c>
      <c r="G83" t="inlineStr">
        <is>
          <t>Annapolis Junction, MD</t>
        </is>
      </c>
      <c r="H83" t="inlineStr"/>
      <c r="I83" t="inlineStr">
        <is>
          <t>Founded in 2007 and headquartered in Columbia, Maryland, Synergy ECP is a leading provider of cybersecurity, software and systems engineering and IT services to the U.S. intelligence and defense communities. The company leverages its expertise in data transport solutions, software and systems engineering, and other solutions to deliver critical and innovative capabilities to high\-level decision makers that enhance our nation’s security.
 In an ultra\-competitive environment, Synergy ECP has thrived by adhering to our name, making sure excellence is displayed by our Employees, to our Customers and by Improving Performance (ECP). It’s what sets us apart, enabling us to be an autonomous yet agile business that delivers huge results—showing we’re ready to meet our customers’ evolving demands. Synergy ECP has earned a client list that includes numerous Fortune 100 companies, in addition to multiple branches of the US government and military services.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Fourteen (14\) years’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 Analyze user requirements to derive software design and performance requirements\-Design and code new software or modify existing software to add new features\-Debug existing software and correct defects\-Integrate existing software into new or modified systems or operating environments\-Develop simple data queries for existing or proposed databases or data repositories\-Provide recommendations for improving documentation and software development process standards\-Develop or implement algorithms to meet or exceed system performance and functional standards\-Assist with developing and executing test procedures for software components\-Write or review software and system documentation\-Develop software solutions by analyzing system performance standards, confer with users or system engineers; analyze systems flow, data usage and work processes; and investigate problem areas\-Serve as team lead at the level appropriate to the software development process being used on any particular project\-Modify existing software to correct errors, to adapt to new hardware, or to improve its performance\-Design, develop and modify software systems, using scientific analysis and mathematical models to predict and measure outcome and consequences of design\-Design or implement complex database or data repository interfaces/queries\-Oversee one or more software development teams and ensure the work is completed in accordance with the constraints of the software development process being used on any particular project\-Design or implement complex algorithms requiring adherence to strict timing, system resource, or interface constraints; Perform quality control on team products\-Confer with system engineers and hardware engineers to derive software requirements and to obtain information on project limitations and capabilities, performance requirements and interfaces\-Coordinate software system installation and monitor equipment functioning to ensure operational specifications are met\-Implement recommendations for improving documentation and software development process standards
 This position requires in\-scope poly, within 7 years.
 Candidate will provide software development support on a model repository. Developer will required to have full\-stack experience and desire to span front\-end (JavaScript, React) to back\-end (MongoDB)
 Required Skills\- Backend: NodeJS, Typescript, Express\- Frontend: React\- Database: MongoDB or similar NoSQL tech\- Containers: Docker or equivalent\- Cloud: S3, EKS\- CI/CD: GitLab
**Clearance Required**
 Desired Skills\- Python, dataflow, AWS
 TS/SCI w/ Polygraph
**Other Requirements**
 U.S. Citizenship
**Compensation Spotlight**
 For this role, our typical salary range starts at $190,000 and stretches up to $225,000\. But here's the deal – we're not about capping your potential. We're committed to snapping up the best and brightest, and we're ready to put our money where our mouth is. So, if you're one of the rare exceptions to the status quo with the education, experience, and that extra something special, we're not afraid to go above and beyond to secure your talent. Because for us, it's not just about a salary. It's about the complete rewards package, the culture, and the opportunity to make a real impact.
 **Taking Care of the People Who Take Care of The Nation**
 Compensation: We offer highly competitive compensation that is consistently recognized by our employees as being generous!
 Health \&amp; Retirement: We offer a comprehensive Health Benefits package and 401K Retirement plan so you can take care of yourself and your family... both now and in the future. Other health\-related benefits include an employee Gym wellness benefit, People Partners who will help you navigate both personal and professional worlds, as well as strong wellness related resources offered through our healthcare provider.
 Education: Individual growth is a priority at Synergy ECP. Employees are encouraged to take advantage of our company\-sponsored continuing education program so they can get their degree or that next certification needed to propel them towards the next level. Not sure what's best for your career plans, we'll help you navigate it all!
 Work/Life Balance: A healthy work/life balance is essential for building and executing your work effectively at Synergy ECP, but it’s also necessary to allow you the room to pursue everything you want to develop in your personal life. We offer a generous Paid Time Off benefit and 11 paid holidays a year. Synergy ECP also provides flexible work options that work with your schedule and lifestyle.
 Philanthropy: With the help of our amazing employees, Synergy ECP participates annually in building awareness, volunteering and contributing to dozens of organizations. We believe that giving back creates a sense of purpose, engagement, and fulfillment. Have a cause you are passionate about? We bet you'll find others here that care about it just as much!
 Great Corporate Facilities: Come by our corporate office and enjoy a weekly happy hour, take a drive to nearby restaurants, grab a snack or coffee in our café, or utilize our collaborative office space and conference rooms.
 SkillBridge: Our SkillBridge Program takes the incredible experience our servicemembers already have and shows them how to apply it within corporate environments. We are fanatical about helping our Military!
 Synergy ECP is committed to providing equal employment opportunities to all qualified individuals. Employment decisions are based on merit, qualifications, and business needs. We do not discriminate on the basis of race, color, sex, national origin, religion, age, disability, or any other status protected by applicable law.
 We welcome candidates from all backgrounds and are dedicated to maintaining a professional and respectful workplace where every employee can succeed.</t>
        </is>
      </c>
    </row>
    <row r="84">
      <c r="A84" t="inlineStr">
        <is>
          <t>li-4317493070</t>
        </is>
      </c>
      <c r="B84" t="inlineStr">
        <is>
          <t>Lead Software Engineer, Identity</t>
        </is>
      </c>
      <c r="C84" t="inlineStr">
        <is>
          <t>Zeta Global</t>
        </is>
      </c>
      <c r="D84" t="inlineStr">
        <is>
          <t>linkedin</t>
        </is>
      </c>
      <c r="E84">
        <f>HYPERLINK("https://www.linkedin.com/jobs/view/4317493070", "https://www.linkedin.com/jobs/view/4317493070")</f>
        <v/>
      </c>
      <c r="F84" t="inlineStr"/>
      <c r="G84" t="inlineStr">
        <is>
          <t>San Francisco, CA</t>
        </is>
      </c>
      <c r="H84" t="inlineStr"/>
      <c r="I84" t="inlineStr">
        <is>
          <t>**Who We Are**
 Zeta Global (NYSE: ZETA) is the AI\-Powered Marketing Cloud that leverages advanced artificial intelligence (AI) and trillions of consumer signals to make it easier for marketers to acquire, grow, and retain customers more efficiently. Through the Zeta Marketing Platform (ZMP), our vision is to make sophisticated marketing simple by unifying identity, intelligence, and omnichannel activation into a single platform – powered by one of the industry’s largest proprietary databases and AI. Our enterprise customers across multiple verticals are empowered to personalize experiences with consumers at an individual level across every channel, delivering better results for marketing programs. Zeta was founded in 2007 by David A. Steinberg and John Sculley and is headquartered in New York City with offices around the world. To learn more, go to www.zetaglobal.com.
**The Opportunity**
 At Zeta Global, identity is at the core of our marketing cloud. The Identity team builds and operates backend services that power the Zeta Identity Graph \- collecting, resolving, and maintaining billions of behavioral, demographic, and transactional signals. These services enable people\-based marketing at scale, ensure trust and transparency in how identity data is managed, and provide critical APIs and event streams consumed across Zeta’s platform. Our systems support more than 235 million consumer profiles and process billions of events monthly, requiring services that are highly available, low\-latency, and built to scale
 We are looking for a
 **Lead Software Engineer** 
 who brings strength in both
 **backend distributed systems and data engineering** 
**.** 
 In this role, you’ll design APIs and event\-driven services, scale our systems to handle rapidly growing data volumes, and modernize our platform for resilience, transparency, and performance.
**You Will**
* Design and build backend services and APIs for identity resolution, graph transparency, and integrations.
* Develop and optimize event\-driven pipelines and workflows processing billions of signals.
* Deploy and operate cloud\-native services on EKS/Kubernetes, leveraging Helm for repeatable deployments.
* Ensure reliability, observability, and scalability across services and data pipelines.
* Collaborate across engineering, product, and data teams to deliver end\-to\-end identity solutions.
* Mentor engineers and influence architecture and roadmap
**You Have**
* 5\+ years of experience in backend and/or data engineering at scale.
* Strong skills in Python, Java, or Scala, with expertise in APIs, distributed systems, and event\-driven design.
* Hands\-on experience with Kafka (or similar), Spark/Hive/Flink, and workflow schedulers (Airflow/Luigi).
* Proficiency with Kubernetes (EKS preferred) and deployment practices (Helm, service meshes).
* Solid knowledge of SQL, data modelling, and cloud platforms (AWS).
* Familiarity with columnar / NoSQL databases (Aerospike, Snowflake, HBase, Scylla, Couchbase).
* Strong communication skills and a track record of driving technical direction and mentoring teams.
**Bonus Skills**
* Experience with large\-scale or multi\-tenant distributed systems.
* Exposure to real\-time streaming frameworks (Flink, Storm).
* Knowledge of open table formats (Iceberg, Hudi, Delta Lake).
* Background in security, compliance, or privacy related to identity systems.
**Benefits \&amp; Perks**
* Unlimited PTO
* Excellent medical, dental, and vision coverage
* Employee Equity
* Employee Discounts, Virtual Wellness Classes, and Pet Insurance And more!!
**SALARY RANGE**
 The salary range for this role is $150,000 \- $200,000, depending on location and experience.
**PEOPLE \&amp; CULTURE AT ZETA**
 Zeta considers applicants for employment without regard to, and does not discriminate on the basis of an individual’s sex, race, color, religion, age, disability, status as a veteran, or national or ethnic origin; nor does Zeta discriminate on the basis of sexual orientation, gender identity or expression.
 We’re committed to building a workplace culture of trust and belonging, so everyone feels invited to bring their whole selves to work. We provide a forum for employees to celebrate, support and advocate for one another. Learn more about our commitment to diversity, equity and inclusion here: https://zetaglobal.com/blog/a\-look\-into\-zetas\-ergs/
**ZETA IN THE NEWS!**
 https://zetaglobal.com/press/?cat\=press\-releases</t>
        </is>
      </c>
    </row>
    <row r="85">
      <c r="A85" t="inlineStr">
        <is>
          <t>li-4355198480</t>
        </is>
      </c>
      <c r="B85" t="inlineStr">
        <is>
          <t>Manager, Software Engineering, Tools</t>
        </is>
      </c>
      <c r="C85" t="inlineStr">
        <is>
          <t>Apple</t>
        </is>
      </c>
      <c r="D85" t="inlineStr">
        <is>
          <t>linkedin</t>
        </is>
      </c>
      <c r="E85">
        <f>HYPERLINK("https://www.linkedin.com/jobs/view/4355198480", "https://www.linkedin.com/jobs/view/4355198480")</f>
        <v/>
      </c>
      <c r="F85" t="inlineStr"/>
      <c r="G85" t="inlineStr">
        <is>
          <t>Cupertino, CA</t>
        </is>
      </c>
      <c r="H85" t="inlineStr"/>
      <c r="I85" t="inlineStr">
        <is>
          <t>**Summary**
 We are hiring an Engineering Manager to lead our Internal Tools team. This role focuses on team leadership, culture maintenance, and project delivery. The team is focused on internal users, and develops applications using a variety of languages. The manager's primary responsibility will be to support the team and ensure the successful delivery of internal software solutions.
**Description**
 The Software Engineering Manager will oversee a team responsible for building and maintaining internal software systems.nnKey responsibilities include:n
* Team Leadership: Manage, coach, and mentor software engineers. Conduct performance reviews and support professional development.n
* Culture Development: Foster a productive and inclusive team environment. Promote effective communication and collaboration.n
* Planning u0026 Execution: Collaborate with stakeholders to define team roadmaps, prioritize projects, and allocate resources. Ensure timely delivery of software.n
* Process Improvement: Implement and refine development processes to improve team efficiency.n
* Technical Understanding: Maintain an understanding of the team's technical architecture and guide technical discussions. Address technical debt and ensure solutions are scalable and maintainable.n
* Hiring: Participate in the recruitment and onboarding of new engineering talent.n
* Collaboration: Coordinate with other departments to manage project dependencies and communicate team progress.n
* Blocker Removal: Identify and resolve impediments for the team.
**Minimum Qualifications**
 5\+ years of experience in a leadership role managing software engineering teams.nPrior experience as a software engineer with a strong understanding of the software development lifecycle and engineering best practices.nDemonstrated ability to coach and develop engineers.nExperience with project planning and resource allocation.
**Preferred Qualifications**
 Experience managing teams working with functional programming languages, specifically Clojure.nExperience building internal tools or platform systems.nFamiliarity with multiple programming languages (e.g., Swift, Python, JavaScript, Clojure).nExperience managing distributed or remote teams.nTrack record of driving process improvements.nStrong communication and interpersonal skills.nAbility to build and maintain a functional team environment.
**Pay \&amp; Benefits**
 At Apple, base pay is one part of our total compensation package and is determined within a range. This provides the opportunity to progress as you grow and develop within a role. The base pay range for this role is between $176,600 and $313,500,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86">
      <c r="A86" t="inlineStr">
        <is>
          <t>li-4357668476</t>
        </is>
      </c>
      <c r="B86" t="inlineStr">
        <is>
          <t>Senior / Staff Software Engineer, Apple Data Platform</t>
        </is>
      </c>
      <c r="C86" t="inlineStr">
        <is>
          <t>Apple</t>
        </is>
      </c>
      <c r="D86" t="inlineStr">
        <is>
          <t>linkedin</t>
        </is>
      </c>
      <c r="E86">
        <f>HYPERLINK("https://www.linkedin.com/jobs/view/4357668476", "https://www.linkedin.com/jobs/view/4357668476")</f>
        <v/>
      </c>
      <c r="F86" t="inlineStr"/>
      <c r="G86" t="inlineStr">
        <is>
          <t>Cupertino, CA</t>
        </is>
      </c>
      <c r="H86" t="inlineStr"/>
      <c r="I86" t="inlineStr">
        <is>
          <t>**Summary**
 The Apple Data Platform team powers the data analytics, exploration, and feature engineering that fuel Siri, Search, Music, Maps, iCloud, and many other beloved products across the Apple ecosystem. Our mission is to provide engineers and data scientists with an innovative, reliable, secure, and user\-friendly platform for ingesting, storing, processing, and interacting with data—ultimately enabling teams to derive insights that drive product success.nApple Batch is a fully managed platform within the Apple Data Platform that supports large\-scale batch and ML workloads across Apple data centers and AWS/GCP. It orchestrates containerized workloads such as Spark, Ray, and LLM batch inference using YuniKorn/Kueue for advanced multi\-cluster scheduling. The platform delivers org/team quota management, automatic node repair, end\-to\-end observability, strong security, and granular cost reporting. As we scale Apple Batch across all Data and AI services and Apple\-wide ADP customers, we are seeking a Staff/Architect\-level technical lead to shape its evolution and drive platform adoption across the company.n
**Description**
 Apple Batch, a core platform within the Apple Data/AI ecosystem, enables large\-scale scheduling, orchestration, efficiency, and observability for AI and Data workloads across Apple data centers and public cloud providers. We are looking for a Staff/Architect\-level technical lead to drive the next generation of the platform and scale it across all Data and AI services and Apple\-wide ADP customers.
**Minimum Qualifications**
 Demonstrated expertise in large\-scale scheduling/orchestration for Data and AI workloads on Kubernetes, Slurm, or similar platforms.nStrong proficiency with cloud\-native infrastructure across multi\-cloud environments including AWS, GCP, and on\-prem systems.nDeep knowledge of cluster\-scheduling technologies such as Kueue, Apache YuniKorn, or related ecosystems.nExperience or strong knowledge in GPU scheduling, accelerator\-aware placement, and optimization algorithms for large\-scale AI/ML workloads.nProven experience designing and operating large\-scale distributed systems with a deep focus on observability, scalability, and reliability.nDemonstrated ability to mentor engineers, influence architectural direction, drive cross\-functional alignment, and lead complex platform migrations or adoption at org\-wide scale.nBachelors/Masters/PhD in Computer Science or related field.n
**Preferred Qualifications**
 Open\-source contributions to scheduling/orchestration technologies such as Apache YuniKorn, Kueue, or similar systems.nExperience using GenAI technologies to improve developer productivity, streamline engineering processes, and accelerate team execution.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87">
      <c r="A87" t="inlineStr">
        <is>
          <t>li-4358419755</t>
        </is>
      </c>
      <c r="B87" t="inlineStr">
        <is>
          <t>Software Engineer - Level 1/2 (Space Systems) - R10218502</t>
        </is>
      </c>
      <c r="C87" t="inlineStr">
        <is>
          <t>Northrop Grumman</t>
        </is>
      </c>
      <c r="D87" t="inlineStr">
        <is>
          <t>linkedin</t>
        </is>
      </c>
      <c r="E87">
        <f>HYPERLINK("https://www.linkedin.com/jobs/view/4358419755", "https://www.linkedin.com/jobs/view/4358419755")</f>
        <v/>
      </c>
      <c r="F87">
        <f>HYPERLINK("https://jsv3.recruitics.com/redirect?rx_cid=3658&amp;rx_jobId=R10218502&amp;rx_url=https%3A%2F%2Fjobs.northropgrumman.com%2Fcareers%2Fjob%2F1340069341614%3Fcode%3DJB-18202%26domain%3Dngc.com%26rx_campaign%3DLinkedin1%26rx_ch%3Dconnector%26rx_group%3D375073%26rx_id%3D34fae232-ec19-11f0-a553-b925949b21e6%26rx_job%3DR10218502%26rx_medium%3Dpost%26rx_r%3Dnone%26rx_source%3DLinkedin%26rx_ts%3D20260115T181210Z%26rx_vp%3Dslots%26source%3DJB-18202%26utm_audience%3Dprospectivetalentemployees%26utm_campaign%3Dta-general%26utm_content%3Djobfeed%26utm_format%3Dcpl%26utm_medium%3Djobboard%26utm_network%3Dpartnerdirect%26utm_source%3Dlinkedin-jobslots&amp;urlHash=aWh0", "https://jsv3.recruitics.com/redirect?rx_cid=3658&amp;rx_jobId=R10218502&amp;rx_url=https%3A%2F%2Fjobs.northropgrumman.com%2Fcareers%2Fjob%2F1340069341614%3Fcode%3DJB-18202%26domain%3Dngc.com%26rx_campaign%3DLinkedin1%26rx_ch%3Dconnector%26rx_group%3D375073%26rx_id%3D34fae232-ec19-11f0-a553-b925949b21e6%26rx_job%3DR10218502%26rx_medium%3Dpost%26rx_r%3Dnone%26rx_source%3DLinkedin%26rx_ts%3D20260115T181210Z%26rx_vp%3Dslots%26source%3DJB-18202%26utm_audience%3Dprospectivetalentemployees%26utm_campaign%3Dta-general%26utm_content%3Djobfeed%26utm_format%3Dcpl%26utm_medium%3Djobboard%26utm_network%3Dpartnerdirect%26utm_source%3Dlinkedin-jobslots&amp;urlHash=aWh0")</f>
        <v/>
      </c>
      <c r="G87" t="inlineStr">
        <is>
          <t>Redondo Beach, CA</t>
        </is>
      </c>
      <c r="H87" t="inlineStr"/>
      <c r="I87" t="inlineStr">
        <is>
          <t>RELOCATION ASSISTANCE: Relocation assistance may be available
 CLEARANCE TYPE: SCI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**We are seeking either an Associate Software Engineer (level 1\) or a Software Engineer (level 2\) to join our talented team. This position is located in Redondo Beach, CA, and offers domestic and international travel opportunities.**
 This program is a large restricted group executing across both Development and Operations and Maintenance (O\&amp;M) tasks. The SW Engineering IPT focuses on the development and sustainment of several mission operational SW product lines, as well as the development of new capabilities as coordinated with their restricted SCI Customer.
 The SW IPT is a large team comprising of multiple subsystems, each with a specialized software focus. We are looking for an energetic and passionate software engineer to join our team as we work to provide innovative solutions to complex issues in support of our Customer’s national security mission in the areas of Ground Enterprise Modernization and Transition Discrepancy Reports (DRs).
*This requisition may be filled at a higher grade based on qualifications listed below.*
**Basic Qualifications**
* Associate Software Engineer: 0 Years with Bachelors in Science; an additional 4 years of experience may be considered in lieu of degree
* Software Engineer: 2 Years with Bachelors in Science; 0 Years with Masters; an additional 4 years of experience may be considered in lieu of degree
* Active SSBI required at the time of application, and the ability to obtain SCI prior to start
* Advanced Object\-Oriented programming skills
* Proficiency with C\+\+ programming
* Knowledge of Red Hat Enterprise Linux operating system
**Preferred Qualifications**
* DevSecOps Test Automation experience
* Experience with programming/scripting languages: C. C\+\+. Java, Python, Perl)
* Strong in math and algorithms
* Excellent communication and interpersonal skills, with the ability to interface with all levels of employees, management, and stakeholders
* Previous participation on an Agile scrum team or familiarity with the Agile process
* Familiarity with the Atlassian Tool Suite (Confluence, Jira, Bitbucket, Bamboo)
* Experience developing in a Linux environment using git
* Demonstrated problem solving and decision making skills
* Active TS/SCI security clearance
 Primary Level Salary Range: $76,200\.00 \- $114,400\.00
 Secondary Level Salary Range: $91,800\.00 \- $137,600\.00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88">
      <c r="A88" t="inlineStr">
        <is>
          <t>li-4355198704</t>
        </is>
      </c>
      <c r="B88" t="inlineStr">
        <is>
          <t>Sr Software Engineer, AI u0026 Data Platforms (AiDP)</t>
        </is>
      </c>
      <c r="C88" t="inlineStr">
        <is>
          <t>Apple</t>
        </is>
      </c>
      <c r="D88" t="inlineStr">
        <is>
          <t>linkedin</t>
        </is>
      </c>
      <c r="E88">
        <f>HYPERLINK("https://www.linkedin.com/jobs/view/4355198704", "https://www.linkedin.com/jobs/view/4355198704")</f>
        <v/>
      </c>
      <c r="F88" t="inlineStr"/>
      <c r="G88" t="inlineStr">
        <is>
          <t>California, United States</t>
        </is>
      </c>
      <c r="H88" t="inlineStr"/>
      <c r="I88" t="inlineStr">
        <is>
          <t>**Summary**
 Imagine what you could do here. At Apple, we believe new insights have a way of becomingnexcellent products, services, and customer experiences very quickly. Bring passion and dedication to your job and there’s no telling what you could accomplish. The people here at Apple don’t just create products, they create the kind of wonder that’s revolutionized entire industries. It’s the diversity of those people and their ideas that inspires the innovation that runs through everything we do.nn
**Description**
 Join our team and help us build intelligent, scalable solutions. You'll be at the forefront, architecting, designing, and implementing highly available enterprise solutions that truly match Apple's scale. We are working on a developer experience platform for internal use to assist our app development teams accelerate their SDLC.nThe role focuses on enhancing existing Java based frameworks and development tools for codenmodernization by combining LLM's with engineering practices to drive higher developernproductivity. You will collaborate with other software engineers, and other data scientists to deliver end to end solutions for this platform. If you're excited about shaping impactful solutions in a collaborative, experiment\-driven environment, this role is for you.
**Minimum Qualifications**
 Bachelors in Computer Science or equivalent experience. n5\+ years software development experience with Java.n5\+ years experience building large scale distributed systems.n5\+ years leading software design u0026 architecture.n2\+ years programming with Python. n
**Preferred Qualifications**
 Experience with using and developing OpenRewrite recipes.nExperience leading and mentoring engineers.nExperience building agent\-based systems and agentic workflows.nSolid understanding of data modeling and database systems including PostgreSQL, MongoDB, u0026 other NOSQL technologies.nExperience with cloud platforms (AWS, GCP), CI/CD, and container orchestration (e.g Kubernetes ).nExperience building applications with Java and J2EE/Jakarta EE related technologies: Spring Framework, Spring Boot.nExperience working with AI , such as building MCP servers, designing prompts u0026 integrating LLM's.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89">
      <c r="A89" t="inlineStr">
        <is>
          <t>li-4361195091</t>
        </is>
      </c>
      <c r="B89" t="inlineStr">
        <is>
          <t>Full Stack Developer / Software Engineer II (US)</t>
        </is>
      </c>
      <c r="C89" t="inlineStr">
        <is>
          <t>TD</t>
        </is>
      </c>
      <c r="D89" t="inlineStr">
        <is>
          <t>linkedin</t>
        </is>
      </c>
      <c r="E89">
        <f>HYPERLINK("https://www.linkedin.com/jobs/view/4361195091", "https://www.linkedin.com/jobs/view/4361195091")</f>
        <v/>
      </c>
      <c r="F89">
        <f>HYPERLINK("https://td.wd3.myworkdayjobs.com/fr-CA/TD_Bank_Careers/job/Fort-Lauderdale-Florida/Full-Stack-Developer\u002d\u002d-Software-Engineer-II\u002d\u002dUS-_R_1438287-1?source=LinkedIn&amp;urlHash=LdZS", "https://td.wd3.myworkdayjobs.com/fr-CA/TD_Bank_Careers/job/Fort-Lauderdale-Florida/Full-Stack-Developer\u002d\u002d-Software-Engineer-II\u002d\u002dUS-_R_1438287-1?source=LinkedIn&amp;urlHash=LdZS")</f>
        <v/>
      </c>
      <c r="G89" t="inlineStr">
        <is>
          <t>Fort Lauderdale, FL</t>
        </is>
      </c>
      <c r="H89" t="inlineStr"/>
      <c r="I89" t="inlineStr">
        <is>
          <t>**Work Location:**
 Fort Lauderdale, Floride, États\-Unis d'Amérique
**Hours**
 40
**Pay Details**
 $74,000 \- $127,000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Solutions technologiques
**Job Description**
 Full stack Java developer with background knowledge of developing Restful API's, integrating with different back end systems, designing And developing UI components using Angular. Error handling, and being able to write quality code making it reusable, scalable and highly performant.
**Depth \&amp; Scope**
* Advanced knowledge of specific domain or range of engineering frameworks, technology, tools, processes and procedures, as well as organization issues
* Performs complex to difficult technical tasks independently
* Advanced knowledge of technology, tools, various programming languages, processes, and procedures
* Develops program specifications; adapts, integrates, codes, tests and debugs programs; and is responsible for executing
* Uses existing procedures to solve routine problems; makes limited exceptions
**Education \&amp; Experience**
* Undergraduate degree, Postgraduate degree or Technical Certificate
* Strong academic background (e.g., computer science, engineering)
* 3\-5 years relevant experience
**Preferred Qualifications**
* Should have hands on experience on software development, using Java Springboot, microservice architecture / RESTful APIs / JSON/GraphQL, relational database development (SQL Server) in cloud CI/CD based deployment environment in Azure cloud.
* Should be able to communicate with internal team and external teams n the organization and able to resolve blockers within and between cross functional teams.
**Customer Accountabilities**
* Develops new solutions as required for engineering programs and projects within assigned area
* Develops new features and performs unit / component test for new application development initiatives aligned to business needs and in accordance with technology architecture standards
* Supports business enquiries and business activities through execution of small enhancements and break / fix implementations (e.g. source code changes) May also be responsible for peer code review
* Works with technology partners to ensure the configuration and custom components meet application requirements and performance goals
* Analyzes the technical requirements to recommend pragmatic and sound engineering specific solutions for own area, may be involved in coding/story estimates
* Works with other stakeholders, internal technology partners to ensure engineering solutions meet technical direction, requirements, performance, time\-to\-market and innovation goals
* Monitors product lifecycles, ensuring specifications and functionality support business objectives and engineering decisions, undertaking re\-development where required
* Documents and verifies system components, applications, system infrastructure, security, integration, operability and engineering related architecture designs associated with a program or project
* Participates in quality management reviews, in particular reviews of the designs, prototypes and other requirements work products to ensure they fulfill the requirements
* Creates and maintains quality code, ensures defect free programming consistent with standards; provides code maintenance and support during testing cycles and post\-production deployment and participates in reviewing peer coding
* Provides technical expertise during Incident management, analyzes incident reports and outages, performs impact assessment for incidents and facilitates internal and external communication throughout incident resolution
* Participates in identifying and recommending development / testing solutions / tools in support of project / application objectives
* Assists in the development / maintenance of comprehensive processes for prevention of issues and participate in problem determination and timely resolution of incidents applying appropriate quality measures
**Shareholder Accountabilities**
* Adheres to enterprise frameworks or methodologies that relate to software engineering activities
* Ensures respective programs/ policies/practices are well managed, meets business needs, complies with internal and external requirements, and aligns with business priorities
* Collaboratively engages with relevant stakeholders at all levels, both internal and external, to shift from finding defects to proactively preventing defects
* Actively seeks and supports continuous improvement and automation opportunities within the engineering practice
* Conducts meaningful analysis at the functional or enterprise level using results to draw conclusions, make recommendations, assess the effectiveness of programs/ policies/ practices
* Identify opportunities to minimize cost, provide recommendations and/or deliver corresponding strategic solutions to support cost effectiveness and to enhance stakeholder experience
* Conducts code reviews to ensure adherence to quality, standards compliance, reusability and ease of maintenance, Operational Readiness Reviews, and supporting gating and review sign\-offs for solution design
* Monitors service, productivity and assesses efficiency levels within own function and implement continuous process / performance improvements where opportunities exists
* Leads / facilitates and/or implements actions / remediation plans to address performance / risk /governance issues
* Actively manages relationships within and across various business lines, corporate and/or control functions and ensures alignment with enterprise and/or regulatory requirements
* Protects the interests of the organization – identifies and manage risks, and escalates non\-standard, high risk activities as necessary
* Keeps abreast of emerging issues, trends, and evolving regulatory requirements and assesses potential impacts
* Maintains a culture of risk management and control, supported by effective processes in alignment with risk appetite
**Employee/Team Accountabilities**
* Participates fully as a member of the team, supports a positive work environment that promotes service to the business, quality, innovation and teamwork and ensures timely communication of issues/ points of interest
* Provides thought leadership and/ or industry knowledge for quality engineering best practices and participates in knowledge transfer within the team and business unit
* Keeps current on emerging trends/ developments and grows knowledge of the business, related tools and techniques
* Participates in personal performance management and development activities, including cross training within own team
* Keeps others informed and up\-to\-date about the status / progress of projects and / or all relevant or useful information related to day\-to\-day activities
* Actively mentors and enables team members by sharing knowledge and leveraging engineering best practices
* Supports the team by providing guidance and proactively identifying and resolving issues
* Leads, motivates and develops relationships with internal and external business partners / stakeholders to develop productive working relationships
* Contributes to a fair, positive and equitable environment that supports a diverse workforce
* Acts as a brand ambassador for your business area/function and the bank, both internally and/or externally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
 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Include your full name, best way to reach you and the accommodation needed to assist you with the applicant process.</t>
        </is>
      </c>
    </row>
    <row r="90">
      <c r="A90" t="inlineStr">
        <is>
          <t>li-4359108402</t>
        </is>
      </c>
      <c r="B90" t="inlineStr">
        <is>
          <t>Senior Software Engineer - Cloud Services Engineering</t>
        </is>
      </c>
      <c r="C90" t="inlineStr">
        <is>
          <t>Apple</t>
        </is>
      </c>
      <c r="D90" t="inlineStr">
        <is>
          <t>linkedin</t>
        </is>
      </c>
      <c r="E90">
        <f>HYPERLINK("https://www.linkedin.com/jobs/view/4359108402", "https://www.linkedin.com/jobs/view/4359108402")</f>
        <v/>
      </c>
      <c r="F90" t="inlineStr"/>
      <c r="G90" t="inlineStr">
        <is>
          <t>Austin, TX</t>
        </is>
      </c>
      <c r="H90" t="inlineStr"/>
      <c r="I90" t="inlineStr">
        <is>
          <t>**Summary**
 Imagine what you could do at Apple! Here, phenomenal ideas have a way of becoming great products, services, and customer experiences very quickly. We are seeking an extraordinary Software Engineer to join us in Apple Services Engineering focusing on designing, implementing, and managing new capabilities and tools for Kubernetes across data centers, private compute, and public cloud environments. Our team is responsible for ensuring the robust and scalable Kubernetes infrastructure, supporting critical Apple services, and collaborating with diverse internal customers. If this interests your creative and development chops, come join our team!
**Description**
 This is a highly technical, hands\-on role within Apple Services Engineering. You'll be instrumental in designing, implementing, and managing new capabilities and tools for Kubernetes across both data centers and private compute environments, as well as public cloud services.nnWe're looking for someone with extensive and deep experience in infrastructure and application management, coupled with practical knowledge of Kubernetes, public cloud platforms, software engineering, operations, and automation. You'll be responsible for ensuring the robust and scalable operation of our Kubernetes infrastructure, supporting critical Apple services.nnA key aspect of this role involves building and managing relationships with a diverse set of internal customers who rely on the platform. Your ability to collaborate effectively will be critical to our collective success. You'll be joining a team of highly skilled, enthusiastic, and passionate engineers working in a leading\-edge and constantly evolving space.
**Minimum Qualifications**
 2\+ YOE of strong Kubernetes knowledgen2\+ YOE of proficiency with various programming languages such as Go or Java and API patterns using REST/gRPCnExperience with developer tooling and containerization.nExperience operating and developing infrastructure and services in public cloud environmentsnExcellent communications skills, capable of working with cross functional technical and business teams and varying levels of management, in a professional manner.nBachelor's in Computer Science or equivalent
**Preferred Qualifications**
 Experience working with open source projects
**Pay \&amp; Benefits**
 u003cpu003eApple accepts applications to this posting on an ongoing basis.u003c/pu003e</t>
        </is>
      </c>
    </row>
    <row r="91">
      <c r="A91" t="inlineStr">
        <is>
          <t>li-4362842924</t>
        </is>
      </c>
      <c r="B91" t="inlineStr">
        <is>
          <t>Software Engineer</t>
        </is>
      </c>
      <c r="C91" t="inlineStr">
        <is>
          <t>Hyra</t>
        </is>
      </c>
      <c r="D91" t="inlineStr">
        <is>
          <t>linkedin</t>
        </is>
      </c>
      <c r="E91">
        <f>HYPERLINK("https://www.linkedin.com/jobs/view/4362842924", "https://www.linkedin.com/jobs/view/4362842924")</f>
        <v/>
      </c>
      <c r="F91" t="inlineStr"/>
      <c r="G91" t="inlineStr"/>
      <c r="H91" t="inlineStr"/>
      <c r="I91" t="inlineStr">
        <is>
          <t>Senior AI/ML Engineer
 Location: United States \| Type: Remote \| Salary: $150,800 \- $265,880 annual
 Hyra is working on behalf of Lockheed Martin to hire for the position of Senior AI/ML Engineer. This role involves designing, testing, and productizing AI/ML algorithms to solve complex business challenges and meet customer requirements. The engineer will develop scalable solutions by managing model architectures, data pipelines, and iterative system feedback.
 What you'll be doing
 • Design and create AI/ML models capable of learning and making predictions based on business logic
 • Manage the full lifecycle of models including training, retraining, deploying, and monitoring
 • Lead geographically diverse teams and serve as a primary point of contact for AI\-related matters
 • Integrate AI/ML models with data pipelines, infrastructure, and application development frameworks
 • Apply and interpret performance metrics to improve model accuracy and system performance
 What we're looking for
 • Active TS/SCI security clearance with polygraph
 • Advanced degree in math, AI, data science, or computer science with 10 years of deployment experience
 • Expert knowledge of multiple programming languages including Python, Java, and C\+\+
 • Proficiency with Hadoop and foundational concepts of data engineering and governance
 • Demonstrated experience in software engineering and AI/ML model test and evaluation
 What Lockheed Martin offers
 • Competitive and comprehensive benefits package
 • Medical and dental coverage
 • 401k retirement savings plan
 • Paid time off for work and life balance
 Apply via Hyra to be considered for this opportunity.</t>
        </is>
      </c>
    </row>
    <row r="92">
      <c r="A92" t="inlineStr">
        <is>
          <t>li-4362344599</t>
        </is>
      </c>
      <c r="B92" t="inlineStr">
        <is>
          <t>Senior Software Engineer - Enterprise Platform</t>
        </is>
      </c>
      <c r="C92" t="inlineStr">
        <is>
          <t>Baseten</t>
        </is>
      </c>
      <c r="D92" t="inlineStr">
        <is>
          <t>linkedin</t>
        </is>
      </c>
      <c r="E92">
        <f>HYPERLINK("https://www.linkedin.com/jobs/view/4362344599", "https://www.linkedin.com/jobs/view/4362344599")</f>
        <v/>
      </c>
      <c r="F92" t="inlineStr"/>
      <c r="G92" t="inlineStr">
        <is>
          <t>San Francisco, CA</t>
        </is>
      </c>
      <c r="H92" t="inlineStr"/>
      <c r="I92" t="inlineStr">
        <is>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$150M Series D, backed by investors including BOND, IVP, Spark Capital, Greylock, and Conviction. Join us and help build the platform engineers turn to to ship AI products.
**THE ROLE**
 As a Senior Enterprise Platform Engineer at Baseten, you'll architect and lead development of infrastructure and platform features for our enterprise customers and cloud partners. This includes enabling self\-hosted and single tenant clusters, region\-aware request routing, enterprise\-grade data and security integrations, and more.
**EXAMPLE INITIATIVES**
 You'll get to work on these types of projects as part of our Infrastructure team:
* Multi\-cloud capacity management
* Inference on B200 GPUs
* Multi\-node inference
* Fractional H100 GPUs for efficient model serving
**Responsibilities**
* Architect and develop infrastructure and platform features tailored for enterprise customers, including self\-hosted clusters, single\-tenant environments, and cross\-cloud workload orchestration.
* Lead technical initiatives to productize secure and scalable private connectivity solutions.
* Design and implement solutions addressing the complex regulatory and compliance requirements of our customers, including data residency, auditability, and enterprise data protection.
* Advance our self\-hosted infrastructure offerings, focusing on capacity management, release management, and observability tooling.
* Collaborate on partner\-focused initiatives to deliver secure, minimal Baseten deployments within partner environments.
* Evaluate and implement emerging virtualization technologies to enhance platform isolation and security.
* Independently develop technical specifications, collaborate cross\-functionally to define product requirements, and drive projects from conception through execution.
* Provide mentorship and leadership on enterprise infrastructure best practices, fostering knowledge\-sharing across engineering teams.
**Requirements**
* Bachelor's degree or higher in Computer Science or related field
* 5\+ years of experience building distributed systems, cloud infrastructure, or Kubernetes\-based solutions in production environments
* Past experience working with enterprise security, compliance, and privacy requirements
* Advanced understanding of distributed systems concepts, cloud architectures, and performance optimization
* Demonstrated ability to independently manage technical projects, from planning and specification through implementation
* Excellent collaboration and communication skills, with experience coordinating across functional teams and directly with customers
* Preferred experience working with AI/ML systems or familiarity with MLOps practices
**Benefits**
* Competitive compensation, including meaningful equity.
* 100% coverage of medical, dental, and vision insurance for employee and dependents
* Generous PTO policy including company wide Winter Break (our offices are closed from Christmas Eve to New Year's Day!)
* Paid parental leave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t>
        </is>
      </c>
    </row>
    <row r="93">
      <c r="A93" t="inlineStr">
        <is>
          <t>li-4357648721</t>
        </is>
      </c>
      <c r="B93" t="inlineStr">
        <is>
          <t>Software Engineer (Full Stack), Gu0026A Solutions Engineering (GSE)</t>
        </is>
      </c>
      <c r="C93" t="inlineStr">
        <is>
          <t>Apple</t>
        </is>
      </c>
      <c r="D93" t="inlineStr">
        <is>
          <t>linkedin</t>
        </is>
      </c>
      <c r="E93">
        <f>HYPERLINK("https://www.linkedin.com/jobs/view/4357648721", "https://www.linkedin.com/jobs/view/4357648721")</f>
        <v/>
      </c>
      <c r="F93">
        <f>HYPERLINK("https://jobs.apple.com/en-us/details/200556484&amp;urlHash=BPox", "https://jobs.apple.com/en-us/details/200556484&amp;urlHash=BPox")</f>
        <v/>
      </c>
      <c r="G93" t="inlineStr">
        <is>
          <t>Austin, TX</t>
        </is>
      </c>
      <c r="H93" t="inlineStr"/>
      <c r="I93" t="inlineStr">
        <is>
          <t>**Summary**
 Imagine what you could do here… At Apple, new ideas have a way of becoming great products, services, and customer experiences very quickly. What inspires you? Creating something new and finding solutions to complex problems? Bring passion and dedication to your job and there's no telling what you could accomplish.nnISu0026T Corporate Systems team is looking for a creative and motivated Software Engineer with excellent problem solving and interpersonal skills. The work we do here has a large impact on Apple, from enabling our internal businesses to do their best work, to providing rich, highly useable experiences to our customers and partnersnOur teams foster a collaborative environment with creative, smart u0026 fun people using state of the art technologies. Engineering excellence is expected. Come join us for this once in a lifetime opportunity in building solutions for Apple that has worldwide impact.
**Description**
 As a Full Stack Engineer you will be responsible for building the next generation of user experiences for Apple’s Recruiting Platform. You will work with project managers and technical teams in a multi\-functional environment to implement quality products that meet the business goals. The ideal candidate will be self\-motivated, pro\-active and solution oriented. Attention to detail and dedication to providing a high\-quality, stable delivery are essential.nYou will be challenged to find creative solutions to technical problems, feel comfortable working with complex systems and large data sets, collaborating in a team environment. We promote innovation to improve our product performance and stay deeply focused on delighting our users.
**Minimum Qualifications**
 3\+ years software development experience.n3\+ years in frontend development, using JavaScript frameworks like NextJS, React, Angular or equivalent.nBS/MS degree in computer science, or equivalent experience.
**Preferred Qualifications**
 Experience designing and building complex, highly available, large scale web applications.nExcellent knowledge of server side programming languages u0026 frameworks like Node.js, Express, Java u0026 Spring.nExperience with RESTful API usage and development.nUnderstanding of security best practices for web applications.nExperience in web analytics, accessibility, standards, and SEO techniques.nAbility to learn and apply new technologies quickly.nStrong understanding of TypeScript and the latest ECMAScript standards.nExperience with non\-relational, NoSQL databases and various data\-storage systems.nExperience with micro\-services architecture and containerization (e.g., Docker, Kubernetes).nFamiliarity with messaging platforms like Kafka.nFamiliarity with CI/CD pipelines and automated testing frameworks.nStrong problem solving skills, with the ability to work in a dynamic and agile environment.nAbility to collaborate effectively with teams located in different locations.
**Pay \&amp; Benefits**
 u003cpu003eApple accepts applications to this posting on an ongoing basis.u003c/pu003e</t>
        </is>
      </c>
    </row>
    <row r="94">
      <c r="A94" t="inlineStr">
        <is>
          <t>li-4359163510</t>
        </is>
      </c>
      <c r="B94" t="inlineStr">
        <is>
          <t>Software Engineer, Trusted Execution (Secure Boot)</t>
        </is>
      </c>
      <c r="C94" t="inlineStr">
        <is>
          <t>Apple</t>
        </is>
      </c>
      <c r="D94" t="inlineStr">
        <is>
          <t>linkedin</t>
        </is>
      </c>
      <c r="E94">
        <f>HYPERLINK("https://www.linkedin.com/jobs/view/4359163510", "https://www.linkedin.com/jobs/view/4359163510")</f>
        <v/>
      </c>
      <c r="F94" t="inlineStr"/>
      <c r="G94" t="inlineStr">
        <is>
          <t>Cupertino, CA</t>
        </is>
      </c>
      <c r="H94" t="inlineStr"/>
      <c r="I94" t="inlineStr">
        <is>
          <t>**Summary**
 Apple’s Trusted Execution team in the Security Engineering and Architecture organization builds the technology that keeps our users safe and care\-free while running the software that they want. Our software runs on the execution path for every program on all of our products. We’re often referred to as the first line of defense in Apple’s defense\-in\-depth strategy. Our products are infamous within the security community, and each year we push them to the next level. We’re a small team with a huge impact. nAs an engineer joining this team, you would be contributing to the entire system. Interacting with Apple’s unique CPU features directly, through the kernel, up through libraries, frameworks and applications. You will have an opportunity to define, design and implement new security technologies for Apple’s next generation operating systems and products. nSuccessful candidates will be capable of pursuing challenging wide\-ranging engineering problems anywhere in the software stack, determining the appropriate compromise between several often competing factors such as ease of use, performance and of course security. Our environment fosters product innovation, rapid product iteration, and a liberating amount of autonomy in which you will be expected to create and quickly bring to market new security methods and technologies to address the complex needs of mobile and distributed computing. The position will require you to interact with and influence many people from several organizations within and outside the company. If you have an interest or background in this area, we’d love to hear from you.
**Description**
 Help define the security properties and architecture for the next\-generation operating system. Design and implement new approaches to securing device boot flow, authenticating OS assets, code signing, execution monitoring, and malware mitigation to help protect our customers while enabling Apple to develop one of the richest platforms on the market. Come up with new and innovative ways of increasing security and privacy while preserving ease\-of\-use and growing the quality of the user experience. Work cooperatively with other parts of Apple on technologies and initiatives to improve security and drive the adoption of these technologies across the organization.
**Minimum Qualifications**
 5 years of experience as a Software Engineer in a Systems Programming or Kernel Development rolenStrong understanding of operating systems internalsnIndustry knowledge of OS security and applied cryptography (PKI, Attestations, Public Key Signatures)nExcellent C and Systems programming skills including secure development practicesn
**Preferred Qualifications**
 A passion for crafting effective and pragmatic security technologies in the operating systems arenanExperience with at least one constrained runtime environment such as system boot, EFI, firmware, embedded OS, or real\-time OSnInitiative to provide architectural mentorship to teams lacking resident security expertisenAbility to critically analyze security properties of a system via a threat modelnUnderstanding of past, current and emerging security exploitsnAbility to delivery proven work on tight schedulesnExcellent collaboration skillsn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95">
      <c r="A95" t="inlineStr">
        <is>
          <t>li-4359154856</t>
        </is>
      </c>
      <c r="B95" t="inlineStr">
        <is>
          <t>Software Engineer (Data Solutions), AI u0026 Data Platforms (AiDP)</t>
        </is>
      </c>
      <c r="C95" t="inlineStr">
        <is>
          <t>Apple</t>
        </is>
      </c>
      <c r="D95" t="inlineStr">
        <is>
          <t>linkedin</t>
        </is>
      </c>
      <c r="E95">
        <f>HYPERLINK("https://www.linkedin.com/jobs/view/4359154856", "https://www.linkedin.com/jobs/view/4359154856")</f>
        <v/>
      </c>
      <c r="F95">
        <f>HYPERLINK("https://jobs.apple.com/en-us/details/200639135&amp;urlHash=mgbr", "https://jobs.apple.com/en-us/details/200639135&amp;urlHash=mgbr")</f>
        <v/>
      </c>
      <c r="G95" t="inlineStr">
        <is>
          <t>Austin, TX</t>
        </is>
      </c>
      <c r="H95" t="inlineStr"/>
      <c r="I95"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something.nn Apple's Artificial Intelligence and Data Platforms (AiDP) team is seeking an experienced Software Engineer to build high quality, scalable and resilient distributed systems that power Apple's cloud analytics platforms and data pipelines. Apple's Enterprise Data Warehouse landscape caters to a wide variety of real\-time, near real\-time and batch analytical solutions. These solutions are an integral part of business functions like Sales, Operations, Finance, AppleCare, Marketing and Internet Services, enabling business drivers to make critical decisions. We use proprietary and open source technologies, Kafka, Spark, Iceberg, Airflow, Presto, etc. If you are looking to take on infrastructure problems at scale, both on\-prem or in cloud, focusing on ease of use, ease of maintenance and most importantly implement solutions that are scalable, you will enjoy working in AiDP!
**Description**
 We engineer high\-quality, scalable and resilient distributed systems on cloud that power data exploration, analytics, reporting and production models. Our core systems are diverse and come with an unusual intersection of high data volumes with systems distributed across cloud and on\-premise infrastructure. nnThis role will build solutions that integrate open source software with Apple’s internal ecosystem. You will drive development of new components and features from concept to release: design, build, test, and ship at a regular cadence. You will work closely with internal customers to understand their requirements and workflows, and propose new features and ecosystem changes to streamline their experience of using the solutions on our platform. nnThis is a challenging software engineering role, where a large part of an engineer's time is spent in writing code and designing/developing applications on cloud, with the remainder being spent on tuning and debugging codebase, supporting production applications and supporting our application end users. This role requires in\-depth knowledge of innovative technologies and cloud data platform with the ability to independently learn new technologies and contribute to the success of various initiatives.
**Minimum Qualifications**
 Knowledge of BI concepts and implementation experience on Cloud with databases like Snowflake or Big QuerynnProgramming experience in building high\-quality software with at\-least one of the following programming languages \- Python, Scala or Java. nnExperience in developing highly optimized SQLs, procedures u0026 semantic process for distributed data applications. nnBachelor's degree in Computer Science or equivalent experience
**Preferred Qualifications**
 3 or more years of experience building enterprise\-level data applications on distributed systems nnHands\-on experience in designing and development of cloud\-based applications that include compute services, database services, APIs to design RESTful services, ETL, queues and notification services.nnExperience in cloud data warehousing platforms like Snowflake is highly valuednnExperience developing Big Data applications using Java, Spark, Kafka is a huge plusnnUnderstanding of fundamentals of object\-oriented design, data structures, algorithm design, and problem solvingnnCloud technology experience on platforms like AWS, Microsoft Azure, Google CloudnnData Visualization Tools: experience in software such as Streamlit, Superset, Tableau, Business Objects, and LookernnData Insights and KPIs: Working experience on generating and visualizing data insights, metrics, and KPIs. Usage of basic ML models in the space of anomaly detection, forecasting, GenAI.
**Pay \&amp; Benefits**
 At Apple, base pay is one part of our total compensation package and is determined within a range. This provides the opportunity to progress as you grow and develop within a role. The base pay range for this role is between $147,400 and $220,900,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96">
      <c r="A96" t="inlineStr">
        <is>
          <t>li-4359171224</t>
        </is>
      </c>
      <c r="B96" t="inlineStr">
        <is>
          <t>Software Engineer - Sports u0026 Media Knowledge Graph</t>
        </is>
      </c>
      <c r="C96" t="inlineStr">
        <is>
          <t>Apple</t>
        </is>
      </c>
      <c r="D96" t="inlineStr">
        <is>
          <t>linkedin</t>
        </is>
      </c>
      <c r="E96">
        <f>HYPERLINK("https://www.linkedin.com/jobs/view/4359171224", "https://www.linkedin.com/jobs/view/4359171224")</f>
        <v/>
      </c>
      <c r="F96" t="inlineStr"/>
      <c r="G96" t="inlineStr">
        <is>
          <t>Cupertino, CA</t>
        </is>
      </c>
      <c r="H96" t="inlineStr"/>
      <c r="I96" t="inlineStr">
        <is>
          <t>**Summary**
 The Universal Media Engineering team leads the data platform that powers Apple TV. We have embarked on a journey to build the next\-generation sports and media knowledge graph and are looking for enthusiastic, self\-starting individuals who can bring new ideas and innovations to the platform and push the boundaries of scalability, latency and quality. Does this sound like you? If so, we want to speak with you. As a Software Engineer, you will be responsible for designing and building services that directly impact millions of users. You'll be tackling complex problems in distributed systems, graph traversal, machine learning, information retrieval and data analytics. You'll collaborate closely with a diverse set of teams that include engineers, project managers, designers and curators, working towards a common vision of delivering the best possible Apple TV experience for our customers. nnOur engineers employ their talent and tools to write the code that makes these experiences possible. They work multi\-functionally with teams across Apple to build a seamless experience. We offer an environment where you are an integral part of an innovative, impactful team making a difference. Be ready to make something great when you come here. Multifaceted, inspiring people and innovative industry\-defining technologies are the norm at Apple. The people who work here have reinvented and defined entire industries with our products and services. The same passion for innovation also applies to our business practices \- strengthening our dedication to leave the world better than we found it. Join the team to build what’s next!
**Description**
 Design, develop, test, and deploy event\-based micro\-services that handle multi\-source sports and media metadata that feed into a knowledge graph. Design algorithms for processing of metadata across a multitude of media types like movies, TV shows, sporting events, etc. Build AI/ML pipelines that tackle complex features involving images, text generation, summarization, etc. Design and implement services using Java, leveraging infrastructure components like Kafka, Cassandra, Redis, Solr, PostgreSQL, Kubernetes, etc. Analyze data from providers and partners using Python and Spark in order to distill insights that can improve the quality of the knowledge graph.
**Minimum Qualifications**
 4\+ years of experience working with JavanExperience with Kafka or ActiveMQ or similar messaging frameworksnExperience with NoSQL datastores like Cassandra, DynamoDB and SQL datastores like PostgreSQL, MySQLnProficient in algorithms, data structures, object\-oriented and functional design principles.nDriven to deliver high quality solutions consistently and quickly.nAbility to communicate effectively, both verbal and written.nAbility to solve problems given incomplete or partial data and/or requirementsnBachelor’s in CS or equivalent industry experience.
**Preferred Qualifications**
 Experience with training and deployment of ML models.nExperience working with Kubernetes.nExperience working with Solr/Elasticsearch, Redis.nData analytics using Python and Spark. Experience with data mining techniques and record linkage systems.nFamiliarity with async and reactive programming using Project Reactor, RxJava, asyncio, etc.nMasters degree is a plus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97">
      <c r="A97" t="inlineStr">
        <is>
          <t>li-4355198623</t>
        </is>
      </c>
      <c r="B97" t="inlineStr">
        <is>
          <t>AR/VR Graphics Software Engineer - Personas, Vision Products Software</t>
        </is>
      </c>
      <c r="C97" t="inlineStr">
        <is>
          <t>Apple</t>
        </is>
      </c>
      <c r="D97" t="inlineStr">
        <is>
          <t>linkedin</t>
        </is>
      </c>
      <c r="E97">
        <f>HYPERLINK("https://www.linkedin.com/jobs/view/4355198623", "https://www.linkedin.com/jobs/view/4355198623")</f>
        <v/>
      </c>
      <c r="F97">
        <f>HYPERLINK("https://jobs.apple.com/en-us/details/200635981&amp;urlHash=Z1rM", "https://jobs.apple.com/en-us/details/200635981&amp;urlHash=Z1rM")</f>
        <v/>
      </c>
      <c r="G97" t="inlineStr">
        <is>
          <t>California, United States</t>
        </is>
      </c>
      <c r="H97" t="inlineStr"/>
      <c r="I97"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nnApple Vision Pro is a revolutionary spatial computer that seamlessly blends digital content with your physical space. It will allow us to do the things we love in ways never before possible — all while staying connected to the people around us.nnThis Vision Pro team is looking for Applications Engineers to help us build the next generation of features for Personas on the Apple Vision Pro. This team works with cutting edge AR/VR technology to create magical experiences for our customers with their most personal and cherished content. As a member of our organization you will assist us in crafting future products that will delight, inspire and empower millions of people.
**Description**
 You will work on Personas, a dynamic, natural representation of your face and hand movements that allows others to see you while you’re using Apple Vision Pro for FaceTime or other video conferencing apps on the Apple Vision Pro.nnYou will work closely with Apple's framework teams and Human Interface designers \- pushing you to think outside\-the\-box, and solve incredibly challenging and interesting problems in AR/VR.nnYou will work with technologies such as RealityKit, SwiftUI and ARKit. You will have access to a wide variety of internal frameworks and services that will allow you to build technology that is deeply integrated into our operating systems.
**Minimum Qualifications**
 BS / MS / PhD in Computer Science OR equivalent degree OR equivalent experiencen3\-5\+ years experience in software developmentnStrong fundamentals in graphics, including 3D math, geometric processing, and linear algebranStrong programming skills in C/C\+\+, Swift, or similar languagesnAbility to collaborate and work in a highly cross\-functional environment
**Preferred Qualifications**
 Experience with digital human articulation and renderingnInterest in neural rendering techniques, including Gaussian SplatsnExperience with discrete geometric processingnAbility to work closely with designers and translate artistic intent to robust codenExperience writing shaders and doing look developmentnStrong artistic eye with a foundation in design, composition, color, and lighting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98">
      <c r="A98" t="inlineStr">
        <is>
          <t>li-4357698341</t>
        </is>
      </c>
      <c r="B98" t="inlineStr">
        <is>
          <t>Sr. Software Engineer, Corporate Systems</t>
        </is>
      </c>
      <c r="C98" t="inlineStr">
        <is>
          <t>Apple</t>
        </is>
      </c>
      <c r="D98" t="inlineStr">
        <is>
          <t>linkedin</t>
        </is>
      </c>
      <c r="E98">
        <f>HYPERLINK("https://www.linkedin.com/jobs/view/4357698341", "https://www.linkedin.com/jobs/view/4357698341")</f>
        <v/>
      </c>
      <c r="F98">
        <f>HYPERLINK("https://jobs.apple.com/en-us/details/200625869&amp;urlHash=FGp6", "https://jobs.apple.com/en-us/details/200625869&amp;urlHash=FGp6")</f>
        <v/>
      </c>
      <c r="G98" t="inlineStr">
        <is>
          <t>Austin, TX</t>
        </is>
      </c>
      <c r="H98" t="inlineStr"/>
      <c r="I98" t="inlineStr">
        <is>
          <t>**Summary**
 Imagine what we could do together. At Apple, new insights have a way of becoming extraordinary products, services, and customer experiences very quickly. Bring passion and dedication to your job, and there’s no telling what we could accomplish. Join Apple, and help us leave the world better than we found it.nnThe ISu0026T (Information Systems and Technology) organization at Apple builds and maintains mission\-critical applications and services that support Apple customers, employees, partners, and products worldwide. ISu0026T’s Legal and Global Security Solutions (LGSS) Team is seeking an experienced full stack developer to join its engineering organization where you will work with a highly talented team of software engineers and product managers to build scalable and secure solutions that empower Apple’s legal, security and compliance functions. This is a high\-impact role which requires owning and driving complex projects while also unblocking other engineers and mentoring them for success.
**Description**
 We build and maintain critical tools and services for legal, compliance and security requirements at Apple. We are responsible for eDiscovery solutions for data collection, data preservation, legal holds, knowledge mining as well as law enforcement and privacy compliance tools. We are also responsible for developing key compliance and crisis management tools that protect Apple’s assets, people, and regulatory obligations as well as tools for intellectual property enforcement and fraud prevention. We own the full software engineering lifecycle for all of these solutions from software development and quality assurance to DevOps and sustained production support.
**Minimum Qualifications**
 7\+ years in software development experience in Java with proficiency in Unix operating system, and proven experience in leading a team of engineersnnProven experience in both frontend (React or Angular JS or Vue or equivalent) and backend developmentnnDemonstrated experience in building and maintaining large\-scale software systemsnnHands\-on experience with relational and non\-relational databasesnnAbility to communicate effectively, both written and verbal, to both technical and non\-technical stakeholders across cross\-functional teamsnnBachelors degree in Computer Science/Engineering or equivalent
**Preferred Qualifications**
 Familiarity with AI/ML algorithms and frameworks with experience in integrating AI/ML concepts into software design and implementationnnSolid understanding of key software architecture principles including load\-balancing, system observability, microservices, security, cryptography, performance and reliabilitynnKnowledge of AI\-powered Assistant tools and IDE integrationsnnKnowledge of cloud data warehousing platforms such as Snowflake is highly valuednnHands\-on experience in writing components, frameworks and libraries that improve software efficiency and scalabilitynnFamiliarity with cloud platforms like AWS or GCP and CI/CD tools
**Pay \&amp; Benefits**
 u003cpu003eApple accepts applications to this posting on an ongoing basis.u003c/pu003e</t>
        </is>
      </c>
    </row>
    <row r="99">
      <c r="A99" t="inlineStr">
        <is>
          <t>li-4359018626</t>
        </is>
      </c>
      <c r="B99" t="inlineStr">
        <is>
          <t>Sr Software Engineer, Employee Experience u0026 Productivity</t>
        </is>
      </c>
      <c r="C99" t="inlineStr">
        <is>
          <t>Apple</t>
        </is>
      </c>
      <c r="D99" t="inlineStr">
        <is>
          <t>linkedin</t>
        </is>
      </c>
      <c r="E99">
        <f>HYPERLINK("https://www.linkedin.com/jobs/view/4359018626", "https://www.linkedin.com/jobs/view/4359018626")</f>
        <v/>
      </c>
      <c r="F99">
        <f>HYPERLINK("https://jobs.apple.com/en-us/details/200621503&amp;urlHash=o_Zt", "https://jobs.apple.com/en-us/details/200621503&amp;urlHash=o_Zt")</f>
        <v/>
      </c>
      <c r="G99" t="inlineStr">
        <is>
          <t>Sunnyvale, CA</t>
        </is>
      </c>
      <c r="H99" t="inlineStr"/>
      <c r="I99" t="inlineStr">
        <is>
          <t>**Summary**
 Join our team and be a key architect in building the next generation of our core software systems! We're looking for a passionate Senior Software Architect/Developer to create exceptional user experiences and scalable, well\-architected solutions that drive our business forward. If you thrive on solving complex challenges and mentoring others, this is the place for you.
**Description**
 In this role you’ll be responsible for designing and implementing software solutions that empower our business to achieve its goals and delight our users. You will lead the development of various tools, ensuring they are designed with performance, efficiency, and long\-term value in mind. You’ll also mentor junior developers, conduct code reviews, and provide technical leadership for the team, fostering a collaborative and innovative environment.
**Minimum Qualifications**
 Bachelor’s Degree in Computer Science or equivalent work experience. n8\+ years of hands\-on software development experience.nExpertise with Python and Java.nExperience designing and architecting complex distributed systems using Python, Java, or Rust.
**Preferred Qualifications**
 A solid understanding of distributed systems software development, CI/CD pipelines, and databases (MongoDB, Postgres, Oracle).nExperience with Rust, Kafka, and Bazel is a significant plus.nExceptional analytical and problem\-solving skills: You can translate business needs into clear, actionable architectural requirements.nDeep understanding of concurrency and distributed systems.nOutstanding communication and interpersonal skills: You can lead, influence, and inspire technical direction.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00">
      <c r="A100" t="inlineStr">
        <is>
          <t>li-4359190189</t>
        </is>
      </c>
      <c r="B100" t="inlineStr">
        <is>
          <t>Software Engineer, ISu0026T Enterprise Systems</t>
        </is>
      </c>
      <c r="C100" t="inlineStr">
        <is>
          <t>Apple</t>
        </is>
      </c>
      <c r="D100" t="inlineStr">
        <is>
          <t>linkedin</t>
        </is>
      </c>
      <c r="E100">
        <f>HYPERLINK("https://www.linkedin.com/jobs/view/4359190189", "https://www.linkedin.com/jobs/view/4359190189")</f>
        <v/>
      </c>
      <c r="F100" t="inlineStr"/>
      <c r="G100" t="inlineStr">
        <is>
          <t>Texas, United States</t>
        </is>
      </c>
      <c r="H100" t="inlineStr"/>
      <c r="I100" t="inlineStr">
        <is>
          <t>**Summary**
 Imagine what you can do here at Apple!nnApple is a place where extraordinary people gather to do their lives’ best work. We believe hard work, creativity, and innovations fuel the ultimate customer experience. Each customer engagement is an opportunity to delight, engage, and inspire – and by focusing on the smallest of details, we can make big impacts on our customers. nnWe are looking for a person with a solid background in building applications, services using Java/J2EE u0026 Spring frameworks. Work in an enterprise environment building innovative client\- facing web applications. In this Software Engineer position, work on a team of software engineers that are building innovative, fast and interactive applications incorporating the best technologies available. You’ll work closely with our business collaborators and other partners to implement new solutions. nnIn this role, work with other dedicated engineering minds across the company working on some of the coolest technologies. Bring a passion for quality and a keen eye for details and you will be an outstanding fitnnWe need a motivated critical problem solver with a sharp eye for detail, who can instrument, analyze, and identify bottlenecks in current processes and come up with innovative solutions to address these, then we would love to meet you.nnCome, join us to do the best work of your life with a dedicated group of people. Bring your passion and dedication to the job and there’s no telling what you could accomplish!n
**Description**
 As a successful teammate, help build innovative software applications. nnAs a software engineer, be a member of the team that implements new applications, improve existing application features, while adding performance and software quality metrics to our codebase. nnDesign and develop enterprise level, highly available web application platforms applying Java, Spring frameworks, JPA u0026 Hibernate, REST/SOAP web services. nnDevelop prototypes and POCs to demonstrate new ideas or illustrate the use of new technologies and how to apply it into our systems.nnWork with project managers, architect, technical leads, and vendors on defining the scope, achievement, deliverables, and resources needed for the project. nnAble to build a positive relationship with multi\-functional internal organizations Thrive in a multi\-functional team on high\-profile, critical projects.nnThis position requires a self\-motivated individual with strong technical understanding, problem\-solving, and communication. Effective presentation, oral, and written business communication skills with various audiences and levels.nnAble to empower with passion, mentor, and lead geographically distributed teams Maintain focus and prioritize a challenging workload while achieving extraordinary quality.n
**Minimum Qualifications**
 2 yrs experience in architecting, and developing event\-based, distributed, highly available systems.nn2 yrs experience and knowledge in developing and handling enterprise\-level technology at a global scale.nn2 yrs experience in securing applications, deep understanding of OWASP top 10 risks and solutions.nn2 yrs experience with Micro\-services, CI/CD, Container orchestration.nnBachelor’s degree or equivalent work experience in Computer Science, Information Systems, or a related technical field.nnnnn
**Preferred Qualifications**
 4\+ years of proven experience in architecting, and developing event\-based, distributed, highly available systems.nn4\+ years of proven experience and knowledge in developing and handling enterprise\-level technology at a global scale.nn4\+ years of hands\-on experience with one or more cloud platforms and managed services.nn4\+ years in Java, Springboot, Kubernetes and Docker.nn4\+ years working with Client facing web apps.nn4\+ years experience in web application development using client side frameworks/libraries like AngularJS/VueJS, jQuery, Bootstrap. Hands on experience in developing SPA (Single Page Applications).nn4\+ years experience in relational and no\-SQL databases, distributed cache and clear understanding of standard methodologies u0026 problem areas while handling large distributed datasets.nn4\+ years experience in building e\-commerce applications.nn4\+ years in a software engineering background with an outstanding body of work demonstrating experience in software development, solution architecture, and product management.nn4\+ years experience in Micro\-service Architecture, SAP Cloud Foundry features u0026 capabilities.nnThorough understanding of Software Development Lifecycle, tools and standard methodologies.nnSolid understanding of source control software (SVN or Git), experience with build and deployment tools, e.g., Maven, Gradle Experience with automated testing methodologies and frameworks. nnSharp solving skills and real world systems deployment experience. Consistent track record with rapid development cycles and demanding schedules. nnWe seek a self starter, forward\-thinking person with strong leadership capabilities. nnExcellent interpersonal skills and attention to detail for documenting and reviewing designs.n
**Pay \&amp; Benefits**
 u003cpu003eApple accepts applications to this posting on an ongoing basis.u003c/pu003e</t>
        </is>
      </c>
    </row>
    <row r="101">
      <c r="A101" t="inlineStr">
        <is>
          <t>li-4359137759</t>
        </is>
      </c>
      <c r="B101" t="inlineStr">
        <is>
          <t>Swift Software Engineer</t>
        </is>
      </c>
      <c r="C101" t="inlineStr">
        <is>
          <t>Apple</t>
        </is>
      </c>
      <c r="D101" t="inlineStr">
        <is>
          <t>linkedin</t>
        </is>
      </c>
      <c r="E101">
        <f>HYPERLINK("https://www.linkedin.com/jobs/view/4359137759", "https://www.linkedin.com/jobs/view/4359137759")</f>
        <v/>
      </c>
      <c r="F101">
        <f>HYPERLINK("https://jobs.apple.com/en-us/details/200636390&amp;urlHash=-upD", "https://jobs.apple.com/en-us/details/200636390&amp;urlHash=-upD")</f>
        <v/>
      </c>
      <c r="G101" t="inlineStr">
        <is>
          <t>San Francisco, CA</t>
        </is>
      </c>
      <c r="H101" t="inlineStr"/>
      <c r="I101" t="inlineStr">
        <is>
          <t>**Summary**
 Imagine what we could create together! At Apple, innovative ideas quickly transform into groundbreaking products, services, and customer experiences. Bring your passion and dedication to your role, and there’s no limit to what we can achieve. Apple is seeking an experienced Software Engineer to contribute to the development of the next generation of cloud services infrastructure. You’ll be working on crucial components of the iCloud platform and introducing innovative fundamental capabilities. Your work will power entirely new applications and enhance existing ones like FaceTime, PushNotifications, iCloud Drive, Photos, and Backup. This is your chance to make a real impact. You’ll collaborate with exceptional teams of engineers who genuinely love engineering and prioritize user privacy.
**Description**
 We work on the client\-side of iCloud services, building the foundations for a secure and private cloud from device to device encrypted storage in the cloud to protected computation. Apple’s commitment to privacy runs deep and this team is key to extending this commitment to the cloud. nnThis position will involve close collaboration with the CloudKit team, several teams working on server components as well as Apple’s Cryptography and Privacy teams. This job entails both low\-level (C/Objective C, libdispatch, POSIX APIs) and system\-level skills (synchronization protocols, framework design, IPCs, multi\-process performance work, system\-wide resource sharing.) Reliability is essential, and we’re looking for engineers with a real passion for building complex systems that will seamlessly recover in the event of errors. nnIn this role, you will: n
* Work with adopters to craft clear APIs n
* Work with the network and file system stacks to build performant daemons n
* Work with our server counterparts to design scalable features and protocols n
* Implement core components of the cryptographic protection of cloud data
**Minimum Qualifications**
 Software engineering experience with strong programming skills in Objective\-C and/or SwiftnExperience building on Apple Platforms (macOS, iOS, watchOS, tvOS, etc.) nExperience in building system\-level frameworks and APIsnExcellent communicationnBachelor's Degree in an engineering\-related field or equivalent related experience
**Preferred Qualifications**
 Experience in Swift concurrencynAbility to build relationships with diverse groups of peoplenExperience with Event\-based programming or inter\-process communication is a plusnProven track record of working on rapid development cycles and shipping software on tight schedules
**Pay \&amp; Benefits**
 At Apple, base pay is one part of our total compensation package and is determined within a range. This provides the opportunity to progress as you grow and develop within a role. The base pay range for this role is between $126,800 and $220,900,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02">
      <c r="A102" t="inlineStr">
        <is>
          <t>li-4357668648</t>
        </is>
      </c>
      <c r="B102" t="inlineStr">
        <is>
          <t>Senior Backend Software Engineer (Golang)</t>
        </is>
      </c>
      <c r="C102" t="inlineStr">
        <is>
          <t>Apple</t>
        </is>
      </c>
      <c r="D102" t="inlineStr">
        <is>
          <t>linkedin</t>
        </is>
      </c>
      <c r="E102">
        <f>HYPERLINK("https://www.linkedin.com/jobs/view/4357668648", "https://www.linkedin.com/jobs/view/4357668648")</f>
        <v/>
      </c>
      <c r="F102" t="inlineStr"/>
      <c r="G102" t="inlineStr">
        <is>
          <t>Austin, TX</t>
        </is>
      </c>
      <c r="H102" t="inlineStr"/>
      <c r="I102" t="inlineStr">
        <is>
          <t>**Summary**
 At Apple, we strive every single day to craft products that enrich people’s lives. Our successes are the result of skilled domain experts working in an environment which encourages creativity, collaboration, and re\-thinking of old problems in new ways! As a member of the Satellite Connectivity Group, you will work on the satellite network that enables connectivity to iPhone and Watch Ultra when off the grid without cellular or Wi\-Fi coverage. Every day, Apple customers use Emergency SOS, Roadside assistance, and Messages via satellite to stay connected when they have no other means to communicate. You will have the unique and rewarding opportunity to shape this and other critical services, to the benefit and safety of millions of Apple device users.
**Description**
 Our team is looking for a technically savvy computer science professional who is able to work autonomously in a small, foundational team in an ambiguous rapidly changing environment. You should have the strong interpersonal and communication skills to collaborate effectively with other cross\-functional teams and the other members of this team! We rely on your technical expertise and experience to help and shape our software and define the work.
**Minimum Qualifications**
 Bachelors degree in Engineering (CS or CE)n7 years of experience in software engineering
**Preferred Qualifications**
 You have deep understanding of core CS — including algorithms u0026 data structures, operating systems, distributed systems, networking, and concurrent programming.nYou have experience and insight into designing, implementing, and supporting highly scalable cloud services from the ground up.nYou are a versatile programmer in Go, Java, Python.nYou are comfortable in working in a dynamic, fast\-growing team environment.nYou can thrive in small team environment with minimal documentation and process.nYou have phenomenal aptitude to deal with ambiguity, and enthusiasm to help tackle difficult issues.nYou will be collaborating across many participating teams, so good interpersonal skills, will help you success in this role.nDevOps experience is nice to have.nMasters Degree in CS or CE is preferred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03">
      <c r="A103" t="inlineStr">
        <is>
          <t>li-4342917805</t>
        </is>
      </c>
      <c r="B103" t="inlineStr">
        <is>
          <t>Staff Backend Engineer</t>
        </is>
      </c>
      <c r="C103" t="inlineStr">
        <is>
          <t>Mesh</t>
        </is>
      </c>
      <c r="D103" t="inlineStr">
        <is>
          <t>linkedin</t>
        </is>
      </c>
      <c r="E103">
        <f>HYPERLINK("https://www.linkedin.com/jobs/view/4342917805", "https://www.linkedin.com/jobs/view/4342917805")</f>
        <v/>
      </c>
      <c r="F103" t="inlineStr"/>
      <c r="G103" t="inlineStr">
        <is>
          <t>San Francisco, CA</t>
        </is>
      </c>
      <c r="H103" t="inlineStr"/>
      <c r="I103" t="inlineStr">
        <is>
          <t>**About Mesh**
 At Mesh, our mission is to enable consumers to pay and be paid with any asset. Today, trillions of dollars in tokenized assets exist but remain largely unusable for everyday commerce. Mesh is bridging this gap by making crypto payments reliable, useful, and ubiquitous. We combine a powerful orchestration engine with a seamless consumer app to unlock liquidity for the world. Backed by leading investors like PayPal Ventures, Paradigm, and Galaxy Ventures, we are building the infrastructure for the next era of the global economy. Join us!
**Overview**
 Mesh is looking for a Staff Backend Engineer to help architect and build the foundation of the world’s first global crypto payments network. In this role, you’ll operate across the full stack — from backend systems to user\-facing applications — driving key technical decisions and shaping the future of digital finance. You’ll work closely with cross\-functional teams across engineering, product, and design to lead the development of secure, seamless, and scalable financial experiences. As one of our most senior technical leaders, you’ll play a critical role in defining system architecture, mentoring engineers, and influencing product strategy. We’re especially excited to meet candidates based in San Francisco, where you’ll collaborate closely with our core team and help drive our engineering culture from the ground up — but we’re also open to remote candidates located in the U.S.
**What You'll Do**
* Own and drive the roadmap, and implementation for multiple areas of focus, balancing short\- and long\-term priorities against various business needs.
* Drive technical architecture decisions and system designs.
* Provide technical leadership across teams.
* Collaborate closely with leadership, product, and teams to set strategy.
* Develop and maintain backend services and APIs.
* Work closely with Azure cloud services for deployment and scalability.
* Conduct thorough testing, debugging, and prompt resolution of software defects.
* Stay up\-to\-date with industry trends and emerging technologies.
* Create high\-quality, efficient, and reliable code following best practices.
* Optimize performance and scalability of backend systems for handling large data volumes.
* Stay updated on the latest trends and technologies in fintech/crypto and backend development.
* Build crypto first and secure products to facilitate traditional financial activity, such as payments, transfers etc.
* Drive software best practices and architectural considerations on a project\-wide level.
* Champion best practices in software engineering, infrastructure as code, and DevSecOps.
**Who You Are**
* 8\+ years of software engineering experience, with at least 3 years in fintech or payments infrastructure.
* Strong backend skills in one or more of: C\#, C\+\+, Go, Java, Python.
* Proficiency in cloud\-native development (Azure), Kubernetes, Terraform, and CI/CD tooling.
* A security first mindset: with good knowledge of common security concepts such as AuthN, AuthZ, SAML, API security, encryption etc
* An understanding of crypto concepts such as blockchains, RPCs, self custody wallets etc.
* Solid understanding of RESTful API design principles and microservices architecture.
* Prior experience leading engineering in a high\-growth startup environment is a plus.
* Strong analytical and problem\-solving skills, with the ability to navigate ambiguity and make critical decisions under pressure.
* A passion for innovation, learning, and growth. Comfort with ambiguity and the ability to thrive in a startup environment.
**Why You’ll Love It Here**
 At Mesh, you're not stepping into a typical role—you're joining a rocket ship in mid\-liftoff. You'll tackle complex, meaningful problems that actually move an industry forward, working alongside a sharp, motivated team that moves quickly, collaborates deeply, and expects everyone to operate with ownership. This is the kind of place where you'll see your work ship fast, make real impact, and be able to point to something and say, "I built that." You'll grow fast, level up your skills, and get a front\-row seat to how a high\-growth company scales from the inside, with competitive comp, solid benefits, and room to stretch your craft all coming standard. If you're energized by building, learning, and shaping something big—this is where you'll want to be.
**How We Care For Our Team**
 We believe great work happens when people feel valued and supported. That starts with competitive salary and equity that grows as you and the company grow, plus comprehensive health coverage for you and your family. We offer unlimited PTO—and we mean it. Take the time you need to recharge and show up at your best.
 We're invested in your growth with a dedicated budget for courses, conferences, and certifications. Work from wherever you're most productive with our remote\-friendly approach, and count on having the top\-tier tools and equipment you need to do exceptional work.
 Mesh Pay is committed to equal employment opportunities regardless of race, color, genetic information, creed, religion, sex, sexual orientation, gender identity, lawful alien status, national origin, age, marital status, and non\-job related physical or mental disability, or protected veteran status. Pursuant to the San Francisco Fair Chance Ordinance, we will consider for employment qualified applicants with arrest and conviction records.</t>
        </is>
      </c>
    </row>
    <row r="104">
      <c r="A104" t="inlineStr">
        <is>
          <t>li-4359190529</t>
        </is>
      </c>
      <c r="B104" t="inlineStr">
        <is>
          <t>Software Engineer II - Message Infrastructure</t>
        </is>
      </c>
      <c r="C104" t="inlineStr">
        <is>
          <t>Abnormal AI</t>
        </is>
      </c>
      <c r="D104" t="inlineStr">
        <is>
          <t>linkedin</t>
        </is>
      </c>
      <c r="E104">
        <f>HYPERLINK("https://www.linkedin.com/jobs/view/4359190529", "https://www.linkedin.com/jobs/view/4359190529")</f>
        <v/>
      </c>
      <c r="F104" t="inlineStr"/>
      <c r="G104" t="inlineStr"/>
      <c r="H104" t="inlineStr"/>
      <c r="I104" t="inlineStr">
        <is>
          <t>**About The Role**
 Abnormal AI is seeking a Software Engineer to join the Message Infrastructure team. The Message Infra team is responsible for building and maintaining stable, efficient, and hands\-off systems that power the ingestion of billions of emails per day. Our systems are the backbone of Abnormal's core Inbound Email Security product—handling everything from upstream mailbox monitoring and email notifications to downstream remediation actions on malicious messages.
 The Message Infra team develops and manages tier 0 backend services that are mission\-critical to Abnormal's success, including but not limited to Subscription Manager (which mailboxes we monitor), Notification Producer (processing new email notifications from providers), and Remediation (executing actions on malicious messages). This is a backend and systems\-heavy team, and the ideal candidate will have experience working with distributed systems at scale and a passion for operational excellence.
 What you will do
* Design \&amp; execute software projects that are critical to Abnormal's core product, working with a team of engineers through conception, design, implementation, launch, and operation
* Own and improve the stability, performance, and scalability of tier 0 backend services that process billions of emails daily
* Collaborate with teams across R\&amp;D including Detection, Products, and Infrastructure to ensure Message Infra services meet the needs of the broader organization
* Participate in oncall rotations to maintain the reliability and uptime of mission\-critical systems
* Drive continuous improvement by identifying opportunities to enhance system efficiency, reduce operational overhead, and increase reliability
* Raise the bar of engineering excellence, actively contributing to knowledge sharing within the team and participating in professional development activities
 Must Haves
* BS degree in Computer Science, Applied Sciences, Information Systems or other related engineering field
* 3\+ years of industry experience on backend software development \&amp; distributed systems, designing \&amp; building software applications
* Experience with our stack: Go and/or Python
* Experience working with distributed teams, proficient in asynchronous and written communication
* Experience building features \&amp; components from scratch and operating them, balancing feature development work with operational tasks
* Open to following pre\-established guidelines, coding practices and conventions
* You’re growth driven \&amp; looking to increase impact \&amp; responsibility over time
 Nice to Have
* Experience with our stack: AWS, K8, Django, Spark, Prometheus
* Familiarity with AWS services and deployment practices.
* Knowledge of containerization using Docker or similar technologies.
 At Abnormal AI, certain roles are eligible for a bonus, restricted stock units (RSUs), and benefits. Individual compensation packages are based on factors unique to each candidate, including their skills, experience, qualifications and other job\-related reasons.
 Base salary range:
 $148,800—$175,000 USD
 Abnormal AI is an equal opportunity employer. Qualified applicants will receive consideration for employment without regard to race, color, religion, sex, national origin, disability, protected veteran status or other characteristics protected by law. For our EEO policy statement please
 *click here* 
 . If you would like more information on your EEO rights under the law, please
 *click here* 
 .</t>
        </is>
      </c>
    </row>
    <row r="105">
      <c r="A105" t="inlineStr">
        <is>
          <t>li-4359029243</t>
        </is>
      </c>
      <c r="B105" t="inlineStr">
        <is>
          <t>Software Engineer</t>
        </is>
      </c>
      <c r="C105" t="inlineStr">
        <is>
          <t>RemoteHunter</t>
        </is>
      </c>
      <c r="D105" t="inlineStr">
        <is>
          <t>linkedin</t>
        </is>
      </c>
      <c r="E105">
        <f>HYPERLINK("https://www.linkedin.com/jobs/view/4359029243", "https://www.linkedin.com/jobs/view/4359029243")</f>
        <v/>
      </c>
      <c r="F105" t="inlineStr"/>
      <c r="G105" t="inlineStr"/>
      <c r="H105" t="inlineStr"/>
      <c r="I105" t="inlineStr">
        <is>
          <t>About the Opportunity:
 This organization provides a nonprofit fundraising and CRM platform that enables mission\-driven organizations to raise more funds, reduce costs, and enhance giving. The platform consolidates multiple tools for fundraisers, events, donation forms, donor management, and communications into a single solution with a transparent tip\-or\-fee model. The role involves joining an engineering team to build tools supporting nonprofits in their fundraising and engagement efforts.
 Responsibilities:
 • Design and implement full stack features using PHP/Laravel, React, and TypeScript for fundraising, donor management, financial, and growth products.
 • Build scalable systems handling millions of users, high\-volume transactions, and seasonal traffic spikes.
 • Integrate with APIs, third\-party services, and payment systems to create seamless nonprofit experiences.
 • Collaborate with product, design, and engineering teams to develop user\-friendly solutions.
 • Participate in code reviews and improve engineering standards and best practices.
 • Contribute to technical initiatives, including experimentation frameworks and tooling.
 • Participate in support rotation to triage and resolve production issues during business hours.
 Requirements:
 • 3\+ years of software development experience, preferably with full\-stack exposure and strong backend skills.
 • Proficiency with PHP/Laravel or a similar backend framework.
 • Experience building frontend interfaces using React, TypeScript, and modern JavaScript (ES6\+).
 • Strong knowledge of relational databases such as MySQL or PostgreSQL, including query optimization.
 • Experience with RESTful APIs, third\-party integrations, and data import/export processes.
 • Familiarity with state management tools (e.g., TanStack Query, SWR, Zustand, Redux).
 • Understanding of frontend architecture, component design, and build tools (Vite, Webpack).
 • Strong debugging and performance tuning skills across the stack.
 • Excellent collaboration, communication, and documentation skills.
 Nice to Have:
 • Experience with payment systems, financial APIs, or fintech product development.
 • Familiarity with experimentation platforms or A/B testing tools.
 • Experience with accessibility standards.
 Benefits \&amp; Perks:
 • Autonomy in work with minimal meetings and flexible scheduling.
 • Fully automated continuous integration and deployment processes.
 • Opportunity to work on mission\-driven projects supporting nonprofits globally.
 • Inclusive engineering culture valuing equal contributions and open discussions.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6">
      <c r="A106" t="inlineStr">
        <is>
          <t>li-4359018627</t>
        </is>
      </c>
      <c r="B106" t="inlineStr">
        <is>
          <t>Sr. Software Engineer, Information Systems u0026 Technology</t>
        </is>
      </c>
      <c r="C106" t="inlineStr">
        <is>
          <t>Apple</t>
        </is>
      </c>
      <c r="D106" t="inlineStr">
        <is>
          <t>linkedin</t>
        </is>
      </c>
      <c r="E106">
        <f>HYPERLINK("https://www.linkedin.com/jobs/view/4359018627", "https://www.linkedin.com/jobs/view/4359018627")</f>
        <v/>
      </c>
      <c r="F106" t="inlineStr"/>
      <c r="G106" t="inlineStr">
        <is>
          <t>Cupertino, CA</t>
        </is>
      </c>
      <c r="H106" t="inlineStr"/>
      <c r="I106" t="inlineStr">
        <is>
          <t>**Summary**
 Join us, the team that serves as Apple’s nerve center: Apple Information Systems and Technology group! nnWe are looking for mid\-career senior\-level Java Software Engineers, who will work closely with other Software Engineers, Project u0026 Product Managers, Product Designers, other internal u0026 external partners as well as with Apple leadership. nnThere are countless ways you can contribute here, from working on apple.com to software for digital u0026 physical Apple Stores, from software for Apple Care to Apple\-wide systems for identity, operations, recruiting, and people management, from software for Apple data centers to Apple\-wide data processing u0026 AI/ML systems. nnWhen you join ISu0026T, you’ll help design and manage systems, frameworks, and apps that countless Apple customers and employees rely on every day. Together, we’ll explore all the ways to improve how Apple operates, freeing our employees to do what they do best, and crafting magical experiences for our customers!
**Description**
 As a senior\-level Software Engineer, you will design, develop, test, document, improve, and maintain code mostly in Java (and other languages as needed). You will partake in every aspect of your projects, from planning to design to implementation and future iterations, and you will be encouraged to play an extended role in designing solutions. nnThe ideal candidate is self\-motivated, pro\-active and results\-driven. Attention to detail, dedication to providing high\-quality solutions modeling engineering excellence, and ability to work towards on\-time delivery of projects are all crucial qualities needed to work at Apple as a Software Engineer. nnThe ideal candidate will also possess excellent communication and collaboration skills to work with various internal and external partners.
**Minimum Qualifications**
 B.S. in Computer Science, Computer Engineering, or a related technical field, or equivalent professional work experience.n5\+ years proven experience developing software in a professional capacity. Longer experience preferred.n3\+ years proven experience implementing, and shipping high\-scale, high\-performance, highly available, fault\-tolerant, and secure cloud\-based distributed systems, including proficiency in API implementation (e.g. REST, RPC, GraphQL, etc.)n3\+ years proven experience using relational (e.g. Postgres, MySQL, etc.) and NoSQL (e.g. Cassandra, MongoDB, etc.) databases, including proficiency in schema design and query optimization.n2\+ years proven experience with Java, including proficiency in concurrency, memory management, and performance optimization techniques. nProficiency in OOP principles, data structures, algorithms, and software design patterns (e.g. GoF), with a proven focus on implementing testable, maintainable, and extensible backend code.
**Preferred Qualifications**
 Track record of leading software projects within a team as a tech lead (TL), while mentoring software engineers.nComfortable using CI/CD tools to build, test, deploy, and release containerized software applications on cloud\-based Kubernetes (e.g. AWS EKS, GCP GKE, Azure AKS, etc.).nExpertise in Java web (e.g. ServiceTalk, Spring, Dropwizard, Quarkus, Micronaut, etc.) and unit testing frameworks (e.g. JUnit, Mockito, etc.).nExperience with tooling languages (e.g. Go, Python, Ruby, etc.) and distributed orchestration u0026 computing systems (e.g. Airflow, Spark, Flink, etc.).nUnderstanding of advanced JVM internals (e.g. garbage collection, memory allocation, JIT, JNI, etc.).nKnowledge of networking concepts u0026 protocols (e.g. HTTP/HTTPS, CDN, edge computing, load balancing, OSI model, etc.)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07">
      <c r="A107" t="inlineStr">
        <is>
          <t>li-4353481331</t>
        </is>
      </c>
      <c r="B107" t="inlineStr">
        <is>
          <t>Staff Software Engineer, Science</t>
        </is>
      </c>
      <c r="C107" t="inlineStr">
        <is>
          <t>Biohub</t>
        </is>
      </c>
      <c r="D107" t="inlineStr">
        <is>
          <t>linkedin</t>
        </is>
      </c>
      <c r="E107">
        <f>HYPERLINK("https://www.linkedin.com/jobs/view/4353481331", "https://www.linkedin.com/jobs/view/4353481331")</f>
        <v/>
      </c>
      <c r="F107" t="inlineStr"/>
      <c r="G107" t="inlineStr">
        <is>
          <t>Redwood City, CA</t>
        </is>
      </c>
      <c r="H107" t="inlineStr"/>
      <c r="I107" t="inlineStr">
        <is>
          <t>Biohub is leading the new era of AI\-powered biology to cure or prevent disease through its 501c3 medical research organization, with the support of the Chan Zuckerberg Initiative.
 The Team
 Biohub supports the science and technology that will make it possible to help scientists cure, prevent, or manage all diseases by the end of this century. While this may seem like an audacious goal, in the last 100 years, biomedical science has made tremendous strides in understanding biological systems, advancing human health, and treating disease.
 Achieving Our Mission Will Only Be Possible If Scientists Are Able To Better Understand Human Biology. To That End, We Have Identified Four Grand Challenges That Will Unlock The Mysteries Of The Cell And How Cells Interact Within Systems — Paving The Way For New Discoveries That Will Change Medicine In The Decades That Follow
* Building an AI\-based virtual cell model to predict and understand cellular behavior
* Developing novel imaging technologies to map, measure and model complex biological systems
* Creating new tools for sensing and directly measuring inflammation within tissues in real time.tissues to better understand inflammation, a key driver of many diseases
* Harnessing the immune system for early detection, prevention, and treatment of disease
 The Opportunity
 The Data Pipelines team processes scientific datasets specifically designed to enable biological modeling and supporting AI research. It is responsible for data ETL, data validation, testing, storage, and partners with the data management team for retrieval. We handle over 89 million unique cells worth of single cell transcriptomic data, over 15 thousand cryoET tomograms that are in imaging datasets as large as 20TB and counting, and will be expanding to support larger scale and additional imaging, sequencing, and literature modalities. Our resources provide access to open source data that is structured and used by tens of thousands of scientists each month to quickly query and form hypotheses on understanding how genetic variants in cells impact disease risk, define drug toxicities, and eventually discover better therapies.
 As a software engineer on the Data Engineering team, you will contribute for architecture, help implement all the above mentioned data needs for our platforms, CELLxGENE Discover, CryoET, as well as the new platform we are building that has a focus on data for AI and the virtual cell, in order to enable scientists to further interrogate our very large and growing corpus of data without any need to download the data itself or have any computational expertise. You will work on a collaborative, multidisciplinary team to develop solutions for our scientist users to accelerate their workflows and accelerate the pace of scientific discovery.
 No prior biology experience is needed for this role. You will have the opportunity to pair with Computational Biologists to develop solutions for our users and be able to learn about biology from experts on our team.
 Our tech stack: Python, Terraform, AWS infrastructure, Argo CD and Workflows. TileDB.
 What You'll Do
* Own, maintain and continuously improve upon the data pipeline architecture.
* Design, build, and maintain robust, scalable data pipelines for ingesting, processing, and storing large volumes of structured and unstructured data.
* Develop and optimize ETL processes, ensuring data quality, validation, and consistency across diverse sources.
* Implement and manage data storage solutions, including data warehouses, data lakes, and distributed databases, ensuring secure and performant to handle massive volumes of single\-cell transcriptomics data and imaging data.
* Monitor and troubleshoot data pipelines, build proactive exception handling, and ensure high reliability and uptime of production systems.
* Document processes, maintain data models, and support data governance, lineage, and compliance initiatives.
* Utilize modern tools and technologies, such as Argo Workflows, Kubernetes, AWS, Docker, and CI/CD pipelines.
* Actively contribute to team problem\-solving, project planning, and process improvements with a mindset for innovation and social impact.
* Create user\-friendly APIs to enable researchers and scientists to easily access and explore the curated data.
* Develop scalable, maintainable, and testable software systems and participate in team conversations and efforts on engineering excellence.
* Collaborate with data scientists, computational biologists, researchers, analysts, and other engineers to understand data requirements and deliver practical solutions that drive analytics, research, and AI/ML applications.
* Have opportunities to learn about scientific data and technologies, though no prior experience is
 What You'll Bring
* 8\+ years of experience as Software Engineer with data building data pipelines.
* Proficiency in programming languages (Python, Java) and SQL.
* Experience with big data, AWS(EC2, S3, EKS, IAM, SQS etc), Docker, and Argo Workflows.
* Strong data modeling, database design, and data integration skills, including ETL and pipeline orchestration tools.
* Strong fundamentals in systems design, data structures, algorithms, and object oriented programming principles.
* Experience with CI/CD, data governance, and observability/monitoring tools.
* Excellent communication, teamwork, and analytical problem\-solving abilities.
* Passion for the CZI mission, innovation, and open, collaborative culture.
* Computer Science Engineering degree.
* Strong problem solving and analytical skills.
* Excellent written and verbal communication skills.
* Enthusiasm to ramp up on technologies and learn a new science domain.
* Must be self\-driven and comfortable supporting data needs of multiple systems and products.
**Nice to Have**
* Experience working with Biology, Imaging or Sequencing data
* Experience working with data formats related to biodata and solving challenges with that data.
* Experience building AI Agents related to data movement or ETL.
**Compensation**
 The Redwood City, CA base pay range for a new hire in this role is $214,000 \- $294,800\. New hires are typically hired into the lower portion of the range, enabling employee growth in the range over time. Actual placement in range is based on job\-related skills and experience, as evaluated throughout the interview process.
 Better Together
 As we grow, we’re excited to strengthen in\-person connections and cultivate a collaborative, team\-oriented environment. This role is a hybrid position requiring you to be onsite for at least 60% of the working month, approximately 3 days a week, with specific in\-office days determined by the team’s manager. The exact schedule will be at the hiring manager's discretion and communicated during the interview process.
**Benefits For The Whole You**
 We’re thankful to have an incredible team behind our work. To honor their commitment, we offer a wide range of benefits to support the people who make all we do possible.
* Provides a generous employer match on employee 401(k) contributions to support planning for the future.
* Paid time off to volunteer at an organization of your choice.
* Funding for select family\-forming benefits.
* Relocation support for employees who need assistance moving
 If you’re interested in a role but your previous experience doesn’t perfectly align with each qualification in the job description, we still encourage you to apply as you may be the perfect fit for this or another role.</t>
        </is>
      </c>
    </row>
    <row r="108">
      <c r="A108" t="inlineStr">
        <is>
          <t>li-4359057999</t>
        </is>
      </c>
      <c r="B108" t="inlineStr">
        <is>
          <t>Software Engineer</t>
        </is>
      </c>
      <c r="C108" t="inlineStr">
        <is>
          <t>Insight Global</t>
        </is>
      </c>
      <c r="D108" t="inlineStr">
        <is>
          <t>linkedin</t>
        </is>
      </c>
      <c r="E108">
        <f>HYPERLINK("https://www.linkedin.com/jobs/view/4359057999", "https://www.linkedin.com/jobs/view/4359057999")</f>
        <v/>
      </c>
      <c r="F108" t="inlineStr"/>
      <c r="G108" t="inlineStr">
        <is>
          <t>Huntsville, AL</t>
        </is>
      </c>
      <c r="H108" t="inlineStr"/>
      <c r="I108" t="inlineStr">
        <is>
          <t>**Title** 
 : C\+\+ Software Engineer
**Location** 
 : Huntsville, AL
**Duration** 
 : 12 month contract to hire
**Compensation** 
 : $60\-$65/hr
**Role Overview** 
 The selected engineer will contribute to the design, development, and enhancement of embedded and application‑level C/C\+\+ software running on Linux\-based systems. The work involves implementing new features, supporting system integration efforts, and performing ongoing modifications and optimizations to existing software components.
 This role requires strong collaboration with systems engineering, hardware engineering, and test organizations, as well as participation in technical reviews, code analysis, and formal documentation activities.
**Required Qualifications** 
* 6\+ years of professional software engineering experience
* Proficiency in
 **C/C\+\+** 
 development
* Experience developing in
 **Linux** 
 environments
* Bachelor’s degree in Engineering, Computer Science, or related discipline
* Ability to obtain and maintain a
 **Secret security clearance**
**Preferred Qualifications** 
* Experience with
 **Python** 
 for automation or tooling
* Familiarity with
 **Windchill** 
 PLM
* Experience working in an
 **Agile** 
 development environment
* Background in
 **weapons system** 
 or defense\-related software development
* Understanding of
 **network protocols** 
 , particularly UDP/TCP, and experience using tools such as
 **Wireshark**
**Compensation \&amp; Structure** 
* **$60–$65/hour (W2\)**
 Full benefits begin on day 31, including medical, dental, vision, HSA/FSA/DCFSA options, 401(k) with employer match, and paid time off in accordance with applicable laws.</t>
        </is>
      </c>
    </row>
    <row r="109">
      <c r="A109" t="inlineStr">
        <is>
          <t>li-4357668515</t>
        </is>
      </c>
      <c r="B109" t="inlineStr">
        <is>
          <t>Software Engineer, Siri AI Quality Engineering</t>
        </is>
      </c>
      <c r="C109" t="inlineStr">
        <is>
          <t>Apple</t>
        </is>
      </c>
      <c r="D109" t="inlineStr">
        <is>
          <t>linkedin</t>
        </is>
      </c>
      <c r="E109">
        <f>HYPERLINK("https://www.linkedin.com/jobs/view/4357668515", "https://www.linkedin.com/jobs/view/4357668515")</f>
        <v/>
      </c>
      <c r="F109" t="inlineStr"/>
      <c r="G109" t="inlineStr">
        <is>
          <t>Cupertino, CA</t>
        </is>
      </c>
      <c r="H109" t="inlineStr"/>
      <c r="I109"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something.nnAs part of Siri’s AI Quality Engineering, we are dedicated to creating groundbreaking conversational assistant technologies for both large\-scale systems and new client devices, building upon our legacy of intelligent assistant solutions that already assist millions of users worldwide. Does the opportunity to play a part in building groundbreaking technology for large\-scale systems, natural language and artificial intelligence excite you? Do you want to expand the experience of Siri and other AI/ML products to new products that will help millions get things done, across the globe? Join Siri AI Quality Engineering at Apple and contribute to a highly accomplished team that focuses on releasing high quality software, models, and products, that will delight and inspire millions of people!n
**Description**
 We are seeking a versatile and motivated software developer to join our Siri AI Quality Engineering group. In this role, you'll be at the forefront of enabling AI assistant experiences in Apple’s next\-generation hardware platforms. You'll ensure that our software frameworks and environments are updated and modernized to adapt to the new architectures and usage\-scenarios of new products in the development pipeline. You'll also partner closely with product development teams and quality engineering groups as the owner of automation support.nnThis position is ideal for systems u0026 framework engineers who are passionate about quality, enjoy creating scalable simulation systems, and are eager to contribute to the success of pioneering AI products. If you have a strong background in software development and experience building tools for simulation and quality, we would love to hear from you!n
**Minimum Qualifications**
 BS/MS or equivalent experience in Computer Science or related fieldnn5\+ years of professional experience in software development, with a strong emphasis on designing, implementing, and optimizing automation systems for innovative hardware u0026 software productsnnTrack record architecting native client\-based APIs and frameworks that have been used with production environments and customersnnExpertise in Swift and/or Obj\-CnnStrong organizational skills and experience working with multiple stakeholders
**Preferred Qualifications**
 Strong software engineering skills, including system design, development, testing, debugging, release and maintenancennDeep understanding of automated software testing methodologies and lifecycle, including integration testing, component mocking, and dependency injectionnnKnowledge of statistics based evaluation approaches, ML training pipelines and accuracy improvements of ML systems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10">
      <c r="A110" t="inlineStr">
        <is>
          <t>li-4328771307</t>
        </is>
      </c>
      <c r="B110" t="inlineStr">
        <is>
          <t>Staff Robotic Simulation Software Engineer</t>
        </is>
      </c>
      <c r="C110" t="inlineStr">
        <is>
          <t>Analog Devices</t>
        </is>
      </c>
      <c r="D110" t="inlineStr">
        <is>
          <t>linkedin</t>
        </is>
      </c>
      <c r="E110">
        <f>HYPERLINK("https://www.linkedin.com/jobs/view/4328771307", "https://www.linkedin.com/jobs/view/4328771307")</f>
        <v/>
      </c>
      <c r="F110" t="inlineStr"/>
      <c r="G110" t="inlineStr">
        <is>
          <t>San Jose, CA</t>
        </is>
      </c>
      <c r="H110" t="inlineStr"/>
      <c r="I110" t="inlineStr">
        <is>
          <t>**About Analog Devices**
 Analog Devices, Inc. (NASDAQ: ADI )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$9 billion in FY24 and approximately 24,000 people globally, ADI ensures today's innovators stay Ahead of What's Possible™. Learn more at www.analog.com and on LinkedIn and Twitter (X).
 Staff Robotic Simulation Software Engineer
 Analog Devices (ADI) is launching an exciting new initiative — the Emerging Tech Hub — a physical space where customers, partners, and academic collaborators can rapidly prototype solutions tailored to their unique challenges.
 We are seeking a highly skilled and motivated Robotics Engineer with expertise in developing and testing AI\-driven robotic applications using NVIDIA Isaac Sim. The ideal candidate will be responsible for designing and implementing simulation environments to generate and train AI/ML models for robot control and perception. A strong background in integrating data from vision, force/torque, and tactile sensors is essential. This role involves working at the intersection of robotics, AI, and high\-fidelity simulation.
 Responsibilities include:
* Simulation Development:
+ Design, implement, and maintain complex, photorealistic, and physically accurate robotic simulation environments within Isaac Sim (built on Omniverse).
+ Develop custom assets, scripts, and world layouts to represent diverse operational scenarios for robot training.
* Sensor Integration \&amp; Data Generation:
+ Configure and utilize virtual sensors within Isaac Sim, specifically vision (e.g., RGB\-D, LiDAR), force/torque (F/T), and tactile sensors, ensuring accurate data output for training.
+ Develop pipelines for large\-scale, automated synthetic data generation and annotation from the simulation for AI model training.
* AI/ML Model Development \&amp; Training:
+ Integrate and test AI/ML models (e.g., reinforcement learning, imitation learning, deep learning for perception) with the simulated robot system.
+ Utilize Isaac Sim's tools (e.g., Omniverse Replicator) to manage domain randomization and simulate edge cases to improve model robustness.
* Robot Control \&amp; Validation:
+ Develop and implement low\-level and high\-level robot control algorithms within the simulation.
+ Validate the performance of trained AI models in simulation before deployment on physical hardware.
* Collaboration \&amp; Documentation:
+ Collaborate closely with hardware, software, and AI research teams.
+ Document development processes, simulation parameters, and AI training methodologies.
 Qualifications:
* Education: Bachelor's or Master's degree in Robotics, Computer Science, Electrical Engineering, or a related technical field.
* Experience: 3\+ years of professional experience in robotics software development.
* Isaac Sim Expertise: Proven hands\-on experience developing sophisticated simulation environments and synthetic data generation pipelines using NVIDIA Isaac Sim (or a comparable platform like Gazebo/ROS, V\-REP, or MuJoCo, with a strong willingness to transition).
* Programming: Strong proficiency in Python and experience with C\+\+ is a plus.
* Robotics Frameworks: Experience with the Robot Operating System (ROS).
* Sensor Knowledge: Deep understanding of data processing and calibration for robotic sensors, particularly:
* Vision: Camera models, point clouds, computer vision techniques.
* Force/Torque: Interpretation of F/T sensor data for compliant control or contact detection.
* Tactile: Experience integrating data from various tactile sensing modalities.
* AI/ML Fundamentals: Familiarity with machine learning concepts, especially in the context of robot perception and control (e.g., PyTorch, TensorFlow).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
*EEO is the Law: Notice of Applicant Rights Under the Law.*
 Job Req Type: Experienced
 Required Travel: Yes, 10% of the time
 Shift Type: 1st Shift/Days
 The expected wage range for a new hire into this position is $144,038 to $216,056\.
* Actual wage offered may vary depending on work location, experience, education, training, external market data, internal pay equity, or other bona fide factors.
* This position qualifies for a discretionary performance\-based bonus which is based on personal and company factors.
* This position includes medical, vision and dental coverage, 401k, paid vacation, holidays, and sick time, and other benefits.</t>
        </is>
      </c>
    </row>
    <row r="111">
      <c r="A111" t="inlineStr">
        <is>
          <t>li-4359181133</t>
        </is>
      </c>
      <c r="B111" t="inlineStr">
        <is>
          <t>AIML - Backend Engineer, Evaluation</t>
        </is>
      </c>
      <c r="C111" t="inlineStr">
        <is>
          <t>Apple</t>
        </is>
      </c>
      <c r="D111" t="inlineStr">
        <is>
          <t>linkedin</t>
        </is>
      </c>
      <c r="E111">
        <f>HYPERLINK("https://www.linkedin.com/jobs/view/4359181133", "https://www.linkedin.com/jobs/view/4359181133")</f>
        <v/>
      </c>
      <c r="F111" t="inlineStr"/>
      <c r="G111" t="inlineStr">
        <is>
          <t>Seattle, WA</t>
        </is>
      </c>
      <c r="H111" t="inlineStr"/>
      <c r="I111" t="inlineStr">
        <is>
          <t>**Summary**
 Would you like a chance to create a significant impact, working alongside world\-class experts and using innovative technologies to push the boundaries of what's possible? At Apple, we believe in creating technology that enriches lives and empowers creativity. You'll play a pivotal role in developing Apple Intelligence, driving the next generation of groundbreaking products across all Apple platforms.
**Description**
 As a Backend Engineer in AIML Evaluation, you will design and integrate scalable architectures and build core APIs, frameworks, and libraries that enable Modeling and Evaluation teams to efficiently assess AI/ML\-powered features. You will lead requirements definition—including proof\-of\-concept development—and co\-own the roadmap for ML evaluation platforms, ensuring seamless system integration and continuous improvement. Your work will strengthen automation, improve model performance assessment, and streamline workflows across AI/ML teams.nnThe ideal candidate has a strong track record of owning full product lifecycles, from initial design and implementation to feedback\-driven iteration on tools that support AI/ML development. You will build, measure, and optimize software solutions that deliver insights into platform changes, driving innovation and elevating Apple’s AI\-driven user experiences.nThis role requires strategic thinking, deep technical expertise, and the ability to excel in a fast\-paced, rapidly evolving environment while partnering closely with engineering, research, and product teams to deliver high\-impact solutions.
**Minimum Qualifications**
 2\+ years in backend engineering with experience in large\-scale software system design and implementation.nProficiency in languages such as Python, GoLang, or Java.nExperience with distributed systems, databases (SQL/NoSQL), and cloud platforms (AWS, Azure, GCP).nRecord of building high\-quality, highly scalable backend software systems.nAbility to tackle complex challenges, think critically, and deliver innovative solutions.nExcellent communication skills and a team\-oriented attitude, thriving in a collaborative and fast\-paced environment.nBachelor's degree in Computer Science, Engineering, or a related field.
**Preferred Qualifications**
 Solid understanding of AI feature, model evaluation metrics, and data processing pipelines.nPrevious experience in a high\-growth tech company or similar environment.nFamiliarity with open\-source projects related to AI/ML or backend development.nFamiliarity with CI/CD pipelines, containerization (Docker, Kubernetes), and infrastructure as code.nMaster or Ph.D. in a related field.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12">
      <c r="A112" t="inlineStr">
        <is>
          <t>li-4357698381</t>
        </is>
      </c>
      <c r="B112" t="inlineStr">
        <is>
          <t>Senior Software Engineer in Test - Distributed Systems</t>
        </is>
      </c>
      <c r="C112" t="inlineStr">
        <is>
          <t>Apple</t>
        </is>
      </c>
      <c r="D112" t="inlineStr">
        <is>
          <t>linkedin</t>
        </is>
      </c>
      <c r="E112">
        <f>HYPERLINK("https://www.linkedin.com/jobs/view/4357698381", "https://www.linkedin.com/jobs/view/4357698381")</f>
        <v/>
      </c>
      <c r="F112" t="inlineStr"/>
      <c r="G112" t="inlineStr">
        <is>
          <t>Seattle, WA</t>
        </is>
      </c>
      <c r="H112" t="inlineStr"/>
      <c r="I112" t="inlineStr">
        <is>
          <t>**Summary**
 The Apple Services Engineering team is looking for an outstanding software engineer to integrate and test software to lead and orchestrate workloads across highly performant and energy efficient systems that will power the next generation of data centers. In this highly collaborative role, you will be at the center of multiple efforts to utilize hardware acceleration for machine learning and high performance computing workloads. You will partner with teams across Apple to adapt, tailor, and scale software on a novel compute platform and will help to build the foundation of our future cloud architecture. We are looking for someone with proven mastery building and leading scalable, resilient systems. You should have a strong mix of education and practical experience with a real passion for diving head first into challenging problems.
**Description**
 You will work multi\-functionally with architecture, platform design, SOC architects, and software teams to automate and validate outstanding hardware, software and services. You will be responsible for building and maintaining system infrastructure that powers next generation of data centers. You will ensure high quality and agility with unit tests, integration tests and performance tests. You will be responsible for crafting, implementing, and completing test plans and test suites based on specification documents.
**Minimum Qualifications**
 5\+ years of experience as a Software Development Engineer in Test or Software Quality EngineernScripting and programming skills in C/C\+\+, Golang, Python, Shell.nExcellent Automation skills and CI/CD pipeline experience is a plus.nGood understanding of microservice topologies and deployment patterns in the cloud and/or edge.nExperience with cloud orchestration engines such as Kubernetes, Nomad, Apache Mesos, or similar.nAbility to triage problems, prioritize accordingly, and propose a resolution.nExperience with Swift, Objective\-C and Apple development tools is a definite plus!nPassion for software architecture, APIs and high performance extensible software.nCreative, collaborative, and product\-focused.nExcellent communication skills.
**Preferred Qualifications**
 You possess strong skills in software development and testing.nYou are passionate about developing new features, automation, maintaining existing code, fixing bugs.nYou have strong problem\-solving skills.nYou are skilled at the art of communication and enjoy it.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13">
      <c r="A113" t="inlineStr">
        <is>
          <t>li-4362931153</t>
        </is>
      </c>
      <c r="B113" t="inlineStr">
        <is>
          <t>Software Engineer II – Big Data &amp; Analytics</t>
        </is>
      </c>
      <c r="C113" t="inlineStr">
        <is>
          <t>JPMorganChase</t>
        </is>
      </c>
      <c r="D113" t="inlineStr">
        <is>
          <t>linkedin</t>
        </is>
      </c>
      <c r="E113">
        <f>HYPERLINK("https://www.linkedin.com/jobs/view/4362931153", "https://www.linkedin.com/jobs/view/4362931153")</f>
        <v/>
      </c>
      <c r="F113" t="inlineStr"/>
      <c r="G113" t="inlineStr">
        <is>
          <t>Columbus, OH</t>
        </is>
      </c>
      <c r="H113" t="inlineStr"/>
      <c r="I113" t="inlineStr">
        <is>
          <t>**Job Description**
 We have an opportunity to impact your career and provide an adventure where you can push the limits of what's possible.
 As a Software Engineer for Big Data and Analytics at JPMorgan Chase within Consumer and Community Banking Data Technology, you will be an integral part of an agile team that enhances, builds, and delivers trusted, market\-leading technology products in a secure, stable, and scalable way. As a core technical contributor, you will be responsible for delivering critical technology solutions across multiple technical areas and business functions, supporting the firm’s objectives using Java, J2EE, Microservices, Python, Spark, Scala, and AWS for Business Banking Data Products.
**Job Responsibilities**
* Oversee all aspects of data strategy, governance, data risk management, reporting, and analytics.
* Manage risks associated with data use, retention/destruction, and privacy.
* Design, develop, code, test, debug, and deploy scalable and extensible applications.
* Produce high\-quality code utilizing Test Driven Development techniques.
* Participate in retrospectives to drive continuous improvement within the feature team.
* Participate in code reviews, ensuring all solutions align with pre\-defined architectural specifications.
* Implement automation through Continuous Integration and Continuous Delivery.
* Manage cloud development and deployment, supporting applications in both private and public clouds.
**Required Qualifications, Capabilities, And Skills**
* Formal training or certification in software engineering concepts and 1\+ years of applied experience.
* Advanced knowledge of architecture, design, and business processes.
* Full Software Development Life Cycle experience within an Agile framework.
* Expert\-level skills in Java, AWS, database technologies, Python, Scala, Spark/PySpark, or any ETL technology.
* Experience developing and decomposing complex SQL on RDMS platforms.
* Experience with Data Warehousing concepts (including Star Schema).
* Practical experience delivering projects in Data and Analytics, Big Data, Data Warehousing, and Business Intelligence; familiarity with relevant technological solutions and industry best practices.
* Strong understanding of data engineering challenges and proven experience with data platform engineering (batch and streaming, ingestion, storage, processing, management, integration, consumption).
* Familiarity with multiple Data \&amp; Analytics technology stacks.
* Awareness of various Data \&amp; Analytics tools and techniques (e.g., Python, data mining, predictive analytics, machine learning, data modeling, etc.).
* Experience with one or more leading cloud providers (AWS, Azure, GCP).
**Preferred Qualifications, Capabilities, And Skills**
* Ability to work quickly and ramp up on new technologies and strategies.
* Strong collaboration skills and ability to develop meaningful relationships to achieve common goals.
* Appreciation for controls and compliance processes for applications and data.
* In\-depth understanding of data technologies and solutions is preferable.
* Ability to drive process improvements and implement necessary changes.
* Knowledge of industry\-wide Big Data technology trends and best practices.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14">
      <c r="A114" t="inlineStr">
        <is>
          <t>li-4359078481</t>
        </is>
      </c>
      <c r="B114" t="inlineStr">
        <is>
          <t>iOS Software Engineer, Image Generation</t>
        </is>
      </c>
      <c r="C114" t="inlineStr">
        <is>
          <t>Apple</t>
        </is>
      </c>
      <c r="D114" t="inlineStr">
        <is>
          <t>linkedin</t>
        </is>
      </c>
      <c r="E114">
        <f>HYPERLINK("https://www.linkedin.com/jobs/view/4359078481", "https://www.linkedin.com/jobs/view/4359078481")</f>
        <v/>
      </c>
      <c r="F114" t="inlineStr"/>
      <c r="G114" t="inlineStr">
        <is>
          <t>Cupertino, CA</t>
        </is>
      </c>
      <c r="H114" t="inlineStr"/>
      <c r="I114" t="inlineStr">
        <is>
          <t>**Summary**
 With Image Playground, Genmoji, and Image Wand, users can create fun images in seconds. Powered by Apple Intelligence, image generation is easy to use and built right into apps including Messages. The core of Image Playground powers experiences across the system, such as genmoji and image wand. It’s also available in a dedicated app, perfect for experimenting with different concepts and styles. All images are created with Apple’s core values in mind with respect to privacy and security, giving users the freedom to experiment with as many images as they want.nnIf you're passionate about creating amazing UI experiences powered by ML, come join us in building the future of image generation experiences..
**Description**
 Our team develops the next generation of frameworks and applications for surfacing image generation in the UI across the system. We’re a highly cross\-functional group working with everything from the backend through to the user interface. In this role you will refine existing functionalities on iOS and macOS that power today’s Apple products as well as inventing new features.
**Minimum Qualifications**
 Specialist in Apple’s API in Swift (SwiftUI or UIKit or AppKit)nFluent with Apple’s development tools (Xcode)nGood knowledge of Data Structures and AlgorithmnBackground in UI prototyping and implementationnBachelor's Degree or equivalent experience or higher in Computer Science, or a closely related field
**Preferred Qualifications**
 Self\-motivated with passion for qualitynMacOS development experiencenExperience designing an iOS application or framework of significant scopenExperience with integrating ML with user facing experiencesnFamiliarity with software optimization and performance measurement toolsnAbility to effectively contribute to several concurrent projectsnAbility to thrive in a highly collaborative environmentnExcellent verbal and written communication skills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15">
      <c r="A115" t="inlineStr">
        <is>
          <t>li-4314626181</t>
        </is>
      </c>
      <c r="B115" t="inlineStr">
        <is>
          <t>Principal Software Engineer</t>
        </is>
      </c>
      <c r="C115" t="inlineStr">
        <is>
          <t>Shutterfly</t>
        </is>
      </c>
      <c r="D115" t="inlineStr">
        <is>
          <t>linkedin</t>
        </is>
      </c>
      <c r="E115">
        <f>HYPERLINK("https://www.linkedin.com/jobs/view/4314626181", "https://www.linkedin.com/jobs/view/4314626181")</f>
        <v/>
      </c>
      <c r="F115">
        <f>HYPERLINK("https://shutterflycareers.ttcportals.com/jobs/16914191-principal-software-engineer?tm_job=2025-2683&amp;tm_event=view&amp;tm_company=13020&amp;bid=56&amp;urlHash=u_A3", "https://shutterflycareers.ttcportals.com/jobs/16914191-principal-software-engineer?tm_job=2025-2683&amp;tm_event=view&amp;tm_company=13020&amp;bid=56&amp;urlHash=u_A3")</f>
        <v/>
      </c>
      <c r="G115" t="inlineStr">
        <is>
          <t>Eden Prairie, MN</t>
        </is>
      </c>
      <c r="H115" t="inlineStr"/>
      <c r="I115" t="inlineStr">
        <is>
          <t>Snapfish (part of the Shutterfly family of brands) was built to help people archive and share photos. For almost two decades, our tools have played a critical part in changing how people around the world store and share photos with one another.
 We are looking to add a Principal Software Engineer who will be instrumental in the design and development of the Snapfish website. We're looking for someone who brings fresh ideas from all areas, including information retrieval, distributed computing, large\-scale system design, networking, data storage, security and artificial intelligence. We are looking for a versatile engineer who displays leadership qualities and is enthusiastic about taking on new problems across the full stack as we continue to push the technology forward. With your technical expertise and people skills, you will work with technical teams across the organization to lead the efforts to bring in architectural efficiencies, help identify and rectify areas of resource overuse, introduce cost saving architectural changes and help lay the foundation for the next generation photos system.
**Location: This is a fully remote position based in US. First day onboarding will be onsite at the nearest hub location.**
**What You'll Do Here**
* Collaborate with engineering leaders, product management, key stakeholders to introduce architectural simplifications and consolidation across multiple technology stacks and disparate systems.
* Stay on track with the latest technologies for the domain and apply the experience and knowledge towards architecture and product features.
* Analyze and articulate the current state of the technology and propose valued alternatives wherever required.
* Help define and implement the architectural roadmap and own key portions of the implementation.
* Explain the status \&amp; value of proposed design/solution that meet preset goals of quality, security and performance to stakeholders.
* Help guide and the activities of development teams.
**Qualifications**
* At an expert level in distributed computing and storage, including significant experience with the following: server systems, storage, I/O, networking, and systems software.
* At an expert level in advanced programming skills to build distributed storage and compute systems, backend services, microservices, and web technologies with the ability to switch between programming environments like Java, JavaScript, native programming as well as scripting languages such as Python/Terraform/Perl.
* Expertise in the following systems \&amp; technologies and how they fit together: http and native clients, DNS, load balancers, reverse proxies, CDNs, application servers, databases, and caches.
* Expertise in building streaming applications using pub sub system, \&amp; search technologies
* Proficient with ECS or other containerization technologies
* Proficiency across a wide range of database technologies including relational, document oriented, column oriented and graph databases such Oracle, Mongo, Document DB.
* Expertise in CI/CD technologies such as Chef, Jenkins. Ansible.
 Supporting a diverse and inclusive workforce is important to Shutterfly not only because it directly reflects our value of Embracing our Differences, but also because it’s the right thing to do for our business and for our people. We welcome all applicants and evaluate them based on their qualifications, without regard to age, race, creed, color, national origin, ancestry, marital status, affectional or sexual orientation, gender identity or expression, disability, nationality, sex, or other characteristic covered by law. Learn more about our commitment to Diversity, Equity, and Inclusion on our Career Site.
 This position will accept applications on an ongoing basis until filled.
 The compensation package for this role is based on multiple factors, such as job level, responsibilities, location, and candidate experience. The base pay ranges included below are specific to the locations listed, and may not be applicable to other locations.
 California : \[$134,750\-190,750]
 Connecticut and New York: \[$134,750\-174,750
 Colorado, Illinois, Minnesota and Washington: \[$134,750\-161,750]
 Nevada: \[$126,750\-174,750]
 Maryland and New Jersey: \[$145,500\-174,750]
 Hawaii : \[$126,750\-142,250]
 This position may be eligible for a bonus incentive, health benefits, a 401K program, and other employee perks. More details about our company benefits can be found at https://shutterflyinc.com/benefits/.
 This opportunity can be remote, but candidates must reside in a state in which Shutterfly is registered to do business. This includes all US states except District of Columbia, North Dakota, Mississippi, Rhode Island, Vermont, and Wyoming.
 \#SFLYTechnology</t>
        </is>
      </c>
    </row>
    <row r="116">
      <c r="A116" t="inlineStr">
        <is>
          <t>li-4353510520</t>
        </is>
      </c>
      <c r="B116" t="inlineStr">
        <is>
          <t>Sr. Python Software Engineer (Hybrid) - Linux/Unix</t>
        </is>
      </c>
      <c r="C116" t="inlineStr">
        <is>
          <t>FactSet</t>
        </is>
      </c>
      <c r="D116" t="inlineStr">
        <is>
          <t>linkedin</t>
        </is>
      </c>
      <c r="E116">
        <f>HYPERLINK("https://www.linkedin.com/jobs/view/4353510520", "https://www.linkedin.com/jobs/view/4353510520")</f>
        <v/>
      </c>
      <c r="F116" t="inlineStr"/>
      <c r="G116" t="inlineStr">
        <is>
          <t>Norwalk, CT</t>
        </is>
      </c>
      <c r="H116" t="inlineStr"/>
      <c r="I116"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**Your Team's Impact**
 The News Content team is responsible for ingesting, maintaining and delivering a variety of unstructured text\-based content sets for use across all FactSet applications and workflows, including key generative AI products.  These content sets need to be processed and delivered to our clients in real\-time.
 New feed integration involves working with Product Development to understand the requirements of the feeds as well as working with the vendor to understand the technical specification for ingesting the feeds, designing and implementing data processing pipelines.
 Work on existing feeds includes bug fixes, feature enhancements, infrastructure improvements, maintaining data quality, and ensuring feeds are operating properly throughout the day.  You will work on both internal and external client\-facing applications that shape the user's experience and drive FactSet's growth through technological innovations.
 This role on the News Content team is hybrid or in office.
**What You'll Do**
* FactSet is seeking a Python Developer along with experienced AWS Developer to join our engineering team responsible for making our product more scalable and reliable.
* Deliver high quality, re\-usable and maintainable code, perform Unit / Integration Testing of assigned tasks within the estimated timelines.
* Build robust infrastructure appropriate for the respective component or product
* Proactive in providing technical solutions with effective communication and collaboration skills.
* Perform code reviews and ensure best practices are followed.
* Work in an agile team environment and collaborate with internal teams to ensure smooth product delivery.
* Ownership of team products end\-to\-end.
* Design for and ensure high stability of new and existing products.
* Continuous knowledge sharing both internal and external to the team.
**Required Skills**
**What We're Looking For**
* Bachelor or master’s degree in computer science
* 5\-8 years of Total experience
* Minimum 5 years of experience in Python development
* Minimum of 2 years working experience in Linux/Unix environments
* Strong analytical and problem\-solving skills
* Strong experience and proficiency with microservices and orchestration.
* Experience with Github\-based development processes
* Excellent written and verbal communication skills
* Organized, self\-directed, and resourceful with the ability to appropriately prioritize work in a fast\-paced environment
**Desired Skills**
* Familiar with Agile software development (Scrum is a plus)
* Experience in C\+\+ development
* Exposure on design patterns
* Experience with AWS components
* Experience in front end development
* Experience in database development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salary range for this position in the states of Connecticut and New York is
 **$150,000\.00 \- 165,000\.00**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117">
      <c r="A117" t="inlineStr">
        <is>
          <t>li-4319834547</t>
        </is>
      </c>
      <c r="B117" t="inlineStr">
        <is>
          <t>Senior Frontend Engineer</t>
        </is>
      </c>
      <c r="C117" t="inlineStr">
        <is>
          <t>Document Crunch</t>
        </is>
      </c>
      <c r="D117" t="inlineStr">
        <is>
          <t>linkedin</t>
        </is>
      </c>
      <c r="E117">
        <f>HYPERLINK("https://www.linkedin.com/jobs/view/4319834547", "https://www.linkedin.com/jobs/view/4319834547")</f>
        <v/>
      </c>
      <c r="F117">
        <f>HYPERLINK("https://ats.rippling.com/document-crunch-inc/jobs/08e21eea-6cf5-4d5b-ba8c-993f47523fbc?jobSite=LinkedIn&amp;src=LinkedIn&amp;urlHash=n7qV", "https://ats.rippling.com/document-crunch-inc/jobs/08e21eea-6cf5-4d5b-ba8c-993f47523fbc?jobSite=LinkedIn&amp;src=LinkedIn&amp;urlHash=n7qV")</f>
        <v/>
      </c>
      <c r="G117" t="inlineStr">
        <is>
          <t>Austin, TX</t>
        </is>
      </c>
      <c r="H117" t="inlineStr"/>
      <c r="I117" t="inlineStr">
        <is>
          <t>**About Document Crunch, Inc.**
 We’re cutting\-edge innovators. We’re changing an industry. We’re making a real difference.
 Recognized as a 2025 Inc. Best Place to Work ranked \#311 on the Inc. 5000, and winner of the 2024 AI Breakthrough Award, Document Crunch is the construction industry’s leading AI Risk Reduction Platform. Powered by CrunchAI™ and one of the industry’s richest proprietary datasets, we help project teams cut through the noise, reviewing documents in seconds, guiding decisions with built\-in best practices, and answering on\-the\-job questions instantly from bid to closeout. Our company is people\-focused and values\-driven. We know that to achieve great things, you need a great team, and our “Crunchers” go above and beyond in everything they do. In addition, everyone on our team stays true to our core values, a must if you’d like to become a Cruncher.
**Core Values**
****We Are Lion\-Hearted:****
 We thrive together as a team and in a community. Our network is our superpower, so we look to always invest in long\-term relationships, built on integrity, empathy and authenticity.
****We Are Fiercely Inspired:****
 The privilege of this opportunity and the people we share it with inspire us all. We are fiercely committed to realizing our potential and relentless in pursuit of winning big.
****We Are Growth\-Minded:****
 Our evolution is essential to continue thriving. We are committed to pushing our limits, learning, growing and evolving because this is what makes for a great life experience.
**About This Role**
 As a Senior Frontend Engineer, you’ll be a technical lead on a small, high\-impact squad. You’ll own end\-to\-end delivery of complex experiences—from discovery and design partnering to architecture, implementation, quality, and observability. You’ll raise the bar on performance, accessibility, and developer experience while mentoring others and shaping our frontend standards.
**Key Responsibilities**
* Own features from idea → shipped → iterated: collaborate with PM/Design, write crisp technical plans, instrument usage, and refine fast.
* Build excellent UIs in React \+ TypeScript with component composition, state management best practices, and clean data\-fetching patterns.
* Champion quality: establish test strategies (unit, integration, E2E), add meaningful types, storybook docs, a11y checks, and performance budgets.
* Improve the platform: evolve our design system, routing, auth flows, error handling, caching, and offline\-ready experiences.
* Instrument \&amp; observe: add telemetry (metrics, logs, traces) to understand UX, reliability, and performance in production.
* Collaborate across the stack: shape API contracts with backend engineers; contribute to build tooling and CI/CD where needed.
* Mentor \&amp; multiply: give incisive code reviews, share patterns, and help level\-up the team’s frontend craft.
**Skill Set**
 These are the primary skills we're looking for to drive success in this role.
* Bachelor's degree in Engineering, Computer Science, Business, or related field  preferred; high school diploma required.
* Ability to come in to our Austin office at least one day per week
* Experience in a startup\-to\-growth environment with a focus on putting it systems and processes that scale
* 5\+ years building production web apps with React \+ TypeScript (or equivalent modern framework) and strong fundamentals in HTML/CSS.
* Proven experience shipping complex, data\-heavy products with excellent UX, a11y (WCAG 2\.2 AA), and web performance (Core Web Vitals).
* Comfort designing component APIs, state management (e.g., React Query/TanStack, Zustand/Redux), and routing for multi\-view apps.
* Fluency integrating REST APIs, handling auth, optimistic updates, and error/retry semantics.
* Pragmatic testing (Jest/Vitest, Testing Library, Playwright/Cypress), and familiarity with Storybook or equivalent docs.
* Strong product sense, communication, and ownership; you bias to outcomes and collaborative iteration.
**Benefits \&amp; Perks**
 Whether it’s Wednesday lunch in our offices, company\-wide offsites or quarterly volunteering opportunities, we are always looking for ways to keep our employees happy and engaged with their teammates, whether your work schedule is hybrid or fully remote. Our benefits include:
* World class medical, dental, and vision benefits
* Participation in the employee stock option program
* Flexible Time Off Policy
* Ability to participate in our 401k
* Company paid Short Term Disability, Long Term Disability and Life Insurance
* Paid Parental Leave
* Monthly technical allowance
* Getting in close to the ground floor of an incredibly high\-growth business
* Substantial internal growth opportunities and emphasis on personal \&amp; professional development
**We value diversity, equity, and inclusion in everything we do. It is our policy to provide equal opportunity to all people without regard to race, color, religion, national origin, marital status, veteran status, age, disability, pregnancy, sex, sexual orientation, gender identity or any other legally protected category.**</t>
        </is>
      </c>
    </row>
    <row r="118">
      <c r="A118" t="inlineStr">
        <is>
          <t>li-4357638551</t>
        </is>
      </c>
      <c r="B118" t="inlineStr">
        <is>
          <t>Systems Software Engineer, Information Security</t>
        </is>
      </c>
      <c r="C118" t="inlineStr">
        <is>
          <t>Apple</t>
        </is>
      </c>
      <c r="D118" t="inlineStr">
        <is>
          <t>linkedin</t>
        </is>
      </c>
      <c r="E118">
        <f>HYPERLINK("https://www.linkedin.com/jobs/view/4357638551", "https://www.linkedin.com/jobs/view/4357638551")</f>
        <v/>
      </c>
      <c r="F118">
        <f>HYPERLINK("https://jobs.apple.com/en-us/details/200617004&amp;urlHash=kkVB", "https://jobs.apple.com/en-us/details/200617004&amp;urlHash=kkVB")</f>
        <v/>
      </c>
      <c r="G118" t="inlineStr">
        <is>
          <t>Austin, TX</t>
        </is>
      </c>
      <c r="H118" t="inlineStr"/>
      <c r="I118" t="inlineStr">
        <is>
          <t>**Summary**
 Apple Information Security is responsible for protecting Apple’s data in transit and at rest. Apple employees and partners are always moving information from one system to another, or storing it on a server or device. Our job is to make sure Apple's information doesn't fall into the wrong hands.nnWe are looking for a self\-motivated individual with an intuition for security who is not afraid to question assumptions. The ability to be results\-driven and comfortable with dynamic requirements, as well as having excellent interpersonal and time management skills, are keys to success in this position.nnAs a member of our team, you will have the opportunity to collaborate with multi\-functional partners both internal and external to Apple to build innovative security products. You will support the development of embedded systems designed to enhance Apple’s security posture. You will be challenged to provide forward\-thinking solutions to problems and to be a good teammate under deadline constraints. Show us your talent in this challenging, fun, and exciting environment. It’s what makes us Apple.
**Description**
 As an Engineer in Apple Information Security, you will:n\* Be designing, developing and deploying robust, scalable services and platforms that enable secure operations across the organization.n\* Stay up\-to\-date with emerging security research, technologies and methodologies.n\* Have experience performing root cause analysis to identify, understand, and address issues.n\* Support, tune, and perfect Apple’s information security products for resiliency in hostile environments.n\* Be a teammate, a leader, a student, and a mentor.n\* Be challenged to work under pressure and with ambiguity.n\* Be adept at shifting directions and priorities.n\* Be detail\-oriented and self\-motivated.n\* Excellent at multitasking, organizing, and prioritizing complex projects to meet deadlines.n\* Cultivate your network by meeting new colleagues from across the business.n\* Believe that automation, tooling and testing are critical parts of the software lifecycle.
**Minimum Qualifications**
 Strong skills in common systems programming languages.nUnderstanding of operating system fundamentals.nExperience with framework and daemon development.nExperience with hardware and/or software development lifecycle processes.nExperience in continuous development practices (CI/CD, rollback, canaries, feature flags, etc.).nUnderstanding of the latest configuration management technologies, security issues, and protocols.nUnderstanding of authentication and authorization frameworks and protocols, e.g. OAuth/OpenID/SAML.nWorking knowledge of network security and applied cryptography.nAbility to transition seamlessly to new technologies/frameworks.nAbility to develop new and innovative applications as well as maintaining existing code.nAbility to thrive in a self\-directed, fast\-paced environment, that is highly collaborative and multi\-functional.nAbility to communicate effectively, both written and verbal, with technical and non\-technical people across functional teams.nAbility to build and maintain strong internal and external collaborative relationships.
**Preferred Qualifications**
 Experience in system architecture development, including driver and firmware development.nExperience with developing and shipping high quality software products on iOS/macOS/tvOS.nAbility to comprehend hardware specs and schematics.nProgramming background, in Swift, C, C\+\+ or Objective\-C.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19">
      <c r="A119" t="inlineStr">
        <is>
          <t>li-4353530312</t>
        </is>
      </c>
      <c r="B119" t="inlineStr">
        <is>
          <t>Senior Embedded Software Engineer</t>
        </is>
      </c>
      <c r="C119" t="inlineStr">
        <is>
          <t>MARVEL Infotech Inc.</t>
        </is>
      </c>
      <c r="D119" t="inlineStr">
        <is>
          <t>linkedin</t>
        </is>
      </c>
      <c r="E119">
        <f>HYPERLINK("https://www.linkedin.com/jobs/view/4353530312", "https://www.linkedin.com/jobs/view/4353530312")</f>
        <v/>
      </c>
      <c r="F119" t="inlineStr"/>
      <c r="G119" t="inlineStr">
        <is>
          <t>Shelton, CT</t>
        </is>
      </c>
      <c r="H119" t="inlineStr"/>
      <c r="I119" t="inlineStr">
        <is>
          <t>Senior Embedded Software Engineer
 Location: Shelton, CT
**Job Details**
**10\+ years of experience with C\+\+, Embedded Development, RTOS, and Control systems are needed for this role.** 
**Bachelor’s degree as a minimum is also needed for this role** 
 .
 As a software engineer, you’ll develop embedded systems in C\+\+, working across the full software development lifecycle, from design and device driver development to integration and testing. You’ll tackle complex hardware and software challenges, building reliable, high performance systems that directly control real machines and impact operations. This is a fast paced environment where your contributions are visible, and your growth is continuous.</t>
        </is>
      </c>
    </row>
    <row r="120">
      <c r="A120" t="inlineStr">
        <is>
          <t>li-4359137687</t>
        </is>
      </c>
      <c r="B120" t="inlineStr">
        <is>
          <t>iOS Software Engineer, Health Studies</t>
        </is>
      </c>
      <c r="C120" t="inlineStr">
        <is>
          <t>Apple</t>
        </is>
      </c>
      <c r="D120" t="inlineStr">
        <is>
          <t>linkedin</t>
        </is>
      </c>
      <c r="E120">
        <f>HYPERLINK("https://www.linkedin.com/jobs/view/4359137687", "https://www.linkedin.com/jobs/view/4359137687")</f>
        <v/>
      </c>
      <c r="F120" t="inlineStr"/>
      <c r="G120" t="inlineStr">
        <is>
          <t>Sunnyvale, CA</t>
        </is>
      </c>
      <c r="H120" t="inlineStr"/>
      <c r="I120" t="inlineStr">
        <is>
          <t>**Summary**
 At Apple, we build amazing products that allow millions of people to do things they never imagined! nnOur team is working on innovative features for Apple products that empower people to live a better and healthier life! We’re seeking an exceptional iOS/watchOS app developer to join our team to drive that mission forward and enable new health capabilities on Apple platforms.nnAre you ready to help us deliver the next groundbreaking Apple products?
**Description**
 As a core member of our engineering team, you will support several health research and related efforts at Apple, developing iOS and watchOS application platforms to fulfill a variety of purposes and research studies to inform Apple’s health roadmap. You'll partner with data engineering, data science, algorithms, and system teams to architect new capabilities and experiences. Excellent software engineering, collaboration, communication, and leadership skills are all essential for this role.nnAdditionally, our team will: nn
* Collaborate with cross\-functional partners to gather requirements, define product spec and inform validation to ship a high\-quality releasenn
* Drive engineering architecture and implementation from early prototyping to releasenn
* Partner with Privacy, Security, Legal teams to ensure end features are designed with appropriate considerations for user privacy
**Minimum Qualifications**
 BS in Computer Science, Computer Engineering, Software Engineering, or equivalent fieldn3\+ years of software development experience for modern Apple platforms (one of iOS, watchOS, macOS, visionOS)nHands\-on experience using Apple technologies and frameworks (i.e. Swift, SwiftUI, UIKit, Foundation, and Core Data)nHas previously played the role of a technical lead (i.e. leading software development projects, designing software architecture, communicating with cross\-functional partners)
**Preferred Qualifications**
 5\+ years of professional software development experiencenWorking knowledge of systems, frameworks, and OS\-level programming (e.g. Objective\-C, C\+\+, C)nFamiliarity with ResearchKit, HealthKit, SensorKit, CoreMotion, and related iOS frameworksnBuilt software collaborating with cloud systems and/or managing high\-bandwidth data on\-devicenExperience with data communication and transfer protocols (e.g. Bluetooth, Wi\-Fi, Protobuf, etc.)nStrong technical communicator and experience driving highly cross\-functional projects nAdvocate for software engineering best practices and high quality codenSelf\-directed, technology generalist, comfortable diving into a wide range of technology areas to solve the problem at hand (e.g. scripting, automation, etc.)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21">
      <c r="A121" t="inlineStr">
        <is>
          <t>li-4344438873</t>
        </is>
      </c>
      <c r="B121" t="inlineStr">
        <is>
          <t>Staff Software Engineer, Workshop Management</t>
        </is>
      </c>
      <c r="C121" t="inlineStr">
        <is>
          <t>Waymo</t>
        </is>
      </c>
      <c r="D121" t="inlineStr">
        <is>
          <t>linkedin</t>
        </is>
      </c>
      <c r="E121">
        <f>HYPERLINK("https://www.linkedin.com/jobs/view/4344438873", "https://www.linkedin.com/jobs/view/4344438873")</f>
        <v/>
      </c>
      <c r="F121" t="inlineStr"/>
      <c r="G121" t="inlineStr">
        <is>
          <t>San Francisco, CA</t>
        </is>
      </c>
      <c r="H121" t="inlineStr"/>
      <c r="I121"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commercial service is up and running in multiple cities, with ambitious plans to expand dramatically in the coming years; the associated infrastructure is in an early stage and requires significant investment for Waymo to grow into a high scale, world\-class service. Increasing demand for Waymo’s ride\-hailing service will drive evolution of our systems, providing an opportunity\-rich environment to solve hard, ambiguous, high\-impact, cross\-functional problems.
**Team:** 
 Fleet Management
**Project:** 
 Workshop management; focused on planning and executing vehicle maintenance and uptime software.
 In this hybrid role, you will report to an Engineering Manager.
**You Will**
* Collaborate and work across team boundaries
* Work with PM, UX, legal, operations, or other non\-engineering roles
* Lead and take ownership to drive efforts to completion
* Set and align the teams technical roadmap
* Maintain the best engineering practices
**You Have**
* BS degree in Computer Science or equivalent practical experience
* 6\+ years experience working with backend tech (e.g. C\+\+, Spanner)
* 6\+ years of experience with Front End (Angular, Javascript, React, etc)
* Experience with 3rd party integrations and public APIs
* TL or leadership skills
* Experience in product development lifecycle
**We Prefer**
* Familiarity with Google infrastructure (e.g. Flume, Borg, Protocol Buffers, OnePlatform) or GCP equivalent
* Development experience with C\+\+
* Working knowledge of frontend frameworks (e.g. Angular, Dart)
* Scalability experience
* Experience in the automotive industry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122">
      <c r="A122" t="inlineStr">
        <is>
          <t>li-4355197811</t>
        </is>
      </c>
      <c r="B122" t="inlineStr">
        <is>
          <t>Principal Software Engineer (AI Security Cloud - Prisma AIRS)</t>
        </is>
      </c>
      <c r="C122" t="inlineStr">
        <is>
          <t>Palo Alto Networks</t>
        </is>
      </c>
      <c r="D122" t="inlineStr">
        <is>
          <t>linkedin</t>
        </is>
      </c>
      <c r="E122">
        <f>HYPERLINK("https://www.linkedin.com/jobs/view/4355197811", "https://www.linkedin.com/jobs/view/4355197811")</f>
        <v/>
      </c>
      <c r="F122" t="inlineStr"/>
      <c r="G122" t="inlineStr">
        <is>
          <t>Santa Clara, CA</t>
        </is>
      </c>
      <c r="H122" t="inlineStr"/>
      <c r="I122" t="inlineStr">
        <is>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believe collaboration thrives in person. That’s why most of our teams work from the office full time, with flexibility when it’s needed. This model supports real\-time problem\-solving, stronger relationships, and the kind of precision that drives great outcomes.
**Job Description**
**Your Career**
 Palo Alto Networks is committed to AI security in the emerging AI era. The AI security cloud service engineering team is the core engineering team to build a solid product to assure the runtime security of our customers when they are using AI, especially LLM services.
**Your Impact**
* Collaborate with product managers, cybersecurity researchers, AI application researchers and infrastructure software engineers
* Design and build an innovative and solid products to ensure our customers can use AI service securely
* Participate in all phases of the product development cycle, from definition, design, through implementation and test
* Implement real\-time security services to customers
* Work with PLM on new feature requirement
* Work with QA and DevOps on new release deployment
**Qualifications**
**Your Experience**
* BS/MS or Ph.D. in Computer Science, a related technical field, or equivalent practical experience.
* Solid golang/python programming skills
* Solid knowledge on HTTP 1\.1/HTTP2 protocols and gRPC
* Profound knowledge on web service proxy technology especially on envoy and web assembly
* Experience in designing large distributed system and web services in the cloud
* Deep knowledge in GCP platform is a plus
* Familiar with major CSP LLM foundation models is a plus
* The candidate should be a good problem solver
**Additional Information**
**The Team**
 Our Prisma AIRS team is a group of highly motivated and innovative engineers and researchers dedicated to solving the most challenging problems in AI security. We thrive in a collaborative environment where we value creativity, ownership, and a commitment to excellence. You will have the opportunity to work with cutting\-edge technology and make a significant impact on the future of cybersecurity.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$147,000/YR \- $237,500/YR.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123">
      <c r="A123" t="inlineStr">
        <is>
          <t>li-4362921316</t>
        </is>
      </c>
      <c r="B123" t="inlineStr">
        <is>
          <t>Software Developer</t>
        </is>
      </c>
      <c r="C123" t="inlineStr">
        <is>
          <t>Booz Allen Hamilton</t>
        </is>
      </c>
      <c r="D123" t="inlineStr">
        <is>
          <t>linkedin</t>
        </is>
      </c>
      <c r="E123">
        <f>HYPERLINK("https://www.linkedin.com/jobs/view/4362921316", "https://www.linkedin.com/jobs/view/4362921316")</f>
        <v/>
      </c>
      <c r="F123" t="inlineStr"/>
      <c r="G123" t="inlineStr">
        <is>
          <t>Arlington, VA</t>
        </is>
      </c>
      <c r="H123" t="inlineStr"/>
      <c r="I123" t="inlineStr">
        <is>
          <t>**Job Number: R0232182**
 Software Developer
**The Opportunity:**
 Are you looking for an opportunity to not just develop software, but to help build a system that will have a positive impact? As a full\-stack developer, you can solve a problem with a complete end\-to\-end solution in a fast\-paced, agile environment. We’re looking for a developer with the skills needed to build mission critical software from vision to production ready system.
 We have an opportunity for you to develop your digital skills and establish your new career. You’ll join a rigorous training program that combines skills assessments, a comprehensive curriculum, functional mentorship, a capstone digital challenge, and support to place you on your first digital project. Equipped with the foundational digital skills to accelerate your career, you’ll join a team and apply those skills to support our clients’ critical missions. Work with us as we build systems to change modern software development for the better.
 Work with us as we shape systems for the better.
 Join us. The world can’t wait.
**You Have:**
* 5\+ years of experience in software development
* Experience with Java, Kotlin, Go, Rust, or TypeScript
* Experience designing and implementing modular software architectures
* Knowledge of open application programming interfaces and providing access to data
* Knowledge of database schema design and structured query language
* Knowledge of CI/CD pipelines and containerization technologies, including Docker and Kubernetes
* Knowledge of Agile fundamentals
* Secret clearance
* Bachelor’s degree
**Nice If You Have:**
* Experience with Linux and real\-time software
* Experience with open\-source map libraries, including OpenLayers Map OL, or Cesium
* Knowledge of open\-source communication protocols, including MQTT, gRPC, or WebSockets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$69,300\.00 to $158,000\.00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24">
      <c r="A124" t="inlineStr">
        <is>
          <t>li-4359172160</t>
        </is>
      </c>
      <c r="B124" t="inlineStr">
        <is>
          <t>Principal Software Engineer - Machine Learning</t>
        </is>
      </c>
      <c r="C124" t="inlineStr">
        <is>
          <t>Fetch</t>
        </is>
      </c>
      <c r="D124" t="inlineStr">
        <is>
          <t>linkedin</t>
        </is>
      </c>
      <c r="E124">
        <f>HYPERLINK("https://www.linkedin.com/jobs/view/4359172160", "https://www.linkedin.com/jobs/view/4359172160")</f>
        <v/>
      </c>
      <c r="F124">
        <f>HYPERLINK("https://job-boards.greenhouse.io/fetchrewards/jobs/7452102003?gh_src=35a8a54c3us&amp;urlHash=_Y0P", "https://job-boards.greenhouse.io/fetchrewards/jobs/7452102003?gh_src=35a8a54c3us&amp;urlHash=_Y0P")</f>
        <v/>
      </c>
      <c r="G124" t="inlineStr"/>
      <c r="H124" t="inlineStr"/>
      <c r="I124" t="inlineStr">
        <is>
          <t>**What we’re building and why we’re building it.**
 Every month, millions of people use Fetch earning rewards for buying brands they love, and a whole lot more. Whether shopping in the grocery aisle, grabbing a bite at the drive\-through or playing a favorite mobile game, Fetch empowers consumers to live rewarded throughout their day. To date, we’ve delivered more than $1 billion in rewards and earned more than 5 million five\-star reviews from happy users.
 It’s not just our users who believe in Fetch: with investments from SoftBank, Univision, and Hamilton Lane, and partnerships ranging from challenger brands to Fortune 500 companies, Fetch is reshaping how brands and consumers connect in the marketplace. When you work at Fetch, you play a vital role in a platform that drives brand loyalty and creates lifelong consumers with the power of Fetch points. User and partner success are at the heart of everything we do, and we extend that same commitment to our employees.
 At Fetch, we value curiosity, adaptability, and the confidence to explore new tools, especially AI, to drive smarter, faster work. You don’t need to be an expert, but you should be ready to learn quickly and think critically. We welcome learners who move fast, challenge the status quo, and shape what’s next, with us. Ranked as one of America’s Best Startup Employers by Forbes for two years in a row, Fetch fosters a people\-first culture rooted in trust, accountability, and innovation. We encourage our employees to challenge ideas, think bigger, and always bring the fun to Fetch.
*Fetch is an equal employment opportunity employer.*
**About The Role**
 Fetch is building the future of personalized consumer experiences. We’re looking for a Principal Machine Learning Engineer to design and scale systems that power personalization, relevance, and ranking across our platform. This is a high\-impact role where you’ll drive new initiatives, mentor other engineers, and shape the technical direction of ML at Fetch.
**Role Responsibilities**
* Build and scale ML infrastructure for personalization, search, ranking, and ad tech at consumer scale.
* Design and implement zero\-to\-one systems, including real\-time learning and data pipelines.
* Lead technical design, architecture, and cross\-team alignment for major ML initiatives.
* Mentor engineers and help raise the bar on technical execution and design quality.
* Partner with product and engineering teams to create dynamic systems that adapt to evolving user preferences.
* Designing features and validating ideas with ChatGPT \&amp; Claude sandboxes.
* Leveraging AI for code generation and technical prototyping.
* Using AI assistants for systems architecture diagramming and design validation.
* Exploring LLMs to enhance personalization, conversational search, and feature creation.
**Minimum Requirements**
* Proven experience building and scaling ML infrastructure in support of personalization, relevance, search, or ad tech systems.
* Deep hands\-on expertise in data infrastructure, distributed systems, and large\-scale data pipelines.
* Experience working at a consumer product company with ML models operating at scale.
* Prior contributions to ranking, personalization, or ad tech systems with measurable business impact.
* Strong systems design skills, with a track record of leading architecture and communicating design tradeoffs.
* Experience mentoring and elevating other engineers.
* Success leading zero\-to\-one technical initiatives and delivering new infrastructure or ML systems from scratch.
* Ability to operate in high levels of ambiguity with minimal direction, prioritizing effectively and driving impact.
**Preferred Requirements**
* Familiarity with LLMs and their application in personalization, feature creation, and conversational search.
* Experience with streaming/real\-time learning systems.
* Exposure to conversational search or large\-scale information retrieval.
* Previous work bridging model development with real\-time serving systems.
 This is a full\-time role that can be held from one of our US offices or remotely in the United States.
**At Fetch, we'll give you the tools to feel healthy, happy and secure through:**
* Equity: We offer employees equity in Fetch, so that everyone can benefit from Fetch’s growth.
* 401k Match: Dollar\-for\-dollar match up to 4%.
* Benefits for humans and pets: We offer comprehensive medical, dental and vision plans for everyone including your pets.
* Continuing Education: Fetch provides ten thousand per year in education reimbursement.
* Employee Resource Groups: Take part in employee\-led groups that are centered around fostering a diverse and inclusive workplace through events, dialogue and advocacy. The ERGs participate in our Inclusion Council with members of executive leadership.
* Paid Time Off: On top of our flexible PTO, Fetch observes 9 paid holidays, including Juneteenth and Indigenous People’s Day, as well as our year\-end week\-long break.
* Robust Leave Policies: 20 weeks of paid parental leave for primary caregivers, 14 weeks for secondary caregivers, and a flexible return to work schedule.
* Calvin Care Cash: Employees who are welcoming new family members will also receive a one time $2,000 incentive to assist employees with covering the cost of childcare, clothing, diapers and much more!
* Flexible Work Environment: Collaborate with your team in one of our stunning offices in Madison, Birmingham, or Chicago. Or you can work fully remotely from anywhere in the US. We’ll ensure you are equally equipped with the hardware and software you need to get your job done in the comfort of your home.
 Fetch is an equal opportunity employer that embraces diversity, inclusion, and respect for all individuals. We do not discriminate on the basis of race, color, religion, gender, gender identity or expression, sexual orientation, age, national origin, marital status, veteran status, disability, or any other characteristic protected by applicable law. Our commitment to inclusivity ensures that everyone is treated with dignity and has the opportunity to succeed based on their talent, skills, and potential.
 Fetch also provides reasonable accommodations to qualified individuals with disabilities or those with sincerely held religious beliefs, as required by law. If you need assistance with the application process or require an accommodation, please contact us at accommodations@fetch.com.
**Learn more: Fetch Recruitment Scam Warning.**</t>
        </is>
      </c>
    </row>
    <row r="125">
      <c r="A125" t="inlineStr">
        <is>
          <t>li-4353630943</t>
        </is>
      </c>
      <c r="B125" t="inlineStr">
        <is>
          <t>Sr. Systems Software Engineer</t>
        </is>
      </c>
      <c r="C125" t="inlineStr">
        <is>
          <t>myGwork - LGBTQ+ Business Community</t>
        </is>
      </c>
      <c r="D125" t="inlineStr">
        <is>
          <t>linkedin</t>
        </is>
      </c>
      <c r="E125">
        <f>HYPERLINK("https://www.linkedin.com/jobs/view/4353630943", "https://www.linkedin.com/jobs/view/4353630943")</f>
        <v/>
      </c>
      <c r="F125" t="inlineStr"/>
      <c r="G125" t="inlineStr">
        <is>
          <t>Mankato, MN</t>
        </is>
      </c>
      <c r="H125" t="inlineStr"/>
      <c r="I125" t="inlineStr">
        <is>
          <t>**This job is with Rolls\-Royce, an inclusive employer and a member of myGwork – the largest global platform for the LGBTQ\+ business community. Please do not contact the recruiter directly.**
**Job Description**
**Title: Sr. Systems Software Engineer**
*Pioneer the next generation of innovation. Join us and you'll develop your skills and expertise to the very highest levels, working in an international environment for a company known the world over for its brilliance.*
**Position Summary**
 This position performs engineering work related to research, designing, and development of new products and interfacing the Automation Web systems related to Genset operation. Functions include:
**Key Accountabilities**
* Lead the design, development, and maintenance of scalable, high\-performance software applications using C\+\+, C\#, and Python.
* Architect modular, maintainable codebases aligned with software engineering best practices and design patterns.
* Build and integrate RESTful APIs and microservices to enable real\-time data processing, automation, and seamless system interoperability.
* Develop and deploy machine learning, Generative AI, and Large Language Models (LLMs) to enhance automation, intelligent interfaces, and analytics capabilities.
* Design, deploy, and manage cloud infrastructure on AWS, ensuring robustness, scalability, and cost\-efficiency.
* Ensure software solutions are deployed in highly secure, compliant environments adhering to relevant industry standards.
* Collaborate effectively with cross\-functional teams, including product, QA, and operations\-to deliver end\-to\-end software solutions that meet business objectives.
* Develop and maintain CI/CD pipelines and automated testing frameworks to enable rapid, reliable software delivery.
* Apply security best practices throughout the software development lifecycle, including identity management, encryption, secure coding, and threat mitigation.
* Monitor and optimize system performance through profiling, concurrency management, and code refactoring.
* Participate in security audits and compliance reviews to maintain adherence to industry and regulatory standards.
**Basic Requirements**
* Applicants must be authorized to work for any employer in the U.S without sponsorship. We are unable to sponsor or take over sponsorship of an employment Visa at this time
* Bachelor's degree in engineering, Computer Science, or a related field, with 5\+ years of experience in Genset manufacturing or a similar industrial environment; or 9\+ years of relevant software engineering experience.
**Preferred Qualifications**
* Advanced proficiency in C\+\+, C\#, and Python, with deep knowledge of object\-oriented design, design patterns, concurrency, and memory management.
* Proven experience designing, implementing, and maintaining RESTful APIs and microservices, including secure authentication/authorization (OAuth, JWT) and efficient inter\-service communication (gRPC, message queues).
* Strong command of AWS services such as Lambda, EC2, S3, RDS, DynamoDB, SageMaker, and CloudFormation; familiarity with infrastructure\-as\-code tools like Terraform or CloudFormation for automated, repeatable deployments.
* Skilled in developing, training, fine\-tuning, and deploying machine learning models, Generative AI, and Large Language Models (LLMs) using PyTorch, with hands\-on experience in model lifecycle management and deployment automation.
* Expertise in relational (PostgreSQL, MySQL) and NoSQL (DynamoDB, InfluxDB) databases, including schema design, indexing, replication, and performance tuning.
* Experienced in building and maintaining CI/CD pipelines using Jenkins, GitHub Actions, GitLab CI, with strong skills in automated testing, container builds, and deployment automation.
* Working knowledge of Docker and Kubernetes, including deployment manifests, Helm charts, and cluster management best practices.
* Proficient with Git workflows (branching, pull requests, code reviews) and collaborative development in distributed teams.
* Deep understanding of secure coding principles, identity and access management (IAM), encryption standards (TLS/SSL), and vulnerability mitigation.
* Experience deploying applications within regulated environments, ensuring compliance with ISO 27001, NIST, GDPR, or equivalent frameworks.
* Skilled in conducting security audits, vulnerability assessments, and implementing remediation strategies.
* Solid knowledge of Agile methodologies (Scrum, Kanban) and software development lifecycle (SDLC) processes.
* Familiarity with HTML5, CSS3, and modern JavaScript frameworks (React, Angular, Vue.js) for HMI customization is advantageous.
 Rolls\-Royce is an Equal Opportunity Employer. All qualified applicants will receive consideration for employment without regard to any protected characteristics.
 At Rolls\-Royce, we are committed to creating a workplace where all employees feel respected, supported, and empowered to do their best work. We foster a welcoming and innovative work environment that invests in you, giving you access to an incredible breadth and depth of opportunities where you can grow your career and make a difference.
****Job Category****
 Software Systems
****Job Posting Date****
 14 Jan 2026; 00:01
****Pay Range****
 $90,985 \- $147,850\-Annually
**Location:**
 Mankato, MN
**Benefits**
 Rolls\-Royce provides a comprehensive and competitive Total Rewards package that includes base pay and a discretionary bonus plan. Eligible employees may have the opportunity to enroll in other benefits, including health, dental, vision, disability, life and accidental death \&amp; dismemberment insurance; a flexible spending account; a health savings account; a 401(k) retirement savings plan with a company match; Employee Assistance Program; Paid Time Off; certain paid holidays; paid parental and family care leave; tuition reimbursement; and a long\-term incentive plan. The options available to an employee may vary depending on eligibility factors such as date of hire, employment type, and the applicability of collective bargaining agreements.
 ]]\&gt;</t>
        </is>
      </c>
    </row>
    <row r="126">
      <c r="A126" t="inlineStr">
        <is>
          <t>li-4362708691</t>
        </is>
      </c>
      <c r="B126" t="inlineStr">
        <is>
          <t>Software Developer</t>
        </is>
      </c>
      <c r="C126" t="inlineStr">
        <is>
          <t>Booz Allen Hamilton</t>
        </is>
      </c>
      <c r="D126" t="inlineStr">
        <is>
          <t>linkedin</t>
        </is>
      </c>
      <c r="E126">
        <f>HYPERLINK("https://www.linkedin.com/jobs/view/4362708691", "https://www.linkedin.com/jobs/view/4362708691")</f>
        <v/>
      </c>
      <c r="F126" t="inlineStr"/>
      <c r="G126" t="inlineStr">
        <is>
          <t>Dahlgren, VA</t>
        </is>
      </c>
      <c r="H126" t="inlineStr"/>
      <c r="I126" t="inlineStr">
        <is>
          <t>**Job Number: R0232182**
 Software Developer
**The Opportunity:**
 Are you looking for an opportunity to not just develop software, but to help build a system that will have a positive impact? As a full\-stack developer, you can solve a problem with a complete end\-to\-end solution in a fast\-paced, agile environment. We’re looking for a developer with the skills needed to build mission critical software from vision to production ready system.
 We have an opportunity for you to develop your digital skills and establish your new career. You’ll join a rigorous training program that combines skills assessments, a comprehensive curriculum, functional mentorship, a capstone digital challenge, and support to place you on your first digital project. Equipped with the foundational digital skills to accelerate your career, you’ll join a team and apply those skills to support our clients’ critical missions. Work with us as we build systems to change modern software development for the better.
 Work with us as we shape systems for the better.
 Join us. The world can’t wait.
**You Have:**
* 5\+ years of experience in software development
* Experience with Java, Kotlin, Go, Rust, or TypeScript
* Experience designing and implementing modular software architectures
* Knowledge of open application programming interfaces and providing access to data
* Knowledge of database schema design and structured query language
* Knowledge of CI/CD pipelines and containerization technologies, including Docker and Kubernetes
* Knowledge of Agile fundamentals
* Secret clearance
* Bachelor’s degree
**Nice If You Have:**
* Experience with Linux and real\-time software
* Experience with open\-source map libraries, including OpenLayers Map OL, or Cesium
* Knowledge of open\-source communication protocols, including MQTT, gRPC, or WebSockets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$69,300\.00 to $158,000\.00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27">
      <c r="A127" t="inlineStr">
        <is>
          <t>li-4357698364</t>
        </is>
      </c>
      <c r="B127" t="inlineStr">
        <is>
          <t>Sr Software Engineer, Mail Composition u0026 Content</t>
        </is>
      </c>
      <c r="C127" t="inlineStr">
        <is>
          <t>Apple</t>
        </is>
      </c>
      <c r="D127" t="inlineStr">
        <is>
          <t>linkedin</t>
        </is>
      </c>
      <c r="E127">
        <f>HYPERLINK("https://www.linkedin.com/jobs/view/4357698364", "https://www.linkedin.com/jobs/view/4357698364")</f>
        <v/>
      </c>
      <c r="F127">
        <f>HYPERLINK("https://jobs.apple.com/en-us/details/200625932&amp;urlHash=S0Sr", "https://jobs.apple.com/en-us/details/200625932&amp;urlHash=S0Sr")</f>
        <v/>
      </c>
      <c r="G127" t="inlineStr">
        <is>
          <t>Cupertino, CA</t>
        </is>
      </c>
      <c r="H127" t="inlineStr"/>
      <c r="I127" t="inlineStr">
        <is>
          <t>**Summary**
 Imagine what you could do here! At Apple, new ideas have a way of becoming extraordinary products, services, and customer experiences very quickly. We’re looking for a passionate software engineer to help us shape the future of Mail on iOS, macOS and visionOS. Bring passion and dedication to your job and there’s no telling what you can accomplish!
**Description**
 The Mail Composition u0026 Content team owns two of the most essential workflows in mail: writing and reading emails. This is your opportunity to influence what it means to compose and consume emails in a world increasingly powered by intelligence and deliver rich user experiences. In this role, you'll help us develop exciting new Mail features while taking existing features like Email Composition and Apple Intelligence integrations to the next level. You'll be involved in feature planning and development from start to finish and collaborate with cross\-functional partners such as AIML, WebKit, UI Frameworks, and Design. Our ideal candidate is innovative, self\-motivated, and cares deeply about quality and the user experience. This person is also passionate about the way we communicate and connect with others.
**Minimum Qualifications**
 At least 5 years of relevant industry experience with the following:nStrong object\-oriented programming skills in Swift or Objective\-C.nExperience working on user interfaces and adopting UI frameworks.nStrong communication, collaboration, and interpersonal skills.nSelf\-directed and can solve problems independently.nEnthusiastic about user experience and design.
**Preferred Qualifications**
 Experience with JavaScript and/or WebKit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28">
      <c r="A128" t="inlineStr">
        <is>
          <t>li-4355198501</t>
        </is>
      </c>
      <c r="B128" t="inlineStr">
        <is>
          <t>Senior Software Developer - Site Reliability Engineering / ASE iCloud</t>
        </is>
      </c>
      <c r="C128" t="inlineStr">
        <is>
          <t>Apple</t>
        </is>
      </c>
      <c r="D128" t="inlineStr">
        <is>
          <t>linkedin</t>
        </is>
      </c>
      <c r="E128">
        <f>HYPERLINK("https://www.linkedin.com/jobs/view/4355198501", "https://www.linkedin.com/jobs/view/4355198501")</f>
        <v/>
      </c>
      <c r="F128" t="inlineStr"/>
      <c r="G128" t="inlineStr">
        <is>
          <t>Seattle, WA</t>
        </is>
      </c>
      <c r="H128" t="inlineStr"/>
      <c r="I128" t="inlineStr">
        <is>
          <t>**Summary**
 People at Apple don’t just build products — they craft the kind of experience that have revolutionized entire industries. The diverse collection of our people and their ideas inspire innovation in everything we do. Imagine what you could do here! Join Apple, and help us leave the world better than we found it. The Apple Services Engineering (ASE) team builds and provides platforms, services and infrastructure that fuel Apple’s services (such as iCloud.com, iTunes, Siri, and Maps). We are the foundation on which Apple’s software developers build the products that our customers love. We are looking for passionate and dedicated engineers to continue our focus in providing our customers the highest quality Apple Services experience. Our services have to scale globally, stay highly available, and
**Description**
 Apple Services’ scale is BIG. Operating at our scale, across multiple geographies and servicing hundreds of millions of users presents unique challenges. As a Software Developer in SRE at Apple, you'll need to solve these problems using data, teamwork, and your own expertise. ASE Products Site Reliability teams are responsible for the reliability and performance of the server software stack that powers products like iCloud.com, Photos, Mail, Drive, Backup and many more. We do that by focusing on reliability best practices from service inception to production, collaborating deeply with product development teams to deliver a superlative product and shared vision while leveraging data and automation as first principles. We run a mix of open source, vendor licensed, and internally developed tools to manage the end to end SDLC of our products. You'll learn these tools and have opportunities to improve them.nnWe think critically and strive to balance the best solution with the need to get things done for each engineering challenge we face. Good ideas are heard and results are rewarded.
**Minimum Qualifications**
 6\+ years of demonstrated expertise in Site Reliability Engineering, Infrastructure Ops or DevOps\-focused role.nUnderstanding of SRE principles, includes monitoring, alerting, error budgets, fault analysis, capacity planning, automation and toil reduction.nProficiency in at least one programming language \- python, go or Java.nExperience managing and scaling distributed systems in a public, private, or hybrid cloud environment.nExperience with microservices architecture and container orchestration using Kubernetes or similar technologies.nBS or MS in Computer Science / related fields or equivalent work experience.
**Preferred Qualifications**
 Experience running Tier 1 services for 24/7 support.nProficiency in both backend coding technologies (python, go and java) and frontend coding technologies (javascript and its variants)nStrong understanding of Linux operating system fundamentals, networking principles, and system management.nStrong sense of ownership, with a desire to communicate and collaborate with other engineers and teams.n
**Pay \&amp; Benefits**
 At Apple, base pay is one part of our total compensation package and is determined within a range. This provides the opportunity to progress as you grow and develop within a role. The base pay range for this role is between $171,600 and $258,100,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29">
      <c r="A129" t="inlineStr">
        <is>
          <t>li-4359018643</t>
        </is>
      </c>
      <c r="B129" t="inlineStr">
        <is>
          <t>Camera u0026 Photos UI Software Engineer</t>
        </is>
      </c>
      <c r="C129" t="inlineStr">
        <is>
          <t>Apple</t>
        </is>
      </c>
      <c r="D129" t="inlineStr">
        <is>
          <t>linkedin</t>
        </is>
      </c>
      <c r="E129">
        <f>HYPERLINK("https://www.linkedin.com/jobs/view/4359018643", "https://www.linkedin.com/jobs/view/4359018643")</f>
        <v/>
      </c>
      <c r="F129" t="inlineStr"/>
      <c r="G129" t="inlineStr">
        <is>
          <t>Cupertino, CA</t>
        </is>
      </c>
      <c r="H129" t="inlineStr"/>
      <c r="I129" t="inlineStr">
        <is>
          <t>**Summary**
 iPhone is the most popular camera in the world, and the Photos team builds best\-in\-class features to highlight the amazing images it produces. The flawless integration of software and hardware has led to magical experiences in features like Cinematic HDR video, Portrait Mode, and the new Clean Up experience. The Photos team builds new user experiences that also leverage computer vision and machine learning\-based image processing. We work hard on products that ship to millions of people — we are looking for people who want to do the same!
**Description**
 Come join the Photos team to do your best work on exciting and groundbreaking projects that will surprise and delight our users. Apple’s Photos Edit team is looking for a talented, enthusiastic UI software engineer to join an expanding team focused on the next generation of image\- and video\-editing features in the Photos ecosystem. These features touch the lives of millions of customers and we work closely with design, computer vision, and machine learning technologies to build something great. n
**Minimum Qualifications**
 Proven programming fundamentals and knowledge of object\-oriented programmingnnExperience building projects using Objective\-C or Swift, and iOS or macOS SDKsnnGood sense of UI design and a passion to focus on every detail, large and smallnnExcels at solving and debugging hard problems
**Preferred Qualifications**
 We are looking for an engineer who is thorough in their art, understands performance bottlenecks, and knows how to write high\-quality code.nnExperience in API design and maintenancennExperience in crafting custom UI componentsnnEnjoys working with, learning from, and mentoring teammates from different disciplines and backgroundsn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30">
      <c r="A130" t="inlineStr">
        <is>
          <t>li-4362804153</t>
        </is>
      </c>
      <c r="B130" t="inlineStr">
        <is>
          <t>EW Embedded Software Engineer II</t>
        </is>
      </c>
      <c r="C130" t="inlineStr">
        <is>
          <t>RTX</t>
        </is>
      </c>
      <c r="D130" t="inlineStr">
        <is>
          <t>linkedin</t>
        </is>
      </c>
      <c r="E130">
        <f>HYPERLINK("https://www.linkedin.com/jobs/view/4362804153", "https://www.linkedin.com/jobs/view/4362804153")</f>
        <v/>
      </c>
      <c r="F130">
        <f>HYPERLINK("https://careers.rtx.com/global/en/job/RAYTGLOBAL01817294EXTERNALENGLOBAL/EW-Embedded-Software-Engineer-II?utm_source=linkedin&amp;utm_medium=phenom-feeds&amp;urlHash=4HTy", "https://careers.rtx.com/global/en/job/RAYTGLOBAL01817294EXTERNALENGLOBAL/EW-Embedded-Software-Engineer-II?utm_source=linkedin&amp;utm_medium=phenom-feeds&amp;urlHash=4HTy")</f>
        <v/>
      </c>
      <c r="G130" t="inlineStr">
        <is>
          <t>Arlington, VA</t>
        </is>
      </c>
      <c r="H130" t="inlineStr"/>
      <c r="I130" t="inlineStr">
        <is>
          <t>**Date Posted:**
 2026\-01\-15
**Country:**
 United States of America
**Location:**
 US\-VA\-ARLINGTON\-111 \~ 1300 17Th St N \~ BBN ARLINGTON
**Position Role Type:**
 Unspecified
**U.S. Citizen, U.S. Person, or Immigration Status Requirements:**
 Active and transferable U.S. government issued security clearance is required prior to start date. U.S. citizenship is required, as only U.S. citizens are eligible for a security clearance
**Security Clearance:**
 DoD Clearance: Secret
 RTX Corporation is an Aerospace and Defense company that provides advanced systems and services for commercial, military and government customers worldwide. It comprises three industry\-leading businesses – Collins Aerospace Systems, Pratt \&amp; Whitney, and Raytheon. Our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RTX BBN Technologies solves challenging, real\-world problems for our customers in the Department of Defense and Intelligence Community through research, exploration, development, and prototyping. Our team specializes in developing next\-generation Electronic Warfare (EW) and related RF sensor system technologies by combining a fundamental understanding of the underlying EM physics including complex electromagnetic interactions and signatures, and propagation phenomenology, with a deep expertise in analysis, statistical signal processing, optimization, and machine learning.
 We are searching for an EW Embedded Software Engineer to join our team. In this role, you will function as technical contributor working across multiple EW and RF sensing projects. You will provide technical execution on design and implementation, working closely with other highly skilled professionals in areas of signal processing algorithms, modeling and simulation, and firmware development.
**What you will do:**
* Design, develop, implement, and test new applications and prototype systems
* Collaborate across a broader team of signal processing algorithm developers, hardware designers, and software implementation experts to plan out and achieve program goals
* Develop and test software across embedded code base
* Participate in laboratory and field tests to collect and analyze data, test new capabilities, and perform demonstrations
**Qualifications you must have:**
* Active Secret clearance
* MS degree or BS with 2\+ years of relevant experience in Electrical Engineering, Computer Engineering, Computer Science, Physics or related field
* Proficiency in C/C\+\+ and Python/MATLAB
* Some experience with digital signal processing (DSP)
* Some experience with embedded development and applications
* Interactive within the cross functional team
* Strong written and oral communication skills
* Position will require some amount of overnight travel
 This role requires deep technical involvement, allowing you to keep your skills current and relevant while developing or enhancing cross\-functional skills in areas such as:
* Software\-defined radio
* Signal processing
* Real\-time embedded software/firmware development
* Embedded Linux
* ARM processors and system on a chip (SoC) systems
* Statistical modeling and/or deep learning
* FPGA development using Verilog or VHDL
**What We Offer**
 Whether you’re just starting out on your career journey or are an experienced professional, we offer a robust total rewards package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 Relocation Assistance available
* This position is Onsite at our Arlington, VA. headquarters
**To help you achieve your goals, BBN will provide:**
* A strong leadership team well\-versed in government R\&amp;D.
* A collaborative and collegial environment to push state\-of\-the\-art research.
* A technically competent pool of research scientists who are willing to mentor, listen, and help you refine your research vision and goals.
* Business development, programmatic, contracting, finance, and HR support.
* Access, through RTX, to opportunities that help transition your research and ultimately see it fielded.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75,800 USD \- 144,200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2026-01-15T21:11:19Z</dcterms:created>
  <dcterms:modified xsi:type="dcterms:W3CDTF">2026-01-15T21:11:19Z</dcterms:modified>
</cp:coreProperties>
</file>