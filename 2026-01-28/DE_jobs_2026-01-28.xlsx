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in-b5a5b19480958dd8</t>
        </is>
      </c>
      <c r="B2" t="inlineStr">
        <is>
          <t>Sr. Data Engineer</t>
        </is>
      </c>
      <c r="C2" t="inlineStr">
        <is>
          <t>Fidelity TalentSource</t>
        </is>
      </c>
      <c r="D2" t="inlineStr">
        <is>
          <t>indeed</t>
        </is>
      </c>
      <c r="E2">
        <f>HYPERLINK("https://www.indeed.com/viewjob?jk=b5a5b19480958dd8", "https://www.indeed.com/viewjob?jk=b5a5b19480958dd8")</f>
        <v/>
      </c>
      <c r="F2">
        <f>HYPERLINK("https://www.fidelitytalentsource.com/job-search/180090/sr-data-engineer/?job-id=180090&amp;source=Indeed", "https://www.fidelitytalentsource.com/job-search/180090/sr-data-engineer/?job-id=180090&amp;source=Indeed")</f>
        <v/>
      </c>
      <c r="G2" t="inlineStr">
        <is>
          <t>Durham, NC, US</t>
        </is>
      </c>
      <c r="H2" s="2" t="n">
        <v>46042</v>
      </c>
      <c r="I2" t="inlineStr">
        <is>
          <t>As a member of the team youll create and influence innovative solutions that meet not only functional, but also performance, scalability and reliability requirements. You will be expected to work as a member of a high functioning Scrum team to help Datawarehouse/Snowflake/Cloud/Python/ETL  
The Purpose of This Role  
As a Senior Software Engineer, You will collaborate with business, technology and architecture teams across the company to design and develop our next generation data platforms using traditional/cutting edge/Cloud technologies, open source frameworks and cloud services. you will be responsible for contributing to the overall effort around defining the domain and data capabilities by analyzing business requirements, and developing solutions for the projects delivered by the Technology Engineering team. The candidate will work directly with Architects, Tech Leads and senior development resources across our team, as well as other technical and business stakeholders across the organization in a fast paced agile environment  
The Value You Deliver  
* Strong execution skills in a fast\-paced environment using agile methodologies
* Ability to collaborate and partner with business domain leads, data scientists, product owners, enterprise architects and other functional leads to deliver world class data solutions.
* Ability to design and develop front end web\-interface for engineers and business analysts
* Leading the front end and backend development
* Contributes to standard practices for problem\-solving approaches, tools, and processes.
* You will Analyze and manage technology cost drivers to ensure efficient scale and support of UI, API, back\-end capabilities including public cloud migration.
* Exploring new technology trends and leveraging them to simplify our data ecosystem.
* Driving Innovation and guiding the teams to implement solutions with future thinking.
* Collaborating with internal and external teams to deliver technology solutions for the business needs
* Acting as a technical mentor to the engineering teams and bringing them up to speed on latest data technologies and promoting continuous learning.
* You will need to constantly update professional knowledge by researching new internet technologies and software products, participating in educational/training opportunities, reading professional publications, maintaining professional networks.
The Skills that are Key to this role  
Technical / Behavioral  
* Proven technical and personal leadership experience in core database programming, data warehousing, and debugging.
* Strong hands\-on expertise with Snowflake, Oracle, AWS, and ETL technologies, with deep experience in data integration patterns across relational and NoSQL databases.
* Solid understanding of key enterprise IT languages and technologies, including RDBMS, Snowflake, Python, AWS, and Oracle.
* Experience with DevOps, Continuous Integration and Continuous Delivery technologies.
* This role requires 5\+ years design and development delivery experience.
* Ability to effectively articulate and present ideas / technical design to appropriate audience.
* Innovation Mindset and Creativity
How Your Work Impacts the Organization  
Fidelity Wealth /PI\-Personal Investing is the retail investing arm of Fidelity that serves the financial needs of millions of individual investors with a comprehensive range of investment products and services. The primary objective of the team in India is to enable the PI businesses, working with our IT business partners in the US. Over the years, we have developed technical expertise on various functions of personal and strategic investment products and data. Across our business we take great pride in building strong and lasting relationships with our customers, providing sound investment guidance, and delivering a best\-in\-class customer experience.  
The Expertise We’re Looking For ( Skill set )  
* 5 \+ years of IT experience
* Graduate \- Bachelor’s or Master’s Degree in Engineering Field
* Snowflake, Oracle or any Relational Database Skills \&amp; ETL tool
* Cloud – AWS
* Python Scripting
* CICD tools – Github, Jenkins etc
* Any Orchestration tool – Control\-m, AutoSys etc
Company Overview  
Fidelity Investments is one of the world's largest providers of financial services. Headquartered in Boston, US, Fidelity's goal is to make financial expertise broadly accessible and effective in helping people live the lives they want. Privately held for nearly 70 years, Fidelity employs 45,000 associates who are focused on the long\-term success of our customers.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the next generation user experience for the division both internally and externally. Front End: Knowledge of JavaScript libraries such as jQuery and their use in building complex interactive experiences; Familiarity with MVC frameworks (AngularJS, Angular 2\+, Backbone.js, or similar) and common JavaScript design patterns; Familiarity with Responsive Designs; AngularJS or extensive JavaScript; Experience using fluid grids, and building responsive websites; Making use of Cascading Style Sheets CSS3 features \&amp; CSS frameworks to implement responsive web design; HTML5 including HTML5 APIs; CSS and CSS preprocessors such as SASS or Lint; DOM; Ability to create cross browser page layouts and components; Knowledge of design techniques for developing websites with good performance (i.e. lazy loading, use of Spites, etc.); Knowledge of expanded HTML5 semantics and popular HTML5 APIs (e.g. audio, video, SVG) Back End/Web Services; Experience and knowledge of RESTful APIs or other Web Services; Java. Common Skills and Knowledge (all items are must haves for all roles): Excellent communication skills including the ability to communicate software engineering and/or development concepts and principles; Design, develop and implement web applications, including adherence to coding standards, and building/running appropriate unit and integration tests and deployment scripts; Basic principles of software design for maintainable and extendable software; Analytical and problem\-solving skills; Strong teamwork skills with the ability to collaborate with other developers and co\-workers including distributed team members; Partner with QA to own the quality of the product; Ability to use or learn Design Patterns; Agile/Scrum experience or basic knowledge; Contribute to continual improvement by suggesting improvements to all aspects of the product development. The following qualifications will receive strong preference: Bachelor's degree or higher in Computer Science or a related field; software development preferably front end; client\-side UI development; experience with HTML5 and CSS3 and popular page layout frameworks; Responsive Web Design Development experience; Experience mentoring junior staff and defining coding standards and best practices; Hands\-on experience with multiple JavaScript libraries and frameworks (jQuery); Hands\-on experience with Responsive Web Design and Web Accessibility; Experience working with large branded websites, content management systems, E\-commerce platforms, and backend frameworks (Java, .NET) is a plus; Experience within a large technical organization a plus; Familiarity with Agile concepts in an enterprise setting is a plus; Familiarity with Content Management Systems concepts and architecture a plus.</t>
        </is>
      </c>
    </row>
    <row r="3">
      <c r="A3" t="inlineStr">
        <is>
          <t>in-78a23de77c352554</t>
        </is>
      </c>
      <c r="B3" t="inlineStr">
        <is>
          <t>Senior Data Engineer</t>
        </is>
      </c>
      <c r="C3" t="inlineStr">
        <is>
          <t>Track 25 LLC</t>
        </is>
      </c>
      <c r="D3" t="inlineStr">
        <is>
          <t>indeed</t>
        </is>
      </c>
      <c r="E3">
        <f>HYPERLINK("https://www.indeed.com/viewjob?jk=78a23de77c352554", "https://www.indeed.com/viewjob?jk=78a23de77c352554")</f>
        <v/>
      </c>
      <c r="F3">
        <f>HYPERLINK("http://www.indeed.com/job/senior-data-engineer-78a23de77c352554", "http://www.indeed.com/job/senior-data-engineer-78a23de77c352554")</f>
        <v/>
      </c>
      <c r="G3" t="inlineStr">
        <is>
          <t>Phoenix, AZ, US</t>
        </is>
      </c>
      <c r="H3" s="2" t="n">
        <v>46050</v>
      </c>
      <c r="I3" t="inlineStr">
        <is>
          <t>**Senior Data Engineer**  
**(Public Sector Financial Systems)**  
**6\-months C2H possible – $55\-75/hour**
**1\. Role Overview**
The Principal Data Engineer / Data Architect will provide hands\-on technical services to support the enhancement, stabilization, and ongoing development of a public\-sector financial system operating in a full\-stack application environment. This role serves as the primary technical resource responsible for data architecture, data engineering, and data integration activities associated with the system.
In addition to supporting application enhancements, the contractor will assist the organization in establishing foundational data management practices, including standards, tools, and processes appropriate for a public\-sector environment. The role requires a high degree of independent technical judgment and the ability to work effectively within an iterative delivery framework.
**2\. Scope of Services**
A. Data Engineering and Architecture Support
· Design, implement, and maintain relational data models supporting transactional and reporting use cases.
· Develop, optimize, and maintain SQL\-based data objects, including tables, views, stored procedures, and indexes.
· Support data access and integration within a full\-stack application environment.
· Design and implement data interfaces and services to support system integrations.
· Perform data performance tuning, diagnostics, and optimization activities.
· Support data validation, reconciliation, and auditability requirements.
B. Application Enhancement and Delivery Support
· Support enhancement and feature development efforts for an existing production system.
· Participate in backlog refinement, technical design, and implementation activities related to data components.
· Provide production support and issue resolution related to data quality, performance, or integrity.
· Support testing, deployment, and post\-release stabilization activities.
C. Data Management Practice Enablement
· Assist in defining and documenting data management standards and best practices.
· Develop templates, patterns, and reference implementations to support consistent data engineering practices.
· Support the establishment of data governance and stewardship concepts appropriate to organizational maturity.
· Provide documentation and knowledge transfer to support long\-term sustainability.
**3\. Required Qualifications**
Technical Experience
· Minimum of eight (8\) years of hands\-on experience in data engineering and/or data architecture roles.
· Advanced proficiency with relational database platforms, including data modeling, query optimization, and performance tuning.
· Experience supporting full\-stack application environments, including integration with application code.
· Experience designing and supporting data integrations and application programming interfaces (APIs).
· Demonstrated experience supporting production financial or transactional systems.
Professional Experience
· Experience supporting post\-implementation or post\-go\-live enhancement efforts.
· Ability to operate independently as a senior technical resource with minimal supervision.
· Experience working in public\-sector or regulated environments.
· Strong analytical, troubleshooting, and documentation skills.
**4\. Preferred Qualifications**
· Experience supporting public\-sector financial, revenue, or accounting systems.
· Experience with cloud or hybrid data architectures.
· Familiarity with data governance, data quality, or master data concepts.
· Experience working in agile or iterative delivery environments.
Job Types: Full\-time, Contract, Permanent
Pay: $55\.00 \- $75\.00 per hour
Expected hours: 40 per week
Application Question(s):
* Are you currently located in the Phoenix Metro Area?
Experience:
* data engineering: 8 years (Required)
* data architecture: 8 years (Required)
* SQL and Azure: 5 years (Required)
Work Location: In person</t>
        </is>
      </c>
    </row>
    <row r="4">
      <c r="A4" t="inlineStr">
        <is>
          <t>in-a8ab13204243a873</t>
        </is>
      </c>
      <c r="B4" t="inlineStr">
        <is>
          <t>Data Engineer - AI/ML</t>
        </is>
      </c>
      <c r="C4" t="inlineStr">
        <is>
          <t>Fintech</t>
        </is>
      </c>
      <c r="D4" t="inlineStr">
        <is>
          <t>indeed</t>
        </is>
      </c>
      <c r="E4">
        <f>HYPERLINK("https://www.indeed.com/viewjob?jk=a8ab13204243a873", "https://www.indeed.com/viewjob?jk=a8ab13204243a873")</f>
        <v/>
      </c>
      <c r="F4">
        <f>HYPERLINK("https://recruiting.ultipro.com/FIN1008FICT/JobBoard/c0ae7303-ee90-41c6-b44a-abf63303ceb4/OpportunityDetail?opportunityId=725f3a7e-5963-4a20-9a19-bd231fdb37fd&amp;postingId=e24fa6cf-cb87-4cbf-912f-0fbd80a38302", "https://recruiting.ultipro.com/FIN1008FICT/JobBoard/c0ae7303-ee90-41c6-b44a-abf63303ceb4/OpportunityDetail?opportunityId=725f3a7e-5963-4a20-9a19-bd231fdb37fd&amp;postingId=e24fa6cf-cb87-4cbf-912f-0fbd80a38302")</f>
        <v/>
      </c>
      <c r="G4" t="inlineStr">
        <is>
          <t>Tampa, FL, US</t>
        </is>
      </c>
      <c r="H4" s="2" t="n">
        <v>46050</v>
      </c>
      <c r="I4" t="inlineStr">
        <is>
          <t>**This position is Hybrid in Tampa, FL**.
We are seeking a Data Engineer with strong AI/ML expertise to modernize and scale our Business Intelligence (BI) capabilities. This role will design and build data pipelines, deploy machine learning solutions, and operationalize intelligent analytics to drive decision\-making across the organization. The ideal candidate blends data engineering best practices with applied machine learning, MLOps, and AI.
**Key Responsibilities**
Project Responsibility: End\-to\-end data pipelines and integrations
**Technical Competencies:**
* Advanced SQL optimization and complex query design
* Kafka streaming applications and connector development
* Databricks workflow development with medallion architecture
* Data governance implementation and compliance
* Performance tuning for large\-scale data processing
* Data security and privacy best practices
* Apache NiFi pipeline development for invoice and PO processing
* Integration with purpose\-built data stores (Druid, MongoDB, OpenSearch, Postgres)
* Build and maintain end\-to\-end ML pipelines for training, deployment, and monitoring of models.
* Design and optimize data architectures for large\-scale ML workloads
* Explore and implement LLM\-based solutions, RAG architectures, and generative AI for business use cases.
**Soft Skills:**
* Cross\-functional collaboration with product and engineering teams
* Technical mentoring for junior data engineers
* Analytical thinking for complex data problems
* Stakeholder communication for data requirements
* Process improvement and efficiency focus
* Quality mindset for data accuracy and reliability Vendor Management:
* Direct communication with data platform vendors
* Evaluates vendor tools for specific data use cases
* Provides technical feedback on vendor product roadmaps
* Coordinates with vendors for data integration projects
**Qualifications:**
*Bachelor’s/Master’s in Computer Science, Data Engineering, Statistics, or related field.*
*5\+ years in data engineering; 2\+ years applying ML in production.*
**Our Benefits:**
* Hybrid Work
* Employer Matched 401K
* Company Paid Medical Insurance Option for Employee and Dependent Children
* Company Paid Dental Insurance for Employee
* Company Paid Vision Insurance for Employee
* Company Paid Long and Short\-Term Disability
* Company Paid Life and AD\&amp;D Insurance
* 18 Paid Vacation Days a Year
* Six Paid Holidays
* Employee Recognition Programs
* Holiday Bonus
* Incentive Compensation
* Community Outreach Opportunities
* Business Casual Dress Code
**About Fintech:**
Fintech, a pioneering accounts payable (AP) automation solutions provider, has dedicated nearly 35 years to automating invoice processing between retail and hospitality businesses, and their supply chain partners. Backed by leading investors TA Associates and General Atlantic, it stands as a leader in this sector. Its flagship product, PaymentSource®, was first built for the alcohol industry to provide invoice payment automation between alcohol distributors and their customers across all 50 states. Today, it is utilized by over 267,000 businesses nationwide for invoice payment and collection associated with all B2B business transactions. This proven platform automates invoice payment, streamlines payment collection, and facilitates comprehensive data capture for over 1\.1 million business relationships. Recognizing operational hurdles, Fintech expanded its payment capabilities to include scan\-based trading/consignment selling for its vendors and retailers and built an advanced CRM tool with functionality to fortify vendor, supplier, and distributor field execution, addressing diverse profit center challenges. For more information about Fintech and its range of solutions, please visit **www.fintech.com**.
*Fintech is a Drug\-Free Workplace. Fintech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Fintech’s management team is dedicated to this policy with respect to recruitment, hiring, placement, promotion, transfer, training, compensation, benefits, employee activities, access to facilities and programs and general treatment during employment.* *We E\-Verify.*</t>
        </is>
      </c>
    </row>
    <row r="5">
      <c r="A5" t="inlineStr">
        <is>
          <t>in-aefd53649efe9af8</t>
        </is>
      </c>
      <c r="B5" t="inlineStr">
        <is>
          <t>Data Analytics Engineer- Cincinnati, OH</t>
        </is>
      </c>
      <c r="C5" t="inlineStr">
        <is>
          <t>Cystems Logic Inc</t>
        </is>
      </c>
      <c r="D5" t="inlineStr">
        <is>
          <t>indeed</t>
        </is>
      </c>
      <c r="E5">
        <f>HYPERLINK("https://www.indeed.com/viewjob?jk=aefd53649efe9af8", "https://www.indeed.com/viewjob?jk=aefd53649efe9af8")</f>
        <v/>
      </c>
      <c r="F5">
        <f>HYPERLINK("https://jobs.smartrecruiters.com/CystemsLogicInc1/744000106144939-data-analytics-engineer-cincinnati-oh", "https://jobs.smartrecruiters.com/CystemsLogicInc1/744000106144939-data-analytics-engineer-cincinnati-oh")</f>
        <v/>
      </c>
      <c r="G5" t="inlineStr">
        <is>
          <t>Cincinnati, OH, US</t>
        </is>
      </c>
      <c r="H5" s="2" t="n">
        <v>46050</v>
      </c>
      <c r="I5" t="inlineStr">
        <is>
          <t>**Job Description**  
Hi,
Job Title: Data Analytics Engineer
Location: Cincinnati OH 45215\- Onsite
Duration: 9\-12 months Contract
Visa only :GC and US citizen only
 We have below job opening.
If you are interested and your experience match with job description.
Please send your updated resume with below details....Asap
Expected rate all inc on 1099 /C2C( Net 60 and 6% VMS) :
Visa status:
Current Location:
Availability:
Bachelor degree and years of passing :
Job Summary: The Data Analytics Engineer will design develop and maintain enterprise analytics reporting solutions and data frameworks to support business intelligence initiatives. This role focuses on data engineering report optimization dashboard development and enabling scalable BI architecture. The engineer will collaborate with functional and digital technology teams to translate business needs into technical solutions while ensuring high data quality performance and ongoing production support.
Job Description Summary :
Responsible for developing analytics reporting dashboards and robust data framework in partnership with other functional and DT organizations
Manage business critical data engineering processes data architecture and maintaining metadata data structures to enable analytical and reporting solutions
Provide necessary support for post\-deployment related activities
Expertise required in data engineering report design report tuning and performance optimization data analysis and data manipulation
Fundamental understanding of end\-to\-end business processes and BI systems.
Roles and Responsibilities:
Gather and understand requirements create the appropriate design implementation test and deployment strategies and provide sustenance support as necessary
Develop BI and BA Applications utilizing advanced data visualization techniques
Responsible for designing and implementing Business Intelligence reporting with experience in semantic design
Critically review and analyze current standards processes tools and metrics to recommend and implement changes leading to best practices for program execution
Ability to translate business requirements into technical solution is a critical skill for the position
Daily maintenance support of dashboards
Strong interpersonal skills with ability to professionally interact with a diverse blend of personalities to reach resolution and maintain strong relationships
Assists and manages customers through the report requirements and design process
Ability to query data both in relational database and big data platforms can troubleshoot data issues and provide corrective measures
Ability to work with other technical teams across multiple initiatives to provide timely delivery in an enterprise environment.
Desired Characteristics :
Ability to implement business logic with advanced analytic calculations and multiple source
Extensive SQL and PL/SQL skills and knowledge in Oracle and Postgres SQL querying
Expert understanding of multiple modern BI software and visualization tools
Good aesthetic skills and ability to propose visualizations based on requirements
Prior experience with Spotfire
Strong attention to detail
Work effectively with project managers and client stakeholders to understand and refine project requirements and deadlines
Familiar with or have practiced Agile Development
Proven analytical and problem resolution skills
"U.S. Citizens and those authorized to work in the U.S. are encouraged to apply. We are unable to sponsor at this time."
 **Additional Information**  
All your information will be kept confidential according to EEO guidelines.</t>
        </is>
      </c>
    </row>
    <row r="6">
      <c r="A6" t="inlineStr">
        <is>
          <t>in-90e3f12fd6d6da81</t>
        </is>
      </c>
      <c r="B6" t="inlineStr">
        <is>
          <t>Senior Data Engineer</t>
        </is>
      </c>
      <c r="C6" t="inlineStr">
        <is>
          <t>Polaris I/O</t>
        </is>
      </c>
      <c r="D6" t="inlineStr">
        <is>
          <t>indeed</t>
        </is>
      </c>
      <c r="E6">
        <f>HYPERLINK("https://www.indeed.com/viewjob?jk=90e3f12fd6d6da81", "https://www.indeed.com/viewjob?jk=90e3f12fd6d6da81")</f>
        <v/>
      </c>
      <c r="F6">
        <f>HYPERLINK("http://www.indeed.com/job/senior-data-engineer-90e3f12fd6d6da81", "http://www.indeed.com/job/senior-data-engineer-90e3f12fd6d6da81")</f>
        <v/>
      </c>
      <c r="G6" t="inlineStr">
        <is>
          <t>US</t>
        </is>
      </c>
      <c r="H6" s="2" t="n">
        <v>46050</v>
      </c>
      <c r="I6" t="inlineStr">
        <is>
          <t>**Senior Data Engineer (Python / AWS / EKS / PostgreSQL)**
Polaris I/O — Remote (U.S. only) \| Full\-time
***About the company*** 
Polaris I/O provides the world’s only integrated go\-to\-customer platform that combines transformation services, industry insights, and powerful technology to enable B2B companies to protect, retain, and grow large accounts. Our platforms take an outside\-in approach to improving commercial health, utilizing executive buyer insights to inform the orchestration of commercial activities that improve relationships, maximize growth, and scale beyond our engagement. Polaris I/O is an Equal Opportunity Employer.
***Role Summary***
Polaris I/O is hiring a **Senior Data Engineer** to help build and scale our **event\-driven microservice data pipeline** powering our CRM Integration Platform. This platform enables reliable, high\-quality data exchange with client systems such as **Salesforce, Microsoft Dynamics, and Matrix**.
***Our stack includes:***
· **Python microservices (FastAPI)**
· **AWS SQS \+ EventBridge**
· **Kubernetes (EKS)**
· **Aurora PostgreSQL**
· Configuration\-driven workflows using **YAML**
This role is hands\-on and technical — you will build production systems that run at scale.
***What You’ll Do***
**Microservice Development**
· Build/maintain **Aurora PostgreSQL** data models using **SQLAlchemy \+ Alembic**
· Implement pipelines for:
· normalization
· deduplication
· data hygiene
· enrichment
· record matching
· Tune PostgreSQL performance (query optimization, indexing, partitioning)
**Cloud \&amp; Integration**
· Build cloud\-native pipelines using **AWS SQS, EventBridge, EKS, Lambda, Aurora PostgreSQL**
· Integrate with CRMs to extract/process/reinsert standardized datasets
· Improve observability using structured logging \+ monitoring
***What We’re Looking For (Must\-Haves)***
· 7\+ years software engineering experience
· 5\+ years hands\-on **Python**
· Production experience with:
* **PostgreSQL** performance tuning
* **AWS event\-driven services** (SQS, EventBridge, etc.)
* **Kubernetes / EKS**
· Experience with **FastAPI**, async Python
· Experience with **SQLAlchemy, Alembic, Pydantic**
· Strong debugging skills in distributed cloud systems
· **Strong written and verbal communication in English** (role includes documentation and collaboration with U.S.\-based teams/clients)
***Work Authorization Requirement (Required)***
· Candidates must be legally authorized to work in the United States without the need for current or future employer sponsorship, including but not limited to 'STEM OPT' applicants.
***Work Expectations***
· **Work Hours** \- This is a full\-time position that requires employees to be online, actively engaged during standard business hours, and available for occasional after\-hours support.
· **Exclusivity Requirement** \- Candidates must not engage in employment or contract work with other companies while employed by Polaris I/O. We are seeking dedicated team members committed to contributing to our mission and goals.
· **Work Authorization** \- This role requires the ability to work lawfully in the U.S. without employment\-based immigration sponsorship, now or in the future.
***Compensation \&amp; Benefits:***
**·** Salary range: **$115,000 – $175,000**
· Medical, dental, vision insurance
· Generous PTO
· Professional growth opportunities
***Application Instructions (Important)***
To be considered, you must answer the application questions directly.  
**Applications missing these responses will not be reviewed.**
Job Type: Full\-time
Pay: $115,000\.00 \- $175,000\.00 per year
Benefits:
* Dental insurance
* Health insurance
* Paid time off
* Vision insurance
Application Question(s):
* Would you be willing to attend in\-person meetings (up to a couple of times / year) with other Polaris staff at the company offices, with reimbursement of necessary travel expenses?
* Will you now, or in the future, require sponsorship for employment visa status (e.g. H\-1B visa status, 'STEM OPT' applicants)?
* In 4–6 sentences, describe the most complex event\-driven pipeline you built (tools \+ scale \+ challenges).
* Describe one PostgreSQL performance issue you solved. What was the root cause and what was the fix?
* Provide one example of how you ensured reliability in an event\-driven system (idempotency, retries, dedupe, ordering, DLQs, etc.).
* In your answer to this question, include the word “Aurora” and explain how you’ve used YAML or configuration\-driven workflows in production.
Education:
* Bachelor's (Required)
Experience:
* Python: 5 years (Required)
* PostgreSQL: 5 years (Required)
* AWS: 3 years (Required)
* Microservices: 3 years (Required)
Work Location: Remote</t>
        </is>
      </c>
    </row>
    <row r="7">
      <c r="A7" t="inlineStr">
        <is>
          <t>in-065fe3680ec71444</t>
        </is>
      </c>
      <c r="B7" t="inlineStr">
        <is>
          <t>Data Engineer</t>
        </is>
      </c>
      <c r="C7" t="inlineStr">
        <is>
          <t>Safran</t>
        </is>
      </c>
      <c r="D7" t="inlineStr">
        <is>
          <t>indeed</t>
        </is>
      </c>
      <c r="E7">
        <f>HYPERLINK("https://www.indeed.com/viewjob?jk=065fe3680ec71444", "https://www.indeed.com/viewjob?jk=065fe3680ec71444")</f>
        <v/>
      </c>
      <c r="F7">
        <f>HYPERLINK("https://www.applicantpro.com/openings/safranaero/jobs/3973941-77334", "https://www.applicantpro.com/openings/safranaero/jobs/3973941-77334")</f>
        <v/>
      </c>
      <c r="G7" t="inlineStr">
        <is>
          <t>Rochester, NH, US</t>
        </is>
      </c>
      <c r="H7" s="2" t="n">
        <v>46050</v>
      </c>
      <c r="I7" t="inlineStr">
        <is>
          <t>POWERED BY TEAMWORK. Are you ready to be part of a team that drives big ideas and even bigger wins? At Safran, we believe in the power of both collaboration, and individual contributions. We understand that it takes diverse perspectives, problem\-solving skills, dependability, and trust to push each other forward and achieve great success. For us, working here is more than just a job; it's a passion. There's the unique opportunity to lead the way in aerospace and defense and contribute to creating a safer and more sustainable world.
We trust our employees to bring bold ideas to build the future of aerospace together, contributing to our ranking by TIME as the leading Aerospace \&amp; Defense company on the 2023 World's Best Companies list (\#59 on the full list). Join our team and become part of the group that's making amazing things happen on the ground and in the skies. Together, we'll proudly step back and say, "We did that."
Safran Aircraft Engines designs, produces, and sells, alone or in partnership, commercial and military aircraft engines offering world\-class performance. Through CFM International\*, Safran Aircraft Engines is the world's leading supplier of engines for single\-aisle mainline commercial jets. Safran Aerospace Composites in Rochester, NH is dedicated to the production of 3D woven composite parts, made using the RTM (resin transfer molding) process. The first application of this technology is the production of blades and fan cases for the LEAP (registered trademark) engine, developed by CFM International, designed to power the next generation of single\-aisle aircraft. This technology creates less noise and decreases fuel consumption for aircraft engines, thereby reducing greenhouse gas emissions. We do this with energy, passion, and curiosity, and we're backed by our rich heritage and culture of innovation. \*CFM International is a 50/50 joint company between Safran Aircraft Engines and GE.
In addition to our generous paid time off, comprehensive health insurance, and exceptional 401(k) employer contributions, we offer:  
* Four day work week, Mon\-Thu (10 hour days), flexible work from home one day per week
* Performance\-based bonuses
* Tuition Reimbursement
* Fitness reimbursement
* Paid parental leave
* Wellness programs
Position Summary:
This position will be a key member of the Data / IT Team supporting the manufacturing of 3D woven composite engine components. This role encompasses everything associated with data management to support Production. You will help build and maintain the systems that collect, process and store data. You will also support the deployment of the new software solutions requested by SAFRAN. You will collaborate closely with multi\-cultural cross\-functional teams to ensure the availability, reliability, and performance of our data systems and solutions
This is a first shift position, Monday\-Thursday, 7am\-5pm
Principal Duties and Responsibilities
* Design, implement, and optimize end\-to\-end data pipelines for ingesting, processing, and transforming large volumes of structured and unstructured data.
* Develop robust ETL (Extract, Transform, Load) processes to integrate data from diverse sources into our data ecosystem.
* Design and maintain data models, schemas, and database structures to support analytical and operational use cases.
* Optimize data storage and retrieval mechanisms for performance and scalability.
* Evaluate and implement data storage solutions, including relational databases, NoSQL databases, data lakes, and cloud storage services.
* Build and maintain integrations with internal and external data sources and APIs.
* Implement RESTful APIs and web services for data access and consumption.
* Ensure compatibility and interoperability between different systems and platforms
* Configure and manage data infrastructure components, including databases, data warehouses, data lakes, and distributed computing frameworks.
* Monitor system performance, troubleshoot issues, and implement optimizations to enhance reliability and efficiency.
* Collaborate with data scientists, analysts, and other stakeholders to understand data requirements and deliver tailored solutions.
* Document technical designs, workflows, and best practices to facilitate knowledge sharing and maintain system documentation.
* Provide technical guidance and support to team members and stakeholders as needed.
* Create visual management standards to communicate performance
* Support Digital Transformation projects deployment with management of risks
Job Specifications  
* Bachelor's degree in Computer Science, Engineering, Information Systems, or related field.
* 5\+ years of experience in data engineering, software development, or related roles.
* Proficiency in programming languages commonly used in data engineering (e.g., Python, Java, Scala, etc.).
* Strong knowledge of database systems, data modeling techniques, and SQL proficiency.
* Proficiency with ETL tools commonly used in data engineering
* Experience with big data technologies and frameworks.
* Familiarity with cloud platforms and services (e.g., AWS, etc.).
* Excellent problem\-solving skills and attention to detail.
Candidates for positions with Safran Aerospace Composites must be legally authorized to work in the United States. Employment eligibility verification will be required at the time of hire. Visa sponsorship is not available for this position now or in the future.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All qualified applicants will receive consideration for employment without regard to race, color, ethnicity, religion, sex, national origin, disability, veteran status, genetic data, or other legally protected status.</t>
        </is>
      </c>
    </row>
    <row r="8">
      <c r="A8" t="inlineStr">
        <is>
          <t>in-4fc7117800485b9d</t>
        </is>
      </c>
      <c r="B8" t="inlineStr">
        <is>
          <t>Data Engineer</t>
        </is>
      </c>
      <c r="C8" t="inlineStr">
        <is>
          <t>Equinix</t>
        </is>
      </c>
      <c r="D8" t="inlineStr">
        <is>
          <t>indeed</t>
        </is>
      </c>
      <c r="E8">
        <f>HYPERLINK("https://www.indeed.com/viewjob?jk=4fc7117800485b9d", "https://www.indeed.com/viewjob?jk=4fc7117800485b9d")</f>
        <v/>
      </c>
      <c r="F8">
        <f>HYPERLINK("https://careers.equinix.com/jobs/data-engineer-dallas-texas-united-states", "https://careers.equinix.com/jobs/data-engineer-dallas-texas-united-states")</f>
        <v/>
      </c>
      <c r="G8" t="inlineStr">
        <is>
          <t>Dallas, TX, US</t>
        </is>
      </c>
      <c r="H8" s="2" t="n">
        <v>46049</v>
      </c>
      <c r="I8" t="inlineStr">
        <is>
          <t>### **Data Engineer**
* JR\-157853
* Hybrid
* Dallas
* Technology
* Full time
**Who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work.**Job Summary**
As a key member of the Data Team at Equinix, we are seeking an experienced GCP Data Engineer who will lead end\-to\-end development of complex Data Engineering use cases and drive the evolution of Equinix's Data Lake platform. You will design and build enterprise\-scale data infrastructure and analytics solutions on Google Cloud Platform while providing technical mentorship to the data engineering team. The ideal candidate combines deep technical expertise in cloud\-native data technologies with proven leadership skills and a passion for building robust, scalable data platforms that drive strategic business insights.
**Responsibilities**
* Participate in design and implementation of enterprise\-scale data pipelines and platform architecture for End\-to\-End data products.
* Develop fault\-tolerant, petabyte\-scale data processing systems using advanced GCP services
* Evaluate and recommend new technologies, tools, and architectural approaches
* Build complex ETL/ELT workflows using Cloud Dataflow, Composer, Dataform/dbt, BigQuery and custom solutions
* Implement sophisticated real\-time streaming architectures with Cloud Pub/Sub, Kafka and Apache Beam
* Design and optimize data processing workflows for performance, cost, and reliability
* Develop advanced data transformation logic and custom processing functions
* Implement data architectures and microservices\-based data platforms
* Design multi\-environment deployment strategies and automated scaling solutions
* Establish monitoring, alerting, and observability frameworks across the data platform
* Lead code reviews and establish quality assurance processes
* Provide technical guidance on complex problem\-solving and optimization techniques
* Facilitate knowledge sharing sessions and technical training programs
* Collaborate with hiring managers on technical interviews and team expansion
* Implement comprehensive data governance frameworks and compliance controls
* Design fine\-grained access controls and data classification systems
* Establish automated data quality monitoring and lineage tracking
* Ensure GDPR, SOX, and other regulatory compliance across data workflows
* Implement privacy\-preserving techniques and data anonymization strategies
* Translate complex business requirements into scalable technical solutions
* Coordinate cross\-functional initiatives involving multiple engineering teams
**Qualifications**
Technical Expertise
* GCP Services: 5\+ years hands\-on experience with BigQuery (advanced SQL, scripting, ML integration), Cloud Dataflow, Cloud Composer, Cloud Storage, Pub/Sub, and Vertex AI
* Programming: Expert\-level Python/Java programming, proficiency in Python/Scala for Spark development
* Advanced Technologies: Deep experience with Apache Beam, Airflow, Kubernetes, Docker, and distributed computing
* Infrastructure: Extensive experience with Terraform, CI/CD pipelines, and cloud infrastructure management
* Database Systems: Advanced knowledge of both relational and NoSQL databases, data modeling, and performance optimization
Professional Experience
* Bachelor’s or master’s degree in computer science, Engineering, or related field
* 5\+ years of data engineering experience with 4\+ years specifically on Google Cloud Platform
* Proven track record of delivering complex, enterprise\-scale data solutions
* Experience with data governance, compliance, and security frameworks
* Excellent written and verbal communication skills with ability to present to executives
* Experience working with cross\-functional projects and managing stakeholder relationships
* Proven ability to translate business requirements into technical solutions
* Google Cloud Professional Data Engineer certification
* Experience with MLOps, feature stores, and machine learning pipeline development
* Knowledge of data science workflows and statistical analysis
* Experience with BI tools (Looker, Tableau) and advanced analytics platforms
The targeted pay range for this position in the following location is / locations are:
United States \- Dallas Infomart Office DAI : 118,000 \- 176,000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9">
      <c r="A9" t="inlineStr">
        <is>
          <t>in-87ffbaaa7caa4b55</t>
        </is>
      </c>
      <c r="B9" t="inlineStr">
        <is>
          <t>Senior Data Engineer</t>
        </is>
      </c>
      <c r="C9" t="inlineStr">
        <is>
          <t>Equinix</t>
        </is>
      </c>
      <c r="D9" t="inlineStr">
        <is>
          <t>indeed</t>
        </is>
      </c>
      <c r="E9">
        <f>HYPERLINK("https://www.indeed.com/viewjob?jk=87ffbaaa7caa4b55", "https://www.indeed.com/viewjob?jk=87ffbaaa7caa4b55")</f>
        <v/>
      </c>
      <c r="F9">
        <f>HYPERLINK("https://careers.equinix.com/jobs/senior-data-engineer-dallas-texas-united-states", "https://careers.equinix.com/jobs/senior-data-engineer-dallas-texas-united-states")</f>
        <v/>
      </c>
      <c r="G9" t="inlineStr">
        <is>
          <t>Dallas, TX, US</t>
        </is>
      </c>
      <c r="H9" s="2" t="n">
        <v>46049</v>
      </c>
      <c r="I9" t="inlineStr">
        <is>
          <t>### **Senior Data Engineer**
* JR\-157855
* Hybrid
* Dallas
* Technology
* Full time
**Who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work.**Job Summary**
As a Senior Data Engineer at Equinix, you will be responsible for driving end\-to\-end delivery of enterprise\-scale data solutions on Google Cloud Platform. This role combines hands\-on technical expertise, requiring you to design sophisticated system architectures, lead cross\-functional teams, and mentor Staff and other data engineers. You will be responsible for solution design and ensuring the successful delivery of mission\-critical data products. The ideal candidate demonstrates exceptional technical depth in GCP data technologies, proven leadership in guiding engineering teams through complex challenges, and the ability to translate strategic business objectives into scalable, innovative technical solutions. Knowledge of AI, Machine Learning Operations, and emerging technologies like Agentic AI and Model Context Protocol (MCP) is highly valued.
**Responsibilities**
System Design \&amp; Architecture Leadership
* Architect complex, distributed data systems capable of handling petabyte\-scale workloads with fault tolerance and high availability
* Design data platform architectures considering scalability, performance, cost optimization, and operational excellence
* Evaluate and recommend emerging technologies, tools, and architectural patterns to drive innovation
* Create comprehensive architectural documentation, design patterns, and best practices guidelines
Technical Solutioning \&amp; Delivery
* Own end\-to\-end delivery of complex data engineering initiatives from conception to production
* Design and implement sophisticated solutions leveraging BigQuery, Cloud Dataflow, Composer, Dataform/dbt, Pub/Sub, and Vertex AI
* Architect and build real\-time streaming data pipelines using Cloud Pub/Sub, Kafka, and Apache Beam
* Develop advanced data transformation frameworks and custom processing engines
* Design microservices\-based data platforms with containerization (Docker/Kubernetes)
* Establish comprehensive observability, monitoring, and alerting frameworks
* Drive performance optimization, cost management, and operational efficiency initiatives
Team Leadership \&amp; Mentorship
* Lead and mentor Data Engineers and other team members, fostering technical excellence and professional growth
* Guide teams through complex technical challenges and architectural decision\-making
* Conduct technical design reviews and ensure adherence to architectural standards
* Establish coding standards, quality assurance processes, and engineering best practices
* Lead technical training programs and knowledge\-sharing initiatives
* Drive continuous improvement in team processes, tools, and methodologies
* Participate in technical hiring processes and team capability building
Data Governance \&amp; Compliance
* Establish data classification systems, access control policies, and encryption strategies
* Implement automated data quality frameworks, lineage tracking, and metadata management
* Ensure regulatory compliance across data workflows (GDPR, SOX, industry\-specific regulations)
* Design privacy\-preserving techniques, data anonymization, and secure data sharing mechanisms
Strategic Collaboration \&amp; Stakeholder Management
* Partner with business stakeholders to translate strategic objectives into technical solutions
* Lead cross\-functional initiatives spanning multiple engineering teams and business units
* Present technical concepts and architectural decisions to executive leadership
* Drive alignment between technical implementations and business outcomes
**Qualifications**
* Technical Expertise
* GCP Platform Mastery: 6\+ years of hands\-on experience with Google Cloud Platform, including deep expertise in BigQuery (advanced SQL, scripting, optimization, ML integration), Cloud Dataflow, Cloud Composer, Cloud Storage, Pub/Sub, Dataproc, and Vertex AI
* Programming Excellence: Expert\-level Python/Java programming, proficiency in Python/Scala for Spark development
* Advanced Data Technologies: Deep expertise in Apache Beam, Apache Spark, Airflow, Kafka, and distributed computing architectures
* Infrastructure: Extensive experience with Terraform, CI/CD pipelines, and cloud infrastructure management
* Database \&amp; Data Modeling: Advanced knowledge of relational databases (PostgreSQL, MySQL) and NoSQL systems (BigTable, Firestore, MongoDB); expertise in data modeling, normalization, and performance optimization
* System Design: Proven ability to architect complex, distributed systems with considerations for scalability, reliability, security, and cost\-effectiveness
* Professional Experience \&amp; Leadership
* Bachelor's degree in Computer Science, Engineering, or related technical field (Master's degree preferred)
* 8\+ years of data engineering experience with 6\+ years specifically on Google Cloud Platform
* Proven track record of leading end\-to\-end delivery of complex, enterprise\-scale data platform initiatives
* Experience designing and implementing data governance, compliance, and security frameworks
* Strong architectural thinking with ability to make sound technical decisions and trade\-offs
* Excellent communication skills with ability to present technical concepts to both technical and non\-technical audiences, including executive leadershi
* Proven ability to translate business requirements into scalable technical architectures and solutions
* Experience managing cross\-functional projects and building strong stakeholder relationships
Preferred Qualifications
* Google Cloud Professional Data Engineer and/or Cloud Architect certifications
* Experience with AI/ML technologies, MLOps practices, and machine learning pipeline development on GCP
* Knowledge of emerging AI technologies including Agentic AI frameworks, LLM integration, and Model Context Protocol (MCP)
* Experience with feature stores, model serving infrastructure, and AI/ML observability
* Understanding of data science workflows, statistical analysis, and advanced analytics
* Experience with BI and visualization tools (Looker, Tableau, Power BI)
* Contributions to open\-source data engineering projects or technical publications
* Experience with multi\-cloud or hybrid cloud architectures
* Knowledge of data mesh, data fabric, or other modern data architecture patterns
The targeted pay range for this position in the following location is / locations are:
United States \- Dallas Infomart Office DAI : 136,000 \- 204,000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10">
      <c r="A10" t="inlineStr">
        <is>
          <t>in-ff6a3257b7f85c7d</t>
        </is>
      </c>
      <c r="B10" t="inlineStr">
        <is>
          <t>Senior Data Engineer</t>
        </is>
      </c>
      <c r="C10" t="inlineStr">
        <is>
          <t>Equinix</t>
        </is>
      </c>
      <c r="D10" t="inlineStr">
        <is>
          <t>indeed</t>
        </is>
      </c>
      <c r="E10">
        <f>HYPERLINK("https://www.indeed.com/viewjob?jk=ff6a3257b7f85c7d", "https://www.indeed.com/viewjob?jk=ff6a3257b7f85c7d")</f>
        <v/>
      </c>
      <c r="F10">
        <f>HYPERLINK("https://careers.equinix.com/jobs/senior-data-engineer-dallas-texas-united-states?source=indeed", "https://careers.equinix.com/jobs/senior-data-engineer-dallas-texas-united-states?source=indeed")</f>
        <v/>
      </c>
      <c r="G10" t="inlineStr">
        <is>
          <t>Dallas, TX, US</t>
        </is>
      </c>
      <c r="H10" s="2" t="n">
        <v>46049</v>
      </c>
      <c r="I10" t="inlineStr">
        <is>
          <t>**Who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work.**Job Summary**
As a Senior Data Engineer at Equinix, you will be responsible for driving end\-to\-end delivery of enterprise\-scale data solutions on Google Cloud Platform. This role combines hands\-on technical expertise, requiring you to design sophisticated system architectures, lead cross\-functional teams, and mentor Staff and other data engineers. You will be responsible for solution design and ensuring the successful delivery of mission\-critical data products. The ideal candidate demonstrates exceptional technical depth in GCP data technologies, proven leadership in guiding engineering teams through complex challenges, and the ability to translate strategic business objectives into scalable, innovative technical solutions. Knowledge of AI, Machine Learning Operations, and emerging technologies like Agentic AI and Model Context Protocol (MCP) is highly valued.
**Responsibilities**
System Design \&amp; Architecture Leadership
* Architect complex, distributed data systems capable of handling petabyte\-scale workloads with fault tolerance and high availability
* Design data platform architectures considering scalability, performance, cost optimization, and operational excellence
* Evaluate and recommend emerging technologies, tools, and architectural patterns to drive innovation
* Create comprehensive architectural documentation, design patterns, and best practices guidelines
Technical Solutioning \&amp; Delivery
* Own end\-to\-end delivery of complex data engineering initiatives from conception to production
* Design and implement sophisticated solutions leveraging BigQuery, Cloud Dataflow, Composer, Dataform/dbt, Pub/Sub, and Vertex AI
* Architect and build real\-time streaming data pipelines using Cloud Pub/Sub, Kafka, and Apache Beam
* Develop advanced data transformation frameworks and custom processing engines
* Design microservices\-based data platforms with containerization (Docker/Kubernetes)
* Establish comprehensive observability, monitoring, and alerting frameworks
* Drive performance optimization, cost management, and operational efficiency initiatives
Team Leadership \&amp; Mentorship
* Lead and mentor Data Engineers and other team members, fostering technical excellence and professional growth
* Guide teams through complex technical challenges and architectural decision\-making
* Conduct technical design reviews and ensure adherence to architectural standards
* Establish coding standards, quality assurance processes, and engineering best practices
* Lead technical training programs and knowledge\-sharing initiatives
* Drive continuous improvement in team processes, tools, and methodologies
* Participate in technical hiring processes and team capability building
Data Governance \&amp; Compliance
* Establish data classification systems, access control policies, and encryption strategies
* Implement automated data quality frameworks, lineage tracking, and metadata management
* Ensure regulatory compliance across data workflows (GDPR, SOX, industry\-specific regulations)
* Design privacy\-preserving techniques, data anonymization, and secure data sharing mechanisms
Strategic Collaboration \&amp; Stakeholder Management
* Partner with business stakeholders to translate strategic objectives into technical solutions
* Lead cross\-functional initiatives spanning multiple engineering teams and business units
* Present technical concepts and architectural decisions to executive leadership
* Drive alignment between technical implementations and business outcomes
**Qualifications**
* Technical Expertise
* GCP Platform Mastery: 6\+ years of hands\-on experience with Google Cloud Platform, including deep expertise in BigQuery (advanced SQL, scripting, optimization, ML integration), Cloud Dataflow, Cloud Composer, Cloud Storage, Pub/Sub, Dataproc, and Vertex AI
* Programming Excellence: Expert\-level Python/Java programming, proficiency in Python/Scala for Spark development
* Advanced Data Technologies: Deep expertise in Apache Beam, Apache Spark, Airflow, Kafka, and distributed computing architectures
* Infrastructure: Extensive experience with Terraform, CI/CD pipelines, and cloud infrastructure management
* Database \&amp; Data Modeling: Advanced knowledge of relational databases (PostgreSQL, MySQL) and NoSQL systems (BigTable, Firestore, MongoDB); expertise in data modeling, normalization, and performance optimization
* System Design: Proven ability to architect complex, distributed systems with considerations for scalability, reliability, security, and cost\-effectiveness
* Professional Experience \&amp; Leadership
* Bachelor's degree in Computer Science, Engineering, or related technical field (Master's degree preferred)
* 8\+ years of data engineering experience with 6\+ years specifically on Google Cloud Platform
* Proven track record of leading end\-to\-end delivery of complex, enterprise\-scale data platform initiatives
* Experience designing and implementing data governance, compliance, and security frameworks
* Strong architectural thinking with ability to make sound technical decisions and trade\-offs
* Excellent communication skills with ability to present technical concepts to both technical and non\-technical audiences, including executive leadershi
* Proven ability to translate business requirements into scalable technical architectures and solutions
* Experience managing cross\-functional projects and building strong stakeholder relationships
Preferred Qualifications
* Google Cloud Professional Data Engineer and/or Cloud Architect certifications
* Experience with AI/ML technologies, MLOps practices, and machine learning pipeline development on GCP
* Knowledge of emerging AI technologies including Agentic AI frameworks, LLM integration, and Model Context Protocol (MCP)
* Experience with feature stores, model serving infrastructure, and AI/ML observability
* Understanding of data science workflows, statistical analysis, and advanced analytics
* Experience with BI and visualization tools (Looker, Tableau, Power BI)
* Contributions to open\-source data engineering projects or technical publications
* Experience with multi\-cloud or hybrid cloud architectures
* Knowledge of data mesh, data fabric, or other modern data architecture patterns
The targeted pay range for this position in the following location is / locations are:
United States \- Dallas Infomart Office DAI : 136,000 \- 204,000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11">
      <c r="A11" t="inlineStr">
        <is>
          <t>in-e26b07a2cf50e0c4</t>
        </is>
      </c>
      <c r="B11" t="inlineStr">
        <is>
          <t>Data Engineer</t>
        </is>
      </c>
      <c r="C11" t="inlineStr">
        <is>
          <t>Equinix</t>
        </is>
      </c>
      <c r="D11" t="inlineStr">
        <is>
          <t>indeed</t>
        </is>
      </c>
      <c r="E11">
        <f>HYPERLINK("https://www.indeed.com/viewjob?jk=e26b07a2cf50e0c4", "https://www.indeed.com/viewjob?jk=e26b07a2cf50e0c4")</f>
        <v/>
      </c>
      <c r="F11">
        <f>HYPERLINK("https://careers.equinix.com/jobs/data-engineer-dallas-texas-united-states?source=indeed", "https://careers.equinix.com/jobs/data-engineer-dallas-texas-united-states?source=indeed")</f>
        <v/>
      </c>
      <c r="G11" t="inlineStr">
        <is>
          <t>Dallas, TX, US</t>
        </is>
      </c>
      <c r="H11" s="2" t="n">
        <v>46049</v>
      </c>
      <c r="I11" t="inlineStr">
        <is>
          <t>**Who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work.**Job Summary**
As a key member of the Data Team at Equinix, we are seeking an experienced GCP Data Engineer who will lead end\-to\-end development of complex Data Engineering use cases and drive the evolution of Equinix's Data Lake platform. You will design and build enterprise\-scale data infrastructure and analytics solutions on Google Cloud Platform while providing technical mentorship to the data engineering team. The ideal candidate combines deep technical expertise in cloud\-native data technologies with proven leadership skills and a passion for building robust, scalable data platforms that drive strategic business insights.
**Responsibilities**
* Participate in design and implementation of enterprise\-scale data pipelines and platform architecture for End\-to\-End data products.
* Develop fault\-tolerant, petabyte\-scale data processing systems using advanced GCP services
* Evaluate and recommend new technologies, tools, and architectural approaches
* Build complex ETL/ELT workflows using Cloud Dataflow, Composer, Dataform/dbt, BigQuery and custom solutions
* Implement sophisticated real\-time streaming architectures with Cloud Pub/Sub, Kafka and Apache Beam
* Design and optimize data processing workflows for performance, cost, and reliability
* Develop advanced data transformation logic and custom processing functions
* Implement data architectures and microservices\-based data platforms
* Design multi\-environment deployment strategies and automated scaling solutions
* Establish monitoring, alerting, and observability frameworks across the data platform
* Lead code reviews and establish quality assurance processes
* Provide technical guidance on complex problem\-solving and optimization techniques
* Facilitate knowledge sharing sessions and technical training programs
* Collaborate with hiring managers on technical interviews and team expansion
* Implement comprehensive data governance frameworks and compliance controls
* Design fine\-grained access controls and data classification systems
* Establish automated data quality monitoring and lineage tracking
* Ensure GDPR, SOX, and other regulatory compliance across data workflows
* Implement privacy\-preserving techniques and data anonymization strategies
* Translate complex business requirements into scalable technical solutions
* Coordinate cross\-functional initiatives involving multiple engineering teams
**Qualifications**
Technical Expertise
* GCP Services: 5\+ years hands\-on experience with BigQuery (advanced SQL, scripting, ML integration), Cloud Dataflow, Cloud Composer, Cloud Storage, Pub/Sub, and Vertex AI
* Programming: Expert\-level Python/Java programming, proficiency in Python/Scala for Spark development
* Advanced Technologies: Deep experience with Apache Beam, Airflow, Kubernetes, Docker, and distributed computing
* Infrastructure: Extensive experience with Terraform, CI/CD pipelines, and cloud infrastructure management
* Database Systems: Advanced knowledge of both relational and NoSQL databases, data modeling, and performance optimization
Professional Experience
* Bachelor’s or master’s degree in computer science, Engineering, or related field
* 5\+ years of data engineering experience with 4\+ years specifically on Google Cloud Platform
* Proven track record of delivering complex, enterprise\-scale data solutions
* Experience with data governance, compliance, and security frameworks
* Excellent written and verbal communication skills with ability to present to executives
* Experience working with cross\-functional projects and managing stakeholder relationships
* Proven ability to translate business requirements into technical solutions
* Google Cloud Professional Data Engineer certification
* Experience with MLOps, feature stores, and machine learning pipeline development
* Knowledge of data science workflows and statistical analysis
* Experience with BI tools (Looker, Tableau) and advanced analytics platforms
The targeted pay range for this position in the following location is / locations are:
United States \- Dallas Infomart Office DAI : 118,000 \- 176,000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12">
      <c r="A12" t="inlineStr">
        <is>
          <t>in-8ed8a07b56deb03f</t>
        </is>
      </c>
      <c r="B12" t="inlineStr">
        <is>
          <t>Data Engineer, Entry Level</t>
        </is>
      </c>
      <c r="C12" t="inlineStr">
        <is>
          <t>Naval Nuclear Laboratory</t>
        </is>
      </c>
      <c r="D12" t="inlineStr">
        <is>
          <t>indeed</t>
        </is>
      </c>
      <c r="E12">
        <f>HYPERLINK("https://www.indeed.com/viewjob?jk=8ed8a07b56deb03f", "https://www.indeed.com/viewjob?jk=8ed8a07b56deb03f")</f>
        <v/>
      </c>
      <c r="F12">
        <f>HYPERLINK("https://navalnuclearlab.energy.gov/job-search/job-detail/?job-id=7125", "https://navalnuclearlab.energy.gov/job-search/job-detail/?job-id=7125")</f>
        <v/>
      </c>
      <c r="G12" t="inlineStr">
        <is>
          <t>West Mifflin, PA, US</t>
        </is>
      </c>
      <c r="H12" s="2" t="n">
        <v>46049</v>
      </c>
      <c r="I12" t="inlineStr">
        <is>
          <t>**West Mifflin, PA, US**
**2026\-01\-28 14:34:07**
**Data Analytics**
**About Us**
============
Working at the Naval Nuclear Laboratory we foster pride in belonging to an organization whose culture is made up of these core values: Trust, Empowerment, and Collaboration. Our company promotes a positive culture while ensuring the safety and reliability of our nation's naval nuclear reactors, and training the Sailors who operate those reactors in the U.S. Navy's submarines and aircraft carrier Fleets. Looking for a lifetime career Apply today!
**Job Description**
-------------------
Are you excited to launch your career as a Data Engineer in a mission\-driven organization The Data Systems unit in Naval Nuclear Laboratory's Core Manufacturing department is seeking a motivated Entry\-Level Data Engineer to help drive critical advancements in efficiency, quality, and productivity.
As part of our collaborative team, you will design, develop, and maintain data systems, pipelines, and tools that improve our department's ability to coordinate Naval core production activities and develop the manufacturing processes of tomorrow. You will support the integration and automation of data workflows, ensuring data accessibility and accuracy to enhance decision\-making and efficiency. This role offers hands\-on experience in modern data engineering practices, opportunities to develop technical expertise, and a chance to contribute to the Naval Nuclear Laboratory's digital transformation.
At Naval Nuclear Laboratory, we value growth and development. As you gain experience, you will have the opportunity to shape your career by either deepening your expertise in data engineering or broadening your skillset through involvement in multidisciplinary projects. Our supportive and collaborative environment ensures you can pursue your professional goals while making impactful contributions to the team.
**Required Combination of Knowledge and Skill**
-----------------------------------------------
* Bachelors degree from an accredited college or university in a related engineering or science field; or
* Masters degree from an accredited college or university in a related engineering or science field.
**Preferred Skills**
--------------------
* Foundational programming skills (e.g., Python, SQL)
* Familiarity with data engineering concepts (e.g. ETL)
* Interest in data tools and visualization platforms (e.g., Power BI, Tableau)
* Problem\-solving skills with attention to detail and quality
* Strong communication and adaptability
**Compensation and Benefits**
-----------------------------
* Health, Dental, Vision \&amp; Voluntary Benefits
* Disability, Life \&amp; Accident Insurance
* 401(k) Savings program \&amp; Capital Accumulation Plan
* Personal \&amp; Medical Time Off
* Paid Parental Leave
* Flexible Work Schedules
* Tuition Assistance for Eligible Employees
* Student Debt Benefit Personal Time Off Sell Program
* Employee Assistance Program (EAP)
* Wellness Program
* Visit us online to view all NNL benefits!
**Pay Range**
-------------
$70,200\.00 \- $107,500\.00 annually
Salary information provided is a general guideline only. Annual salary is based upon candidate experience and qualifications, as well as market and business considerations.
The Naval Nuclear Laboratory is operated for the U.S. Department of Energy (DOE) by Fluor Marine Propulsion, LLC (FMP), a wholly owned subsidiary of Fluor Corporation. Naval Nuclear Laboratory personnel are FMP employees who work at four DOE facilities: Bettis Atomic Power Laboratory, Knolls Atomic Power Laboratory, Kenneth A. Kesselring Site, and Naval Reactors Facility, and at the U.S. Department of Defense\-owned Nuclear Power Training Unit\-Charleston. FMP employees also have an established presence at numerous shipyards and vendor locations. For nearly 70 years, the Naval Nuclear Laboratory has developed advanced nuclear propulsion technology, provided technical support, and trained world\-class nuclear operators to ensure the safe and reliable operation of our nation's submarine and aircraft carrier Fleets. The Naval Nuclear Laboratory is a national asset solely dedicated to the Naval Nuclear Propulsion Program. We rely on the dedication and innovation of our nearly 8000 engineers, scientists, technicians, and support personnel.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Marijuana is a Federal Schedule I controlled substance and illegal under Federal Law. Therefore, FMP is required to test for marijuana.
Fluor Marine Propulsion, LLC is an Equal Opportunity Employer, including disability/vets. All qualified applicants will receive consideration for employment without regard to race, color, age, sex, religion, national origin, disability, veteran status, genetic information, or any other criteria protected by federal, state, or local law.</t>
        </is>
      </c>
    </row>
    <row r="13">
      <c r="A13" t="inlineStr">
        <is>
          <t>in-8d7e239ec09f1316</t>
        </is>
      </c>
      <c r="B13" t="inlineStr">
        <is>
          <t>Data Engineer II</t>
        </is>
      </c>
      <c r="C13" t="inlineStr">
        <is>
          <t>McCarthy Building</t>
        </is>
      </c>
      <c r="D13" t="inlineStr">
        <is>
          <t>indeed</t>
        </is>
      </c>
      <c r="E13">
        <f>HYPERLINK("https://www.indeed.com/viewjob?jk=8d7e239ec09f1316", "https://www.indeed.com/viewjob?jk=8d7e239ec09f1316")</f>
        <v/>
      </c>
      <c r="F13">
        <f>HYPERLINK("https://app.jobvite.com/CompanyJobs/Job.aspx?j=ooouzfwz&amp;s=Indeed", "https://app.jobvite.com/CompanyJobs/Job.aspx?j=ooouzfwz&amp;s=Indeed")</f>
        <v/>
      </c>
      <c r="G13" t="inlineStr">
        <is>
          <t>St. Louis, MO, US</t>
        </is>
      </c>
      <c r="H13" s="2" t="n">
        <v>46049</v>
      </c>
      <c r="I13" t="inlineStr">
        <is>
          <t>**Position Summary**
McCarthy is seeking a full\-time Data Engineer II located in St. Louis, MO who, as part of the Enterprise Solutions and Analytics team, will play a crucial part in shaping our data infrastructure, supporting our existing systems, and driving innovation through ML and AI solutions. As we expand our capabilities, your expertise will be pivotal in delivering end\-to\-end data pipelines and repositories.
**Key Responsibilities*** Profile source system data and design data warehouse and lake schemas
* Transform raw data into usable format based on analytics, reporting and integration requirements.
* Design, implement, and support ETL, ELT and integration pipelines
* Optimize data pipelines for performance, scalability and efficiency.
* Implement data quality checks and validations within data pipelines to ensure accuracy, consistency and completeness of data.
* Collaborate with cross\-functional teams to promote AI solutions in the enterprise.
* Partner with teams implementing enterprise analytics platforms (e.g., Palantir) to design and execute data integration pipelines, manage ingestion from source systems, and ensure interoperability across platforms
* Apply best practices in solution development, quality control and security in implementing pipelines.
* Participate in code and design review to ensure alignment to standards and best practices
* Research, analyze, recommend, and select technical approaches for solving challenging and complex development and integration problems
**Qualifications*** 5\+ years of work experience in data management disciplines, including data modeling, integration and development of ETL/ELT pipelines.
* 5\+ years of data solution delivery experience using modern data platforms (e.g. Azure, Fabric, Palantir, etc.) and tools (Azure Data Factory, Azure DevOps, Palantir Foundry etc.)
* Advanced SQL development for relational database systems
* Experience developing complex SQL queries, stored procedures, functions, and database objects
* Experience with Python for building, testing, and maintaining data pipelines and analytics workflows
* Experience querying API endpoints
* Experience with Power Query
* Solid understanding of data warehouse and data lake concepts and design (including star schemas)
* Experience with Agile/Scrum methodology preferred
* Excellent analytical, conceptual, and problem\-solving abilities with aptitude for acquiring new technical skills
* Entrepreneurial attitude with a passion to deliver value for the organization
* Highly motivated team player with strong interpersonal skills
* Constant learner with a passion for continuous growth and improvement
* Python proficiency for data management, ML and AI development.
Nice to Haves* Experience developing integration solutions using a low\-code platform such as Boomi, Snaplogic or Mulesoft.
* Experience developing solutions using Lakehouse architecture
* Experience working with enterprise analytics platforms such as Palantir (e.g., Foundry)
* Experience developing and promoting work through devops/dataops pipelines and utilizing source control
* Experience with NoSQL database systems and building data pipelines to ingest unstructured and streaming data
* Experience preparing data for Data Science and Machine Learning use cases
* Experience with master data management
* Experience designing reports using Power BI, Power Query, and DAX
 *McCarthy is proud to be an equal opportunity employer, including disability and protected veteran status.*</t>
        </is>
      </c>
    </row>
    <row r="14">
      <c r="A14" t="inlineStr">
        <is>
          <t>in-1f11e425f4a5408c</t>
        </is>
      </c>
      <c r="B14" t="inlineStr">
        <is>
          <t>Data Engineer</t>
        </is>
      </c>
      <c r="C14" t="inlineStr">
        <is>
          <t>Grote Industries</t>
        </is>
      </c>
      <c r="D14" t="inlineStr">
        <is>
          <t>indeed</t>
        </is>
      </c>
      <c r="E14">
        <f>HYPERLINK("https://www.indeed.com/viewjob?jk=1f11e425f4a5408c", "https://www.indeed.com/viewjob?jk=1f11e425f4a5408c")</f>
        <v/>
      </c>
      <c r="F14">
        <f>HYPERLINK("https://jobs.dayforcehcm.com/en-US/groteindustries/CANDIDATEPORTAL/jobs/1881", "https://jobs.dayforcehcm.com/en-US/groteindustries/CANDIDATEPORTAL/jobs/1881")</f>
        <v/>
      </c>
      <c r="G14" t="inlineStr">
        <is>
          <t>Madison, IN, US</t>
        </is>
      </c>
      <c r="H14" s="2" t="n">
        <v>46049</v>
      </c>
      <c r="I14" t="inlineStr">
        <is>
          <t>**Business Title:** Data Engineer
**Reports to:** Manager of Data Analytics
**Leadership Scope:** Individual Contributor
**Company Info:** With a heritage of nearly 120 years, we aren’t just a company; we are a brand of trust. But more than anything, we are a collection of individuals who, together, give Grote Industries a decisive competitive advantage. At Grote, our shared vision is clear – to meet the needs of the customers we serve. We accomplish that mission every day by following a set of core values that makes us who we are.
Innovation has been the hallmark of Grote Industries from the start. From durable, easy to see stop lights to the latest in LED lighting technology, Grote has been leading the way in advanced vehicle system solutions from early in the last century right up to today. With these innovations, Grote has helped millions of people throughout North America and the world benefit from the innovation and design excellence of Grote products.
**Position Summary:** The Data Engineer is a key member of the Information Systems (IS) – Data Analytics team and is responsible for designing, building, and maintaining scalable data pipelines and data platforms that enable analytics, reporting, and advanced data solutions across the organization.
This role partners closely with analytics, business, and IT teams to transform structured and unstructured data into reliable, high\-quality data products. The Data Engineer plays a critical role in operationalizing data for analytics, supporting predictive and prescriptive use cases, and continuously improving data architecture, automation, and performance.
The ideal candidate is a hands\-on data and software engineer with strong Azure data engineering experience, a passion for solving complex business problems with data, and the ability to collaborate effectively in a fast\-paced, cross\-functional environment.
**Position Duties:** \-Design, develop, optimize, and maintain scalable data architectures and pipelines aligned with ETL best practices using Azure Data Factory, Databricks, and SSIS
* Build and manage structured and unstructured data pipelines supporting analytics, reporting, and downstream data products
* Develop and optimize complex SQL and T\-SQL scripts (DDL, DML, DQL, TCL) across relational databases including SQL Server and DB2
* Implement data transformation, validation, and data quality checks to ensure reliable and trusted data
* Prepare and structure data to support descriptive, predictive, and prescriptive analytics use cases
* Troubleshoot data issues and perform root cause analysis across systems and processes
* Support deployment of data solutions into production environments with a focus on stability, scalability, and operational efficiency
**Requirements:** Bachelor’s degree in computer science, Information Systems, Engineering, or a related field is preferred. A minimum of 5 years of experience with Big Data technology and writing complex T\-SQL scripts in SSMS to interact with relational databases is required. Experience performing root cause analysis on internal and external data and processes is critical.</t>
        </is>
      </c>
    </row>
    <row r="15">
      <c r="A15" t="inlineStr">
        <is>
          <t>in-70067a70bd7a1955</t>
        </is>
      </c>
      <c r="B15" t="inlineStr">
        <is>
          <t>Data Engineer</t>
        </is>
      </c>
      <c r="C15" t="inlineStr">
        <is>
          <t>CliftonLarsonAllen</t>
        </is>
      </c>
      <c r="D15" t="inlineStr">
        <is>
          <t>indeed</t>
        </is>
      </c>
      <c r="E15">
        <f>HYPERLINK("https://www.indeed.com/viewjob?jk=70067a70bd7a1955", "https://www.indeed.com/viewjob?jk=70067a70bd7a1955")</f>
        <v/>
      </c>
      <c r="F15">
        <f>HYPERLINK("https://cliftonlarsonallen.wd1.myworkdayjobs.com/en-US/CLA/job/Milwaukee-WI/Data-Engineer_R16763", "https://cliftonlarsonallen.wd1.myworkdayjobs.com/en-US/CLA/job/Milwaukee-WI/Data-Engineer_R16763")</f>
        <v/>
      </c>
      <c r="G15" t="inlineStr">
        <is>
          <t>Milwaukee, WI, US</t>
        </is>
      </c>
      <c r="H15" s="2" t="n">
        <v>46049</v>
      </c>
      <c r="I15"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Flexible PTO (designed to offer flexible time away for you!)
* Up to 12 weeks paid parental leave
* Paid Volunteer Time Off
* Mental health coverage
* Quarterly Wellness stipend
* Fertility benefits
* Complete list of benefits here
CLA is growing and seeking to hire an experienced Data Engineer to join our talented Information Technology team. The position offers growth, flexibility and a collaborative work environment.
In this position you should have the following; excellent interpersonal skills with the ability to communicate at all levels. Strong problem solving and creative skills and the ability to exercise sound judgment. Most important, demonstrate a high level of integrity and dependability with a strong sense of urgency and results\-orientation.
The role oversees the data operations team responsible for managing, processing, and analyzing data to support organizational decision\-making. They ensure data quality, integrity, and security while optimizing workflows and implementing best practices.
This role is to define, design, develop, implement, and maintain the data assets and infrastructure used across the enterprise. They lead the progress of data standards, integration and quality initiates, storage, integration, and performance of data stores both for application and analytics purposes. They direct research and development in support of business cases, proposed projects, and system requirements over the course of the software development lifecycle. They apply proven analytical and problem\-solving skills to help CLA take advantage of its data assessment to maximize CLA’s analysis and insight capabilities.
How you’ll *create opportunities* in this Data Engineer role:* Assist in building and maintaining data pipelines using Azure Databricks and Azure Data Factory.
* Support efforts to ensure performance, reliability, security, and compliance in data engineering solutions.
* Collaborate with team members to implement technical direction and contribute to platform‑level decisions.
* Participate in delivering releases aligned with business goals, technical standards, and governance policies.
* Contribute to improvements in system reliability and maintainability through documentation and code quality practices.
* Participate in agile processes, including sprint planning, stand‑ups, and retrospectives.
What you will need:* 2 years of relevant experience required
* Experience with cloud engineering across Azure or AWS and Databricks required
* Exposure to enterprise data pipelines, databases/data warehouses, and system integrations (APIs, ETL, middleware) preferred.
* Bachelor's degree or a combination of relevant experience and training may be considered in lieu of a degree.
Technical Competencies
Proficiency in Microsoft Outlook and Office products (Teams, Word, Excel, PowerPoint, etc.)
Advanced proficiency in programming, such as, Python, R, Snowflake, GitHub, and SQL required.
Proficiency in data visualization tools such as Tableau, Power BI, matplotlib
Proficiency in data modeling and big data technologies such as Hadoop and Spark
Proficiency in data privacy regulations such as DGPR and CCPA
Familiarity with cloud platforms (Azure or AWS)
Clear understanding of data warehouse concepts and ETL processes.  
\#LI\-DJ1
Equal Opportunity Employer/Protected Veterans/Individuals with Disabilities  
Wellness at CLA
To support our CLA family members, we focus on their physical, financial, social, and emotional well\-being and offer comprehensive benefit options that include health, dental, vision, 401k and much more.
To view a complete list of benefits click here.</t>
        </is>
      </c>
    </row>
    <row r="16">
      <c r="A16" t="inlineStr">
        <is>
          <t>in-115ac852417eb8d3</t>
        </is>
      </c>
      <c r="B16" t="inlineStr">
        <is>
          <t>Senior Data Engineer</t>
        </is>
      </c>
      <c r="C16" t="inlineStr">
        <is>
          <t>Bridgeway Benefit Technologies</t>
        </is>
      </c>
      <c r="D16" t="inlineStr">
        <is>
          <t>indeed</t>
        </is>
      </c>
      <c r="E16">
        <f>HYPERLINK("https://www.indeed.com/viewjob?jk=115ac852417eb8d3", "https://www.indeed.com/viewjob?jk=115ac852417eb8d3")</f>
        <v/>
      </c>
      <c r="F16">
        <f>HYPERLINK("https://grnh.se/kg142gor2us", "https://grnh.se/kg142gor2us")</f>
        <v/>
      </c>
      <c r="G16" t="inlineStr">
        <is>
          <t>Maple Shade, NJ, US</t>
        </is>
      </c>
      <c r="H16" s="2" t="n">
        <v>46049</v>
      </c>
      <c r="I16" t="inlineStr">
        <is>
          <t>Bridgeway is seeking a Senior Data Engineer to design, develop, and maintain our data warehouse infrastructure. This role involves working closely with analysts, engineers, and other stakeholders to shape our data architecture, ensuring secure and efficient data pipelines, and enabling advanced analytics across the organization. The ideal candidate will have a strong background in data engineering, data warehousing, and ELT processes, along with a passion for optimizing data systems.
This is a remote position, with preference given to East Coast candidates.
**Key Responsibilities**:
* Design, develop, and maintain a scalable data warehouse/lakehouse environment.
* Design and implement ELT pipelines to ingest, transform, and deliver high\-quality data for analytics and reporting, incorporating current best practices, such as "pipelines as code".
* Ensure data security and compliance, including role\-based access controls for security, encryption, masking, and governance best practices to ensure compliant handling of sensitive information.
* Optimize performance of data workflows and storage for cost efficiency and speed.
* Partner with engineers, analysts, and stakeholders to meet data needs; balance cost, performance, simplicity, and time\-to\-value while mentoring teams and documenting standards.
* Define and implement robust testing frameworks, enforce data contracts, and establish observability practices including lineage tracking, SLAs/SLOs, and incident response runbooks to maintain data integrity and trustworthiness.
* Monitor, troubleshoot, and resolve data \&amp; automation issues.
* Collaborate within an Agile\-Scrum framework and develop comprehensive technical design documentation to ensure efficient and successful delivery.
* Serve as a trusted expert on organizational data domains, processes, and best practices.
**Requirements**:
* 5\+ years of experience in data engineering and ELT with a focus on large\-scale data platforms
* 3\+ years of experience with Databricks
* Advanced proficiency in analytical SQL, including ANSI SQL, T\-SQL, and Spark SQL
* Strong Python skills for data engineering
* Expertise in data modeling
* Hands\-on experience with data quality and observability practices (tests, contracts, lineage tracking, alerts)
* Practical knowledge of orchestration tools and CI/CD concepts for data workflows
* Excellent communication and a track record of technical leadership and mentoring
* Strong understanding of integrating data solutions with AI and machine learning models
* Strong problem\-solving skills and attention to detail.
* Experience with version control systems like Git preferred
* Strong understanding of data governance and best practices in data management, with hands\-on experience using Unity Catalog
* Hands\-on experience in designing and managing data pipelines using Delta Live Tables (DLT) on Databricks
* Streaming and ingestion tools, such as Kafka, Kinesis, Event Hubs, Debezium, or Fivetran
* DAX, LookML, dbt; Airflow/Dagster/Prefect, Terraform; Azure DevOps; Power BI/Looker/Tableau; GitHub CoPilot knowledge is a plus
* Bachelor's degree in Computer Science, Information Technology, or a related field. Master's degree preferred</t>
        </is>
      </c>
    </row>
    <row r="17">
      <c r="A17" t="inlineStr">
        <is>
          <t>in-3df8f8319e912d20</t>
        </is>
      </c>
      <c r="B17" t="inlineStr">
        <is>
          <t>Senior Data Engineer</t>
        </is>
      </c>
      <c r="C17" t="inlineStr">
        <is>
          <t>Tava Health</t>
        </is>
      </c>
      <c r="D17" t="inlineStr">
        <is>
          <t>indeed</t>
        </is>
      </c>
      <c r="E17">
        <f>HYPERLINK("https://www.indeed.com/viewjob?jk=3df8f8319e912d20", "https://www.indeed.com/viewjob?jk=3df8f8319e912d20")</f>
        <v/>
      </c>
      <c r="F17">
        <f>HYPERLINK("https://jobs.ashbyhq.com/tavahealth/eec6766d-4f2a-44e4-89b9-91a34e075324?utm_source=R6PZX31bKd", "https://jobs.ashbyhq.com/tavahealth/eec6766d-4f2a-44e4-89b9-91a34e075324?utm_source=R6PZX31bKd")</f>
        <v/>
      </c>
      <c r="G17" t="inlineStr">
        <is>
          <t>Salt Lake City, UT, US</t>
        </is>
      </c>
      <c r="H17" s="2" t="n">
        <v>46049</v>
      </c>
      <c r="I17" t="inlineStr">
        <is>
          <t>**About Tava Health**
---------------------
At Tava Health, we believe mental health care should be as accessible and stigma\-free as a checkup. We're reimagining the entire experience: from how people find a therapist to how providers deliver care, so more individuals can get the support they need, when they need it.
We’re a fast\-growing team on a bold mission: to make high\-quality mental health care available to everyone. If you’re passionate about using technology to solve meaningful problems and create lasting change, we’d love to meet you.
**About the Role**
------------------
Tava Health is expanding its data engineering team and is hiring a Senior Data Engineer. This is a hands\-on role, responsible for building and owning the company’s data infrastructure from the ground up.
You’ll be a go\-to person for all things data engineering: managing integrations, building pipelines, and leading centralized data governance. Your work will support teams across the organization in their efforts.
This is a high\-autonomy, high\-impact role in a dynamic, fast\-paced environment. Strong time management and prioritization skills are essential.
**What You’ll Do**
------------------
* Build and maintain robust data pipelines using tools like Airflow, Airbyte, and BigQuery.
* Manage and evolve our data warehouse architecture.
* Integrate third\-party platforms including Salesforce, HubSpot, Iterable, ZocDoc, and Metabase.
* Lead the implementation of centralized data governance, defining sources of truth and managing data flow standards.
* Partner with cross\-functional teams to implement clean, reporting\-ready data models in dbt.
* Write clean, production\-grade code in a general\-purpose language (e.g., Python).
* Monitor data quality and ensure reliability across systems.
**What We’re Looking For**
--------------------------
* 5\+ years of data engineering experience in high\-growth or complex environments.
* Proficiency with modern data warehousing tools such as BigQuery or Snowflake.
* Strong SQL and data modeling skills.
* Experience writing production\-level code in a general\-purpose language.
* Integration experience with tools like Salesforce, HubSpot, or Iterable.
* Outstanding time and backlog management skills; able to manage competing priorities in a fast\-paced environment.
* Self\-starter who works well independently and cross\-functionally with both technical and non\-technical stakeholders.
**Bonus Points**
----------------
* Experience with pub/sub architectures for real\-time or event\-driven data systems
* Familiarity with Fivetran, Metabase, and Airbyte
* Proficiency in TypeScript/Node.js
* Background in health tech or experience working with sensitive data
**\-**
======
* For tax purposes, priority will be given to candidates living in states where we already have employees. These states are Alabama, Arizona, California, Connecticut, Florida, Georgia, Idaho, Indiana, Nevada, North Carolina, Maine, Maryland, Massachusetts, New Jersey, New York, Oregon, Tennessee, Texas, Virginia, and Utah.
Tava is unable to sponsor employment visas (such as the H\-1B). Candidates must have authorization to work in the U.S. without company sponsorship now or in the future.
All hiring activities at Tava Health are handled by company representatives using @tavahealth.com or @us.tavahealth.com email addresses.
Please beware of unauthorized recruiting communications requesting personal information. We never hire anyone without first completing a real\-time, face\-to\-face interview (conducted by video or in\-person), nor do we use encrypted instant messaging services like Signal. If you have questions regarding the authenticity of any outreach, please do not hesitate to use the chat feature on our website or contact us at careers@tavahealth.com
Tava Health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18">
      <c r="A18" t="inlineStr">
        <is>
          <t>in-58eeae428ea1d9d4</t>
        </is>
      </c>
      <c r="B18" t="inlineStr">
        <is>
          <t>Senior Data Engineer</t>
        </is>
      </c>
      <c r="C18" t="inlineStr">
        <is>
          <t>Tava Health</t>
        </is>
      </c>
      <c r="D18" t="inlineStr">
        <is>
          <t>indeed</t>
        </is>
      </c>
      <c r="E18">
        <f>HYPERLINK("https://www.indeed.com/viewjob?jk=58eeae428ea1d9d4", "https://www.indeed.com/viewjob?jk=58eeae428ea1d9d4")</f>
        <v/>
      </c>
      <c r="F18">
        <f>HYPERLINK("https://jobs.ashbyhq.com/tavahealth/eec6766d-4f2a-44e4-89b9-91a34e075324?utm_source=R6PZX31bKd", "https://jobs.ashbyhq.com/tavahealth/eec6766d-4f2a-44e4-89b9-91a34e075324?utm_source=R6PZX31bKd")</f>
        <v/>
      </c>
      <c r="G18" t="inlineStr">
        <is>
          <t>Salt Lake City, UT, US</t>
        </is>
      </c>
      <c r="H18" s="2" t="n">
        <v>46049</v>
      </c>
      <c r="I18" t="inlineStr">
        <is>
          <t>**About Tava Health**
---------------------
At Tava Health, we believe mental health care should be as accessible and stigma\-free as a checkup. We're reimagining the entire experience: from how people find a therapist to how providers deliver care, so more individuals can get the support they need, when they need it.
We’re a fast\-growing team on a bold mission: to make high\-quality mental health care available to everyone. If you’re passionate about using technology to solve meaningful problems and create lasting change, we’d love to meet you.
**About the Role**
------------------
Tava Health is expanding its data engineering team and is hiring a Senior Data Engineer. This is a hands\-on role, responsible for building and owning the company’s data infrastructure from the ground up.
You’ll be a go\-to person for all things data engineering: managing integrations, building pipelines, and leading centralized data governance. Your work will support teams across the organization in their efforts.
This is a high\-autonomy, high\-impact role in a dynamic, fast\-paced environment. Strong time management and prioritization skills are essential.
**What You’ll Do**
------------------
* Build and maintain robust data pipelines using tools like Airflow, Airbyte, and BigQuery.
* Manage and evolve our data warehouse architecture.
* Integrate third\-party platforms including Salesforce, HubSpot, Iterable, ZocDoc, and Metabase.
* Lead the implementation of centralized data governance, defining sources of truth and managing data flow standards.
* Partner with cross\-functional teams to implement clean, reporting\-ready data models in dbt.
* Write clean, production\-grade code in a general\-purpose language (e.g., Python).
* Monitor data quality and ensure reliability across systems.
**What We’re Looking For**
--------------------------
* 5\+ years of data engineering experience in high\-growth or complex environments.
* Proficiency with modern data warehousing tools such as BigQuery or Snowflake.
* Strong SQL and data modeling skills.
* Experience writing production\-level code in a general\-purpose language.
* Integration experience with tools like Salesforce, HubSpot, or Iterable.
* Outstanding time and backlog management skills; able to manage competing priorities in a fast\-paced environment.
* Self\-starter who works well independently and cross\-functionally with both technical and non\-technical stakeholders.
**Bonus Points**
----------------
* Experience with pub/sub architectures for real\-time or event\-driven data systems
* Familiarity with Fivetran, Metabase, and Airbyte
* Proficiency in TypeScript/Node.js
* Background in health tech or experience working with sensitive data
**\-**
======
* For tax purposes, priority will be given to candidates living in states where we already have employees. These states are Alabama, Arizona, California, Connecticut, Florida, Georgia, Idaho, Indiana, Nevada, North Carolina, Maine, Maryland, Massachusetts, New Jersey, New York, Oregon, Tennessee, Texas, Virginia, and Utah.
Tava is unable to sponsor employment visas (such as the H\-1B). Candidates must have authorization to work in the U.S. without company sponsorship now or in the future.
All hiring activities at Tava Health are handled by company representatives using @tavahealth.com or @us.tavahealth.com email addresses.
Please beware of unauthorized recruiting communications requesting personal information. We never hire anyone without first completing a real\-time, face\-to\-face interview (conducted by video or in\-person), nor do we use encrypted instant messaging services like Signal. If you have questions regarding the authenticity of any outreach, please do not hesitate to use the chat feature on our website or contact us at careers@tavahealth.com
Tava Health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19">
      <c r="A19" t="inlineStr">
        <is>
          <t>in-a1db3ea8b253c9ec</t>
        </is>
      </c>
      <c r="B19" t="inlineStr">
        <is>
          <t>Sr Data Scientist/Data Engineer</t>
        </is>
      </c>
      <c r="C19" t="inlineStr">
        <is>
          <t>Nomic</t>
        </is>
      </c>
      <c r="D19" t="inlineStr">
        <is>
          <t>indeed</t>
        </is>
      </c>
      <c r="E19">
        <f>HYPERLINK("https://www.indeed.com/viewjob?jk=a1db3ea8b253c9ec", "https://www.indeed.com/viewjob?jk=a1db3ea8b253c9ec")</f>
        <v/>
      </c>
      <c r="F19">
        <f>HYPERLINK("https://jobs.ashbyhq.com/nomic/2de875f4-2d28-4284-94a3-db071b8431be?utm_source=GgOO30E0l9", "https://jobs.ashbyhq.com/nomic/2de875f4-2d28-4284-94a3-db071b8431be?utm_source=GgOO30E0l9")</f>
        <v/>
      </c>
      <c r="G19" t="inlineStr">
        <is>
          <t>US</t>
        </is>
      </c>
      <c r="H19" s="2" t="n">
        <v>46049</v>
      </c>
      <c r="I19" t="inlineStr">
        <is>
          <t>**About us:**
Nomic was founded with a simple but ambitious goal: to make biology easier to measure. We’ve developed **nELISA**, the world’s highest throughput proteomic platform, by tackling some of the toughest challenges in protein profiling through a combination of DNA nanotechnology, high\-dimensional flow cytometry, lab automation, and machine learning.
Since spinning out of McGill University, we’ve partnered with dozens of top\-tier drug discovery groups, including 6 of the top 10 pharma companies, and have profiled over 60 million proteins from more than 400,000 samples to date.
Since closing a $42M Series B round, we recently scaled up the platform to meet rapidly growing demand. You can read more about this on our website here. Our state\-of\-the\-art facility is capable of profiling over 2\.5 million samples a year, generating 500 million protein assays.
We’re a diverse team of engineers, scientists, and problem\-solvers who thrive on breaking down difficult challenges using first principles thinking, and we leverage the latest scientific and technological breakthroughs to drive our mission forward.
**About the role:**
The Data team at Nomic is responsible for designing, building, operating and improving the data pipelines, data infrastructure, and data tools needed for analyzing nELISA data at scale. Our development roadmap includes building more robust data pipelines for decoding nELISA datasets, and developing improved internal\-facing tools that will let our scientists execute faster in the lab by extracting insights from our nELISA profiling and manufacturing QC data on\-demand.
As a senior IC on the team, you will sit at the intersection of our in\-lab technology development efforts, our efforts to improve our data processing algorithms and infrastructure, and our work to develop internal tools for our scientists to more automatically visualize and analyze datasets themselves.
**As a jack of all trades when it comes to analyzing data and building tools for others to do the same, your day to day responsibilities will include:**
* Designing, building, iteratively improving, and fully automating the data pipelines and algorithms we use for processing raw flow cytometry data from our highly multiplexed bead\-based assays into quantitative protein measurements. This will be done in close collaboration with your Data Engineering, Software Engineering, and Lab R\&amp;D teammates.
* You will leverage your fundamental knowledge of biosensors, fluorescence data, and bioengineering R\&amp;D to act as an expert for the interpretation, and analysis of, nELISA experimental data when challenges arise in R\&amp;D and day\-to\-day Lab Operations, connecting the fundamentals of the science to the specific features or anomalies of the data.
* You will also support R\&amp;D and Lab Operations teams through developing additional data support features and algorithms to support the growth of Nomic going forward. This will include any new data analysis pipelines to analyze nELISA data, including QC data from our daily manufacturing and profiling operations.
* This role will involve substantial communication, teamwork, and attention to detail, especially when identifying and troubleshooting issues related to nELISA data and ensuring we build the right tools, and the right abstractions.
* When tooling does not yet exist, you will leveraging your technical and bioscience domain expertise to develop new data analysis pipelines.
**What we’re looking for:**
* Graduate Degree \- or equivalent experience in industry \- in bioengineering or a related quantitative field of study in the biosciences, with a focus on biosensors, quantitative fluorescence data, or similar.
* 3\+ years of experience specifically with analyzing bioscience data and developing improved data processing algorithms.
* 2\+ years software engineering/development experience \- you must be comfortable standing up new toolsets for non\-programming users, and coding in a collaborative environment together with experienced data and software engineers.
* Statistical skills including bayesian statistics, sampling methods, mixed models, and experience applying other statistical concepts.
* Strong past experience working collaboratively on data science problems with wet lab scientists, ideally in a startup or equivalent fast paced environment.
* Nice to Have: Understanding of the fundamentals of life science tools, technologies and lab methods. In particular you would be an expert on multiple of: immunoassays, nucleic acid amplification, DNA nanoarchitecture and design, separation\-based techniques for biological samples and compounds, biophysics / fluorescence, and signal processing.
* Nice to Have: First hand experience optimizing (alone or in a team): surface chemistry (passivation, functionalization, regeneration), DNA\-based circuits and DNA biosensor designs, fluorophores/fluorescence and FRET, antibody\-antigen interactions and ligand binding, or similar domains.
* Excellent communication skills (written, verbal, and in a codebase) and an independent problem solver.
* Fluency in English is required as our customers and vendors are primarily located in the USA. In addition, this position will interact with our team members within our USA entity.
**Join us if you:**
* Connect deeply with our mission, ambition and sense of duty. Our mission isn’t marketing flash: we developed our technology to better measure biology and discover biomarkers for early disease detection. We firmly believe we will be successful in literally eradicating certain diseases by enabling them to be diagnosed earlier. We also believe that our hard work to bring this technology to its full potential is our duty.
* Are up for a challenge and want to grow: We are a team of problem\-solvers, and we continually put ourselves to the test and go into the unknown. We have a growth mindset, both on hard and soft skills, and we rely on each other to give critical and candid feedback to ensure that we can all reach our full potential.
* Want to be at the cutting\-edge of biotechnology. The nELISA is a new tool that leverages DNA nanotechnology to generate proteomic data more efficiently than ever before. You get to design and build the data pipelines and analysis tools that will support the scaling of this technology going forward.
* Love writing code and analyzing biological data, and want to be responsible for driving improvements to data pipelines from a full\-stack perspective.
* Prefer working and communicating within a diverse cross\-functional team. You would get to interface with your teammates from the broader Engineering, Operations, and Commercial teams on a daily basis, joining a collaborative, diverse, and inclusive team where your ideas will be valued.
* Want the responsibility of addressing some of our hardest problems. Data is one of our core competencies, and researching and developing improvements to the way we analyze data has a compounding benefit on all other aspects of our company and our customers, most notably the scientists using the nELISA and patients that will ultimately benefit from nELISA data.
If you are passionate about analyzing data and building better data pipelines for biology, want to drive innovation in proteomics, and are eager to make a meaningful impact in the world, we invite you to apply and join us on our journey to redefine proteomics and the understanding of biology.
**À propos de nous:**
Nomic a été fondée avec un objectif simple mais ambitieux : rendre la biologie plus facile à mesurer. Nous avons développé nELISA, la plateforme protéomique la plus performante au monde, en relevant certains des défis les plus complexes du profilage des protéines grâce à une combinaison de nanotechnologie ADN, de cytométrie en flux haute dimension, d'automatisation de laboratoire et d'apprentissage automatique.
Depuis notre spin\-off de l’Université McGill, nous avons collaboré avec des dizaines de groupes de découverte de médicaments de premier plan, dont 6 des 10 plus grandes sociétés pharmaceutiques, et avons profilé plus de 60 millions de protéines à partir de plus de 400 000 échantillons à ce jour.
Depuis la clôture d’un tour de financement de Série B de 42 M$, nous avons récemment étendu la plateforme pour répondre à une demande en forte croissance. Vous pouvez en lire davantage sur notre site web. Notre installation ultramoderne est capable de profiler plus de 2,5 millions d’échantillons par an, générant 500 millions d’analyses protéiques.
Nous sommes une équipe diversifiée d’ingénieurs, de scientifiques et de résolveurs de problèmes qui prospèrent en décomposant des défis complexes grâce à une réflexion fondée sur les premiers principes, et nous tirons parti des dernières avancées scientifiques et technologiques pour faire progresser notre mission.
**À propos du poste:**
L’équipe Data de Nomic est responsable de concevoir, construire, exploiter et améliorer les pipelines de données, l’infrastructure de données et les outils de données nécessaires à l’analyse des données nELISA à grande échelle. Notre feuille de route de développement comprend la création de pipelines de données plus robustes pour décoder les ensembles de données nELISA et le développement d’outils internes améliorés permettant à nos scientifiques de travailler plus rapidement au laboratoire en extrayant à la demande des informations issues de nos données de profilage nELISA et de contrôle qualité de fabrication.
En tant que contributeur senior au sein de l’équipe, vous serez à l’intersection de nos efforts de développement technologique en laboratoire, de nos travaux visant à améliorer nos algorithmes et infrastructures de traitement des données, et de notre travail d’analyse manuelle de jeux de données expérimentaux complexes dans le cadre du développement d’outils internes permettant à nos scientifiques de visualiser et d’analyser eux\-mêmes les jeux de données de manière plus automatique.
En tant que généraliste de l’analyse de données et de la création d’outils destinés aux autres, vos responsabilités quotidiennes comprendront :
* Concevoir, construire, améliorer de manière itérative et automatiser entièrement les pipelines de données et les algorithmes que nous utilisons pour traiter les données brutes de cytométrie en flux provenant de nos essais multiplexés à billes en mesures protéiques quantitatives. Ce travail se fera en étroite collaboration avec vos collègues en Data Engineering, Software Engineering et R\&amp;D en laboratoire.
* Mettre à profit vos connaissances fondamentales en biosenseurs, données de fluorescence et R\&amp;D en bio\-ingénierie pour jouer un rôle d’expert dans l’interprétation et l’analyse des données expérimentales nELISA provenant de la R\&amp;D et des opérations quotidiennes du laboratoire, en reliant les principes fondamentaux de la science aux caractéristiques ou anomalies spécifiques des données.
* Soutenir les équipes R\&amp;D et Opérations Laboratoire en développant des fonctionnalités et des algorithmes supplémentaires de support aux données afin d’accompagner la croissance de Nomic. Cela inclura la création de nouveaux pipelines d’analyse pour les données nELISA, y compris les données de contrôle qualité issues de nos opérations quotidiennes de fabrication et de profilage.
* Communiquer de façon intensive, travailler en équipe et prêter une grande attention aux détails, notamment lorsqu’il s’agit d’identifier et de résoudre des problèmes liés aux données nELISA et de s’assurer que nous construisons les bons outils et abstractions adaptés.
* Lorsque les outils n’existent pas encore, analyser les données nELISA en utilisant notre suite d’outils de décodage et d’analyse, ainsi que développer de nouveaux pipelines d’analyse lorsque nécessaire grâce à votre expertise technique et scientifique.
* Fournir un soutien aux équipes R\&amp;D et Opérations sur la conception et l’analyse expérimentales lorsque cela est requis, en s’appuyant sur votre expérience passée dans ce domaine.
**Ce que nous recherchons :**
* Diplôme de troisième cycle \- ou expérience équivalente en industrie \- en bio\-ingénierie ou dans un domaine quantitatif connexe des biosciences, avec une spécialisation en biocapteurs, données de fluorescence quantitatives, ou domaine similaire.
* 3\+ années d'expérience spécifiquement dans l'analyse de données bioscientifiques et le développement d'algorithmes améliorés de traitement de données.
* 2\+ années d'expérience en ingénierie/développement logiciel \- vous devez être à l'aise pour mettre en place de nouveaux outils pour des utilisateurs non programmeurs, et coder dans un environnement collaboratif avec des ingénieurs expérimentés en données et en logiciels.
* Compétences statistiques incluant les statistiques bayésiennes, les méthodes d’échantillonnage, les modèles mixtes, et l’application d’autres concepts statistiques.
* Solide expérience passée de travail collaboratif sur des problématiques de science des données avec des scientifiques de laboratoire humide, idéalement dans une startup ou un environnement équivalent à rythme rapide.
* Atout : Compréhension des fondamentaux des outils de sciences de la vie, des technologies et des méthodes de laboratoire. En particulier, vous seriez expert de plusieurs des domaines suivants : immunoessais, amplification des acides nucléiques, nanoarchitecture et conception de l'ADN, techniques de séparation pour les échantillons et composés biologiques, biophysique / fluorescence et traitement du signal.
* Atout : Expérience directe d'optimisation (seul ou en équipe) de : chimie de surface (passivation, fonctionnalisation, régénération), circuits à base d’ADN et conceptions de biocapteurs ADN, fluorophores/fluorescence et FRET, interactions anticorps\-antigène et liaison de ligands, ou domaines similaires.
* Excellentes compétences en communication (écrite, orale et dans une base de code) et capacité à résoudre des problèmes de manière autonome.
* La maîtrise de l'anglais est requise car nos clients et fournisseurs sont principalement situés aux États\-Unis. De plus, ce poste interagira avec les membres de notre équipe au sein de notre entité américaine.
**Joignez\-vous à notre équipe si:**
* Partagez profondément notre mission, notre ambition et notre sens du devoir. Notre mission n’est pas un slogan marketing : nous avons développé notre technologie pour mieux mesurer la biologie et découvrir des biomarqueurs pour la détection précoce des maladies. Nous croyons fermement pouvoir éradiquer certaines maladies en permettant leur diagnostic précoce. Nous croyons également que c’est notre devoir de travailler dur pour exploiter tout le potentiel de cette technologie.
* Êtes prêt à relever des défis et à progresser : nous sommes une équipe de résolveurs de problèmes qui se met constamment à l’épreuve et s’aventure dans l’inconnu. Nous avons un état d’esprit de croissance, tant sur les compétences techniques que comportementales, et nous comptons les uns sur les autres pour fournir des retours critiques et sincères permettant à chacun d’atteindre son plein potentiel.
* Voulez travailler à la pointe de la biotechnologie. Le nELISA est un nouvel outil utilisant la nanotechnologie ADN pour générer des données protéomiques de façon plus efficace que jamais. Vous participerez à la conception et au développement des pipelines de données et des outils d’analyse qui accompagneront la montée en puissance de cette technologie.
* Aimez coder et analyser des données biologiques, et souhaitez être responsable de l’amélioration des pipelines de données avec une approche full\-stack.
* Préférez travailler et communiquer au sein d’une équipe interdisciplinaire et diversifiée. Vous collaborerez quotidiennement avec vos collègues des équipes Engineering, Operations et Commerciales, en rejoignant une équipe collaborative, diversifiée et inclusive où vos idées seront valorisées.
* Voulez avoir la responsabilité de résoudre certains de nos problèmes les plus complexes. La donnée est l’une de nos compétences clés, et la recherche et le développement d’améliorations de nos méthodes d’analyse ont un effet multiplicateur sur tous les autres aspects de notre entreprise et de nos clients, en particulier les scientifiques utilisant le nELISA et les patients qui bénéficieront in fine des données nELISA.
Si vous êtes passionné par le développement d’algorithmes et de pipelines de données en biologie, si vous souhaitez faire progresser l’innovation en protéomique et avez à cœur de faire une réelle différence dans le monde, nous vous invitons à postuler et à nous rejoindre dans notre mission de redéfinir la protéomique et la compréhension de la biologie.</t>
        </is>
      </c>
    </row>
    <row r="20">
      <c r="A20" t="inlineStr">
        <is>
          <t>in-7aa348e4a32d4ddc</t>
        </is>
      </c>
      <c r="B20" t="inlineStr">
        <is>
          <t>Data Engineer (Lambda)</t>
        </is>
      </c>
      <c r="C20" t="inlineStr">
        <is>
          <t>P2P. org</t>
        </is>
      </c>
      <c r="D20" t="inlineStr">
        <is>
          <t>indeed</t>
        </is>
      </c>
      <c r="E20">
        <f>HYPERLINK("https://www.indeed.com/viewjob?jk=7aa348e4a32d4ddc", "https://www.indeed.com/viewjob?jk=7aa348e4a32d4ddc")</f>
        <v/>
      </c>
      <c r="F20">
        <f>HYPERLINK("https://jobs.ashbyhq.com/p2p.org/22c506b9-f1fd-4173-8a51-8cd8d580c7c2?utm_source=wK14y1Orl4", "https://jobs.ashbyhq.com/p2p.org/22c506b9-f1fd-4173-8a51-8cd8d580c7c2?utm_source=wK14y1Orl4")</f>
        <v/>
      </c>
      <c r="G20" t="inlineStr">
        <is>
          <t>GA, US</t>
        </is>
      </c>
      <c r="H20" s="2" t="n">
        <v>46049</v>
      </c>
      <c r="I20" t="inlineStr">
        <is>
          <t>**P2P.org** is the largest institutional staking provider with a TVL of over $10B and a market share exceeding 20% in restaking.
We are continually focused on researching and improving our infrastructure to extract maximum APR while enhancing security. For instance, in ETH and SOL, our NRR is on average 10% higher than the market, and in DOT, it's 20% higher.
We also place significant focus and resources on launching new networks such as TON, Avail, Monad, Babylon, Story, Berachain, and others, along with yield products. From restaking, where we are the largest operator with a 20\+% market share, to yield aggregators on stablecoins.
Our clients include BitGo, Copper, Crypto.com, Ledger, ByBit, Bitget, OKX, HTX, Bitvavo, SBI, and others, who choose us for our client\-centric approach and extensive product line from unified API to widgets and custom dApps.
We are also actively expanding our product line, exploring RWA, data, yield, and service products for banks, exchanges, custodians, and wallets.
**P2P.org** unites talented individuals globally.
Despite our distributed team, we share a passion for decentralized finance \- a fairer system for all. We code, learn, create, and connect to shape finance's future.
**P2P.org** boasts a strong reputation and network. We prioritize customer satisfaction and, as tech enthusiasts, develop innovative solutions that bolster our brand.
**About Lambda:**
-----------------
Lambda is the **DeFi Intelligence Platform**. We provide a single source of truth for on\-chain financial data, enabling investors and institutions to:
* Track token balances and DeFi positions across multiple chains
* Analyze historical and real\-time rewards
* Accurately calculate PnL and uncover hidden costs (e.g., slippage, rebalancing, fees)
* Compare strategies and pools across protocols with confidence
Our mission is to make crypto data **transparent, reliable, and actionable**, reducing the time to generate accurate performance reports from weeks to just a few hours. We’re a fast\-moving startup with a strong technical culture, building the backbone of crypto data infrastructure.
**Responsibilities**
--------------------
* Design, maintain, and scale streaming ETL pipelines for blockchain data.
* Build and optimize ClickHouse data models and materialized views for high\-performance analytics.
* Develop and maintain data exporters using orchestration tools.
* Implement data transformations and decoding logic.
* Combine multiple data sources — indexers and Kafka topics from third parties — to aggregate them into tables for our API.
* Establish and improve testing, monitoring, automation, and migration processes for pipelines.
* Ensure timely delivery of new data features in alignment with product goals.
* Create automation tools for data analyst inputs, such as a dictionary, to keep them up to date.
**Tech Stack**
--------------
* **Streaming \&amp; ETL:** Managed Flink\-based pipelines (real\-time event \&amp; transaction processing), **Apache Kafka**
* **Data Warehouse:** ClickHouse (Cloud)
* **Workflow orchestration:** Airflow
* **Programming:** Python (data processing, services, automation)
* **Domain:** Multi\-chain crypto data (EVM \&amp; non\-EVM ecosystems)
* 4\+ years in **Data Engineering** (ETL/ELT, data pipelines, streaming systems).
**What We’re Looking For**
--------------------------
* Strong SQL skills with columnar databases (ClickHouse, Druid, BigQuery, etc.).
* Hands\-on streaming frameworks experience (Flink, Kafka, or similar).
* Solid Python skills for data engineering and backend services.
* Proven track record of delivering pipelines and features to production on schedule.
* Strong focus on automation, reliability, maintainability, and documentation.
* **Startup mindset**: keep balance between speed and quality.
**Nice to Have**
----------------
* Experience operating ClickHouse at scale (performance tuning, partitioning, materialized views)
* Experience with CI/CD and automated testing for data pipelines (e.g. GitHub Actions, dbt)
* Knowledge of multi\-chain ecosystems (EVM \&amp; non\-EVM)
* Familiarity with **blockchain/crypto data structures** (transactions, logs, ABI decoding).
* Contributions to open\-source or blockchain data infrastructure projects
At P2P.org we have a team of experts with their own unique approach and ownership culture. Together we gain experience and make dreams come true!
* Fully remote
* Full\-time contractor (Indefinite\-term Consultancy Agreement)
* Competitive salary level in $ (we can also pay in crypto)
* Paid vacation and sick leave
* Well\-being program
* Mental Health care program
* Compensation for education, including foreign language \&amp; professional growth courses
* Equipment \&amp; co\-working reimbursement program
* Overseas conferences, community immersion
P2P.org is committed to providing equal opportunities. All applicants will be considered without regard to race, color, national origin, religion, sex, sexual orientation, gender identity, veteran status, or disability.</t>
        </is>
      </c>
    </row>
    <row r="21">
      <c r="A21" t="inlineStr">
        <is>
          <t>in-5988fb126de07834</t>
        </is>
      </c>
      <c r="B21" t="inlineStr">
        <is>
          <t>Senior Analytics Engineer</t>
        </is>
      </c>
      <c r="C21" t="inlineStr">
        <is>
          <t>Upstart</t>
        </is>
      </c>
      <c r="D21" t="inlineStr">
        <is>
          <t>indeed</t>
        </is>
      </c>
      <c r="E21">
        <f>HYPERLINK("https://www.indeed.com/viewjob?jk=5988fb126de07834", "https://www.indeed.com/viewjob?jk=5988fb126de07834")</f>
        <v/>
      </c>
      <c r="F21">
        <f>HYPERLINK("https://careers.upstart.com/jobs/senior-analytics-engineer-bf0357b3-2dee-4d55-8ff6-c42e84ccd4c5", "https://careers.upstart.com/jobs/senior-analytics-engineer-bf0357b3-2dee-4d55-8ff6-c42e84ccd4c5")</f>
        <v/>
      </c>
      <c r="G21" t="inlineStr">
        <is>
          <t>Remote, US</t>
        </is>
      </c>
      <c r="H21" s="2" t="n">
        <v>46049</v>
      </c>
      <c r="I21"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As a Senior Analytics Engineer at Upstart, you will design and develop robust and scalable data models for analytical stakeholders to empower them to retrieve meaningful insights. Our analytics engineering team is centralized within the company and partners closely with data engineering, data platform, software engineers, ML engineers and cross functional analytics squads to stitch together datasets to create data models that are ready for consumption.
In addition to architecting data models, we implement Analytics Engineering best practices around Data Governance, Data Quality, Data Orchestration and pipeline optimization. We enable analysts to think like software engineers by defining, documenting and ensuring adoption of best practices when making contributions to the analytical code\-base.
***Position Location \-*** This role is available in the following locations: Remote, San Mateo, Columbus
***Time Zone Requirements \-*** The team operates in all US time zones.
***Travel Requirements \-*** This team has regular on\-site collaboration sessions. These occur 3 days per quarter at an Upstart office. If you need to travel to make these meetups, Upstart will cover all travel related expenses.
**How you’ll make an impact:**
* Understand how data is produced and consumed at a deep level \- you will need to be extremely collaborative with the teams that produce and consume the data to create an end\-to\-end solution that maximizes the value of our data
* Lead efforts to design data models and build curated data sets that are the foundation of reporting and analytics at Upstart
* Collaborate with data engineers and data platform teams to create analytics pipelines
* Meet consumers of data where they are by wearing an educator’s hat and training them on how to use BI tools and dashboards
* Be a close strategic partner to analytics squads to participate in decision making on the analytics road map for Upstart
**What we’re looking for:**
* Minimum requirements:
	+ 5\+ year(s) of experience as a Data Engineer / Analytics Engineer / BI Engineer
	+ Strong understanding of data modeling concepts in both transactional and analytical databases
	+ Proven ability to lead cross\-team projects to create data models for analytics/reporting purposes
	+ Excellent communication and collaboration skills, particularly when explaining technical or complex matters to less technical co\-workers
	+ Expertise in SQL, Python, and ETL optimization techniques
* Preferred qualifications:
	+ Familiarity with business intelligence visualization tools such as Mode, Looker, Tableau, Power BI, etc.
	+ Experience creating curated data models using a data mesh architecture
	+ Experience with cloud computing platforms such as Amazon Web Services (AWS), Azure and/or Google Cloud
	+ Experience with building Looker data models (LookML), analytics engineering frameworks like dbt, orchestration tools like Airflow, schema design, and dimensional data modeling
	+ Thorough understanding of data lake/warehouse architectures (BigQuery, Databricks, Redshift)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22">
      <c r="A22" t="inlineStr">
        <is>
          <t>in-4b02bed6b9fdeef9</t>
        </is>
      </c>
      <c r="B22" t="inlineStr">
        <is>
          <t>Data Engineer, Entry Level</t>
        </is>
      </c>
      <c r="C22" t="inlineStr">
        <is>
          <t>Naval Nuclear Laboratory</t>
        </is>
      </c>
      <c r="D22" t="inlineStr">
        <is>
          <t>indeed</t>
        </is>
      </c>
      <c r="E22">
        <f>HYPERLINK("https://www.indeed.com/viewjob?jk=4b02bed6b9fdeef9", "https://www.indeed.com/viewjob?jk=4b02bed6b9fdeef9")</f>
        <v/>
      </c>
      <c r="F22">
        <f>HYPERLINK("https://career-hcm03.ns2cloud.com/sfcareer/jobreqcareer?jobId=7125&amp;company=NNLHCM03&amp;utm_source=xml-indeed", "https://career-hcm03.ns2cloud.com/sfcareer/jobreqcareer?jobId=7125&amp;company=NNLHCM03&amp;utm_source=xml-indeed")</f>
        <v/>
      </c>
      <c r="G22" t="inlineStr">
        <is>
          <t>West Mifflin, PA, US</t>
        </is>
      </c>
      <c r="H22" s="2" t="n">
        <v>46049</v>
      </c>
      <c r="I22" t="inlineStr">
        <is>
          <t>Working at the Naval Nuclear Laboratory we foster pride in belonging to an organization whose culture is made up of these core values: Trust, Empowerment, and Collaboration. Our company promotes a positive culture while ensuring the safety and reliability of our nation's naval nuclear reactors, and training the Sailors who operate those reactors in the U.S. Navy's submarines and aircraft carrier Fleets. Looking for a lifetime career? Apply today!
**Job Description**
-------------------
Are you excited to launch your career as a Data Engineer in a mission\-driven organization? The Data Systems unit in Naval Nuclear Laboratory's Core Manufacturing department is seeking a motivated Entry\-Level Data Engineer to help drive critical advancements in efficiency, quality, and productivity.
As part of our collaborative team, you will design, develop, and maintain data systems, pipelines, and tools that improve our department's ability to coordinate Naval core production activities and develop the manufacturing processes of tomorrow. You will support the integration and automation of data workflows, ensuring data accessibility and accuracy to enhance decision\-making and efficiency. This role offers hands\-on experience in modern data engineering practices, opportunities to develop technical expertise, and a chance to contribute to the Naval Nuclear Laboratory's digital transformation.
At Naval Nuclear Laboratory, we value growth and development. As you gain experience, you will have the opportunity to shape your career by either deepening your expertise in data engineering or broadening your skillset through involvement in multidisciplinary projects. Our supportive and collaborative environment ensures you can pursue your professional goals while making impactful contributions to the team.
**Required Combination of Knowledge and Skill**
-----------------------------------------------
* Bachelors degree from an accredited college or university in a related engineering or science field; or
* Masters degree from an accredited college or university in a related engineering or science field.
**Preferred Skills**
--------------------
* Foundational programming skills (e.g., Python, SQL)
* Familiarity with data engineering concepts (e.g. ETL)
* Interest in data tools and visualization platforms (e.g., Power BI, Tableau)
* Problem\-solving skills with attention to detail and quality
* Strong communication and adaptability
**Compensation and Benefits**
-----------------------------
* Health, Dental, Vision \&amp; Voluntary Benefits
* Disability, Life \&amp; Accident Insurance
* 401(k) Savings program \&amp; Capital Accumulation Plan
* Personal \&amp; Medical Time Off
* Paid Parental Leave
* Flexible Work Schedules
* Tuition Assistance for Eligible Employees
* Student Debt Benefit Personal Time Off Sell Program
* Employee Assistance Program (EAP)
* Wellness Program
* Visit us online to view all NNL benefits!
**Pay Range**
-------------
$70,200\.00 \- $107,500\.00 annually
Salary information provided is a general guideline only. Annual salary is based upon candidate experience and qualifications, as well as market and business considerations.
The Naval Nuclear Laboratory is operated for the U.S. Department of Energy (DOE) by Fluor Marine Propulsion, LLC (FMP), a wholly owned subsidiary of Fluor Corporation. Naval Nuclear Laboratory personnel are FMP employees who work at four DOE facilities: Bettis Atomic Power Laboratory, Knolls Atomic Power Laboratory, Kenneth A. Kesselring Site, and Naval Reactors Facility, and at the U.S. Department of Defense\-owned Nuclear Power Training Unit\-Charleston. FMP employees also have an established presence at numerous shipyards and vendor locations. For nearly 70 years, the Naval Nuclear Laboratory has developed advanced nuclear propulsion technology, provided technical support, and trained world\-class nuclear operators to ensure the safe and reliable operation of our nation's submarine and aircraft carrier Fleets. The Naval Nuclear Laboratory is a national asset solely dedicated to the Naval Nuclear Propulsion Program. We rely on the dedication and innovation of our nearly 8000 engineers, scientists, technicians, and support personnel.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Marijuana is a Federal Schedule I controlled substance and illegal under Federal Law. Therefore, FMP is required to test for marijuana.
Fluor Marine Propulsion, LLC is an Equal Opportunity Employer, including disability/vets. All qualified applicants will receive consideration for employment without regard to race, color, age, sex, religion, national origin, disability, veteran status, genetic information, or any other criteria protected by federal, state, or local law.</t>
        </is>
      </c>
    </row>
    <row r="23">
      <c r="A23" t="inlineStr">
        <is>
          <t>in-7e12b9c1fe4be8eb</t>
        </is>
      </c>
      <c r="B23" t="inlineStr">
        <is>
          <t>Senior Data Engineer</t>
        </is>
      </c>
      <c r="C23" t="inlineStr">
        <is>
          <t>Microsoft</t>
        </is>
      </c>
      <c r="D23" t="inlineStr">
        <is>
          <t>indeed</t>
        </is>
      </c>
      <c r="E23">
        <f>HYPERLINK("https://www.indeed.com/viewjob?jk=7e12b9c1fe4be8eb", "https://www.indeed.com/viewjob?jk=7e12b9c1fe4be8eb")</f>
        <v/>
      </c>
      <c r="F23">
        <f>HYPERLINK("https://apply.careers.microsoft.com/careers/job/1970393556748021?utm_source=indeed&amp;domain=microsoft.com", "https://apply.careers.microsoft.com/careers/job/1970393556748021?utm_source=indeed&amp;domain=microsoft.com")</f>
        <v/>
      </c>
      <c r="G23" t="inlineStr">
        <is>
          <t>Redmond, WA, US</t>
        </is>
      </c>
      <c r="H23" s="2" t="n">
        <v>46047</v>
      </c>
      <c r="I23" t="inlineStr">
        <is>
          <t>**Overview**  
Microsoft is on a mission to reinvent productivity with AI, and the **Time and Places** (T\+P) organization powers the data foundation behind that transformation. We are seeking a **Senior Data Engineer** to architect and build the next generation of intelligence, analytics, and experimentation infrastructure that fuels Calendar AI, meeting productivity experiences, and the broader M365 ecosystem.
In this role, you will design and operate large\-scale data pipelines, feature stores, and experimentation systems that support applied science, data science, and engineering teams across Outlook, Teams, and Places. Your work will enable insights into how people manage time, how meetings work, and how AI can help users plan and prepare more effectively.
You will lead the technical vision for data engineering across T\+P—ensuring our datasets are trustworthy, our pipelines are reliable, our metrics are consistent, and our experimentation frameworks can scale to millions of users. This is a high\-impact leadership role with visibility across M365 Copilot and the central AI ecosystem.
If you enjoy solving complex data challenges, building scalable systems, and enabling AI\-driven product innovation at massive scale, we’d love to meet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build large\-scale data pipelines across meetings, calendar actions, user behaviors, Teams signals, and Copilot interactions to unlock analytics, AI modeling, and product insights.
* Design and maintain unified data models and feature stores that support personalization, meeting prep intelligence, time insights, and agentic AI features.
* Ensure high data quality and reliability through robust validation, monitoring, lineage tracking, schema governance, and automated anomaly detection.
* Build and operate experimentation and metric infrastructure that supports A/B testing, quasi\-experiments, telemetry analysis, and longitudinal user studies.
* Partner with applied scientists and model engineers to provide high\-quality datasets for post\-training, RLHF, evaluation, and model diagnostics.
* Develop scalable, efficient data pipelines using technologies such as Spark, Kusto, Cosmos, Synapse, Data Factory, Delta Lake, or similar distributed systems.
* Collaborate cross\-functionally with PM, Applied Science, and Engineering to translate business needs into data pipelines and scalable production systems.
* Drive engineering excellence through code reviews, documentation, automation, observability, and best practices in security, compliance, and privacy.
* Provide technical leadership by mentoring engineers, setting architectural direction, and ensuring long\-term maintainability of core data systems.
**Qualifications** **Required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4\+ years experience in business analytics, data science, software development, data modeling, or data engineering
	+ OR equivalent experience.
 **Preferred Qualications:**
* Master's Degree in Computer Science, Math, Software Engineering, Computer Engineering, or related field AND 6\+ years experience in business analytics, data science, software development, data modeling, or data engineering
	+ OR Bachelor's Degree in Computer Science, Math, Software Engineering, Computer Engineering, or related field AND 8\+ years experience in business analytics, data science, software development, data modeling, or data engineering
	+ OR equivalent experience.
* 2\+ years experience with data governance, data compliance and/or data security.
* Experience designing end\-to\-end data architectures for AI/ML workflows, including training data generation, evaluation datasets, and feature pipelines.
* Experience with real\-time or near–real\-time data systems, streaming, or event\-driven architectures (EventHub, Kafka, etc.).
* Experience supporting experimentation frameworks and telemetry\-based metrics.
* Familiarity with Responsible AI, data privacy, GDPR, or enterprise compliance considerations.
* Demonstrated ability to influence cross\-functional teams and drive large\-scale technical initiatives.
* Experience mentoring engineers and leading technical design discussions at an org\-wide level.
\#W \+ D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
      <c r="A24" t="inlineStr">
        <is>
          <t>in-afcfb9a3faea6699</t>
        </is>
      </c>
      <c r="B24" t="inlineStr">
        <is>
          <t>Data Engineer</t>
        </is>
      </c>
      <c r="C24" t="inlineStr">
        <is>
          <t>Amazon.com</t>
        </is>
      </c>
      <c r="D24" t="inlineStr">
        <is>
          <t>indeed</t>
        </is>
      </c>
      <c r="E24">
        <f>HYPERLINK("https://www.indeed.com/viewjob?jk=afcfb9a3faea6699", "https://www.indeed.com/viewjob?jk=afcfb9a3faea6699")</f>
        <v/>
      </c>
      <c r="F24">
        <f>HYPERLINK("https://www.amazon.jobs/jobs/3141339/data-engineer?cmpid=DA_INAD200785B", "https://www.amazon.jobs/jobs/3141339/data-engineer?cmpid=DA_INAD200785B")</f>
        <v/>
      </c>
      <c r="G24" t="inlineStr">
        <is>
          <t>San Francisco, CA, US</t>
        </is>
      </c>
      <c r="H24" s="2" t="n">
        <v>46001</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in-929490a62fbb8ef6</t>
        </is>
      </c>
      <c r="B25" t="inlineStr">
        <is>
          <t>Data Engineer</t>
        </is>
      </c>
      <c r="C25" t="inlineStr">
        <is>
          <t>Amazon.com</t>
        </is>
      </c>
      <c r="D25" t="inlineStr">
        <is>
          <t>indeed</t>
        </is>
      </c>
      <c r="E25">
        <f>HYPERLINK("https://www.indeed.com/viewjob?jk=929490a62fbb8ef6", "https://www.indeed.com/viewjob?jk=929490a62fbb8ef6")</f>
        <v/>
      </c>
      <c r="F25">
        <f>HYPERLINK("https://www.amazon.jobs/jobs/3141339/data-engineer?cmpid=DA_INAD200785B", "https://www.amazon.jobs/jobs/3141339/data-engineer?cmpid=DA_INAD200785B")</f>
        <v/>
      </c>
      <c r="G25" t="inlineStr">
        <is>
          <t>Seattle, WA, US</t>
        </is>
      </c>
      <c r="H25" s="2" t="n">
        <v>46001</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in-f4ce150373a32964</t>
        </is>
      </c>
      <c r="B26" t="inlineStr">
        <is>
          <t>Delivery Consultant - Data Engineer, Data and Machine Learning, WWPS US Federal</t>
        </is>
      </c>
      <c r="C26" t="inlineStr">
        <is>
          <t>Amazon Web Services</t>
        </is>
      </c>
      <c r="D26" t="inlineStr">
        <is>
          <t>indeed</t>
        </is>
      </c>
      <c r="E26">
        <f>HYPERLINK("https://www.indeed.com/viewjob?jk=f4ce150373a32964", "https://www.indeed.com/viewjob?jk=f4ce150373a32964")</f>
        <v/>
      </c>
      <c r="F26">
        <f>HYPERLINK("https://www.amazon.jobs/jobs/3134583/delivery-consultant--data-engineer-data-and-machine-learning-wwps-us-federal?cmpid=DA_INAD200785B", "https://www.amazon.jobs/jobs/3134583/delivery-consultant--data-engineer-data-and-machine-learning-wwps-us-federal?cmpid=DA_INAD200785B")</f>
        <v/>
      </c>
      <c r="G26" t="inlineStr">
        <is>
          <t>Arlington, VA, US</t>
        </is>
      </c>
      <c r="H26" s="2" t="n">
        <v>45991</v>
      </c>
      <c r="I2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in-30c60fca1e768657</t>
        </is>
      </c>
      <c r="B27" t="inlineStr">
        <is>
          <t>Delivery Consultant - Data Engineer, Data and Machine Learning, WWPS US Federal</t>
        </is>
      </c>
      <c r="C27" t="inlineStr">
        <is>
          <t>Amazon Web Services</t>
        </is>
      </c>
      <c r="D27" t="inlineStr">
        <is>
          <t>indeed</t>
        </is>
      </c>
      <c r="E27">
        <f>HYPERLINK("https://www.indeed.com/viewjob?jk=30c60fca1e768657", "https://www.indeed.com/viewjob?jk=30c60fca1e768657")</f>
        <v/>
      </c>
      <c r="F27">
        <f>HYPERLINK("https://www.amazon.jobs/jobs/3134583/delivery-consultant--data-engineer-data-and-machine-learning-wwps-us-federal?cmpid=DA_INAD200785B", "https://www.amazon.jobs/jobs/3134583/delivery-consultant--data-engineer-data-and-machine-learning-wwps-us-federal?cmpid=DA_INAD200785B")</f>
        <v/>
      </c>
      <c r="G27" t="inlineStr">
        <is>
          <t>Herndon, VA, US</t>
        </is>
      </c>
      <c r="H27" s="2" t="n">
        <v>45991</v>
      </c>
      <c r="I2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in-fb69970ab0720b5a</t>
        </is>
      </c>
      <c r="B28" t="inlineStr">
        <is>
          <t>Senior Software Engineer - Data Engineering</t>
        </is>
      </c>
      <c r="C28" t="inlineStr">
        <is>
          <t>Strider Technologies</t>
        </is>
      </c>
      <c r="D28" t="inlineStr">
        <is>
          <t>indeed</t>
        </is>
      </c>
      <c r="E28">
        <f>HYPERLINK("https://www.indeed.com/viewjob?jk=fb69970ab0720b5a", "https://www.indeed.com/viewjob?jk=fb69970ab0720b5a")</f>
        <v/>
      </c>
      <c r="F28">
        <f>HYPERLINK("https://jobs.ashbyhq.com/strider-technologies/72493206-6f0a-4ec2-a9cd-6fca64b1dd75", "https://jobs.ashbyhq.com/strider-technologies/72493206-6f0a-4ec2-a9cd-6fca64b1dd75")</f>
        <v/>
      </c>
      <c r="G28" t="inlineStr">
        <is>
          <t>South Jordan, UT, US</t>
        </is>
      </c>
      <c r="H28" s="2" t="n">
        <v>46049</v>
      </c>
      <c r="I28" t="inlineStr">
        <is>
          <t>Location
South Jordan, UT, Tysons Corner, VA
Employment Type
Full time
Department
Technology
Overview
Strider Technologies delivers strategic intelligence that helps organizations make faster, more confident decisions in an increasingly complex global environment. Using cutting\-edge AI and proprietary methodologies, we transform open\-source data into actionable insights that help protect technology, talent, and supply chains from nation\-state risks.
Job Description:
Strider is revolutionizing the way companies, universities, research institutions, and government agencies protect their innovation and compete in a new era of global strategic competition. Our trailblazing technology and intelligence solutions enable clients to proactively identify, manage, and respond to foreign government directed IP theft and supply chain vulnerabilities. We are a data company. We have billions of documents online and are collecting millions of new documents each day. The Data Engineering team is responsible for building structured data assets from these raw documents to build new products and enhance existing ones.
If you’re ready to be part of an elite team tackling some of the most pressing security and technology challenges, let’s talk.
Responsibilities for this role:
* Develop large scale data processing pipelines
* Create data assets from unstructured data
* Build and support internal and external facing APIs
* Author design documents
* Mentor teammates
* Drive software engineering best practices
* Participate in code reviews
* Collaborate with a talented cross\-functional team of engineers, data scientists and subject\-matter experts
**You are a good fit for this role if you:**
* Have 4\+ years of software engineering experience
* Previous experience working in a data heavy role
* Understand how to use cloud infrastructure effectively
* Are a natural problem solver with an affinity for data
* Are opinionated about how software is built
* Are proficient at breaking down large, sometimes ambiguous, problems into well\-defined tasks
* Value shipping code early and often
* Have a well\-honed mental model for how software systems execute and interact
**Technologies we use:**
* Python
* Elasticsearch
* Memgraph
* Flyte
* AWS (EC2, S3, SQS, DynamoDB, Lambda, EKS)
**Benefits**
* Competitive Compensation
* Company Equity Options
* Flexible PTO
* Wellness Reimbursement
* US Holidays (Office Closed)
* Paid Parental Leave
* Comprehensive Medical, Dental, and Vision Insurance
* 401(k) Plan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li-4366928075</t>
        </is>
      </c>
      <c r="B2" t="inlineStr">
        <is>
          <t>SQL Data Engineer</t>
        </is>
      </c>
      <c r="C2" t="inlineStr">
        <is>
          <t>D2 Consulting</t>
        </is>
      </c>
      <c r="D2" t="inlineStr">
        <is>
          <t>linkedin</t>
        </is>
      </c>
      <c r="E2">
        <f>HYPERLINK("https://www.linkedin.com/jobs/view/4366928075", "https://www.linkedin.com/jobs/view/4366928075")</f>
        <v/>
      </c>
      <c r="F2" t="inlineStr"/>
      <c r="G2" t="inlineStr">
        <is>
          <t>Springfield, VA</t>
        </is>
      </c>
      <c r="H2" t="inlineStr"/>
      <c r="I2" t="inlineStr">
        <is>
          <t>* MUST HAVE ACTIVE TS/SCI SECURITY CLEARANCE TO BE CONSIDERED\*\*
 We’re looking for a talented
 **Data Engineer** 
 to join our mission\-driven team and help design, build, and optimize secure, scalable systems. In this role, you’ll have the opportunity to work with a modern cloud environment, develop robust data pipelines, and support projects that directly impact critical operations. You’ll collaborate with engineers, analysts, and stakeholders to transform data into powerful insights and efficient solutions.
**Your contributions will include:**
* Designing and maintaining ETL processes to move and transform large\-scale data efficiently.
* Building and optimizing SQL models to support analytics and business logic.
* Developing solutions in Python, SQL, Spark, PowerShell, and C\#.
* Supporting SQL Server environments for database management and integration.
* Applying DevSecOps practices to ensure secure, high\-quality code delivery.
* Collaborating in SCRUM teams using Jira and Git\-based workflows.
* Partnering with analysts to deliver data solutions that enable impactful data analysis and decision\-making.
**What you’ll bring to the team (Must\-Haves):**
* **Programming experience:**
+ Python (3\+ years)
+ SQL (3\+ years)
+ Spark
+ Bash Scripting
* Proven experience with:
+ **ETL development** 
 and large\-scale data processing
+ **SQL modeling and optimization**
+ **Data analysis** 
 and building systems that support decision\-making
+ **DevSecOps best practices** 
 in development and deployment
+ Agile development using SCRUM frameworks with Jira
* Strong problem\-solving mindset, ability to work independently, and excellent communication skills.
**Why you’ll love this role:**
 You’ll get to solve challenging problems, work with cutting\-edge AWS tools, and make an impact in a role that blends software engineering with data\-driven decision\-making. This position offers the chance to sharpen your technical skills, collaborate with a highly skilled team, and contribute to projects that matter.
**Additional Information**
* All your information will be kept confidential according to EEO guidelines.
* Compensation is unique to each candidate and relative to the skills and experience they bring to the position. This does not guarantee a specific salary as compensation is based upon multiple factors such as education, experience, certifications, and other requirements, and may fall outside of the above\-stated range.
* Highlights of our benefits include Health/Dental/Vision, 401(k) match, Accrued PTO, STD/LTD/Life Insurance, Referral Bonuses, professional development reimbursement, and more!
*D2 Consulting is committed to a merit\-based recruitment process and encourages applications from all qualified individuals. As a Veteran\-Owned Small Business, we particularly welcome applications from veterans who have the requisite skills and experience. Job applicants that are interested in one of our openings and may require a reasonable accommodation to participate in the job application or interview process, should contact us to request an accommodation.*</t>
        </is>
      </c>
    </row>
    <row r="3">
      <c r="A3" t="inlineStr">
        <is>
          <t>li-4331900412</t>
        </is>
      </c>
      <c r="B3" t="inlineStr">
        <is>
          <t>Data Engineer</t>
        </is>
      </c>
      <c r="C3" t="inlineStr">
        <is>
          <t>PrePass</t>
        </is>
      </c>
      <c r="D3" t="inlineStr">
        <is>
          <t>linkedin</t>
        </is>
      </c>
      <c r="E3">
        <f>HYPERLINK("https://www.linkedin.com/jobs/view/4331900412", "https://www.linkedin.com/jobs/view/4331900412")</f>
        <v/>
      </c>
      <c r="F3" t="inlineStr"/>
      <c r="G3" t="inlineStr">
        <is>
          <t>Phoenix, AZ</t>
        </is>
      </c>
      <c r="H3" t="inlineStr"/>
      <c r="I3"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We're looking for a skilled Data Engineer to join our team in the transportation sector. In this role, you'll work with modern cloud technologies to design, build, and maintain data pipelines that support analytics, reporting, and operational insights. You'll be part of a highly collaborative product engineering team focused on delivering reliable, scalable data solutions that enable smarter decision\-making across the organization. This is a hybrid position based in our downtown Phoenix office.
 This role operates within an Agile environment using Scrum, with strong XP engineering practices. The team emphasizes small, frequent deliveries, continuous improvement, Test Driven Development, and shared ownership. You will collaborate daily with product managers, QA, and fellow engineers through standups, backlog refinement, sprint planning, reviews, and retrospectives. Strong verbal and written communication skills are essential, as active participation in design discussions, pairing, and problem\-solving is a core part of how the team operates.
 This is a great opportunity for someone with solid experience in backend data systems who enjoys solving real\-world problems, working in fast feedback loops, and contributing to continuously evolving data platforms.
**Key Responsibilities**
**Data Platform \&amp; Pipeline Development**
* Design, develop, and maintain cloud\-native data pipelines using Databricks, Microsoft Azure Data Factory, and Microsoft Fabric to support data integration and analytics solutions.
* Implement incremental and real\-time data ingestion strategies using a medallion architecture for data lake storage.
* Write, optimize, and maintain complex SQL queries to transform, integrate, and analyze data across enterprise systems.
* Develop solutions with a focus on scalability, maintainability, testability, and long\-term operability within a continuous delivery mindset.
**Data Operations \&amp; Reliability**
* Support and troubleshoot legacy data platforms built on SSIS and SQL Server, ensuring high availability and performance of critical data processes.
* Identify, troubleshoot, and resolve data integration and data quality issues to ensure reliable production data delivery.
* Contribute to observability, automated validation, and CI/CD pipelines to support fast feedback and safe releases.
**Agile Collaboration \&amp; Engineering Practices**
* Collaborate daily with product owners, QA, and engineers through Scrum ceremonies including standups, backlog refinement, sprint planning, sprint reviews, and retrospectives.
* Participate in proof\-of\-concept efforts, technical spikes, and design discussions, providing thoughtful technical analysis and pragmatic recommendations.
* Apply XP engineering practices such as pairing, incremental delivery, continuous refactoring, and shared code ownership to maintain high\-quality, evolvable systems.
* Clearly communicate technical concepts, risks, tradeoffs, and progress to both technical and non\-technical stakeholders.
**Requirements**
**Required Qualifications**
* 5\+ years of experience designing and building data solutions.
* Strong proficiency in SQL and Python for data analytics and transformation.
* Hands\-on experience with ETL pipeline development and automation.
* Solid understanding of data lake architecture and design principles.
* Experience working on Agile teams (Scrum, XP, or similar), with regular participation in standups, sprint planning, refinement, reviews, and retrospectives.
* Comfort operating in highly collaborative environments with frequent verbal and written communication across engineering, product, and QA teams.
* Ability to break work into small, iterative deliverables and adapt quickly based on feedback and changing priorities.
* Strong ownership mindset, including accountability for the quality, reliability, and maintainability of delivered solutions.
**Preferred Qualifications**
* Experience with Azure cloud services and cloud\-based ETL tools.
* Familiarity with data visualization tools such as Power BI or Tableau.
* Understanding of event\-driven architectures, including queues, batch processing, and pub/sub models.
* Exposure to NoSQL databases such as MongoDB or Cassandra.
* Experience working on product engineering teams delivering customer\-facing or operationally critical systems.
* Familiarity with modern engineering practices inspired by XP, including automated testing, pairing, refactoring, and continuous integration.
* Experience operating systems in production environments with uptime, reliability, and observability expectations.
**Bonus Points For**
* Experience in Data Science or Machine Learning, particularly in model deployment or feature engineering.
* Experience contributing to engineering standards, documentation, or continuous improvement initiatives within an Agile team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4">
      <c r="A4" t="inlineStr">
        <is>
          <t>li-4366930189</t>
        </is>
      </c>
      <c r="B4" t="inlineStr">
        <is>
          <t>Senior Data Engineer - Airflow and PySpark (Hybrid)</t>
        </is>
      </c>
      <c r="C4" t="inlineStr">
        <is>
          <t>Detroit Labs</t>
        </is>
      </c>
      <c r="D4" t="inlineStr">
        <is>
          <t>linkedin</t>
        </is>
      </c>
      <c r="E4">
        <f>HYPERLINK("https://www.linkedin.com/jobs/view/4366930189", "https://www.linkedin.com/jobs/view/4366930189")</f>
        <v/>
      </c>
      <c r="F4" t="inlineStr"/>
      <c r="G4" t="inlineStr">
        <is>
          <t>Auburn Hills, MI</t>
        </is>
      </c>
      <c r="H4" t="inlineStr"/>
      <c r="I4" t="inlineStr">
        <is>
          <t>**This role is based in Auburn Hills, Michigan, and follows a hybrid work model, requiring in\-office presence three days per week.**
**Please note: Due to the in\-office requirement, we will only be considering candidates that are local to the Metro Detroit area at this time.**
 Detroit Labs was founded in 2011 with a vision for building digital products, services, and the teams that power them. We create digital solutions that transform the way our clients do business. We build genuine relationships based on respect, trust, and results. We foster a diverse and inclusive culture that values people \- providing them with the tools, resources, and support they need to thrive professionally, exceed client expectations, and be themselves at work. We have a variety of client teams we work with ranging from startups to Fortune 500 companies so there are always new and exciting projects going on.
 Detroit Labs is looking for an experienced Data Engineer with expertise in Airflow and Pyspark to join an exciting project with an industry leading automotive client. As a Senior Data Engineer \&amp; Technical Lead, you will play a pivotal role in delivering major data engineering initiatives within the Data \&amp; Advanced Analytics space. This position requires hands\-on expertise in building, deploying, and maintaining robust data pipelines using Python, PySpark, and Airflow, as well as designing and implementing CI/CD processes for data engineering projects.
****Our Application****
 At Detroit Labs, a member of our team will read over every application (including yours), and will review your resume in addition to your responses to the application questions.
 To help us get to know you better, we encourage you to answer these questions genuinely and honestly. We value each applicant and want to learn about the real you. Be yourself in your responses, and our team will look forward to understanding what you can bring to this role!
**Requirements**
 7\+ years of Data Engineering experience building production\-grade data pipelines using Python and PySpark
* Experience designing, deploying, and managing Airflow DAGs in enterprise environments
* Experience maintaining CI/CD pipelines for data engineering workflows, including automated testing and deployment
* Experience with cloud workflows and containerization, using Docker and cloud platforms (GCP preferred) for data engineering workloads
* Knowledge and ability to follow twelve\-factor design principles
* Experience and ability to write object\-oriented Python code, manage dependencies, and follow industry best practices
* Proficiency with Git for source code management and collaboration (commits, branching, merging, GitHub/GitLab workflows)
* Experience working with command lines in Unix/Linux\-like environments
* Solid understanding of SQL for data ingestion and analysis
* Engineering mindset. Able to write code with an eye for maintainability and testability
* Collaborative mindset. Comfortable with code reviews, paired programming, and using remote collaboration tools effectively
* Detroit Labs is not currently able to hire candidates who will reside outside of the United States during their term of employment
**Responsibilities**
* Design, develop, and optimize scalable data pipelines using Python and PySpark for batch and streaming workloads
* Build, schedule, and monitor complex workflows using Airflow, ensuring reliability and maintainability
* Architect and implement CI/CD pipelines for data engineering projects using GitHub, Docker, and cloud\-native solutions (GCP preferred)
* Apply test\-driven development (TDD) practices and automate unit/integration tests for data pipelines
* Implement secure coding best practices and design patterns throughout the development lifecycle
* Work closely with Data Architects, QA teams, and business stakeholders to translate requirements into technical solutions
* Create and maintain technical documentation, including process/data flow diagrams and system design artifacts
* Lead and mentor junior engineers, providing guidance on coding, testing, and deployment best practices
* Analyze and resolve technical issues across the data stack, including pipeline failures and performance bottlenecks
* Cross\-train team members outside the project team (e.g., operations support) for full knowledge coverage
**Benefits**
* The salary range for this role is from $160,000 \- $180,000 commensurate with experience
* Full medical, dental, vision benefits
* 401K contribution options
* Quarterly outings and events
* Paid holidays and vacation time
* Parental leave program
* Monthly budgets for "team fun" bonding events
* Free lunch for various company meetings and Lunch \&amp; Learns
* Access to our mentorship program and employee resource groups (ERGs)
* Volunteer opportunities
* All\-company remote\-friendly activities
* Plenty of Detroit Labs swag</t>
        </is>
      </c>
    </row>
    <row r="5">
      <c r="A5" t="inlineStr">
        <is>
          <t>li-4366507300</t>
        </is>
      </c>
      <c r="B5" t="inlineStr">
        <is>
          <t>Data Engineer</t>
        </is>
      </c>
      <c r="C5" t="inlineStr">
        <is>
          <t>Tangram Flex</t>
        </is>
      </c>
      <c r="D5" t="inlineStr">
        <is>
          <t>linkedin</t>
        </is>
      </c>
      <c r="E5">
        <f>HYPERLINK("https://www.linkedin.com/jobs/view/4366507300", "https://www.linkedin.com/jobs/view/4366507300")</f>
        <v/>
      </c>
      <c r="F5" t="inlineStr"/>
      <c r="G5" t="inlineStr">
        <is>
          <t>Dayton, OH</t>
        </is>
      </c>
      <c r="H5" t="inlineStr"/>
      <c r="I5" t="inlineStr">
        <is>
          <t>Tangram Flex is seeking a Data Engineer with 5 years of experience to join our growing team supporting Department of Defense (DoD) programs in the Dayton, Ohio area. The ideal candidate will blend software engineering and analytical expertise to design, build, and maintain data pipelines and analytics solutions that enhance mission\-critical insights and operational effectiveness.
 What We Do: At Tangram Flex, we provide engineering products, solutions, and services that enable innovators to design, develop, verify, and deliver software advancements to critical systems faster. By transforming how our nation solves complex software challenges, our work accelerates innovation that strengthens national security.
**Position Description**
 As a Data Engineer, you will play a crucial role in supporting the design, development, implementation and sustainment of complex systems. Working with teams onsite at WPAFB, office and remotely in the Dayton area.
**Primary Responsibilities**
* Design, develop, and maintain scalable ETL pipelines to extract, transform, and load data from diverse sources.
* Build and optimize PostgreSQL relational database structures and ensure data integrity across systems.
* Develop and maintain data integration scripts and automation workflows using Python and SQLAlchemy.
* Implement pipeline automation and version control workflows using GitLab CI/CD.
* Collaborate with analysts, data scientists, and stakeholders to define data requirements and ensure timely, accurate delivery.
* Conduct performance tuning, data modeling, and query optimization to support analytics and visualization needs.
* Maintain compliance with DoD data security policies and handle classified data in accordance with clearance requirements.
**Required**
 DESIRED SKILLS \&amp; EXPERIENCE //
* Bachelor’s degree in Computer Science, Data Engineering, or a related field (or equivalent experience).
* Possess a current/or recent (within the last 12 months) U.S. Government Security Clearance/Department of Defense Clearance.
* 5\+ years of professional experience in data engineering, analytics, or software development.
* Strong proficiency in Python, including libraries such as SQLAlchemy and Pandas.
* Experience working with ETL processes, PostgreSQL, and relational database design.
* Familiarity with GitLab for version control, CI/CD, and pipeline automation.
* Proven ability to work with cross\-functional teams in a mission\-driven environment.
* Ability to interface with customers from both a technical and programmatic context.
* Strong communication, interpersonal and organizational skills.
* Hybrid/On\-site \- Minimum 2 Days in person at WPAFB \-Every Monday
**Preferred**
* Experience supporting DoD or federal government data initiatives.
* Knowledge of data warehousing and data modeling techniques.
* Familiarity with cloud\-based environments (e.g., AWS GovCloud, Azure Government).
**Physical Requirements**
* Ability to travel by air, car, or other transportation methods.
* Prolonged periods of sitting at a desk and working on a computer (up to 8 hours/day).
* Ability to lift and carry lightweight items (e.g., laptops, demo equipment, marketing materials) up to 25 lbs.
* Frequent use of hands and fingers for typing, using a mouse, writing, and handling equipment.
* Visual acuity to read detailed technical documents, view computer screens, and operate software systems.
* Auditory ability to participate in meetings, customer demos, and conference calls, including in potentially noisy environments (e.g., trade shows or military facilities).
* Mobility to move between office spaces, customer sites, conference venues, and manufacturing or lab environments.
* Flexibility to adapt to varying work environments (e.g., corporate offices, government buildings, industrial or lab spaces).
 We are committed to staying rooted in our core value of Team First. For that reason, we've designed a highly competitive benefits program and supportive work environment to engage employees and their families.
* Hybrid work options
* Flexible Working Hours, 10 paid holidays, and generous Paid Time Off
* Employer Paid Medical, Dental, Vision and Short and Long Term Disability Insurance
* Access to group rating plans for Life Insurance
* Employer contribution to Health Savings Account
* Competitive 401K employer match
* A work environment and culture that fosters transparency, collaboration and well\-being.
 Tangram Flex is an Equal Opportunity Employer, and provides reasonable accommodation for qualified individuals with disabilities and disabled veterans in its application procedures and in accordance with federal law. All qualified candidates will receive consideration for employment based on business needs, job requirements, and individual qualifications.
 EEO/AA Vet/Disabled Employer/ and E\-Verify</t>
        </is>
      </c>
    </row>
    <row r="6">
      <c r="A6" t="inlineStr">
        <is>
          <t>li-4356551524</t>
        </is>
      </c>
      <c r="B6" t="inlineStr">
        <is>
          <t>Junior Data Engineer (V)</t>
        </is>
      </c>
      <c r="C6" t="inlineStr">
        <is>
          <t>Blue Coding</t>
        </is>
      </c>
      <c r="D6" t="inlineStr">
        <is>
          <t>linkedin</t>
        </is>
      </c>
      <c r="E6">
        <f>HYPERLINK("https://www.linkedin.com/jobs/view/4356551524", "https://www.linkedin.com/jobs/view/4356551524")</f>
        <v/>
      </c>
      <c r="F6" t="inlineStr"/>
      <c r="G6" t="inlineStr"/>
      <c r="H6" t="inlineStr"/>
      <c r="I6" t="inlineStr">
        <is>
          <t>**Why Blue Coding?**
 At Blue Coding, we specialize in hiring excellent developers and amazing people from all over Latin America and other parts of the world. For the past 11 years, we’ve helped cutting\-edge companies in the United States and Canada build great development teams and develop great products. Large multinationals, digital agencies, Saas providers, and software consulting firms are just a few of our clients. Our team of over 150 engineers, project managers, QA, UX/UI designers, and many more is distributed in more than 10 countries across the Americas. We are a fully remote company working with a wide array of technologies, and we have expertise in every stage of the software development process.
 Our team is highly connected, united, and culturally diverse, and our collaborators are involved in many initiatives around the world, from wildlife preservation to volunteering at local charities. We stand for honesty, fairness, respect, efficiency, hard work, and cooperation.
**This position is open exclusively to candidates based in LATAM countries.**
**What are we looking for?**
 In this opportunity, we are looking for an experienced Data Engineer to work with one of our US clients, a corporation that, through its subsidiaries, provides life insurance protection targeted to the middle American market. The ideal candidate will be responsible for the development and maintenance of systems in their enterprise data and analytics environments. You will develop deep knowledge of our client's businesses as you help to optimize performance by building and supporting decision\-making tools. You will partner closely with their software engineering, AI/ML, Cybersecurity, and DevOps/SysOps teams to deliver best\-in\-class data solutions that empower enterprise\-wide reporting and analytics, including business\-critical vendor relationships.
 If you are independent, a great communicator, with great attention to detail, and a problem solver this is a great fit for you! Our jobs are fully remote and flexible \- as long as you have the skills and can get the work done well, you can work anywhere in the listed countries (and anytime) you want.
**What's unique about this job?**
 As a member of the Data Engineering team, you will be building the data layer that serves as a foundation for our client's key operations. You will support critical end\-to\-end data pipelines written in Python or Scala which serve internal and external customers. Working within the Agile framework, you will have the opportunity to design data pipelines, build database models, design infrastructure and alerting frameworks, and process data using methods from SFTPs to APIs. Data and Analytics is a key enterprise strength of our client and we look forward to having you on the team!
**Here are some of the exciting day\-to\-day challenges you will face in this role:**
* Design, develop, and maintain data pipelines and data stores that support enterprise data science, analytics, and operations
* Identify, track, and analyze the performance of data layer services, implementing solutions and improvements to enhance stability, efficiency, and performance.
* Collaborate with your peers across the Research and Technology organization
**You will shine if you have:**
* Bachelor’s degree in Computer Science, Information Systems or demonstrated ability in a related field is required
* Experience with Python programming using an IDE, ideally building an application/framework/program
* from scratch
* Experience working with data environments in an engineering or technical capacity
* Experience working with data using structured (SQL) and/or unstructured (NoSQL) approaches
* Experience with or exposure to data visualization principles and practices, especially with Power BI and Tableau
* Ingest data from internal and external sources using cloud\-native AWS platform technologies (e.g., S3, EMR (Spark), Lambda, Kinesis, Firehose, Glue, Terraform)
* Strong communication skills and an interest in advancing your knowledge of data engineering
* Excellent time management skills
* Driven, self\-motivated attitude. Ability to do great work independently with minimal direction.
* Ambitious and collaborative team player.
**What we offer:**
* Salary in USD
* Flexible schedule (within US Time zones)
* 100% Remote
 Ready to learn more? Apply below!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li-4366531112</t>
        </is>
      </c>
      <c r="B7" t="inlineStr">
        <is>
          <t>Data Engineer</t>
        </is>
      </c>
      <c r="C7" t="inlineStr">
        <is>
          <t>Soliant</t>
        </is>
      </c>
      <c r="D7" t="inlineStr">
        <is>
          <t>linkedin</t>
        </is>
      </c>
      <c r="E7">
        <f>HYPERLINK("https://www.linkedin.com/jobs/view/4366531112", "https://www.linkedin.com/jobs/view/4366531112")</f>
        <v/>
      </c>
      <c r="F7" t="inlineStr"/>
      <c r="G7" t="inlineStr">
        <is>
          <t>Jacksonville, FL</t>
        </is>
      </c>
      <c r="H7" t="inlineStr"/>
      <c r="I7" t="inlineStr">
        <is>
          <t>This job is located in Jacksonville, FL and you'd need to report to that office daily, but would consider applicants that are in the greater Atlanta, GA area as well.
**Job Summary:** 
 The Soliant Data Engineer designs, builds, and maintains scalable, secure, and highly reliable data pipelines within Soliant’s Azure\-based data platform. This role is heavily focused on Databricks development, leveraging Delta Lake and Spark to transform raw data into trusted, analytics\-ready datasets that support enterprise reporting, financial analytics, and operational insights.
 The Data Engineer partners closely with analytics, finance, and business teams to ensure data is accurate, timely, and well\-governed across the organization.
**Key Responsibilities:** 
**Databricks \&amp; Data Pipeline Development** 
* Design, develop, and maintain scalable data pipelines using Azure Databricks, Delta Lake, and Apache Spark
* Implement batch and incremental data processing patterns to support enterprise analytics use cases
* Write efficient, well\-structured PySpark and SQL code following engineering best practices
**Data Ingestion \&amp; Orchestration** 
* Build and orchestrate data ingestion workflows using Azure Data Factory, integrating with Databricks notebooks and jobs
* Ingest data from APIs, flat files, and relational data sources into Azure Data Lake Storage (ADLS Gen2\)
**Data Transformation \&amp; Modeling** 
* Transform raw data into curated, analytics\-ready datasets using Delta Lake (Bronze / Silver / Gold) patterns
* Apply data quality checks, deduplication logic, and validation rules to ensure high data reliability
* Support downstream reporting and semantic models used in Power BI
**Data Architecture \&amp; Storage** 
* Collaborate with the team to design scalable data architectures that support current and future business needs
* Manage structured and semi\-structured data stored in Azure Data Lake and Azure SQL Database
* Ensure data storage solutions are secure, performant, and cost\-effective
**Automation, Optimization \&amp; Reliability** 
* Optimize Databricks workloads for performance and cost (partitioning, caching, job tuning)
* Automate data processing and operational tasks using Azure services and scripting tools
* Monitor pipelines and jobs, troubleshoot failures, and continuously improve reliability and performance
**Collaboration \&amp; Stakeholder Engagement** 
* Work closely with financial analysts, data enrichment analysts, and reporting teams to understand data requirements
* Provide clean, trusted datasets and support ad\-hoc analytical needs when required
**Required Skills \&amp; Qualifications:** 
* Bachelor’s degree in Computer Science, Data Engineering, Information Systems, or a related field
* Strong experience building data pipelines in Microsoft Azure, with a focus on Azure Databricks
* Hands\-on experience with:
* Azure Databricks
* Azure Data Factory
* Azure Data Lake Storage (ADLS Gen2\)
* Azure SQL Database / SQL Server
* Strong proficiency in SQL and Python (PySpark)
* Experience with ETL/ELT patterns and data transformation in a cloud environment
* Solid understanding of data warehousing concepts and analytical data modeling
* Experience monitoring, troubleshooting, and optimizing production data pipelines
* Strong problem\-solving skills, attention to detail, and collaboration abilities
**Nice to Have:** 
* Experience with Delta Lake and medallion architectures (Bronze / Silver / Gold)
* Familiarity with CI/CD pipelines for data engineering (Azure DevOps, GitHub Actions, or similar)
* Experience using Git for source control and collaborative development
* Exposure to Databricks Jobs, workflows, and cluster configuration
* Experience optimizing Spark workloads (partitioning strategies, file sizing, performance tuning)
* Familiarity with data governance, access controls, and security best practices in Azure
* Experience supporting Power BI semantic models or downstream reporting platforms
* Knowledge of infrastructure\-as\-code concepts (ARM, Bicep, Terraform)
**Why Soliant** 
* Modern Azure data platform with Databricks at the core
* Opportunity to build and improve enterprise\-scale data pipelines
* High\-impact work supporting financial, operational, and executive reporting
* Collaborative environment with strong ownership and autonomy</t>
        </is>
      </c>
    </row>
    <row r="8">
      <c r="A8" t="inlineStr">
        <is>
          <t>li-4366927074</t>
        </is>
      </c>
      <c r="B8" t="inlineStr">
        <is>
          <t>Data Engineer</t>
        </is>
      </c>
      <c r="C8" t="inlineStr">
        <is>
          <t>Inizio Partners</t>
        </is>
      </c>
      <c r="D8" t="inlineStr">
        <is>
          <t>linkedin</t>
        </is>
      </c>
      <c r="E8">
        <f>HYPERLINK("https://www.linkedin.com/jobs/view/4366927074", "https://www.linkedin.com/jobs/view/4366927074")</f>
        <v/>
      </c>
      <c r="F8" t="inlineStr"/>
      <c r="G8" t="inlineStr">
        <is>
          <t>San Antonio, Texas Metropolitan Area</t>
        </is>
      </c>
      <c r="H8" t="inlineStr"/>
      <c r="I8" t="inlineStr">
        <is>
          <t>We are seeking a skilled and motivated
 **Data Engineer** 
 to join our client's dynamic team. As a Data Engineer, you will play a critical role in designing, building, and maintaining data pipelines and architectures that support business intelligence, analytics, and operational needs. You will collaborate with cross\-functional teams to ensure data is accessible, reliable, and secure, enabling data\-driven decision\-making across the organization.
**Key Responsibilities** 
* Advise stakeholders on data strategy by leveraging a consultative approach to assess current data landscapes, identify gaps, and recommend best\-fit solutions that align with business objectives.
* Design, develop, and maintain scalable ETL/ELT pipelines that support analytics, machine learning, and operational workloads.
* Build and optimize data models, including dimensional models, data lakes, and data warehouse structures.
* Develop real‑time and batch data ingestion processes using modern data engineering frameworks.
* Ensure high data quality through validation, monitoring, and automated testing.
* Collaborate with cross‑functional partners to translate business requirements into data solutions.
* Implement data governance, security controls, and privacy best practices.
* Optimize data systems for performance, reliability, and cost‑efficiency in cloud environments.
* Troubleshoot, diagnose, and resolve data\-related issues across distributed systems.
* Document data workflows, architecture, and best practices.
**Requirements** 
* Bachelors degree in Computer Science, Information Systems, Engineering, or a related field (Masters preferred).
* 2\+ years of experience in data engineering, database management, or a related field.
* Strong proficiency in SQL and Pyspark
* Experience with ETL tools, data integration frameworks, and cloud platforms (e.g., Azure, AWS, GCP, Oracle Cloud).
* Strong knowledge of relational and non\-relational databases
* Familiarity with data modeling, data warehousing, and big data technologies.
* Hands‑on experience with ETL/ELT frameworks (e.g., Airflow, dbt, Glue, Dataflow).
* Experience in the energy or utilities industry.
* Knowledge of cybersecurity best practices for data environments.
* Understanding of regulatory compliance (e.g., NERC CIP, GDPR) as it relates to data management.
**Location: This is a hybrid position based in San Antonio TX.**</t>
        </is>
      </c>
    </row>
    <row r="9">
      <c r="A9" t="inlineStr">
        <is>
          <t>li-4366762871</t>
        </is>
      </c>
      <c r="B9" t="inlineStr">
        <is>
          <t>BI Analytics Engineer</t>
        </is>
      </c>
      <c r="C9" t="inlineStr">
        <is>
          <t>United Energy Workers Healthcare</t>
        </is>
      </c>
      <c r="D9" t="inlineStr">
        <is>
          <t>linkedin</t>
        </is>
      </c>
      <c r="E9">
        <f>HYPERLINK("https://www.linkedin.com/jobs/view/4366762871", "https://www.linkedin.com/jobs/view/4366762871")</f>
        <v/>
      </c>
      <c r="F9" t="inlineStr"/>
      <c r="G9" t="inlineStr">
        <is>
          <t>Murray, UT</t>
        </is>
      </c>
      <c r="H9" t="inlineStr"/>
      <c r="I9" t="inlineStr">
        <is>
          <t>At United Energy Workers Healthcare, we provide exceptional home healthcare services to former Department of Energy workers under the Energy Employees Occupational Illness Compensation Program Act (EEOICPA). With 14\+ years of experience across 24 states and 36 locations, we are a trusted partner in patient health, recovery, and well\-being.
 We do not just provide care, we become an integral part of the energy worker community, helping it grow while delivering the highest standard of care. Our mission is to provide compassionate, high\-quality healthcare while upholding excellence in everything we do.
 Join us as
 **we elevate the lives of energy workers with unwavering compassion and whole\-person care.**
 We are seeking a versatile BI Analytics Engineer to work across the full spectrum of business intelligence and analytics engineering. This hybrid role combines expertise in BI visualization and dashboard development (in Hex) with modern analytics engineering practices (heavy focus on dbt) and data analysis. You'll transform raw data into reliable models, uncover actionable insights, and build compelling BI solutions that empower stakeholders to drive business decisions. This role is ideal for someone who excels at blending technical data modeling with business storytelling in a modern data stack environment.
* BI Development \&amp; Visualization
+ Design and build interactive dashboards, reports, and self\-service tools using BI platforms (e.g., Tableau, Power BI, Looker, or Mode) to turn data into clear, impactful stories for stakeholders.
+ Translate business requirements into technical specifications and scalable BI solutions.
+ Optimize queries and business logic to ensure data accuracy and performance.
* Data Modeling \&amp; Transformation
+ Collaborate with ETL Team Lead to ensure all upstream data requirements are built to stage data for BI dashboards.
+ Build, maintain, and test scalable data models in dbt to create clean, trustworthy datasets.
* Analytics \&amp; Insights
+ Conduct exploratory and diagnostic analysis to identify trends, define KPIs, answer business questions, and deliver recommendations.
* Stakeholder Collaboration
+ Work closely with teams across the organization to understand requirements and ensure analytics align with business goals.
* Data Governance \&amp; Quality
+ Ensure compliance with data governance standards and practices, such as HIPAA.
+ Implement and monitor data quality frameworks and validation routines.
+ Maintain documentation for data models, definitions, and processes.
* Analytics Process \&amp; SDLC
+ Help define, evolve, and maintain the data team's SDLC processes, applying software engineering best practices (version control, testing, CI/CD) to dbt models, BI assets, and workflows to optimize reliability, speed, and scalability of the data \&amp; analytics function.
 OTHER DUTIES AND RESPONSIBILITIES
 This position will require occasional travel to UEW events and meeting with business stakeholders at our various field offices.
* Bachelor’s degree in Computer Science, Information Systems, Data Analytics, or related field (Master’s preferred).
* 4\+ years of experience in Business Intelligence or Data Analytics.
* Proficiency in BI tools such as Apache Superset, Power BI, Tableau, Qlik, or Looker.
* Strong knowledge of SQL, data modeling, and requirements gathering.
* Experience working with modern data platforms (e.g., Snowflake, Redshift, Azure Synapse).
* Exceptional communication skills and the ability to interface with technical and non\-technical stakeholders.
* Must pass a criminal background check
 PREFERRED QUALIFICATIONS
* Python or R for analysis and automation
* Data modeling/transformation tools (e.g. dbt, Azure Data Factory, SQLMesh, etc.)
* Exposure to data governance tools and frameworks.
* Independent yet collaborative in a fast\-paced setting
 USD $120,000\.00 \- USD $130,000\.00 /Yr.</t>
        </is>
      </c>
    </row>
    <row r="10">
      <c r="A10" t="inlineStr">
        <is>
          <t>li-4366544013</t>
        </is>
      </c>
      <c r="B10" t="inlineStr">
        <is>
          <t>Analytics Engineer</t>
        </is>
      </c>
      <c r="C10" t="inlineStr">
        <is>
          <t>Beacon Hill</t>
        </is>
      </c>
      <c r="D10" t="inlineStr">
        <is>
          <t>linkedin</t>
        </is>
      </c>
      <c r="E10">
        <f>HYPERLINK("https://www.linkedin.com/jobs/view/4366544013", "https://www.linkedin.com/jobs/view/4366544013")</f>
        <v/>
      </c>
      <c r="F10" t="inlineStr"/>
      <c r="G10" t="inlineStr"/>
      <c r="H10" t="inlineStr"/>
      <c r="I10" t="inlineStr">
        <is>
          <t>This is a great opportunity for an Analytics Engineer to work with a smart, experienced, and growing team for an established and growing organization. This role will drive various data solutions using both analytical and engineering skills. This role is very business facing and dealing directly with business stakeholders to understand their solution requirements and provide them solutions including data visualization, data reporting, or data engineering to solve a business problem. If you are a data\-centered professional with a lifelong love of learning and providing data solutions, this is a fantastic long\-term opportunity.
**Required Skills:** 
 Must have a Bachelor's degree in Computer Science, Data Science, Engineering, or related field
 Master's degree or equivalent experience preferred
 Must have 4\+ years of experience in data analytics or data engineering or related field
 Must have the strong ability and desire to learn new things and be able to mentor others
 Must have strong SQL experience with data visualization and data analytics background
 Experience with GIT, Python, Snowflake is preferred but not necessarily required
 Experience with Coalesce, Airflow/Dagster, semantic layers, data contracts, and CI/CD for data is preferred but not necessarily required
 Experience with Power BI or Sigma for data visualization is idea but not necessarily required
 Experience leading the design of enterprise data models that support complex analytics use cases is required
 Must be able to architect the analytics engineering stack including transformation tools, semantic layers, and data catalogs
 Must be able to establish organization\-wide standards for data modeling, naming conventions, and documentation practices
 Must be able to drive adoption of analytics engineering practices across teams, enabling self\-service analytics at scale
 Must have experience leading technical projects and mentoring junior team members
 Must have experience designing and implementing scalable solutions that support business growth
 Must have experience working in fast\-paced environments with evolving requirements and priorities
 Must have strong communication skills with ability to explain technical concepts to non\-technical stakeholders
 Experience with microservices migration and domain\-driven design is a plus
 Experience with cloud platforms (AWS, Azure, GCP) and modern data architectures is ideal
 Must have the proven ability to drive technical decisions and influence architecture direction
 Must have strategic thinking with ability to balance technical excellence and business objectives
 Must have strong influence skills with ability to drive technical decisions and gain stakeholder buy\-in
 Must have resilience and composure when managing competing priorities and high\-pressure situations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11">
      <c r="A11" t="inlineStr">
        <is>
          <t>li-4366905252</t>
        </is>
      </c>
      <c r="B11" t="inlineStr">
        <is>
          <t>Data Engineer</t>
        </is>
      </c>
      <c r="C11" t="inlineStr">
        <is>
          <t>TCG</t>
        </is>
      </c>
      <c r="D11" t="inlineStr">
        <is>
          <t>linkedin</t>
        </is>
      </c>
      <c r="E11">
        <f>HYPERLINK("https://www.linkedin.com/jobs/view/4366905252", "https://www.linkedin.com/jobs/view/4366905252")</f>
        <v/>
      </c>
      <c r="F11" t="inlineStr"/>
      <c r="G11" t="inlineStr">
        <is>
          <t>Washington, DC</t>
        </is>
      </c>
      <c r="H11" t="inlineStr"/>
      <c r="I11" t="inlineStr">
        <is>
          <t>You've stumbled upon the rare B Corp government contractor!
 At TCG, we aim to prove that businesses can be good to their employees and responsible to their community while being profitable. We're an award\-winning IT solutions provider to the Federal government seeking a Data Engineer to join our project team at a major Federal agency to help design, develop, and implement database solutions.
 This position requires demonstrable experience in data management and reporting, knowledge management skills, the ability to analyze complex federal programs and objectives, and the ability to work collaboratively in teams, while also exhibiting great attention to detail. The ideal candidate is flexible, eager, enthusiastic, a self\-starter, and possesses an unyielding work ethic. In this position, you will be expected to excel in a fast\-paced environment and prove your high value to the team daily.
 US Citizenship is required for this role. In addition, the selected applicant must submit to a government background investigation and be favorably adjudicated before their first day.
 This position requires occasional on\-site meetings. The selected candidate must live within commuting distance of Washington, D.C.
**Responsibilities**
* Develop using technologies such as Power BI, Python, ETL scripts and workflows, and SQL queries (including functions and stored procedures) to extract information from data sets for further processing or for display in numerous formats
* Work with stakeholders, DBAs, data specialists, system and security personnel, and nomenclature analysts to structure and prepare content for use in database models
* Troubleshoot complex technical issues and work closely with Federal technical managers to assist them in their project objectives
* Collaborate with stakeholders, project managers, and technical staff to identify business requirements, create user stories with acceptance criteria, design and estimate timelines and costs, and facilitate reports
* Take initiative in recommending application enhancements and improvements
* Develop new and utilize existing standardized templates to accurately and concisely write requirements specifications
* Experience developing and identifying existing and valuable metrics, conducting analysis, and identifying gaps in data
* Experience working with relational databases and tools to collect and report financial data
* Expertise in Microsoft Excel and pivot tables
* Ability to adapt to rapidly changing deadlines and tasks
* Strong analytical and problem\-solving skills with the ability to decompose requirements into technical development instructions
* Ability to work with limited direction to lead, define, develop, and distribute high\-quality work products in a timely fashion
* Ability to act as a liaison between testers, developers, clients, and other stakeholders during all phases of development
* Attention to detail, clear communication, writing, and presentation skills
* Ability to present and discuss quantitative data to an executive audience
**Required Skills**
* A minimum of 7 years of experience in software engineering, with at least 3 years focused on data management
* Ability to work in an agile or iterative development environment, and the self\-motivation to work independently
* Experience working with Python, particularly modules centered around data movement (pandas, sqlalchemy, pyodbc, etc.)
**Preferred Skills**
* Certification in Cloud\-based platforms (AWS and Azure preferred)
* Practice working with regulatory, legal, or government data sets
**Education**
* Bachelor's degree required, preferably in Computer Science, Information Technology, or a related field; 4 years of relevant experience may be substituted for the degree requirement
 TCG does not discriminate based on race, sex, color, religion, national origin, age, disability, caste, or veteran status.
 Our B Corp mission is reflected in our benefits, including offerings like health care, 401K, parental leave, adoption assistance, financial planning services, student loan repayment assistance, and training budget. There's more; see for yourself.
 TCG is recognized for treating employees well. In fact, in 2025, The Washington Post named TCG as a "Top Workplace" for the eleventh straight year based on how our employees feel about the company, the benefits TCG offers, and the work/life balance that our staff achieves. In the Washington Post Top Workplace survey, our CEO was ranked best by TCG employees' votes among all midsize companies.
 Try us ... we'll make you happy.
*Internal title/grade: Software Engineer, E3
 Salary Range: $105,000 \- $158,000*
 All individuals being hired to work for TCG must submit to, and successfully pass, a pre\-employment background investigation prior to reporting for their first day of work. The pre\-employment background investigation will include verification of employment and education, as well as, a criminal and DMV check.
 Additional documentation and background checks will also be required for positions that require clearance from the Federal government.
***Job Posted by ApplicantPro***</t>
        </is>
      </c>
    </row>
    <row r="12">
      <c r="A12" t="inlineStr">
        <is>
          <t>li-4366525316</t>
        </is>
      </c>
      <c r="B12" t="inlineStr">
        <is>
          <t>Data Engineer II</t>
        </is>
      </c>
      <c r="C12" t="inlineStr">
        <is>
          <t>QuikTrip</t>
        </is>
      </c>
      <c r="D12" t="inlineStr">
        <is>
          <t>linkedin</t>
        </is>
      </c>
      <c r="E12">
        <f>HYPERLINK("https://www.linkedin.com/jobs/view/4366525316", "https://www.linkedin.com/jobs/view/4366525316")</f>
        <v/>
      </c>
      <c r="F12" t="inlineStr"/>
      <c r="G12" t="inlineStr">
        <is>
          <t>Tulsa, OK</t>
        </is>
      </c>
      <c r="H12" t="inlineStr"/>
      <c r="I12" t="inlineStr">
        <is>
          <t>**Job Title: Data Engineer II**
 Job Type: Corporate Office
 Date: Jan 28, 2026
 Location:
 TULSA, OK, US, 74134
****Primary Purpose Of Job:****
 This position is responsible for programming, testing, implementing, supporting, and maintaining data pipelines, data stores (e.g., Data Warehouse, Mart, Hub, etc.), and business intelligence models. This position relies on instructions and pre\-established guidelines to perform the functions of the job.
****Major Functions:****
 Development (50%)
* Write, modify, extend and debug data pipelines based on QuikTrip’s Software Development Lifecycle (SDLC) process. Specific duties will include:
+ Data Extraction and Analysis: Connect to diverse data sources and perform data analysis to determine if data is suitable for needs.
+ Development of automated data pipelines to extract, cleanse, and transform data for intended business use.
+ Development of automated processes to consolidate diverse sources of similar data in to a single source of truth for QuikTrip (e.g. store, product, employee, etc.).
+ Development of automated data quality monitoring and alert processes
+ Model and publish data sets for users to access through reporting and business intelligence technologies.
+ Possesses and apply working knowledge of multiple languages and tools utilized by QuikTrip during development process. Common tools and languages: ETL, T\-SQL, Data Profiling and MDM tools, BI Modeling Tools (e.g. SSAS, Power BI), and Programming Languages (e.g. C\#).
* Adhere to QuikTrip’s standards and best practices.
* Have extensive knowledge of development tools and environments utilized by QuikTrip.
* May act as a Product Technical Owner of a software product on occasion:
+ Accountable for the technological performance of the product:
+ Software
+ Hardware
+ Virtual Ware
+ Tech Teams – Development, Data, Infrastructure, Contractors, and Professional Services
+ Responsible for adherence to strategic plan while remaining focused on the teams handling the product.
+ Responsible for the technical requirements.
+ Responsible for Technical User Story acceptance.
+ Manages the technical debt of the product.
+ Manages conflicts of interest within the development team.
+ Coordinates coding efforts across one or more development teams.
+ Holds Development, Technical, Professional Services, Data, and other IT teams accountable within the framework of the product.
+ Accepts input and guidance from our Architecture, Infrastructure and Development teams and acts as the one voice back to Professional Services on technology related items when decisions need to be made.
+ Leads trouble\-shooting efforts by getting the right expertise involved and calling “war rooms” together when necessary.
+ Acts as Scrum Master when the development team and PTO agree this is appropriate
 Technical Support (35%)
+ Resolve technical issues utilizing excellent customer service skills, problem solving skills, and technical thinking/reasoning skills following established support process and metrics guidelines.
+ Measure and analyze incoming issues to determine root cause and develop technical and training solutions to minimize reoccurrences and severity; report results to management.
+ Accurately document all customer issues, resolution steps, and gather feedback in support tracking software to enhance identifying and reporting trends leading to recurring technical problems.
+ Develop and publish support documentation for internal users for troubleshooting, training and other areas as needed.
+ Gather and forward customer feedback and suggestions for product improvement.
+ Position requires 24x7 support.
 Training (10%)
+ Seek input from team members and supervisors on areas to improve skill set.
+ Actively applies feedback received into day\-to\-day work and strives to improve performance
+ Actively train with senior level developers to improve development skills and system knowledge.
+ Actively utilize training outlets as necessary to improve development skills. This could take the form of multiple items, including but not limited to self\-study, in\-house classes, seminars or online training.
+ Maintain professional and technical knowledge by attending ongoing training workshops, reviewing professional publications, reviewing industry best practices/procedures and reviewing new technologies to determine fit within the organization.
+ Assist in development of junior data engineers on skills or system knowledge through mentoring, knowledge transfer, code review, and shadowing.
 Administration and Communication (5%)
* Listen to others and accept input from team members.
* Clearly articulate ideas and thoughts both in verbal and written formats.
* Accurately prepares written business correspondence that is coherent, grammatically correct, effective and professional.
* Timely communicate status updates with the project manager or lead, the project team, and/or key customers and supervisor regarding specific assignments and overall scheduling/coordination needs.
* Accurately record project and trouble call work assignment updates within timeframes determined by departmental standards or individual supervisors.
+ Record time tracking.
+ Identify individual task progress.
+ Identify task completion.
****Position In Organization:****
 Reports to: Manager of Enterprise Data \&amp; Business Intelligence
****Relationships:****
 Inside the Company: Information Technology staff and primary users of systems from other departments.
 Outside the Company: N/A
****Position Specifications:****
 The required specifications (education, experience, and skills) are those that the employee must have to hold the position. Applicants applying for this position must possess the required specifications in order to be considered for the job. The desired specifications are those that are not required for the employee to hold the position, but the employee should try to obtain the desired education, experience, and/or skills to be effective and successful in the position.
 Required education : High school graduate or equivalent. College or technical school courses in one or more programming languages or data tools used at QuikTrip.
**Desired education** 
 : College degree in Computer Science, MIS, Mathematics, or related discipline.
**Required experience** 
**:** 
 3\-5 years’ experience in programming data solutions. Familiar
 with all aspects of systems analysis, design, and installation procedures in a business environment.
**Desired experience** 
 : 5\+ years professional experience including developing data solutions in a business environment, installing and troubleshooting hardware and software problems.
**Required skills** 
**:** 
 Proficient in one or more of QuikTrip’s data technologies or languages. Good problem\-solving skills. Familiar with a variety of IT concepts, practices and procedures. Good written and verbal communication skills and time management skills.
**Desired skills** 
 : Proficiency in all programming languages and data tools in use at QuikTrip.
**Additional criteria:** 
 This position requires good communications skills to assist customers with problems. Ability to work in a fast\-paced team environment. Works under direct supervision. Intermittent or extended travel may be required based on project or support requirements and may encompass Holidays and non\-standard working hours.
**Starting Salary: $106,500\-$133,100**
**Benefits: Employee Benefits – QuikTrip**
****Position Specifications:****
 The required specifications (education, experience, and skills) are those that the employee must have to hold the position. Applicants applying for this position must possess the required specifications in order to be considered for the job. The desired specifications are those that are not required for the employee to hold the position, but the employee should try to obtain the desired education, experience, and/or skills to be effective and successful in the position.
 Required education : High school graduate or equivalent. College or technical school courses in one or more programming languages or data tools used at QuikTrip.
**Desired education** 
 : College degree in Computer Science, MIS, Mathematics, or related discipline.
**Required experience** 
**:** 
 3\-5 years’ experience in programming data solutions. Familiar
 with all aspects of systems analysis, design, and installation procedures in a business environment.
**Desired experience** 
 : 5\+ years professional experience including developing data solutions in a business environment, installing and troubleshooting hardware and software problems.
**Required skills** 
**:** 
 Proficient in one or more of QuikTrip’s data technologies or languages. Good problem\-solving skills. Familiar with a variety of IT concepts, practices and procedures. Good written and verbal communication skills and time management skills.
**Desired skills** 
 : Proficiency in all programming languages and data tools in use at QuikTrip.
**Additional criteria:** 
 This position requires good communications skills to assist customers with problems. Ability to work in a fast\-paced team environment. Works under direct supervision. Intermittent or extended travel may be required based on project or support requirements and may encompass Holidays and non\-standard working hours.
**Starting Salary: $106,500\-$133,100**
**Benefits: Employee Benefits – QuikTrip**</t>
        </is>
      </c>
    </row>
    <row r="13">
      <c r="A13" t="inlineStr">
        <is>
          <t>li-4366502588</t>
        </is>
      </c>
      <c r="B13" t="inlineStr">
        <is>
          <t>Data Engineer</t>
        </is>
      </c>
      <c r="C13" t="inlineStr">
        <is>
          <t>Hirewell</t>
        </is>
      </c>
      <c r="D13" t="inlineStr">
        <is>
          <t>linkedin</t>
        </is>
      </c>
      <c r="E13">
        <f>HYPERLINK("https://www.linkedin.com/jobs/view/4366502588", "https://www.linkedin.com/jobs/view/4366502588")</f>
        <v/>
      </c>
      <c r="F13" t="inlineStr"/>
      <c r="G13" t="inlineStr"/>
      <c r="H13" t="inlineStr"/>
      <c r="I13" t="inlineStr">
        <is>
          <t>**Onsite \| No C2C \| No 3rd Parties \| MUST BE IN ATLANTA AREA** 
 We’re hiring a highly technical ETL Developer to join a growing Data Import Team, responsible for ingesting data into a centralized Enterprise Data Warehouse. This hands\-on, data\-engineering–focused role sits at the front of the data pipeline, owning the design, build, and reliability of ETL workflows that load data into Snowflake from internal systems and external partners. You’ll build and maintain scalable pipelines, monitor and troubleshoot data loads, and own work end\-to\-end in an Agile, user\-story\-driven environment using the Microsoft data stack.
**Role Overview** 
* Design, build, and maintain ETL pipelines that load data into a centralized Snowflake data warehouse
* Extract data from internal systems and external partners and ensure reliable ingestion
* Monitor, validate, and troubleshoot existing and new data pipelines
* Own work from build through completion in an Agile, user\-story\-driven environment
**Responsibilities** 
* Build and maintain ETL workflows using SSIS, Azure Data Factory, and custom scripting
* Support ingestion of primarily relational data, with some unstructured sources
* Integrate data from CRMs, Dynamics 365 (D365\), and external partners (CSV feeds)
* Monitor job execution and resolve data load issues
* Collaborate across multiple data teams, including Enterprise Data Warehouse and Master Data Systems
**Required Technical Skills** 
* 5\+ years of experience in ETL / data engineering roles
* Snowflake – minimum 2 years of hands\-on experience
* Strong Microsoft data stack experience: SQL Server, SSIS, Exposure to SSAS / Reporting
* Azure experience including: Azure Data Factory, Azure Storage, Event Grid, Azure Analytics
* Python (1–2 years) for data processing and scripting
* Data modeling experience</t>
        </is>
      </c>
    </row>
    <row r="14">
      <c r="A14" t="inlineStr">
        <is>
          <t>li-4366925141</t>
        </is>
      </c>
      <c r="B14" t="inlineStr">
        <is>
          <t>Senior Data Engineer</t>
        </is>
      </c>
      <c r="C14" t="inlineStr">
        <is>
          <t>Tava Health</t>
        </is>
      </c>
      <c r="D14" t="inlineStr">
        <is>
          <t>linkedin</t>
        </is>
      </c>
      <c r="E14">
        <f>HYPERLINK("https://www.linkedin.com/jobs/view/4366925141", "https://www.linkedin.com/jobs/view/4366925141")</f>
        <v/>
      </c>
      <c r="F14" t="inlineStr"/>
      <c r="G14" t="inlineStr">
        <is>
          <t>Salt Lake City, UT</t>
        </is>
      </c>
      <c r="H14" t="inlineStr"/>
      <c r="I14" t="inlineStr">
        <is>
          <t>**About Tava Health**
 At Tava Health, we believe mental health care should be as accessible and stigma\-free as a checkup. We're reimagining the entire experience: from how people find a therapist to how providers deliver care, so more individuals can get the support they need, when they need it.
 We’re a fast\-growing team on a bold mission: to make high\-quality mental health care available to everyone. If you’re passionate about using technology to solve meaningful problems and create lasting change, we’d love to meet you.
**About The Role**
 Tava Health is expanding its data engineering team and is hiring a Senior Data Engineer. This is a hands\-on role, responsible for building and owning the company’s data infrastructure from the ground up.
 You’ll be a go\-to person for all things data engineering: managing integrations, building pipelines, and leading centralized data governance. Your work will support teams across the organization in their efforts.
 This is a high\-autonomy, high\-impact role in a dynamic, fast\-paced environment. Strong time management and prioritization skills are essential.
**What You’ll Do**
* Build and maintain robust data pipelines using tools like Airflow, Airbyte, and BigQuery.
* Manage and evolve our data warehouse architecture.
* Integrate third\-party platforms including Salesforce, HubSpot, Iterable, ZocDoc, and Metabase.
* Lead the implementation of centralized data governance, defining sources of truth and managing data flow standards.
* Partner with cross\-functional teams to implement clean, reporting\-ready data models in dbt.
* Write clean, production\-grade code in a general\-purpose language (e.g., Python).
* Monitor data quality and ensure reliability across systems.
**What We’re Looking For**
* 5\+ years of data engineering experience in high\-growth or complex environments.
* Proficiency with modern data warehousing tools such as BigQuery or Snowflake.
* Strong SQL and data modeling skills.
* Experience writing production\-level code in a general\-purpose language.
* Integration experience with tools like Salesforce, HubSpot, or Iterable.
* Outstanding time and backlog management skills; able to manage competing priorities in a fast\-paced environment.
* Self\-starter who works well independently and cross\-functionally with both technical and non\-technical stakeholders.
**Bonus Points**
* Experience with pub/sub architectures for real\-time or event\-driven data systems
* Familiarity with Fivetran, Metabase, and Airbyte
* Proficiency in TypeScript/Node.js
* Background in health tech or experience working with sensitive data
**\-\-\-**
* For tax purposes, priority will be given to candidates living in states where we already have employees. These states are Alabama, Arizona, California, Connecticut, Florida, Georgia, Idaho, Indiana, Nevada, North Carolina, Maine, Maryland, Massachusetts, New Jersey, New York, Oregon, Tennessee, Texas, Virginia, and Utah.
 Tava is unable to sponsor employment visas (such as the H\-1B). Candidates must have authorization to work in the U.S. without company sponsorship now or in the future.
 All hiring activities at Tava Health are handled by company representatives using @tavahealth.com or @us.tavahealth.com email addresses.
 Please beware of unauthorized recruiting communications requesting personal information. We never hire anyone without first completing a real\-time, face\-to\-face interview (conducted by video or in\-person), nor do we use encrypted instant messaging services like Signal. If you have questions regarding the authenticity of any outreach, please do not hesitate to use the chat feature on our website or contact us at careers@tavahealth.com
 Tava Health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15">
      <c r="A15" t="inlineStr">
        <is>
          <t>li-4366914085</t>
        </is>
      </c>
      <c r="B15" t="inlineStr">
        <is>
          <t>Data Engineer</t>
        </is>
      </c>
      <c r="C15" t="inlineStr">
        <is>
          <t>Kanak Elite Services</t>
        </is>
      </c>
      <c r="D15" t="inlineStr">
        <is>
          <t>linkedin</t>
        </is>
      </c>
      <c r="E15">
        <f>HYPERLINK("https://www.linkedin.com/jobs/view/4366914085", "https://www.linkedin.com/jobs/view/4366914085")</f>
        <v/>
      </c>
      <c r="F15">
        <f>HYPERLINK("https://www.adzuna.com/details/5602478465?v=36505D3A7472830E6145B26AD01D9FBE9B57CC7E&amp;r=21153964&amp;ccd=c1a33ee5004664deece352ce6819c426&amp;frd=df2149481e3a98e90cfcb63b32c130d8&amp;utm_source=linkedin7&amp;utm_medium=organic&amp;chnlid=1931&amp;title=Data%20Engineer&amp;a=e&amp;urlHash=2RiL", "https://www.adzuna.com/details/5602478465?v=36505D3A7472830E6145B26AD01D9FBE9B57CC7E&amp;r=21153964&amp;ccd=c1a33ee5004664deece352ce6819c426&amp;frd=df2149481e3a98e90cfcb63b32c130d8&amp;utm_source=linkedin7&amp;utm_medium=organic&amp;chnlid=1931&amp;title=Data%20Engineer&amp;a=e&amp;urlHash=2RiL")</f>
        <v/>
      </c>
      <c r="G15" t="inlineStr">
        <is>
          <t>Raleigh, NC</t>
        </is>
      </c>
      <c r="H15" t="inlineStr"/>
      <c r="I15" t="inlineStr">
        <is>
          <t>Hello There,
 My name is
 **Himanshu Sharma** 
 , and I serve as the
 **Recruitment Lead** 
 at
 **Kanak\-IT INC.** 
 I am reaching out to share an excellent career opportunity for the role of
 **Data Engineer** 
 with our esteemed client. If you are interested then please share your updated resume.
**Job Description**
**Position :** 
 Data Engineer
**Location :** 
 Raleigh, NC Onsite (Must be local)
**Duration :** 
 12\+ Months
**Description**
 We have some urgent requirements with at least 5 years' experience as
 **Data Engineer** 
 for the development and optimization of data pipelines, analytics solutions, and cloud\-based data platforms.
**Mandatory Must Have**
* Experience in designing and optimizing scalable data pipelines using modern platforms like Azure Synapse, Snowflake or Databricks workflows
* Programming Languages: Strong proficiency in Python or Scala for data processing.
* SQL Mastery: Advanced query writing, performance tuning, and optimization.
* Hands\-on experience in developing efficient PL/SQL procedures
* Experience with Programming and Scripting (SQL, T\-SQL, and data query optimization)
* Experience with Azure Data Platform (Azure Data Factory, Azure Data Lake, and Azure SQL Database)
* Experience with cloud platforms (e.g. AWS and Azure) and associated services for data processing and storage
* Experience with Power BI.
* State experience required
**Thanks \&amp; Regards**
**Himanshu Sharma**
**Recruitment Lead**
 Email : Himanshu01@kanakits.com
 LinkedIn : https://www.linkedin.com/in/himanshustaffingexpert/
***Kanak IT is an equal opportunity employer. We consider all applicants for employment without regard to citizenship, immigration status, race, gender, disability, or any other protected category.***</t>
        </is>
      </c>
    </row>
    <row r="16">
      <c r="A16" t="inlineStr">
        <is>
          <t>li-4362162461</t>
        </is>
      </c>
      <c r="B16" t="inlineStr">
        <is>
          <t>Senior Data Engineer</t>
        </is>
      </c>
      <c r="C16" t="inlineStr">
        <is>
          <t>Milan Laser Hair Removal</t>
        </is>
      </c>
      <c r="D16" t="inlineStr">
        <is>
          <t>linkedin</t>
        </is>
      </c>
      <c r="E16">
        <f>HYPERLINK("https://www.linkedin.com/jobs/view/4362162461", "https://www.linkedin.com/jobs/view/4362162461")</f>
        <v/>
      </c>
      <c r="F16" t="inlineStr"/>
      <c r="G16" t="inlineStr"/>
      <c r="H16" t="inlineStr"/>
      <c r="I16" t="inlineStr">
        <is>
          <t>**Why Milan Laser Hair Removal?**
 Milan Laser stands as the largest and most premier laser hair removal company in the nation. We are also honored to be a recipient of the prestigious Best Places to Work In Omaha award, a testament to our commitment to excellence and exceptional culture! With 400\+ current locations throughout 38\+ states and plans to expand into a national brand, this is a very exciting time to join the Milan Team!
 Because it’s fun and progressive. We’re not like other companies where you’re just a number. We are seeking independent thinkers who can add true value to our team.
 Because, benefits. Milan will take care of you with paid vacation, 401k, full health, dental and vision. Oh and free laser hair removal. You won’t find that at other corporate gigs.
 Because, growing is good. We’re always expanding, improving and looking for people ready for a challenge. Our team members learn the business from the inside\-out and as our business grows, the opportunities abound.
**Position Summary**
 The Senior Data Engineer will be responsible for designing, building, testing, and supporting the Enterprise Data Warehouse data cloud. This role requires extensive hands\-on data warehouse development experience including but not limited to: Extract, Transform, Load/Extract, Load, Transform (ETL/ELT), and data modeling.
**Status:** 
 Full\-time
**Role Location:** 
 Omaha, NE \- Corporate Office\*
* This position is open to remote candidates within the continental U.S., located within the Mountain, Central, and Eastern Time Zones
**Responsibilities**
* Data Warehouse Development: Translate business requirements into technical procedures and structures. Build data pipelines through Webhooks or APIs to integrate data from disparate source systems. Use APIs to retrieve, integrate, and cleanse data for use in analytical systems and platforms. Build data shares for external partners.
* Data Management \&amp; Governance: Design and build procedures to ensure data accuracy and accessibility. Maintain code repositories using Git.
* Technical Leadership \&amp; Problem Solving: Lead solution development for data pipelines and its processing within data lakes/warehouses/lakehouses. Perform data profiling on source data systems and model it for use downstream. Perform code reviews, troubleshoot problems independently and/or collaboratively. Dive into complex data acquisition, processing, and modeling requirements.
* Documentation \&amp; Communication: Build and maintain effective documentation for data pipeline and ETL systems. Effectively communicate design problems and solutions with the Data Management team and business users.
* Other Duties: Perform additional tasks, duties, and responsibilities as needed or assigned by leadership to support departmental and organizational objectives.
**Qualifications**
* High school diploma or equivalent (e.g., GED) required
* Bachelor’s degree in information technology, computer science, or a related field OR equivalent combination of education and experience combined (one year of experience equals one year of education) required
* Three years experience building ETL systems and data pipelines in a data warehouse environment required
* Five years of Structured Query Language (SQL) experience required
* Understanding of how to leverage data platforms to efficiently and cost\-effectively collect, store, and use data required
* Collaborative, team\-first mentality with the ability to effectively communicate with both business and technical users, and team members required
* Effective written and verbal communication skills required
* Five years of Python or other scripting language preferred
* Three years of Data Warehouse experience preferred
* Matillion or other cloud ETL platform experience preferred
* Snowflake or Databricks experience preferred
* Salesforce API and data pipeline experience preferred
* Experience working in an Agile/Scrum Project Development environment preferred
**Benefits Include**
* Medical, dental, vision, disability and life insurance within 30 days
* Unlimited PTO \- work with your manager and take time as needed
* 6 Paid holidays
* $50 cellphone stipend paid out monthly
* 401k retirement plan with vested 4% employer match after 90 days
* Career advancement opportunities \+ Culture/environment
* Employees and their spouse or legal partner receive free laser hair removal services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Other duties may be assigned.
 We are deeply committed to attracting talented team members in the US from all backgrounds regardless of race, age, gender, ethnicity, religion, sexual orientation, disability status, or nationality. However, at this time, we are not sponsoring any Visas.
 Equal Opportunity Employer</t>
        </is>
      </c>
    </row>
    <row r="17">
      <c r="A17" t="inlineStr">
        <is>
          <t>li-4366797918</t>
        </is>
      </c>
      <c r="B17" t="inlineStr">
        <is>
          <t>Data Engineer</t>
        </is>
      </c>
      <c r="C17" t="inlineStr">
        <is>
          <t>Ragle Inc</t>
        </is>
      </c>
      <c r="D17" t="inlineStr">
        <is>
          <t>linkedin</t>
        </is>
      </c>
      <c r="E17">
        <f>HYPERLINK("https://www.linkedin.com/jobs/view/4366797918", "https://www.linkedin.com/jobs/view/4366797918")</f>
        <v/>
      </c>
      <c r="F17" t="inlineStr"/>
      <c r="G17" t="inlineStr">
        <is>
          <t>North Richland Hills, TX</t>
        </is>
      </c>
      <c r="H17" t="inlineStr"/>
      <c r="I17" t="inlineStr">
        <is>
          <t>**Data Engineer
 *(2\-3 Years Experience)***
**Location:** 
 North Richland Hills, TX
 *(On\-site)* 
**Salary Range:** 
 $90,000–$110,000
 *(based on experience)* 
**Company:** 
 Ragle Inc.
**Reports to:** 
 Data \&amp; Analytics Lead
**About the Role** 
 Ragle Inc. is expanding its Data \&amp; Analytics team and is seeking a hands\-on
 **Data Engineer** 
 with 2–3 years of industry experience to help centralize and modernize operational, accounting, and project data.
 In this role, you will design and operate
 **production\-grade data pipelines** 
 that connect our in\-house platform, accounting systems, telematics, scheduling, estimating tools, Smartsheet, and third\-party APIs. These pipelines will power analytics used daily by
 **Operations, Accounting, Estimating, and Executive Leadership** 
 .
**What You’ll Do** 
* Design, build, and maintain reliable data pipelines using
 **SQL and Python**
* Ingest data from
 **Azure SQL databases** 
 , third\-party APIs, and structured file sources (CSV/Excel)
* Help establish and maintain a centralized analytics data model (fact and dimension tables)
* Partner with analysts to support
 **Power BI semantic models** 
 and improve dataset performance
* Implement data quality checks, logging, monitoring, and alerting
* Collaborate with business stakeholders to translate workflows into robust data products
* Contribute to version control, deployment, and data engineering standards (Git, environments)
* Support migrations away from manual Excel workflows toward automated, governed datasets
**Key Responsibilities** 
* Build ETL/ELT processes integrating operational, accounting/payroll, and fleet telematics data
* Optimize SQL queries, views, and table structures for analytics performance and incremental loads
* Maintain documentation for pipelines, datasets, schemas, and data contracts
* Assist with access control, governance, and data security best practices
* Troubleshoot refresh failures and performance bottlenecks across the data stack
**Required Qualifications** 
* 2–3 years of professional experience as a
 **Data Engineer or Analytics Engineer**
* Strong SQL skills (complex joins, CTEs, window functions, performance tuning)
* Hands\-on Python experience for data processing (pandas, standard libraries)
* Experience with relational databases (SQL Server / Azure SQL, Postgres, or similar)
* Experience building and maintaining production data pipelines
* Understanding of data modeling concepts (star schema, keys, SCD basics)
* Familiarity with
 **Power BI** 
 or similar BI tools
* Comfortable working directly with business stakeholders
**Preferred Qualifications** 
* Azure experience (Azure SQL, Data Factory, or Fabric Data Pipelines)
* REST API ingestion experience
* ERP or operational systems integration exposure
* Git\-based workflows and basic CI/CD
* Construction or asset\-heavy industry experience
* Desire to grow into
 **Senior Data Engineer or Analytics Lead** 
 roles
**What Success Looks Like** 
* Stable, documented, and trusted data pipelines
* Reusable datasets replacing manual Excel workflows
* Analytics relied upon for daily decision\-making
* Smooth onboarding of new systems and data sources
* A scalable data platform supporting company growth
**Why Join Ragle Inc.** 
* Real operational data with direct business impact
* High ownership and production responsibility
* Small team with leadership visibility
* Professional development and certification support
**Compensation \&amp; Benefits** 
 Competitive salary (
 **$90,000–$110,000** 
 based on experience), plus
 **health, dental, and vision insurance** 
 ,
 **paid time off and holidays** 
 , and
 **professional development support** 
 .
**Additional Information** 
 Ragle Inc. conducts
 **professional reference checks** 
 as part of our standard hiring process.
 Ragle Inc. is an
 **Equal Opportunity Employer** 
 . We are committed to creating a diverse and inclusive workplace and make employment decisions without regard to race, color, religion, sex, sexual orientation, gender identity or expression, national origin, age, disability, veteran status, or any other protected status in accordance with applicable laws.</t>
        </is>
      </c>
    </row>
    <row r="18">
      <c r="A18" t="inlineStr">
        <is>
          <t>li-4366901102</t>
        </is>
      </c>
      <c r="B18" t="inlineStr">
        <is>
          <t>Data Engineer</t>
        </is>
      </c>
      <c r="C18" t="inlineStr">
        <is>
          <t>W Talent</t>
        </is>
      </c>
      <c r="D18" t="inlineStr">
        <is>
          <t>linkedin</t>
        </is>
      </c>
      <c r="E18">
        <f>HYPERLINK("https://www.linkedin.com/jobs/view/4366901102", "https://www.linkedin.com/jobs/view/4366901102")</f>
        <v/>
      </c>
      <c r="F18" t="inlineStr"/>
      <c r="G18" t="inlineStr"/>
      <c r="H18" t="inlineStr"/>
      <c r="I18" t="inlineStr">
        <is>
          <t>We’re partnering with a growing, privately held financial services firm to hire a
 **Data Engineer** 
 as part of a newly formed data function. This is a
 **foundational role** 
 and an opportunity to be the first dedicated data engineering hire, owning the design and build of a modern enterprise data platform.
**Key Responsibilities** 
* Design and build a modern cloud\-based data platform, including ingestion, transformation, and orchestration
* Develop and maintain reliable ETL / ELT pipelines from internal and third\-party source systems
* Create scalable data models to support analytics, reporting, and operational workflows
* Integrate core business systems and SaaS platforms into a centralized data environment
* Implement monitoring and data quality checks to ensure accuracy, reliability, and traceability
* Partner with cross\-functional stakeholders to translate business requirements into technical solutions
* Contribute to data governance, access controls, and best practices around secure data usage
* Help define data engineering standards and influence the long\-term data architecture
**Key Requirements** 
* Strong SQL skills and experience with relational data modeling
* Proficiency in Python (or similar language used for data engineering)
* Experience building and supporting production\-grade data pipelines
* Hands\-on experience with modern cloud data platforms (lakehouse or data warehouse architectures)
* Exposure to Data Governance and Master Data Management
* Databricks professional certifications or experience
* Strong communication skills and ability to work with both technical and non\-technical partners
* 4–8\+ years of data engineering or analytics engineering experience (or equivalent)</t>
        </is>
      </c>
    </row>
    <row r="19">
      <c r="A19" t="inlineStr">
        <is>
          <t>li-4366782244</t>
        </is>
      </c>
      <c r="B19" t="inlineStr">
        <is>
          <t>Data Engineer</t>
        </is>
      </c>
      <c r="C19" t="inlineStr">
        <is>
          <t>GENNTE Technologies</t>
        </is>
      </c>
      <c r="D19" t="inlineStr">
        <is>
          <t>linkedin</t>
        </is>
      </c>
      <c r="E19">
        <f>HYPERLINK("https://www.linkedin.com/jobs/view/4366782244", "https://www.linkedin.com/jobs/view/4366782244")</f>
        <v/>
      </c>
      <c r="F19" t="inlineStr"/>
      <c r="G19" t="inlineStr"/>
      <c r="H19" t="inlineStr"/>
      <c r="I19" t="inlineStr">
        <is>
          <t>**Job Summary:** 
 We are seeking experienced Data Engineers to support a high\-impact data modernization initiative. The ideal candidate will be responsible for building and maintaining scalable data pipelines and foundational components of Datawarehouse. This role requires strong technical expertise, the ability to work independently, and collaboration with client teams.
**Key Responsibilities:** 
* Design, develop, and maintain robust data pipelines aligned with medallion architecture principles.
* Source and integrate data from diverse systems including Oracle, MSSQL, MarkLogic, SAS, DB2, and Mainframe.
* Collaborate with client stakeholders to gather requirements and deliver solutions independently or as part of a team.
* Ensure data quality, consistency, and reliability across ingestion and transformation processes.
* Participate in code reviews, performance tuning, and documentation of data workflows.
**Required Skills \&amp; Qualifications:** 
* 10\+ years of hands\-on experience in Data Engineering.
* Proficiency in building data pipelines using AWS, Snowflake, and Flexter.
* Strong knowledge of ETL processes and data integration from multiple sources.
* Familiarity with medallion architecture and modern data lakehouse concepts.
* Experience with scripting and programming languages such as Python and SQL.
* Understanding of MDM and reference data management concepts.
* Excellent communication and problem\-solving skills.
* Insurance domain experience is a plus but not mandatory.</t>
        </is>
      </c>
    </row>
    <row r="20">
      <c r="A20" t="inlineStr">
        <is>
          <t>li-4366910722</t>
        </is>
      </c>
      <c r="B20" t="inlineStr">
        <is>
          <t>Senior Data Engineer</t>
        </is>
      </c>
      <c r="C20" t="inlineStr">
        <is>
          <t>Tava Health</t>
        </is>
      </c>
      <c r="D20" t="inlineStr">
        <is>
          <t>linkedin</t>
        </is>
      </c>
      <c r="E20">
        <f>HYPERLINK("https://www.linkedin.com/jobs/view/4366910722", "https://www.linkedin.com/jobs/view/4366910722")</f>
        <v/>
      </c>
      <c r="F20">
        <f>HYPERLINK("https://jobs.ashbyhq.com/tavahealth/eec6766d-4f2a-44e4-89b9-91a34e075324/application?utm_source=Xx6R2Qm3Bx&amp;urlHash=_WOC", "https://jobs.ashbyhq.com/tavahealth/eec6766d-4f2a-44e4-89b9-91a34e075324/application?utm_source=Xx6R2Qm3Bx&amp;urlHash=_WOC")</f>
        <v/>
      </c>
      <c r="G20" t="inlineStr">
        <is>
          <t>Salt Lake City, UT</t>
        </is>
      </c>
      <c r="H20" t="inlineStr"/>
      <c r="I20" t="inlineStr">
        <is>
          <t>**About Tava Health**
 At Tava Health, we believe mental health care should be as accessible and stigma\-free as a checkup. We're reimagining the entire experience: from how people find a therapist to how providers deliver care, so more individuals can get the support they need, when they need it.
 We’re a fast\-growing team on a bold mission: to make high\-quality mental health care available to everyone. If you’re passionate about using technology to solve meaningful problems and create lasting change, we’d love to meet you.
**About The Role**
 Tava Health is expanding its data engineering team and is hiring a Senior Data Engineer. This is a hands\-on role, responsible for building and owning the company’s data infrastructure from the ground up.
 You’ll be a go\-to person for all things data engineering: managing integrations, building pipelines, and leading centralized data governance. Your work will support teams across the organization in their efforts.
 This is a high\-autonomy, high\-impact role in a dynamic, fast\-paced environment. Strong time management and prioritization skills are essential.
**What You’ll Do**
* Build and maintain robust data pipelines using tools like Airflow, Airbyte, and BigQuery.
* Manage and evolve our data warehouse architecture.
* Integrate third\-party platforms including Salesforce, HubSpot, Iterable, ZocDoc, and Metabase.
* Lead the implementation of centralized data governance, defining sources of truth and managing data flow standards.
* Partner with cross\-functional teams to implement clean, reporting\-ready data models in dbt.
* Write clean, production\-grade code in a general\-purpose language (e.g., Python).
* Monitor data quality and ensure reliability across systems.
**What We’re Looking For**
* 5\+ years of data engineering experience in high\-growth or complex environments.
* Proficiency with modern data warehousing tools such as BigQuery or Snowflake.
* Strong SQL and data modeling skills.
* Experience writing production\-level code in a general\-purpose language.
* Integration experience with tools like Salesforce, HubSpot, or Iterable.
* Outstanding time and backlog management skills; able to manage competing priorities in a fast\-paced environment.
* Self\-starter who works well independently and cross\-functionally with both technical and non\-technical stakeholders.
**Bonus Points**
* Experience with pub/sub architectures for real\-time or event\-driven data systems
* Familiarity with Fivetran, Metabase, and Airbyte
* Proficiency in TypeScript/Node.js
* Background in health tech or experience working with sensitive data
**\-\-\-**
* For tax purposes, priority will be given to candidates living in states where we already have employees. These states are Alabama, Arizona, California, Connecticut, Florida, Georgia, Idaho, Indiana, Nevada, North Carolina, Maine, Maryland, Massachusetts, New Jersey, New York, Oregon, Tennessee, Texas, Virginia, and Utah.
 Tava is unable to sponsor employment visas (such as the H\-1B). Candidates must have authorization to work in the U.S. without company sponsorship now or in the future.
 All hiring activities at Tava Health are handled by company representatives using @tavahealth.com or @us.tavahealth.com email addresses.
 Please beware of unauthorized recruiting communications requesting personal information. We never hire anyone without first completing a real\-time, face\-to\-face interview (conducted by video or in\-person), nor do we use encrypted instant messaging services like Signal. If you have questions regarding the authenticity of any outreach, please do not hesitate to use the chat feature on our website or contact us at careers@tavahealth.com
 Tava Health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21">
      <c r="A21" t="inlineStr">
        <is>
          <t>li-4366772720</t>
        </is>
      </c>
      <c r="B21" t="inlineStr">
        <is>
          <t>Senior Data Engineer</t>
        </is>
      </c>
      <c r="C21" t="inlineStr">
        <is>
          <t>Bridgeway Benefit Technologies</t>
        </is>
      </c>
      <c r="D21" t="inlineStr">
        <is>
          <t>linkedin</t>
        </is>
      </c>
      <c r="E21">
        <f>HYPERLINK("https://www.linkedin.com/jobs/view/4366772720", "https://www.linkedin.com/jobs/view/4366772720")</f>
        <v/>
      </c>
      <c r="F21">
        <f>HYPERLINK("https://grnh.se/c2y2j4nc2us&amp;urlHash=K-zn", "https://grnh.se/c2y2j4nc2us&amp;urlHash=K-zn")</f>
        <v/>
      </c>
      <c r="G21" t="inlineStr">
        <is>
          <t>Maple Shade, NJ</t>
        </is>
      </c>
      <c r="H21" t="inlineStr"/>
      <c r="I21" t="inlineStr">
        <is>
          <t>Bridgeway is seeking a Senior Data Engineer to design, develop, and maintain our data warehouse infrastructure. This role involves working closely with analysts, engineers, and other stakeholders to shape our data architecture, ensuring secure and efficient data pipelines, and enabling advanced analytics across the organization. The ideal candidate will have a strong background in data engineering, data warehousing, and ELT processes, along with a passion for optimizing data systems.
 This is a remote position, with preference given to East Coast candidates.
**Key Responsibilities** 
 :
* Design, develop, and maintain a scalable data warehouse/lakehouse environment.
* Design and implement ELT pipelines to ingest, transform, and deliver high\-quality data for analytics and reporting, incorporating current best practices, such as "pipelines as code".
* Ensure data security and compliance, including role\-based access controls for security, encryption, masking, and governance best practices to ensure compliant handling of sensitive information.
* Optimize performance of data workflows and storage for cost efficiency and speed.
* Partner with engineers, analysts, and stakeholders to meet data needs; balance cost, performance, simplicity, and time\-to\-value while mentoring teams and documenting standards.
* Define and implement robust testing frameworks, enforce data contracts, and establish observability practices including lineage tracking, SLAs/SLOs, and incident response runbooks to maintain data integrity and trustworthiness.
* Monitor, troubleshoot, and resolve data \&amp; automation issues.
* Collaborate within an Agile\-Scrum framework and develop comprehensive technical design documentation to ensure efficient and successful delivery.
* Serve as a trusted expert on organizational data domains, processes, and best practices.
**Requirements** 
 :
* 5\+ years of experience in data engineering and ELT with a focus on large\-scale data platforms
* 3\+ years of experience with Databricks
* Advanced proficiency in analytical SQL, including ANSI SQL, T\-SQL, and Spark SQL
* Strong Python skills for data engineering
* Expertise in data modeling
* Hands\-on experience with data quality and observability practices (tests, contracts, lineage tracking, alerts)
* Practical knowledge of orchestration tools and CI/CD concepts for data workflows
* Excellent communication and a track record of technical leadership and mentoring
* Strong understanding of integrating data solutions with AI and machine learning models
* Strong problem\-solving skills and attention to detail.
* Experience with version control systems like Git preferred
* Strong understanding of data governance and best practices in data management, with hands\-on experience using Unity Catalog
* Hands\-on experience in designing and managing data pipelines using Delta Live Tables (DLT) on Databricks
* Streaming and ingestion tools, such as Kafka, Kinesis, Event Hubs, Debezium, or Fivetran
* DAX, LookML, dbt; Airflow/Dagster/Prefect, Terraform; Azure DevOps; Power BI/Looker/Tableau; GitHub CoPilot knowledge is a plus
* Bachelor's degree in Computer Science, Information Technology, or a related field. Master's degree preferred</t>
        </is>
      </c>
    </row>
    <row r="22">
      <c r="A22" t="inlineStr">
        <is>
          <t>li-4366530366</t>
        </is>
      </c>
      <c r="B22" t="inlineStr">
        <is>
          <t>Senior Data Engineer</t>
        </is>
      </c>
      <c r="C22" t="inlineStr">
        <is>
          <t>Valon</t>
        </is>
      </c>
      <c r="D22" t="inlineStr">
        <is>
          <t>linkedin</t>
        </is>
      </c>
      <c r="E22">
        <f>HYPERLINK("https://www.linkedin.com/jobs/view/4366530366", "https://www.linkedin.com/jobs/view/4366530366")</f>
        <v/>
      </c>
      <c r="F22">
        <f>HYPERLINK("https://www.valon.ai/careers?ashby_jid=96ba30fb-cbe6-4180-80de-1ec3cf2d2ec5&amp;utm_source=BMXoVpKAGY&amp;urlHash=F8by", "https://www.valon.ai/careers?ashby_jid=96ba30fb-cbe6-4180-80de-1ec3cf2d2ec5&amp;utm_source=BMXoVpKAGY&amp;urlHash=F8by")</f>
        <v/>
      </c>
      <c r="G22" t="inlineStr">
        <is>
          <t>New York, NY</t>
        </is>
      </c>
      <c r="H22" t="inlineStr"/>
      <c r="I22"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
 The results speak for themselves. We've transformed mortgage servicing from a 0% margin business into 60%\+ margins while dramatically improving customer experience. Major enterprise contracts are now deploying across the industry.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
**About The Role**
 We’re looking for a
 **Senior Data Engineer** 
 to build and own the data systems that power the next phase of Valon’s platform — the
 **AI\-native operating system for regulated finance** 
 .
 This is a foundational, multi\-year initiative to make ValonOS structured, inspectable, and programmable — the bedrock that enables AI to operate safely and effectively in real\-world financial systems. You’ll architect the pipelines, orchestration, and frameworks that transform Valon’s data infrastructure into a product: reliable, observable, and built for scale.
 This role goes far beyond traditional “data plumbing.” It’s about
 **engineering data as a system** 
 , not a service — ensuring every team at Valon can move with precision and speed through a robust, scalable data foundation. You’ll collaborate with data analysts, forward\-deployed engineers, and product teams to design infrastructure that’s production\-grade, auditable, and AI\-ready.
 You’ll Think In Systems And Tradeoffs, Design For Scale And Observability, And Bring a Product Mindset To Everything From Orchestration To Modeling Frameworks. Some Example Problems On The Roadmap
* Migrate dbt Cloud jobs to Airflow for reliability, flexibility, and cost optimization.
* Stand up a medallion architecture for analytics and reporting.
* Implement data contracts and observability frameworks (e.g., Great Expectations).
* Build self\-serve data tooling that allows every team to access high\-quality data safely and efficiently.
* Lay the groundwork for 10x scaling of multi\-tenant SaaS data operations.
 This is a high\-impact role for someone who thrives on complexity and wants to shape the data foundation that makes regulated AI possible.
**Responsibilities**
* Design, build, and evolve Valon’s core data infrastructure — orchestration, modeling frameworks, and data pipelines.
* Partner with analytics, engineering, and product teams to define and implement data contracts and observability systems.
* Develop fault\-tolerant, auditable, and high\-performance pipelines for both internal and client\-facing data applications.
* Migrate and modernize existing systems (e.g., dbt Cloud → Airflow) to support scale and cost efficiency.
* Implement the medallion architecture to structure analytics layers and ensure reliability at scale.
* Build and maintain self\-serve data access tools to empower internal teams.
* Own technical strategy and execution for Valon’s data foundation — balancing near\-term performance needs with long\-term scalability.
* Advocate for best practices in data modeling, reliability, observability, and developer experience across the company.
**Ideal Background**
* 5\+ years of data engineering or systems engineering experience, ideally in startup or growth\-stage environments (Series B–E).
* Proven experience designing and scaling data infrastructure — from ingestion and orchestration to modeling and observability.
* Deep understanding of modern data stacks: Python, SQL, dbt, Airflow, and cloud\-native environments (AWS/GCP/Azure).
* Strong grasp of data architecture patterns (e.g., medallion, lakehouse, modular data modeling).
* Experience implementing data quality frameworks, observability tools, or data contracts at scale.
* A product mindset — you care about usability, reliability, and the developer experience of your data systems.
* Bonus: Experience in fintech, logistics, or other regulated, data\-heavy domains.
**Benefits**
* Compensation: Competitive salary with a meaningful stake in the company via equity, and 401k plan
* Health \&amp; well\-being: We’ll invest in your physical and mental well\-being with comprehensive medical, dental, \&amp; vision benefits
* Commuter benefits: We offer pre\-tax deductions for public transportation, rideshare services, and parking expenses to make your commute more affordable and convenient
* Grow together: Company wide orientation for you to successfully onboard and other learning \&amp; development opportunities including regular review cycles that feature 360 degree feedback
* Play together: Quarterly budgets for team and company outings. Use it for team swag, cooking classes, or team dinners!
* Generous time off: Flexible paid time off, sick days, and 11 company holidays
* Baby bonding time!: 12 weeks off for both birthing and non\-birthing parents \- fully paid so you can focus your energy on your newest addition
*Throughout the interview process, please remember that emails will only be from* 
*valon.com* 
*email addresses. We will never ask for any personally identifiable information during the interview process itself. Please reach out to talent@valon.com if you have any requests to verify the authenticity of an outreach.*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Compensation Range: $155K \- $240K</t>
        </is>
      </c>
    </row>
    <row r="23">
      <c r="A23" t="inlineStr">
        <is>
          <t>li-4296226968</t>
        </is>
      </c>
      <c r="B23" t="inlineStr">
        <is>
          <t>Data Engineer</t>
        </is>
      </c>
      <c r="C23" t="inlineStr">
        <is>
          <t>ECLARO</t>
        </is>
      </c>
      <c r="D23" t="inlineStr">
        <is>
          <t>linkedin</t>
        </is>
      </c>
      <c r="E23">
        <f>HYPERLINK("https://www.linkedin.com/jobs/view/4296226968", "https://www.linkedin.com/jobs/view/4296226968")</f>
        <v/>
      </c>
      <c r="F23" t="inlineStr"/>
      <c r="G23" t="inlineStr">
        <is>
          <t>Rutherford, NJ</t>
        </is>
      </c>
      <c r="H23" t="inlineStr"/>
      <c r="I23" t="inlineStr">
        <is>
          <t>**Job Number: 25\-04899**
 ECLARO is hiring for a
 **Data Engineer** 
 for our client in
 **Rutherford, NJ.** 
 An excellent opportunity to grow within the P\&amp;C insurance industry."
 ECLARO's client is a leading insurance company providing risk management services and products to the energy industry. Their vast experience throughout North America spans all sides of energy infrastructure. If you're up to the challenge, then take a chance at this rewarding opportunity!
**Position Overview:**
* Will be responsible for Development and Testing of Data Integration Workflows (ETL Packages, Stored Procedures, UDF, Ad Hoc\-Queries), Test Plans and Test Cases using Microsoft Technologies such as SSIS, SSAS and SQL Server Database, as well as company\-wide Document Management.
* On a day to day the individual is expected to work closely with development team and the analyst team.
* This is an opportunity to join an IT team which maintains a broad portfolio of business\-critical vendor and custom applications.
**Salary:** 
 $125000\-$150000/Year.
**Responsibilities:**
* Responsible for ETL and Data PL/SQL coding and unit testing based on the design provided by the Enterprise Data Lead.
* May have responsibility for development of a part of a larger project or to develop a project more independently.
* Hand off back and forth with offshore developers in a collaborative fashion.
* Collaborate with business analysts, testers and business users to effectively prioritize development activities within resource constraints.
* Provide in\-depth technical support for the assigned applications.
* Create relevant and up to date technical documentation of assigned applications.
* Able to learn new technology practices, platforms, and tools and keeps up to date with the latest technology trends.
* Provide appropriate training to users on the use of assigned applications.
**Required Qualifications:**
* Undergraduate degree in Computer Science, Engineering, Software Engineering or Mathematics, or equivalent work experience.
* Minimum 5\-8 years of experience with:
+ Microsoft SSIS, SSAS and Relational Database technologies.
+ Exposure to web services (SOAP, XML, etc.)
+ SQL Server including T\-SQL or PL/SQL.
+ Data warehousing\- Data Modeling, Data Profiling.
* Experience implementing coding best practices via code reviews and code inspection tools.
* Experience in implementing Code Version Control like GitHub, SourceAnywhere.
* Experience working with Property and Casualty Insurance Data or a company.
* Experience with dimensional modeling and data marts.
* Achievement\-Oriented: Demonstrates persistence and perseverance in achieving concrete and tangible outcomes by taking action to get optimum results when encountering obstacles or resistance.
* Collaborative: Develops and maintains effective working relationships across functional and divisional lines by readily sharing information, knowledge, and resources.
* Detail\-Oriented: Displays thoroughness and accuracy in quality communications and deliverables through the application of technical skills and industry/product knowledge.
* Service\-Oriented: Conveys a genuine desire and ability to anticipate and meet customer needs and creates and nurtures mutually beneficial relationships within AEGIS and with AEGIS Members and brokers.
* Work Ethic: Takes ownership for one's responsibilities by acting with integrity and holding oneself accountable to continuous improvement.
* Leadership (if applicable): Motivates employees to exercise their talents to the fullest and holds them accountable for their best efforts; provides support to develop potential skills for improved individual growth and trains and empowers subordinates effectively.
**Equal Opportunity Employer:** 
 ECLARO values diversity and does not discriminate based on Race, Color, Religion, Sex, Sexual Orientation, National Origin, Age, Genetic Information, Disability, Protected Veteran Status, or any other legally protected group status, in compliance with all applicable laws.</t>
        </is>
      </c>
    </row>
    <row r="24">
      <c r="A24" t="inlineStr">
        <is>
          <t>li-4366913899</t>
        </is>
      </c>
      <c r="B24" t="inlineStr">
        <is>
          <t>Data Engineer</t>
        </is>
      </c>
      <c r="C24" t="inlineStr">
        <is>
          <t>Valzo Soft Solutions</t>
        </is>
      </c>
      <c r="D24" t="inlineStr">
        <is>
          <t>linkedin</t>
        </is>
      </c>
      <c r="E24">
        <f>HYPERLINK("https://www.linkedin.com/jobs/view/4366913899", "https://www.linkedin.com/jobs/view/4366913899")</f>
        <v/>
      </c>
      <c r="F24" t="inlineStr"/>
      <c r="G24" t="inlineStr"/>
      <c r="H24" t="inlineStr"/>
      <c r="I24" t="inlineStr">
        <is>
          <t>Job Title: Data Engineer
 Location: Remote – United States
 Experience: 4–8\+ Years
 Employment Type: Full\-Time / C2C
 Visa: All Visas Applicable
 Job Description
 We are looking for an experienced
 **Data Engineer** 
 to design, build, and maintain scalable data pipelines and infrastructure. The ideal candidate should have strong hands\-on experience in data engineering technologies and cloud platforms.
 Responsibilities
* Design and develop scalable ETL / ELT pipelines
* Build and optimize data warehouses and data lakes
* Integrate data from multiple sources
* Ensure data quality, security, and reliability
* Work closely with data analysts and data scientists
* Optimize performance and cost in cloud environments
* Troubleshoot production data issues
 Required Skills
* Strong experience in
 **Python / SQL**
* Big Data tools:
 **Spark, Hadoop, Kafka**
* Cloud platforms:
 **AWS / Azure / GCP**
* Data Warehousing:
 **Snowflake, Redshift, BigQuery**
* ETL tools: Airflow, Glue, Informatica
* Strong database knowledge (SQL \&amp; NoSQL)
* CI/CD and Git
 Preferred Skills
* Streaming data pipelines
* Terraform / Infrastructure as Code
* Data governance and security practices</t>
        </is>
      </c>
    </row>
    <row r="25">
      <c r="A25" t="inlineStr">
        <is>
          <t>li-4366904039</t>
        </is>
      </c>
      <c r="B25" t="inlineStr">
        <is>
          <t>Data Engineer - Scala, Spark, Databricks</t>
        </is>
      </c>
      <c r="C25" t="inlineStr">
        <is>
          <t>The Cypress Group</t>
        </is>
      </c>
      <c r="D25" t="inlineStr">
        <is>
          <t>linkedin</t>
        </is>
      </c>
      <c r="E25">
        <f>HYPERLINK("https://www.linkedin.com/jobs/view/4366904039", "https://www.linkedin.com/jobs/view/4366904039")</f>
        <v/>
      </c>
      <c r="F25" t="inlineStr"/>
      <c r="G25" t="inlineStr"/>
      <c r="H25" t="inlineStr"/>
      <c r="I25" t="inlineStr">
        <is>
          <t>**Senior Data Engineer**
 Overview
 We are a fast\-growing technology company building large\-scale, privacy\-conscious data platforms that power advanced analytics and intelligent products. Our teams work on complex data challenges at significant scale, with a strong emphasis on reliability, performance, and thoughtful system design.
 This role is for an experienced engineer who will help architect and evolve shared data infrastructure used across engineering, analytics, and product teams. You’ll have meaningful ownership, autonomy, and the opportunity to influence both technical direction and business outcomes.
 What You’ll Do
* Architect, design, and build core data platforms and supporting services used by engineers, analysts, and data scientists
* Develop and maintain large\-scale distributed data processing systems
* Work with massive datasets using modern data frameworks and cloud\-based tooling
* Collaborate directly with internal stakeholders to deliver critical products and initiatives
* Contribute to technical strategy and help scale systems as the business grows
 This Role Is a Great Fit If You
* Enjoy building high\-quality, resilient data platforms at scale
* Have led or significantly contributed to large, multi\-stakeholder data projects
* Are comfortable working in a fast\-paced environment with evolving requirements
* Take a product\-minded, ownership\-driven approach to engineering
* Value collaboration, clear communication, and raising the technical bar for your teammates
 Experience
* 5\+ years of professional software engineering experience
* Strong background in data modeling, data pipelines, and data platform design
* Deep experience building and debugging complex distributed systems
* Hands\-on experience with large\-scale data processing frameworks
* Proficiency in Scala and Spark, ideally with Databricks as well
 Nice to Have
* Experience operating systems in cloud environments
* Familiarity with infrastructure\-as\-code and DevOps practices
* Strong Python skills
* Experience building APIs or data\-driven services
 Tech Stack
* Data processing: Apache Spark, Scala, Databricks
* Cloud \&amp; infrastructure: AWS, Terraform</t>
        </is>
      </c>
    </row>
    <row r="26">
      <c r="A26" t="inlineStr">
        <is>
          <t>li-4366510794</t>
        </is>
      </c>
      <c r="B26" t="inlineStr">
        <is>
          <t>Senior Data Engineer</t>
        </is>
      </c>
      <c r="C26" t="inlineStr">
        <is>
          <t>Valon</t>
        </is>
      </c>
      <c r="D26" t="inlineStr">
        <is>
          <t>linkedin</t>
        </is>
      </c>
      <c r="E26">
        <f>HYPERLINK("https://www.linkedin.com/jobs/view/4366510794", "https://www.linkedin.com/jobs/view/4366510794")</f>
        <v/>
      </c>
      <c r="F26">
        <f>HYPERLINK("https://www.valon.ai/careers?ashby_jid=96ba30fb-cbe6-4180-80de-1ec3cf2d2ec5&amp;utm_source=BMXoVpKAGY&amp;urlHash=F8by", "https://www.valon.ai/careers?ashby_jid=96ba30fb-cbe6-4180-80de-1ec3cf2d2ec5&amp;utm_source=BMXoVpKAGY&amp;urlHash=F8by")</f>
        <v/>
      </c>
      <c r="G26" t="inlineStr">
        <is>
          <t>San Francisco, CA</t>
        </is>
      </c>
      <c r="H26" t="inlineStr"/>
      <c r="I26"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
 The results speak for themselves. We've transformed mortgage servicing from a 0% margin business into 60%\+ margins while dramatically improving customer experience. Major enterprise contracts are now deploying across the industry.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
**About The Role**
 We’re looking for a
 **Senior Data Engineer** 
 to build and own the data systems that power the next phase of Valon’s platform — the
 **AI\-native operating system for regulated finance** 
 .
 This is a foundational, multi\-year initiative to make ValonOS structured, inspectable, and programmable — the bedrock that enables AI to operate safely and effectively in real\-world financial systems. You’ll architect the pipelines, orchestration, and frameworks that transform Valon’s data infrastructure into a product: reliable, observable, and built for scale.
 This role goes far beyond traditional “data plumbing.” It’s about
 **engineering data as a system** 
 , not a service — ensuring every team at Valon can move with precision and speed through a robust, scalable data foundation. You’ll collaborate with data analysts, forward\-deployed engineers, and product teams to design infrastructure that’s production\-grade, auditable, and AI\-ready.
 You’ll Think In Systems And Tradeoffs, Design For Scale And Observability, And Bring a Product Mindset To Everything From Orchestration To Modeling Frameworks. Some Example Problems On The Roadmap
* Migrate dbt Cloud jobs to Airflow for reliability, flexibility, and cost optimization.
* Stand up a medallion architecture for analytics and reporting.
* Implement data contracts and observability frameworks (e.g., Great Expectations).
* Build self\-serve data tooling that allows every team to access high\-quality data safely and efficiently.
* Lay the groundwork for 10x scaling of multi\-tenant SaaS data operations.
 This is a high\-impact role for someone who thrives on complexity and wants to shape the data foundation that makes regulated AI possible.
**Responsibilities**
* Design, build, and evolve Valon’s core data infrastructure — orchestration, modeling frameworks, and data pipelines.
* Partner with analytics, engineering, and product teams to define and implement data contracts and observability systems.
* Develop fault\-tolerant, auditable, and high\-performance pipelines for both internal and client\-facing data applications.
* Migrate and modernize existing systems (e.g., dbt Cloud → Airflow) to support scale and cost efficiency.
* Implement the medallion architecture to structure analytics layers and ensure reliability at scale.
* Build and maintain self\-serve data access tools to empower internal teams.
* Own technical strategy and execution for Valon’s data foundation — balancing near\-term performance needs with long\-term scalability.
* Advocate for best practices in data modeling, reliability, observability, and developer experience across the company.
**Ideal Background**
* 5\+ years of data engineering or systems engineering experience, ideally in startup or growth\-stage environments (Series B–E).
* Proven experience designing and scaling data infrastructure — from ingestion and orchestration to modeling and observability.
* Deep understanding of modern data stacks: Python, SQL, dbt, Airflow, and cloud\-native environments (AWS/GCP/Azure).
* Strong grasp of data architecture patterns (e.g., medallion, lakehouse, modular data modeling).
* Experience implementing data quality frameworks, observability tools, or data contracts at scale.
* A product mindset — you care about usability, reliability, and the developer experience of your data systems.
* Bonus: Experience in fintech, logistics, or other regulated, data\-heavy domains.
**Benefits**
* Compensation: Competitive salary with a meaningful stake in the company via equity, and 401k plan
* Health \&amp; well\-being: We’ll invest in your physical and mental well\-being with comprehensive medical, dental, \&amp; vision benefits
* Commuter benefits: We offer pre\-tax deductions for public transportation, rideshare services, and parking expenses to make your commute more affordable and convenient
* Grow together: Company wide orientation for you to successfully onboard and other learning \&amp; development opportunities including regular review cycles that feature 360 degree feedback
* Play together: Quarterly budgets for team and company outings. Use it for team swag, cooking classes, or team dinners!
* Generous time off: Flexible paid time off, sick days, and 11 company holidays
* Baby bonding time!: 12 weeks off for both birthing and non\-birthing parents \- fully paid so you can focus your energy on your newest addition
*Throughout the interview process, please remember that emails will only be from* 
*valon.com* 
*email addresses. We will never ask for any personally identifiable information during the interview process itself. Please reach out to talent@valon.com if you have any requests to verify the authenticity of an outreach.*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Compensation Range: $155K \- $240K</t>
        </is>
      </c>
    </row>
    <row r="27">
      <c r="A27" t="inlineStr">
        <is>
          <t>li-4366498341</t>
        </is>
      </c>
      <c r="B27" t="inlineStr">
        <is>
          <t>Data Engineer, Sr.</t>
        </is>
      </c>
      <c r="C27" t="inlineStr">
        <is>
          <t>Blue Yonder</t>
        </is>
      </c>
      <c r="D27" t="inlineStr">
        <is>
          <t>linkedin</t>
        </is>
      </c>
      <c r="E27">
        <f>HYPERLINK("https://www.linkedin.com/jobs/view/4366498341", "https://www.linkedin.com/jobs/view/4366498341")</f>
        <v/>
      </c>
      <c r="F27">
        <f>HYPERLINK("https://www.wiraa.com/job-description/us1DFC51775D35CD29DCA343DCF514C74D?source=Linkedin&amp;urlHash=YhOt", "https://www.wiraa.com/job-description/us1DFC51775D35CD29DCA343DCF514C74D?source=Linkedin&amp;urlHash=YhOt")</f>
        <v/>
      </c>
      <c r="G27" t="inlineStr"/>
      <c r="H27" t="inlineStr"/>
      <c r="I27" t="inlineStr">
        <is>
          <t>**About The Company**
 Blue Yonder is a leading provider of supply chain management and retail solutions, leveraging cutting\-edge technology to optimize operations and enhance customer experiences worldwide. Our platform integrates advanced analytics, artificial intelligence, and cloud\-based solutions to empower organizations to make smarter, faster decisions. With a global presence and a commitment to innovation, Blue Yonder continuously strives to redefine the future of supply chain technology, fostering a collaborative environment where talent and technology converge to deliver impactful results.
**About The Role**
 We are seeking a highly skilled Sr Staff Data Engineer with expertise in Snowflake to join our Platform Data Cloud team. This senior individual contributor role is pivotal in architecting and implementing scalable, robust data solutions that serve as the backbone of Blue Yonder's SaaS offerings. The successful candidate will focus on designing and building production\-grade data ingestion pipelines, optimizing Snowflake architecture, and driving innovation across our cloud data platforms. You will collaborate with global teams across the US, Canada, India, and Germany, contributing to enterprise\-wide data strategies and ensuring high\-performance, scalable data solutions that meet our business needs.
 This role offers a hybrid work environment in Dallas, TX, or Scottsdale, AZ, with remote options available for the right candidate. It is ideal for professionals with extensive experience in data engineering, cloud architecture, and software development, particularly within the Snowflake ecosystem.
**Qualifications**
* Master's or Bachelor's Degree in Computer Science, Information Technology, or related field
* Minimum of 12 to 15 years of experience in software development
* At least 5\+ years of hands\-on experience with Snowflake data engineering
* Proficiency in Python or Streamlit for data applications and automation
* Strong understanding of Snowflake architecture, including compute, storage, and cloud services
* Expertise in SQL, including advanced queries, bulk data copy, and performance optimization
* Experience with Snowflake features such as Time Travel, Zero Copy Cloning, Data Sharing, and Data Marketplace
* Knowledge of data warehousing concepts and enterprise data solutions
* Experience with Kubernetes, microservices architecture, and cloud platforms such as Azure, AWS, or GCP
* Familiarity with CI/CD pipelines, containerization, and automation tools like Jenkins, Git, and Jira
* Snowflake Architect certification is preferred
* Strong analytical, problem\-solving, and leadership skills
**Responsibilities**
* Design, develop, and maintain scalable data ingestion and processing pipelines in Snowflake
* Architect and optimize Snowflake infrastructure to ensure high performance, security, and cost\-efficiency
* Implement advanced SQL queries, stored procedures, UDFs, and external functions within Snowflake
* Collaborate with cross\-functional teams to deliver innovative data solutions and product features
* Drive continuous improvement in data delivery processes and infrastructure automation
* Provide enterprise\-level solutions for cloud infrastructure deployment and application integration
* Participate in the development of modular, service\-based architectures leveraging Kubernetes and microservices
* Influence engineering teams through proposing and reviewing software designs and best practices
* Lead proof\-of\-concept initiatives for new Snowflake features, advising on their application and benefits
* Ensure data security, compliance, and proper access controls using role\-based access control (RBAC)
* Monitor and troubleshoot performance issues, implementing necessary optimizations
* Stay updated on Snowflake and cloud technology advancements, recommending new tools and techniques
**Benefits**
* Comprehensive Medical, Dental, and Vision insurance plans
* 401(k) plan with company matching contributions
* Flexible Time Off policy to support work\-life balance
* Corporate Fitness Program to promote health and wellness
* Voluntary benefits including Legal Plans, Accident and Hospital Indemnity, Pet Insurance, and more
* Opportunities for professional development and continuous learning
* Collaborative and inclusive work environment that values innovation and diversity
 Equal Opportunity
 Blue Yonder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protected veteran status.</t>
        </is>
      </c>
    </row>
    <row r="28">
      <c r="A28" t="inlineStr">
        <is>
          <t>li-4366769571</t>
        </is>
      </c>
      <c r="B28" t="inlineStr">
        <is>
          <t>Associate Data Engineer</t>
        </is>
      </c>
      <c r="C28" t="inlineStr">
        <is>
          <t>CVS Health</t>
        </is>
      </c>
      <c r="D28" t="inlineStr">
        <is>
          <t>linkedin</t>
        </is>
      </c>
      <c r="E28">
        <f>HYPERLINK("https://www.linkedin.com/jobs/view/4366769571", "https://www.linkedin.com/jobs/view/4366769571")</f>
        <v/>
      </c>
      <c r="F28" t="inlineStr"/>
      <c r="G28" t="inlineStr">
        <is>
          <t>Irving, TX</t>
        </is>
      </c>
      <c r="H28" t="inlineStr"/>
      <c r="I2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has a rich set of healthcare data of more than 150 million individuals and provides the best foundation for any ambitious data engineer to work on billions of records of healthcare data. The Associate Data Engineer will design and develop highly scalable and extensible data platforms including but not limited to RDBMS / Big Data / Cloud, which enables industrializing collection, storage, modeling, and analysis of massive data sets from heterogeneous channels. Collaborates with cross\-functional teams to design, develop, and maintain data pipelines, databases, and data processing systems. Optimizes data workflows, ensures data quality, and supports data\-related initiatives to enable effective data\-driven decision\-making.
 Compiles data from different sources and systems, ensuring compatibility and consistency, and works with APIs, connectors, and cloud services to build software applications
 Conducts data quality checks and validation processes to ensure data accuracy, completeness, and consistency
 Compiles data engineering processes, workflows, and systems for reference and knowledge sharing purposes.
 Builds efficient and scalable data pipelines.
 Communicates effectively with technical and non\-technical stakeholders, translating complex technical concepts into understandable terms.
 Actively contributes to team meetings, brainstorming sessions, and collaborative projects, by sharing ideas, providing feedback, and contributing to the overall goals and objectives of the team.
 Assists team members with tasks, timelines, and deliverables, including collaborating on projects, sharing information, and ensuring effective communication within the team.
**Required Qualifications**
 Understanding of programming languages like R, Python, Node.JS and SQL
 Understanding of cloud technologies \- Azure, GCP or AWS
 Understanding of LLMs and AI Agents
**Preferred Qualifications**
 Strong problem solving skills
 Experience working with stakeholders
 Experience working in teams
 Track record of delivering results
**Education**
 Bachelor’s Degree in Computer Science, Engineering, Statistics, Physics, Math, or related field;
**Anticipated Weekly Hours**
 40
**Time Type**
**Pay Range**
**The Typical Pay Range For This Role Is**
 $61,800\.00 \- $148,320\.00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This job does not have an application deadline, as CVS Health accepts applications on an ongoing basis.
 Qualified applicants with arrest or conviction records will be considered for employment in accordance with all federal, state and local laws.</t>
        </is>
      </c>
    </row>
    <row r="29">
      <c r="A29" t="inlineStr">
        <is>
          <t>li-4366533337</t>
        </is>
      </c>
      <c r="B29" t="inlineStr">
        <is>
          <t>Data Engineer</t>
        </is>
      </c>
      <c r="C29" t="inlineStr">
        <is>
          <t>Cognizant</t>
        </is>
      </c>
      <c r="D29" t="inlineStr">
        <is>
          <t>linkedin</t>
        </is>
      </c>
      <c r="E29">
        <f>HYPERLINK("https://www.linkedin.com/jobs/view/4366533337", "https://www.linkedin.com/jobs/view/4366533337")</f>
        <v/>
      </c>
      <c r="F29" t="inlineStr"/>
      <c r="G29" t="inlineStr">
        <is>
          <t>Plano, TX</t>
        </is>
      </c>
      <c r="H29" t="inlineStr"/>
      <c r="I29" t="inlineStr">
        <is>
          <t>**Job Title** 
 : Data Engineer
**Team:** 
 AI\&amp;A
**Position Overview**
 We are seeking a motivated Data Engineer to join our Data Engineering team. The ideal candidate will have exposure in Python, and SQL, and will be responsible for designing, developing, and maintaining robust data pipelines for structured, semi\-structured, and unstructured data. This role is ideal for someone passionate about building scalable data solutions and enabling advanced analytics across the organization.
**Key Responsibilities**
* Design, develop, and optimize data pipelines using Python, Spark, and SQL.
* Ingest, process, and analyze structured (e.g., relational databases), semi\-structured (e.g., JSON, XML), and unstructured data (e.g., text, logs, images) from diverse sources.
* Implement data quality checks, validation, and transformation logic to ensure data integrity and reliability.
* Collaborate with data scientists, analysts, and business stakeholders to understand data requirements and deliver solutions.
* Develop and maintain data models, data dictionaries, and technical documentation.
* Monitor, troubleshoot, and optimize data workflows for performance and scalability.
* Ensure compliance with data governance, security, and privacy policies.
* Support data migration, integration, and modernization initiatives, including cloud\-based solutions (AWS, Azure, GCP).
* Automate repetitive data engineering tasks and contribute to continuous improvement of data infrastructure.
* Knowledge of any of the cloud platforms (AWS, Azure, GCP).
* Understanding of data security, encryption, and compliance best practices.
**Required Skills \&amp; Qualifications**
* Bachelor’s or Master’s degree in Computer Science, Information Systems, Data Engineering, or a related field
* Good programming skills in Python and SQL
* Good problem\-solving, analytical, and communication skills
* Ability to work collaboratively in a fast\-paced environment
* Familiarity with data orchestration tools (e.g., Airflow, Prefect)
* Exposure to data lake and data warehouse architectures (e.g., Snowflake, Databricks, Big query etc.)
* Knowledge of containerization and CI/CD pipelines (e.g., Docker, Kubernetes, GitHub)
* Familiarity with data visualization tools
* Basic understanding of ETL/ELT concepts, data modeling, and data architecture
**Location**
 New hires will be hired at the Cognizant office in
 **Plano, TX or Teaneck, NJ,** 
 where you will work alongside other experienced Cognizant associates delivering technology solutions. Applicants must be willing to relocate to this major geographic area. While we attempt to honor candidate location preferences, business needs and position availability will determine final location assignment.
**Start Date**
 New hires will start in
 **January or** 
**February 2026** 
 . While we will attempt to honor candidate start date preferences, business need and position availability will determine final start date assignment. Exact start date will be communicated with enough time for you to plan effectively.
**Salary And Other Compensation**
 The annual salary for this position is $65,000 depending on experience and other qualifications of the successful candidate. This position is also eligible for Cognizant’s discretionary annual incentive program, based on performance and subject to the terms of Cognizant’s applicable plans.
**Why Choose Us?**
 Cognizant delivers solutions that draw upon the full power and scale of our associates. You will be supported by high\-caliber experts and employ some of the most advanced and patented capabilities. Our associate’s diverse backgrounds offer multifaceted perspectives and fuel new ways of thinking. We encourage lively discussions which inspire better results for our clients.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hourly rate, other compensation, and benefits information is accurate as of the date of this posting. Cognizant reserves the right to modify this information at any time, subject to applicable law.
**Work Authorization**
 Due to the nature of this position, Cognizant cannot provide sponsorship for U.S. work authorization (including participation in a CPT/OPT program) for this role.</t>
        </is>
      </c>
    </row>
    <row r="30">
      <c r="A30" t="inlineStr">
        <is>
          <t>li-4358349303</t>
        </is>
      </c>
      <c r="B30" t="inlineStr">
        <is>
          <t>Data Engineer</t>
        </is>
      </c>
      <c r="C30" t="inlineStr">
        <is>
          <t>Old National Bank</t>
        </is>
      </c>
      <c r="D30" t="inlineStr">
        <is>
          <t>linkedin</t>
        </is>
      </c>
      <c r="E30">
        <f>HYPERLINK("https://www.linkedin.com/jobs/view/4358349303", "https://www.linkedin.com/jobs/view/4358349303")</f>
        <v/>
      </c>
      <c r="F30" t="inlineStr"/>
      <c r="G30" t="inlineStr">
        <is>
          <t>Evansville, IN</t>
        </is>
      </c>
      <c r="H30" t="inlineStr"/>
      <c r="I30"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$62,300 \- $199,000 per year.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
 We are currently seeking a Data Engineer. This position will require knowledge of enterprise data governance, data analysis, business analysis, and the technical tools to execute on those roadmaps. You will assist with creating a unified data model that will be central to all Data Governance activities and helping to set the foundation of our Master Data Management strategy. This includes crucial external and internal reporting, line of business specific needs, and system integration. Activities will include working with stakeholders, subject matter experts, business analysts, and technical teams to execute, maintain, and own the Old National Core Data Model.
**Key Accountabilities**
 Key Accountability 1: Create and Maintain Data Governance Data Quality Framework
* Enable technical frameworks with tech stack that enable monitoring, reporting, and remediation of data quality issues
* Partner with business stakeholders, data owners, and information owners to implement appropriate data quality rules
* Documents procedural level documents to support technical teams and business partners adherence to Data Quality Framework
 Key Accountability 2: Data Analysis and Profiling
* Support business partners with proper profiling techniques to better understand the data.
* Drive data accountability to understand data gaps and needs within systems and business processes
 Key Accountability 3: Data Cleansing Framework
* Direct framework and strategy to support data cleansing based on Data Quality Framework and Profiling activities.
* Partner with IT design a technical framework that will enable business partners and data analysts to transform their data in a consistent and traceable framework.
**Key Competencies for Position**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Bachelor’s degree in related field; advanced coursework/training related to data management, computer science, management information systems
* 3\+ years’ experience working with data analysis/profile tools, including but not limited to Informatica, SQL Server, MS Power Query, etc.
* 3\+ years’ working with data transformations and various ETL tools, DBT, FiveTran, Azure Data Factory
* 3\+ years’ experience working in a variety of data models, ODS, Relational, Fact/Dimension
* Understanding of reporting and data analytics to ensure overall accuracy
* Knowledge of industry leading practices in Analytics and Data Movement
* Strong written, verbal, and interpersonal skills to advance a data driven culture and work priorities.
* Working knowledge of data governance principles and frameworks
+ Source system profiling via a variety of tools and methods
+ Ability to write data quality rules (business facing and pseudo code)
+ Data lineage/data Catalog knowledge
+ Master data management
* Exposure to data platforms such as AWS, GCP, Azure, and/or Databricks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31">
      <c r="A31" t="inlineStr">
        <is>
          <t>li-4366924489</t>
        </is>
      </c>
      <c r="B31" t="inlineStr">
        <is>
          <t>Senior Data Engineer</t>
        </is>
      </c>
      <c r="C31" t="inlineStr">
        <is>
          <t>Impact Research</t>
        </is>
      </c>
      <c r="D31" t="inlineStr">
        <is>
          <t>linkedin</t>
        </is>
      </c>
      <c r="E31">
        <f>HYPERLINK("https://www.linkedin.com/jobs/view/4366924489", "https://www.linkedin.com/jobs/view/4366924489")</f>
        <v/>
      </c>
      <c r="F31" t="inlineStr"/>
      <c r="G31" t="inlineStr">
        <is>
          <t>Washington, DC</t>
        </is>
      </c>
      <c r="H31" t="inlineStr"/>
      <c r="I31" t="inlineStr">
        <is>
          <t>**Location** 
 : Washington, DC or Montgomery, AL preferred; remote candidates considered
**Reports to** 
 : Chief Data Science and Innovation Officer
**Salary** 
 : $120,000\-$150,000 total compensation, commensurate with experience
**About Impact Research** 
 Impact Research is a Democratic polling and strategic research firm with a team of about 40 people split between offices in Washington, DC and Montgomery, AL. We work with campaigns, progressive organizations, and corporate clients to understand and move public opinion—combining rigorous research methodology with modern data techniques to deliver actionable strategic advice.
**About the Role** 
 We're hiring our first dedicated data engineer, a high\-ownership role where you'll shape our data infrastructure from the ground up and directly impact how we deliver research for years to come.
 You'll work closely with our Chief Data Science and Innovation Officer and broader research teams to build the pipelines, data warehouse, and automation systems that power our polling operations. This is a role for someone who wants to build, not just maintain, and who's comfortable bringing modern data engineering practices to a fast\-moving environment.
**What You'll Do:** 
 •       Design, build, and maintain data pipelines that support polling operations and client deliverables
 •       Manage and optimize our data warehouse in Google BigQuery
 •       Build orchestration workflows to automate data ingestion, transformation, and quality checks
 •       Collaborate with analysts and data scientists to understand their needs and build infrastructure that supports their work
 •       Establish best practices for data quality, documentation, and security
 •       Help develop best practices for how Impact uses AI to improve the quality and efficiency of our work.
 •       Support integrations with external data sources, including voter files and vendor platforms
**Qualifications we’re looking for:** 
 •       5\+ years of experience in data engineering, analytics engineering, or a similar role
 •       Advanced SQL skills
 •       Experience managing cloud data warehouses (BigQuery preferred)
 •       Hands\-on experience with dbt
 •     Experience with pipeline orchestration tools (e.g., Airflow, Astronomer, Google Workflows, Dagster, Prefect)
 •       Experience with CI/CD, GitHub Actions pipelines
 •       Proficiency in Python; familiarity with R is a plus
 •       Familiarity with Git/GitHub for version control
 •       Comfort working independently and making technical decisions with high autonomy
 •       Excellent communication skills and enthusiasm for teaching and training coworkers on technical skills
 •       Familiarity and comfort with AI\-powered coding agents, such as (but not limited to) Claude.
**Preference given to candidates who possess a mix of the following:** 
 •       Experience in Democratic politics, campaigns, or advocacy organizations
 •       Familiarity with voter files (Catalist, L2, TargetSmart, etc.) or political data vendors
 •       Experience with polling or survey data pipelines
 •       Experience building data infrastructure at a small or growing organization
 Impact offers a competitive salary and benefits package that includes employer\-paid health, vision and dental insurance, paid parental leave, profit sharing, hybrid in\-office/work from home schedule and a remote work stipend. Email resumes to cfarmer@impactresearch.com. Open until filled.
*Impact is an equal opportunity employer. We value a diverse workforce and an inclusive culture. Impact encourages applications from all qualified individuals without regard to race, color, religion, gender, gender identity or expression, sexual orientation, age, national origin, marital status, citizenship, disability, and veteran status. Women, people of color, and LGBTQ individuals are strongly encouraged to apply.*</t>
        </is>
      </c>
    </row>
    <row r="32">
      <c r="A32" t="inlineStr">
        <is>
          <t>li-4366540101</t>
        </is>
      </c>
      <c r="B32" t="inlineStr">
        <is>
          <t>Data Engineer</t>
        </is>
      </c>
      <c r="C32" t="inlineStr">
        <is>
          <t>Insight Global</t>
        </is>
      </c>
      <c r="D32" t="inlineStr">
        <is>
          <t>linkedin</t>
        </is>
      </c>
      <c r="E32">
        <f>HYPERLINK("https://www.linkedin.com/jobs/view/4366540101", "https://www.linkedin.com/jobs/view/4366540101")</f>
        <v/>
      </c>
      <c r="F32" t="inlineStr"/>
      <c r="G32" t="inlineStr">
        <is>
          <t>San Francisco, CA</t>
        </is>
      </c>
      <c r="H32" t="inlineStr"/>
      <c r="I32" t="inlineStr">
        <is>
          <t>We are currently seeking a Data Engineer to join the Finance Technology and Digital Transformation team in our Finance Department. This role will support the rapid growth of FinTech across many departments at the firm. Duties include the below:
* Adapt and optimize firm\-standard ETL/ELT data pipelines to ensure accurate and timely data integration to and from firm data repositories.
* Manage finance\-related data models, schemas, and structures to support analytics and reporting needs.
* Translate complex business requirements into intuitive and actionable reports.
* Partner with business stakeholders to define KPIs and ensure consistent reporting standards.
* Integrate firm\-level information security policies and processes to ensure data accuracy, integrity, and security.
* Monitor and troubleshoot data workflows, ensuring performance optimization.
* Support firm data governance practices and DLP policies, including data classification, access controls, documentation and change management procedures. Work closely with business analysts, data scientists, and IT teams to ensure compliance, mitigate risk and deliver full\-cycle data solutions.
* Mentor junior data specialists, analysts, and other engineers, and contribute to the firm’s best practices and technical standards.
* Be a key contributor and resource to the firm’s overall data strategy and architecture, including the development of best practices and procedures for developing and providing reports, dashboards and other data services throughout the firm.
**Must\-Haves:** 
* Bachelor’s or master’s degree in computer science, Information Systems, Data Engineering, or related field.
* 7\-8\+ years of hands\-on experience in data warehouse development and optimization, ETL/ELT development, and SSRS reporting solutions.
* Strong expertise in SQL (query optimization, stored procedures, indexing).
* Proficiency with Azure data lake/warehouse technologies (Azure Synapse, Azure Databricks, Microsoft Fabric, etc.).
* Experience with ETL tools (Informatica, Talend, SSIS, dbt, or similar).
* Solid understanding of data modeling (star schema, snowflake schema, OLAP/OLTP concepts).
* Knowledge of cloud platforms (Azure) and modern data stack tools.
* Strong problem\-solving, analytical, and communication skills.
***Compensation***
*:* 
*$130,000\-$160,000 annually.*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33">
      <c r="A33" t="inlineStr">
        <is>
          <t>li-4366784175</t>
        </is>
      </c>
      <c r="B33" t="inlineStr">
        <is>
          <t>Snowflake Data Engineer</t>
        </is>
      </c>
      <c r="C33" t="inlineStr">
        <is>
          <t>Codebase Inc</t>
        </is>
      </c>
      <c r="D33" t="inlineStr">
        <is>
          <t>linkedin</t>
        </is>
      </c>
      <c r="E33">
        <f>HYPERLINK("https://www.linkedin.com/jobs/view/4366784175", "https://www.linkedin.com/jobs/view/4366784175")</f>
        <v/>
      </c>
      <c r="F33" t="inlineStr"/>
      <c r="G33" t="inlineStr">
        <is>
          <t>Dallas, TX</t>
        </is>
      </c>
      <c r="H33" t="inlineStr"/>
      <c r="I33" t="inlineStr">
        <is>
          <t>**Tittle : Snowflake Data Engineer –** 
**Location : Dallas TX (Day1 onsite)** 
**Employment type : Full Time** 
**Key Responsibilities** 
* Design and implement Snowflake schemas (star, snowflake, data vault) optimized with micro\-partitioning, clustering keys, materialized views, and search optimization services.
* Build real\-time and batch ingestion pipelines into Snowflake using Snowpipe, Kafka Connect, Fivetran, Matillion, Informatica, or dbt.
* Automate incremental data processing with Streams \&amp; Tasks to support CDC (Change Data Capture).
* Use Zero\-Copy Cloning for environment management, testing, and sandboxing.
* Apply Time Travel and Fail\-safe features for data recovery and auditing.
* Develop data transformation logic in Snowpark for Python/SQL/Scala to push compute directly into Snowflake.
* Design integrations with cloud storage (S3, Azure ADLS, GCS) for staging and external tables.
* Implement data sharing and data marketplace solutions via Snowflake Secure Data Sharing and Snowflake Marketplace.
* Enable semi\-structured data handling (JSON, Avro, Parquet, ORC, XML) using VARIANT columns and lateral flattening.
* Integrate Snowflake with BI tools (Power BI, Tableau) via live connections and semantic layers.
* Implement RBAC (Role\-Based Access Control), Row Access Policies, and Dynamic Data Masking for data security.
* Optimize compute usage with multi\-cluster warehouses, resource monitors, and query performance tuning.
* Manage cost optimization strategies (warehouse auto\-suspend, query profiling, storage/compute separation).
* Integrate with data catalog \&amp; governance platforms (Collibra, Alation, Informatica CDGC) using Snowflake metadata and APIs.
* Work with domain teams to deliver data products leveraging Snowflake’s data mesh\-friendly features.
* Collaborate with architects to design a Snowflake\-centric data fabric integrated with ETL/ELT and API layers.
* Support CI/CD automation for Snowflake code deployment using GitHub Actions, Azure DevOps, or dbt Cloud.
**Qualifications** 
**Education: Bachelor’s or Master’s in Computer Science, Data Engineering, or related field.** 
**Experience:** 
* 10\+ years of data engineering experience, with
 **5\+ years in Snowflake Data Cloud.**
* Expertise in SQL optimization and Snowflake performance tuning.
* **Hands\-on with Snowpipe, Streams \&amp; Tasks, Snowpark, Zero\-Copy Cloning, and Secure Data Sharing.**
* **Proficiency in Python, Scala, or Java for Snowpark development.**
* Experience integrating with cloud platforms like
 **AWS** 
 .
* **Exposure to ETL/ELT tools (Informatica, Matillion, Fivetran).**
* Familiarity with CI/CD, Git, DevOps practices for data operations.
* Preferred Certifications:
* SnowPro Core Certification
**Key Skills** 
* Snowflake\-native feature design and implementation (Snowpark, Streams, Time Travel, Secure Data Sharing)
* Data ingestion (Snowpipe, CDC, Kafka, Fivetran)
* Semi\-structured data handling (VARIANT, JSON, Avro, Parquet)
* Advanced SQL and performance tuning
* Data governance (RBAC, masking, lineage, catalogs)
* Cloud data platform integrations (AWS S3, Azure ADLS, GCP GCS)
* BI and analytics tool integration
* Cost optimization and warehouse orchestration</t>
        </is>
      </c>
    </row>
    <row r="34">
      <c r="A34" t="inlineStr">
        <is>
          <t>li-4356451296</t>
        </is>
      </c>
      <c r="B34" t="inlineStr">
        <is>
          <t>Data Engineer</t>
        </is>
      </c>
      <c r="C34" t="inlineStr">
        <is>
          <t>CLA (CliftonLarsonAllen)</t>
        </is>
      </c>
      <c r="D34" t="inlineStr">
        <is>
          <t>linkedin</t>
        </is>
      </c>
      <c r="E34">
        <f>HYPERLINK("https://www.linkedin.com/jobs/view/4356451296", "https://www.linkedin.com/jobs/view/4356451296")</f>
        <v/>
      </c>
      <c r="F34" t="inlineStr"/>
      <c r="G34" t="inlineStr">
        <is>
          <t>Milwaukee, WI</t>
        </is>
      </c>
      <c r="H34" t="inlineStr"/>
      <c r="I34"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 Flexible PTO (designed to offer flexible time away for you!)
* Up to 12 weeks paid parental leave
* Paid Volunteer Time Off
* Mental health coverage
* Quarterly Wellness stipend
* Fertility benefits
* Complete list of benefits here
 CLA is growing and seeking to hire an experienced
 **Data Engineer** 
 to join our talented Information Technology team. The position offers growth, flexibility and a collaborative work environment.
 In this position you should have the following; excellent interpersonal skills with the ability to communicate at all levels. Strong problem solving and creative skills and the ability to exercise sound judgment. Most important, demonstrate a high level of integrity and dependability with a strong sense of urgency and results\-orientation.
 The role oversees the data operations team responsible for managing, processing, and analyzing data to support organizational decision\-making. They ensure data quality, integrity, and security while optimizing workflows and implementing best practices.
 This role is to define, design, develop, implement, and maintain the data assets and infrastructure used across the enterprise. They lead the progress of data standards, integration and quality initiates, storage, integration, and performance of data stores both for application and analytics purposes. They direct research and development in support of business cases, proposed projects, and system requirements over the course of the software development lifecycle. They apply proven analytical and problem\-solving skills to help CLA take advantage of its data assessment to maximize CLA’s analysis and insight capabilities.
**How you’ll
 *create opportunities* 
 in this Data Engineer** 
**role:**
* Assist in building and maintaining data pipelines using Azure Databricks and Azure Data Factory.
* Support efforts to ensure performance, reliability, security, and compliance in data engineering solutions.
* Collaborate with team members to implement technical direction and contribute to platform‑level decisions.
* Participate in delivering releases aligned with business goals, technical standards, and governance policies.
* Contribute to improvements in system reliability and maintainability through documentation and code quality practices.
* Participate in agile processes, including sprint planning, stand‑ups, and retrospectives.
**What You Will Need**
* 2 years of relevant experience required
* Experience with cloud engineering across Azure or AWS and Databricks required
* Exposure to enterprise data pipelines, databases/data warehouses, and system integrations (APIs, ETL, middleware) preferred.
* Bachelor's degree or a combination of relevant experience and training may be considered in lieu of a degree.
**Technical Competencies**
 Proficiency in Microsoft Outlook and Office products (Teams, Word, Excel, PowerPoint, etc.)
 Advanced proficiency in programming, such as, Python, R, Snowflake, GitHub, and SQL required.
 Proficiency in data visualization tools such as Tableau, Power BI, matplotlib
 Proficiency in data modeling and big data technologies such as Hadoop and Spark
 Proficiency in data privacy regulations such as DGPR and CCPA
 Familiarity with cloud platforms (Azure or AWS)
 Clear understanding of data warehouse concepts and ETL processes.
 Equal Opportunity Employer/Protected Veterans/Individuals with Disabilities
 Click here to learn about your hiring rights.
**Wellness at CLA**
 To support our CLA family members, we focus on their physical, financial, social, and emotional well\-being and offer comprehensive benefit options that include health, dental, vision, 401k and much more.
 To view a complete list of benefits click here.</t>
        </is>
      </c>
    </row>
    <row r="35">
      <c r="A35" t="inlineStr">
        <is>
          <t>li-4366529752</t>
        </is>
      </c>
      <c r="B35" t="inlineStr">
        <is>
          <t>Data Engineer</t>
        </is>
      </c>
      <c r="C35" t="inlineStr">
        <is>
          <t>Randstad Digital Americas</t>
        </is>
      </c>
      <c r="D35" t="inlineStr">
        <is>
          <t>linkedin</t>
        </is>
      </c>
      <c r="E35">
        <f>HYPERLINK("https://www.linkedin.com/jobs/view/4366529752", "https://www.linkedin.com/jobs/view/4366529752")</f>
        <v/>
      </c>
      <c r="F35" t="inlineStr"/>
      <c r="G35" t="inlineStr">
        <is>
          <t>Malvern, PA</t>
        </is>
      </c>
      <c r="H35" t="inlineStr"/>
      <c r="I35" t="inlineStr">
        <is>
          <t>**Job Summary:**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**Required Skillset:**
 SQL
* Robust proficiency in writing complex, performant queries
* Experience with analytical datasets and data transformations
 Python
* Solid experience building data pipelines and reusable modules
* Familiarity with data processing libraries and structured code practices
 PySpark
* Hands\-on experience developing PySpark jobs for large\-scale data processing
* Understanding of distributed data processing concepts
 AWS Data Services
* AWS Glue (primary ETL tool \- required)
* Experience working with S3\-based data lakes
* Familiarity with IAM, job scheduling, and monitoring in AWS
 Data Engineering Fundamentals
* ETL/ELT design patterns, Data Modelling Techniques.
* Data quality checks and basic validation frameworks
* Understanding of partitioning, schema evolution, and performance optimization
**Optional Skillsets:**
* Experience with Redshift or any other MPP database.
* Knowledge of Iceberg, or other open table formats
* Exposure to CI/CD for data pipelines.
* Experience supporting event\-based design and systems preferably Kafka.
* Familiarity with data governance, lineage, or cataloging tools
 Location: Malvern\-PA
 location: Malvern, Pennsylvania
 job type: Solutions
 salary: $51 \- 56 per hour
 work hours: 8am to 5pm
 education: Bachelors
**Responsibilities:**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****Required Skillset:****
**SQL**
* \* Robust proficiency in writing complex, performant queries
* \* Experience with analytical datasets and data transformations
**Python**
* \* Solid experience building data pipelines and reusable modules
* \* Familiarity with data processing libraries and structured code practices
**PySpark**
* \* Hands\-on experience developing PySpark jobs for large\-scale data processing
* \* Understanding of distributed data processing concepts
**AWS Data Services**
* \* AWS Glue (primary ETL tool \- required)
* \* Experience working with S3\-based data lakes
* \* Familiarity with IAM, job scheduling, and monitoring in AWS
**Data Engineering Fundamentals**
* \* ETL/ELT design patterns, Data Modelling Techniques.
* \* Data quality checks and basic validation frameworks
* \* Understanding of partitioning, schema evolution, and performance optimization
****Optional Skillsets:****
* \* Experience with Redshift or any other MPP database.
* \* Knowledge of Iceberg, or other open table formats
* \* Exposure to CI/CD for data pipelines.
* \* Experience supporting event\-based design and systems preferably Kafka.
* \* Familiarity with data governance, lineage, or cataloging tools
 Location: Malvern\-PA
**Qualifications:**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**Optional Skillsets:**
* Experience with Redshift or any other MPP database.
* Knowledge of Iceberg, or other open table formats
* Exposure to CI/CD for data pipelines.
* Experience supporting event\-based design and systems preferably Kafka.
* Familiarity with data governance, lineage, or cataloging tools
 Location: Malvern\-PA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Any consideration of a background check would be an individualized assessment based on the applicant or employee's specific record and the duties and requirements of the specific job.</t>
        </is>
      </c>
    </row>
    <row r="36">
      <c r="A36" t="inlineStr">
        <is>
          <t>li-4366799866</t>
        </is>
      </c>
      <c r="B36" t="inlineStr">
        <is>
          <t>Lead Data Engineer</t>
        </is>
      </c>
      <c r="C36" t="inlineStr">
        <is>
          <t>Chief of Staff KC</t>
        </is>
      </c>
      <c r="D36" t="inlineStr">
        <is>
          <t>linkedin</t>
        </is>
      </c>
      <c r="E36">
        <f>HYPERLINK("https://www.linkedin.com/jobs/view/4366799866", "https://www.linkedin.com/jobs/view/4366799866")</f>
        <v/>
      </c>
      <c r="F36" t="inlineStr"/>
      <c r="G36" t="inlineStr"/>
      <c r="H36" t="inlineStr"/>
      <c r="I36" t="inlineStr">
        <is>
          <t>One of our clients is seeking a
 **Lead Data Engineer** 
 to help shape enterprise data engineering initiatives. This role combines deep hands\-on technical expertise to guide the design, scalability, governance, and long\-term direction of the data platform.
 This Lead Data Engineer will play a critical role in enabling analytics, reporting, and data\-driven decision\-making across the organization. They will partner closely with business, analytics, and application teams while setting standards, mentoring engineers, and shaping overall data strategy and architecture. The ideal candidate thrives at the intersection of technical execution, cross\-functional collaboration, and data platform expertise.
**Key Responsibilities** 
* Lead the design and evolution of the company’s cloud\-based data architecture, ensuring scalability, reliability, and performance.
* Help define and execute the organization’s data engineering roadmap, including tooling, architecture standards, automation, and platform modernization.
* Establish and promote best practices for data engineering, modeling, pipeline design, and platform management.
* Serve as a subject matter expert for enterprise data initiatives.
* Design, develop, and maintain scalable data pipelines and integration processes to support analytics, reporting, and operational use cases.
* Implement and manage layered data architectures (e.g., Bronze/Silver/Gold, Medallion, or similar frameworks) to structure and optimize data.
* Build and evolve enterprise data models that support business intelligence, operational insights, and advanced analytics.
* Integrate data from diverse platforms into a unified data environment.
* Optimize Snowflake performance using features such as Snowpipe, Streams, Tasks, and SnowSQL.
* Leverage Azure data and compute services to support scalable and cost\-effective data processing.
* Ensure robust data orchestration, monitoring, and pipeline reliability across environments.
* Lead the implementation of strong data governance practices, including data quality, validation, lineage, security, and access controls.
* Partner with stakeholders to define data standards and ensure consistency across domains.
* Support CI/CD practices and automation for data workflows.
* Support and enable the use of analytics and visualization platforms (such as Power BI or similar tools).
* Act as a bridge between technical teams and business users to ensure data solutions drive measurable outcomes.
* Mentor and support junior and mid\-level data engineers, providing technical guidance and career development support.
* Conduct design reviews, promote knowledge sharing, and foster a culture of engineering excellence.
**Qualifications \&amp; Technical Skills** 
* 5\+ years of experience in data engineering, data platform architecture, or related disciplines, with demonstrated ownership of large\-scale data solutions.
* Expertise in Snowflake (Snowpipe, Streams, Tasks)
* Strong proficiency in SQL and Python, with expertise in ETL/ELT design and data transformation best practices.
* Hands\-on experience with Azure data and compute services.
* Experience with Fivetran or similar data integration tools.
* Proven experience implementing and maintaining layered data architectures (e.g., Medallion or equivalent).
* Solid understanding of data governance, security, and CI/CD practices for analytics and data platforms.
* Strong analytical, communication, and stakeholder engagement skills.
* Experience with API\-based data integrations, REST endpoints, and JSON data structures.
* Exposure to machine learning, advanced analytics, or predictive modeling environments.
**Education** 
 Bachelor’s degree in Computer Science, Information Systems, Engineering, or a related technical discipline.</t>
        </is>
      </c>
    </row>
    <row r="37">
      <c r="A37" t="inlineStr">
        <is>
          <t>li-4366503267</t>
        </is>
      </c>
      <c r="B37" t="inlineStr">
        <is>
          <t>Analytics Engineer</t>
        </is>
      </c>
      <c r="C37" t="inlineStr">
        <is>
          <t>RemoteHunter</t>
        </is>
      </c>
      <c r="D37" t="inlineStr">
        <is>
          <t>linkedin</t>
        </is>
      </c>
      <c r="E37">
        <f>HYPERLINK("https://www.linkedin.com/jobs/view/4366503267", "https://www.linkedin.com/jobs/view/4366503267")</f>
        <v/>
      </c>
      <c r="F37">
        <f>HYPERLINK("https://www.remotehunter.com/apply-with-ai/3be3b001-19d3-4473-9f6a-2215bdd9821d?utm_medium=job_posting&amp;utm_source=linkedin&amp;utm_campaign=analytics_engineer_remote&amp;utm_category=analytics_engineer&amp;utm_term=analytics_engineer&amp;urlHash=ZWGl", "https://www.remotehunter.com/apply-with-ai/3be3b001-19d3-4473-9f6a-2215bdd9821d?utm_medium=job_posting&amp;utm_source=linkedin&amp;utm_campaign=analytics_engineer_remote&amp;utm_category=analytics_engineer&amp;utm_term=analytics_engineer&amp;urlHash=ZWGl")</f>
        <v/>
      </c>
      <c r="G37" t="inlineStr"/>
      <c r="H37" t="inlineStr"/>
      <c r="I37"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li-4366485858</t>
        </is>
      </c>
      <c r="B38" t="inlineStr">
        <is>
          <t>Analytics Engineer</t>
        </is>
      </c>
      <c r="C38" t="inlineStr">
        <is>
          <t>RemoteHunter</t>
        </is>
      </c>
      <c r="D38" t="inlineStr">
        <is>
          <t>linkedin</t>
        </is>
      </c>
      <c r="E38">
        <f>HYPERLINK("https://www.linkedin.com/jobs/view/4366485858", "https://www.linkedin.com/jobs/view/4366485858")</f>
        <v/>
      </c>
      <c r="F38">
        <f>HYPERLINK("https://www.remotehunter.com/apply-with-ai/f35fe80a-a863-4845-b059-2914be940aef?utm_medium=job_posting&amp;utm_source=linkedin&amp;utm_campaign=analytics_engineer_remote&amp;utm_category=analytics_engineer&amp;utm_term=analytics_engineer&amp;urlHash=ZsRa", "https://www.remotehunter.com/apply-with-ai/f35fe80a-a863-4845-b059-2914be940aef?utm_medium=job_posting&amp;utm_source=linkedin&amp;utm_campaign=analytics_engineer_remote&amp;utm_category=analytics_engineer&amp;utm_term=analytics_engineer&amp;urlHash=ZsRa")</f>
        <v/>
      </c>
      <c r="G38" t="inlineStr"/>
      <c r="H38" t="inlineStr"/>
      <c r="I38"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
      <c r="A39" t="inlineStr">
        <is>
          <t>li-4366531618</t>
        </is>
      </c>
      <c r="B39" t="inlineStr">
        <is>
          <t>Data Engineer</t>
        </is>
      </c>
      <c r="C39" t="inlineStr">
        <is>
          <t>Randstad Digital Americas</t>
        </is>
      </c>
      <c r="D39" t="inlineStr">
        <is>
          <t>linkedin</t>
        </is>
      </c>
      <c r="E39">
        <f>HYPERLINK("https://www.linkedin.com/jobs/view/4366531618", "https://www.linkedin.com/jobs/view/4366531618")</f>
        <v/>
      </c>
      <c r="F39" t="inlineStr"/>
      <c r="G39" t="inlineStr">
        <is>
          <t>Malvern, PA</t>
        </is>
      </c>
      <c r="H39" t="inlineStr"/>
      <c r="I39" t="inlineStr">
        <is>
          <t>**Job Summary:**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**Required Skillset:**
 SQL
* Robust proficiency in writing complex, performant queries
* Experience with analytical datasets and data transformations
 Python
* Solid experience building data pipelines and reusable modules
* Familiarity with data processing libraries and structured code practices
 PySpark
* Hands\-on experience developing PySpark jobs for large\-scale data processing
* Understanding of distributed data processing concepts
 AWS Data Services
* AWS Glue (primary ETL tool \- required)
* Experience working with S3\-based data lakes
* Familiarity with IAM, job scheduling, and monitoring in AWS
 Data Engineering Fundamentals
* ETL/ELT design patterns, Data Modelling Techniques.
* Data quality checks and basic validation frameworks
* Understanding of partitioning, schema evolution, and performance optimization
**Optional Skillsets:**
* Experience with Redshift or any other MPP database.
* Knowledge of Iceberg, or other open table formats
* Exposure to CI/CD for data pipelines.
* Experience supporting event\-based design and systems preferably Kafka.
* Familiarity with data governance, lineage, or cataloging tools
 Location: Malvern\-PA
 location: Malvern, Pennsylvania
 job type: Contract
 salary: $51 \- 56 per hour
 work hours: 8am to 5pm
 education: Bachelors
**Responsibilities:**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****Required Skillset:****
**SQL**
* \* Robust proficiency in writing complex, performant queries
* \* Experience with analytical datasets and data transformations
**Python**
* \* Solid experience building data pipelines and reusable modules
* \* Familiarity with data processing libraries and structured code practices
**PySpark**
* \* Hands\-on experience developing PySpark jobs for large\-scale data processing
* \* Understanding of distributed data processing concepts
**AWS Data Services**
* \* AWS Glue (primary ETL tool \- required)
* \* Experience working with S3\-based data lakes
* \* Familiarity with IAM, job scheduling, and monitoring in AWS
**Data Engineering Fundamentals**
* \* ETL/ELT design patterns, Data Modelling Techniques.
* \* Data quality checks and basic validation frameworks
* \* Understanding of partitioning, schema evolution, and performance optimization
****Optional Skillsets:****
* \* Experience with Redshift or any other MPP database.
* \* Knowledge of Iceberg, or other open table formats
* \* Exposure to CI/CD for data pipelines.
* \* Experience supporting event\-based design and systems preferably Kafka.
* \* Familiarity with data governance, lineage, or cataloging tools
 Location: Malvern\-PA
**Qualifications:**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**Optional Skillsets:**
* Experience with Redshift or any other MPP database.
* Knowledge of Iceberg, or other open table formats
* Exposure to CI/CD for data pipelines.
* Experience supporting event\-based design and systems preferably Kafka.
* Familiarity with data governance, lineage, or cataloging tools
 Location: Malvern\-PA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Any consideration of a background check would be an individualized assessment based on the applicant or employee's specific record and the duties and requirements of the specific job.</t>
        </is>
      </c>
    </row>
    <row r="40">
      <c r="A40" t="inlineStr">
        <is>
          <t>li-4356491613</t>
        </is>
      </c>
      <c r="B40" t="inlineStr">
        <is>
          <t>Senior Data Engineer</t>
        </is>
      </c>
      <c r="C40" t="inlineStr">
        <is>
          <t>Equinix</t>
        </is>
      </c>
      <c r="D40" t="inlineStr">
        <is>
          <t>linkedin</t>
        </is>
      </c>
      <c r="E40">
        <f>HYPERLINK("https://www.linkedin.com/jobs/view/4356491613", "https://www.linkedin.com/jobs/view/4356491613")</f>
        <v/>
      </c>
      <c r="F40" t="inlineStr"/>
      <c r="G40" t="inlineStr">
        <is>
          <t>Dallas, TX</t>
        </is>
      </c>
      <c r="H40" t="inlineStr"/>
      <c r="I40" t="inlineStr">
        <is>
          <t>**Who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
**Job Summary**
 As a Senior Data Engineer at Equinix, you will be responsible for driving end\-to\-end delivery of enterprise\-scale data solutions on Google Cloud Platform. This role combines hands\-on technical expertise, requiring you to design sophisticated system architectures, lead cross\-functional teams, and mentor Staff and other data engineers. You will be responsible for solution design and ensuring the successful delivery of mission\-critical data products. The ideal candidate demonstrates exceptional technical depth in GCP data technologies, proven leadership in guiding engineering teams through complex challenges, and the ability to translate strategic business objectives into scalable, innovative technical solutions. Knowledge of AI, Machine Learning Operations, and emerging technologies like Agentic AI and Model Context Protocol (MCP) is highly valued.
**Responsibilities**
 System Design \&amp; Architecture Leadership
* Architect complex, distributed data systems capable of handling petabyte\-scale workloads with fault tolerance and high availability
* Design data platform architectures considering scalability, performance, cost optimization, and operational excellence
* Evaluate and recommend emerging technologies, tools, and architectural patterns to drive innovation
* Create comprehensive architectural documentation, design patterns, and best practices guidelines
 Technical Solutioning \&amp; Delivery
* Own end\-to\-end delivery of complex data engineering initiatives from conception to production
* Design and implement sophisticated solutions leveraging BigQuery, Cloud Dataflow, Composer, Dataform/dbt, Pub/Sub, and Vertex AI
* Architect and build real\-time streaming data pipelines using Cloud Pub/Sub, Kafka, and Apache Beam
* Develop advanced data transformation frameworks and custom processing engines
* Design microservices\-based data platforms with containerization (Docker/Kubernetes)
* Establish comprehensive observability, monitoring, and alerting frameworks
* Drive performance optimization, cost management, and operational efficiency initiatives
 Team Leadership \&amp; Mentorship
* Lead and mentor Data Engineers and other team members, fostering technical excellence and professional growth
* Guide teams through complex technical challenges and architectural decision\-making
* Conduct technical design reviews and ensure adherence to architectural standards
* Establish coding standards, quality assurance processes, and engineering best practices
* Lead technical training programs and knowledge\-sharing initiatives
* Drive continuous improvement in team processes, tools, and methodologies
* Participate in technical hiring processes and team capability building
 Data Governance \&amp; Compliance
* Establish data classification systems, access control policies, and encryption strategies
* Implement automated data quality frameworks, lineage tracking, and metadata management
* Ensure regulatory compliance across data workflows (GDPR, SOX, industry\-specific regulations)
* Design privacy\-preserving techniques, data anonymization, and secure data sharing mechanisms
 Strategic Collaboration \&amp; Stakeholder Management
* Partner with business stakeholders to translate strategic objectives into technical solutions
* Lead cross\-functional initiatives spanning multiple engineering teams and business units
* Present technical concepts and architectural decisions to executive leadership
* Drive alignment between technical implementations and business outcomes
**Qualifications**
* Technical Expertise
* GCP Platform Mastery: 6\+ years of hands\-on experience with Google Cloud Platform, including deep expertise in BigQuery (advanced SQL, scripting, optimization, ML integration), Cloud Dataflow, Cloud Composer, Cloud Storage, Pub/Sub, Dataproc, and Vertex AI
* Programming Excellence: Expert\-level Python/Java programming, proficiency in Python/Scala for Spark development
* Advanced Data Technologies: Deep expertise in Apache Beam, Apache Spark, Airflow, Kafka, and distributed computing architectures
* Infrastructure: Extensive experience with Terraform, CI/CD pipelines, and cloud infrastructure management
* Database \&amp; Data Modeling: Advanced knowledge of relational databases (PostgreSQL, MySQL) and NoSQL systems (BigTable, Firestore, MongoDB); expertise in data modeling, normalization, and performance optimization
* System Design: Proven ability to architect complex, distributed systems with considerations for scalability, reliability, security, and cost\-effectiveness
* Professional Experience \&amp; Leadership
* Bachelor's degree in Computer Science, Engineering, or related technical field (Master's degree preferred)
* 8\+ years of data engineering experience with 6\+ years specifically on Google Cloud Platform
* Proven track record of leading end\-to\-end delivery of complex, enterprise\-scale data platform initiatives
* Experience designing and implementing data governance, compliance, and security frameworks
* Strong architectural thinking with ability to make sound technical decisions and trade\-offs
* Excellent communication skills with ability to present technical concepts to both technical and non\-technical audiences, including executive leadershi
* Proven ability to translate business requirements into scalable technical architectures and solutions
* Experience managing cross\-functional projects and building strong stakeholder relationships
**Preferred Qualifications**
* Google Cloud Professional Data Engineer and/or Cloud Architect certifications
* Experience with AI/ML technologies, MLOps practices, and machine learning pipeline development on GCP
* Knowledge of emerging AI technologies including Agentic AI frameworks, LLM integration, and Model Context Protocol (MCP)
* Experience with feature stores, model serving infrastructure, and AI/ML observability
* Understanding of data science workflows, statistical analysis, and advanced analytics
* Experience with BI and visualization tools (Looker, Tableau, Power BI)
* Contributions to open\-source data engineering projects or technical publications
* Experience with multi\-cloud or hybrid cloud architectures
* Knowledge of data mesh, data fabric, or other modern data architecture patterns
 The targeted pay range for this position in the following location is / locations are:
 United States \- Dallas Infomart Office DAI : 136,000 \- 204,000 USD / Annual
 Our pay ranges reflect the minimum and maximum target for new hire pay for the full\-time position determined by role, level, and location.
 **The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 
**.**</t>
        </is>
      </c>
    </row>
    <row r="41">
      <c r="A41" t="inlineStr">
        <is>
          <t>li-4366491971</t>
        </is>
      </c>
      <c r="B41" t="inlineStr">
        <is>
          <t>Data Engineer</t>
        </is>
      </c>
      <c r="C41" t="inlineStr">
        <is>
          <t>Oliver James</t>
        </is>
      </c>
      <c r="D41" t="inlineStr">
        <is>
          <t>linkedin</t>
        </is>
      </c>
      <c r="E41">
        <f>HYPERLINK("https://www.linkedin.com/jobs/view/4366491971", "https://www.linkedin.com/jobs/view/4366491971")</f>
        <v/>
      </c>
      <c r="F41" t="inlineStr"/>
      <c r="G41" t="inlineStr">
        <is>
          <t>Charlotte, NC</t>
        </is>
      </c>
      <c r="H41" t="inlineStr"/>
      <c r="I41" t="inlineStr">
        <is>
          <t>Data Engineer
**Location:** 
 Charlotte, NC Metro Area (Hybrid)
 Our client a leading insurance carrier is looking to grow their data engineering team. We're seeking experienced Data Engineers for multiple hybrid openings supporting a modern, cloud\-based data platform. These roles offer the opportunity to work on high\-impact data initiatives within a collaborative, technically mature environment.
 About the Role
 As a Data Engineer, you'll be embedded with our client's internal teams, contributing to the design, development, and ongoing support of scalable data solutions. You'll play a key role in ensuring data is reliable, secure, and accessible for downstream analytic and reporting needs.
 Responsibilities
* Design, build, and maintain robust data pipelines and workflows
* Develop ETL/ELT solutions using Python and Spark\-based technologies
* Optimize data processing jobs for performance and reliability
* Integrate data from a variety of sources, including APIs, files, and databases
* Support data warehousing and analytics use cases with well\-modeled, high\-quality data
* Implement secure access patterns for internal and external data sources
* Apply data governance, security, and compliance best practices
* Orchestrate and automate data workflows across cloud and on\-prem environments
 Required Experience
* Strong, hands\-on experience with
 **Databricks** 
 and
 **Apache Spark** 
 (PySpark preferred)
* Proven background building production data pipelines using
 **Python**
* Advanced
 **SQL** 
 skills and experience working with data warehouses
* Hands\-on experience with at least one major cloud platform (
 **Azure, AWS, or GCP** 
 )
* Experience working with large\-scale data systems and diverse data sources
* Familiarity with secure data connectivity methods (e.g., OAuth, service principals, tokens, or similar)
* Solid understanding of data security, encryption, and compliance standards
* Experience supporting or implementing data governance and data quality initiatives
* Demonstrated expertise using
 **Azure Data Factory** 
 for workflow orchestration</t>
        </is>
      </c>
    </row>
    <row r="42">
      <c r="A42" t="inlineStr">
        <is>
          <t>li-4366518495</t>
        </is>
      </c>
      <c r="B42" t="inlineStr">
        <is>
          <t>Databricks Data Engineer</t>
        </is>
      </c>
      <c r="C42" t="inlineStr">
        <is>
          <t>Jobs via Dice</t>
        </is>
      </c>
      <c r="D42" t="inlineStr">
        <is>
          <t>linkedin</t>
        </is>
      </c>
      <c r="E42">
        <f>HYPERLINK("https://www.linkedin.com/jobs/view/4366518495", "https://www.linkedin.com/jobs/view/4366518495")</f>
        <v/>
      </c>
      <c r="F42" t="inlineStr"/>
      <c r="G42" t="inlineStr"/>
      <c r="H42" t="inlineStr"/>
      <c r="I42" t="inlineStr">
        <is>
          <t>Dice is the leading career destination for tech experts at every stage of their careers. Our client, Cosmic\-I LLC DBA Northern Base, is seeking the following. Apply via Dice today!
**Job Title: Senior Databricks Data Engineer**
**Location: Remote**
**Role Summary**
 Our client is seeking a Senior Databricks Data Ingestion Engineer to build production\-grade, compliant ingestion pipelines for a high\-growth technology company preparing for enterprise and SOX\-aligned readiness.
 This role focuses on reliable, auditable data ingestion on Databricks, aligned with the customer’s engineering standards, security controls, and operational requirements. The engineer will work closely with the customer’s data and platform teams to deliver pipelines built for scale, governance, and long\-term operations.
**Key Responsibilities**
* Design and implement Databricks\-based ingestion pipelines using Delta Lake
* Build incremental, restartable, and schema\-aware ingestion patterns
* Adhere to customer\-defined engineering standards (code structure, CI/CD, reviews, documentation)
* Implement logging, monitoring, and operational controls for ingestion workflows
* Ensure ingestion pipelines meet security, access control, and auditability requirements
* Collaborate daily with customer engineers and escalate risks early
**Required Experience**
* 10\+ years in data engineering, with strong focus on ingestion preferably in healthcare data domain
* Hands\-on production experience with Databricks and Delta Lake
* Experience ingesting data from databases, files, and APIs
* Strong discipline around enterprise engineering standards and compliance
* Experience operating in regulated or audit\-sensitive environments
**Nice to Have**
* SOX or IPO\-readiness experience
* Data observability or data quality tooling exposure
* Experience in embedded or staff\-augmentation models</t>
        </is>
      </c>
    </row>
    <row r="43">
      <c r="A43" t="inlineStr">
        <is>
          <t>li-4366517514</t>
        </is>
      </c>
      <c r="B43" t="inlineStr">
        <is>
          <t>Sr. BI Analytics Engineer</t>
        </is>
      </c>
      <c r="C43" t="inlineStr">
        <is>
          <t>Jobs via Dice</t>
        </is>
      </c>
      <c r="D43" t="inlineStr">
        <is>
          <t>linkedin</t>
        </is>
      </c>
      <c r="E43">
        <f>HYPERLINK("https://www.linkedin.com/jobs/view/4366517514", "https://www.linkedin.com/jobs/view/4366517514")</f>
        <v/>
      </c>
      <c r="F43" t="inlineStr"/>
      <c r="G43" t="inlineStr"/>
      <c r="H43" t="inlineStr"/>
      <c r="I43" t="inlineStr">
        <is>
          <t>Dice is the leading career destination for tech experts at every stage of their careers. Our client, AIT Global, Inc., is seeking the following. Apply via Dice today!
**Job Title: Sr. BI Analytics Engineer
 Location: Remote**
**Experience:**
* 7\+ years of experience in BI, analytics engineering, or data analytics roles.
* Strong expertise in Power BI: DAX, Power Query (M), Data modeling and performance optimization
* Extensive experience with Snowflake: Analytics data modeling, Query optimization and cost management, Secure data sharing
* Advanced SQL skills.
* Proficiency in Python or R for analytics and ML development.
* Hands\-on experience with machine learning frameworks (scikit\-learn, TensorFlow, PyTorch, or similar).
* Strong understanding of statistical analysis and predictive modeling techniques.
* Experience with ETL/ELT concepts and analytics engineering workflows.
* Familiarity with Git and CI/CD for analytics and ML solutions.
* Excellent communication and stakeholder management skills.</t>
        </is>
      </c>
    </row>
    <row r="44">
      <c r="A44" t="inlineStr">
        <is>
          <t>li-4366521534</t>
        </is>
      </c>
      <c r="B44" t="inlineStr">
        <is>
          <t>Data Engineer</t>
        </is>
      </c>
      <c r="C44" t="inlineStr">
        <is>
          <t>Jobs via Dice</t>
        </is>
      </c>
      <c r="D44" t="inlineStr">
        <is>
          <t>linkedin</t>
        </is>
      </c>
      <c r="E44">
        <f>HYPERLINK("https://www.linkedin.com/jobs/view/4366521534", "https://www.linkedin.com/jobs/view/4366521534")</f>
        <v/>
      </c>
      <c r="F44" t="inlineStr"/>
      <c r="G44" t="inlineStr">
        <is>
          <t>Durham, NC</t>
        </is>
      </c>
      <c r="H44" t="inlineStr"/>
      <c r="I44" t="inlineStr">
        <is>
          <t>Dice is the leading career destination for tech experts at every stage of their careers. Our client, Refulgent Technologies Inc., is seeking the following. Apply via Dice today!
 Job: Data Engineer Azure Synapse \&amp; Power BI
**Location : Durham NC 27709**
 seeking an experienced
 **Data Engineer** 
 to design, develop, and optimize end\-to\-end data engineering solutions using
 **Microsoft Azure Synapse Analytics and Power BI** 
 . The role focuses on building scalable data pipelines, analytics solutions, and cloud\-based data platforms to support Child Welfare business needs.
**Responsibilities**
**Azure Synapse Analytics**
* Design, develop, and maintain data models in Azure Synapse to support reporting and analytics.
* Develop ETL pipelines using Azure Synapse Analytics Pipelines and Dedicated SQL Pools.
* Extract, transform, and aggregate data from Salesforce objects.
* Analyze source systems and design efficient ETL data load strategies.
* Create and configure Azure Synapse Analytics workspaces.
* Build pipelines using Linked Services, Datasets, and Pipelines.
* Monitor, troubleshoot, and maintain data pipelines and overall data architecture.
* Ensure performance optimization, data quality, and reliability.
**Power BI**
* Collaborate with data engineers, analysts, and business stakeholders to gather reporting requirements.
* Design and develop Power BI dashboards and reports.
* Enable and support self\-service BI solutions.
* Provide training and guidance to users on Power BI tools and best practices.
**Required Skills**
* Strong experience with Azure Synapse Analytics
* Hands\-on experience with ETL/ELT development
* Experience integrating data from Salesforce
* Strong SQL skills (Dedicated SQL Pools)
* Experience building data pipelines in Azure
* Power BI report and dashboard development
* Data modeling and performance tuning
* Cloud data architecture experience (Azure)</t>
        </is>
      </c>
    </row>
    <row r="45">
      <c r="A45" t="inlineStr">
        <is>
          <t>li-4321533131</t>
        </is>
      </c>
      <c r="B45" t="inlineStr">
        <is>
          <t>Data Engineer 2</t>
        </is>
      </c>
      <c r="C45" t="inlineStr">
        <is>
          <t>Jobs via Dice</t>
        </is>
      </c>
      <c r="D45" t="inlineStr">
        <is>
          <t>linkedin</t>
        </is>
      </c>
      <c r="E45">
        <f>HYPERLINK("https://www.linkedin.com/jobs/view/4321533131", "https://www.linkedin.com/jobs/view/4321533131")</f>
        <v/>
      </c>
      <c r="F45" t="inlineStr"/>
      <c r="G45" t="inlineStr">
        <is>
          <t>Redmond, WA</t>
        </is>
      </c>
      <c r="H45" t="inlineStr"/>
      <c r="I45"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Do you love the excitement and learning opportunity to study, analyze, and deal with the most complex threats to digital security in today's world? Do you have the "learner" mindset, are willing to un\-learn previous skills and learn new ones every day? Are you passionate about solving the challenges of security response teams? If yes, then this opportunity is for you.
 The Telemetry Enforcement Engineering team, within Cyber Defense Operations is looking for a Data Engineer to drive the centralization of access and curation of critical security data while applying operational rigor to ensure real\-time availability and accuracy of thousands of mission\-critical data sources. About CDO \- Cyber Defense Operations. An organization led by Microsoft's Chief Information Security Officer enables Microsoft to deliver the most trusted software and services. The CDO vision is to ensure all information and services are protected, secured, and available for appropriate use through innovation and a robust risk \&amp; management framework.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Data\-Driven Analysis \- Analyzes key metrics and key performance indicators (KPIs) and other data sources (e.g., bugs, unhealthy data pipeline) and identifies trends in security issues and escalates appropriately. Recommends improvements and/or metrics to address gaps in measurement.
* Leverages multiple sources of data in conducting and interpreting analysis. Evaluates data sets for anomalies and other patterns.
* Technical Insight: Provides technical insight on incident analysis and management, threat mitigation and an ability to translate into platform requirements, partnering closely with software development teams.
* Operational Rigor: Demonstrates exceptional operational rigor with real\-world experience in cyber security operations, threat mitigation and incident response.
* Stakeholder Management: Manages critical stakeholder calls and meetings (including non\-business hours) while addressing critical security incidents.
* Security Knowledge: Possesses extensive hands\-on knowledge of security concepts including cyber\-attacks, techniques, threat vectors, risk management, and incident management.
* Data Engineering \&amp; Management: Understand and administer data source access, availability, while proactively defining controls \&amp; policies to improve access and availability.
* Participate in oncall rotations/duties
**Other**
* Embody our culture and values.
**Qualifications**
**Required Minimum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
* 1\+ years of experience in a Data Engineer or Software Engineer role with a focus on cloud\-based big data processing.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**Citizenship \&amp; Citizenship Verification** 
 :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either proof of their country of citizenship or proof of their U.S. permanent residency or other protected status (e.g., under 8 U.S.C. 1324b(a)(3\)) for assessment of eligibility to access the export controlled information. To meet this legal requirement, and as a condition of employment, the successful candidate's citizenship will be verified with a valid passport. Lawful permanent residents, refugees, and asylees may verify status using other documents, where applicable.
**Additional or Preferred Qualifications:**
* 3\+ years of experience in data engineering
* 3\+ years of hands\-on experience with Microsoft Kusto clusters (KQL), Azure Cosmos DB, Azure Access Control methods
* 3\+ years assisting in tuning and optimizing data source and data pipeline availability rules and alerts.
* 3\+ years collaborating with IT, DevOps, and other teams to remediate vulnerabilities and improve security controls/policies.
* 3\+ year pipeline experience, Synapse/Python
* 3\+ years of experience of DRI/Live site Engagement/Oncall experience
* 8\+ years of security operations work experience, with 5 years of experience collaborating with IR/SOC.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6">
      <c r="A46" t="inlineStr">
        <is>
          <t>li-4366525417</t>
        </is>
      </c>
      <c r="B46" t="inlineStr">
        <is>
          <t>Data Engineer</t>
        </is>
      </c>
      <c r="C46" t="inlineStr">
        <is>
          <t>Jobs via Dice</t>
        </is>
      </c>
      <c r="D46" t="inlineStr">
        <is>
          <t>linkedin</t>
        </is>
      </c>
      <c r="E46">
        <f>HYPERLINK("https://www.linkedin.com/jobs/view/4366525417", "https://www.linkedin.com/jobs/view/4366525417")</f>
        <v/>
      </c>
      <c r="F46">
        <f>HYPERLINK("https://click.appcast.io/t/7KwJrsDRGA-tgc97UTlGr4HhEO5i8H4yGgfO72Pk-4g=&amp;urlHash=eP3v", "https://click.appcast.io/t/7KwJrsDRGA-tgc97UTlGr4HhEO5i8H4yGgfO72Pk-4g=&amp;urlHash=eP3v")</f>
        <v/>
      </c>
      <c r="G46" t="inlineStr">
        <is>
          <t>Pennsylvania, United States</t>
        </is>
      </c>
      <c r="H46" t="inlineStr"/>
      <c r="I46" t="inlineStr">
        <is>
          <t>job summary: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Required Skillset:
 SQL
* Robust proficiency in writing complex, performant queries
* Experience with analytical datasets and data transformations
 Python
* Solid experience building data pipelines and reusable modules
* Familiarity with data processing libraries and structured code practices
 PySpark
* Hands\-on experience developing PySpark jobs for large\-scale data processing
* Understanding of distributed data processing concepts
 AWS Data Services
* AWS Glue (primary ETL tool \- required)
* Experience working with S3\-based data lakes
* Familiarity with IAM, job scheduling, and monitoring in AWS
 Data Engineering Fundamentals
* ETL/ELT design patterns, Data Modelling Techniques.
* Data quality checks and basic validation frameworks
* Understanding of partitioning, schema evolution, and performance optimization
 Optional Skillsets:
* Experience with Redshift or any other MPP database.
* Knowledge of Iceberg, or other open table formats
* Exposure to CI/CD for data pipelines.
* Experience supporting event\-based design and systems preferably Kafka.
* Familiarity with data governance, lineage, or cataloging tools
 Location: Malvern\-PA
 location: Malvern, Pennsylvania
 job type: Contract
 salary: $51 \- 56 per hour
 work hours: 8am to 5pm
 education: Bachelors
 responsibilities: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**Required Skillset:**
**SQL**
* \* Robust proficiency in writing complex, performant queries
* \* Experience with analytical datasets and data transformations
**Python**
* \* Solid experience building data pipelines and reusable modules
* \* Familiarity with data processing libraries and structured code practices
**PySpark**
* \* Hands\-on experience developing PySpark jobs for large\-scale data processing
* \* Understanding of distributed data processing concepts
**AWS Data Services**
* \* AWS Glue (primary ETL tool \- required)
* \* Experience working with S3\-based data lakes
* \* Familiarity with IAM, job scheduling, and monitoring in AWS
**Data Engineering Fundamentals**
* \* ETL/ELT design patterns, Data Modelling Techniques.
* \* Data quality checks and basic validation frameworks
* \* Understanding of partitioning, schema evolution, and performance optimization
**Optional Skillsets:**
* \* Experience with Redshift or any other MPP database.
* \* Knowledge of Iceberg, or other open table formats
* \* Exposure to CI/CD for data pipelines.
* \* Experience supporting event\-based design and systems preferably Kafka.
* \* Familiarity with data governance, lineage, or cataloging tools
 Location: Malvern\-PA
 qualifications: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Required Skillset:
 SQL
* Robust proficiency in writing complex, performant queries
* Experience with analytical datasets and data transformations
 Python
* Solid experience building data pipelines and reusable modules
* Familiarity with data processing libraries and structured code practices
 PySpark
* Hands\-on experience developing PySpark jobs for large\-scale data processing
* Understanding of distributed data processing concepts
 AWS Data Services
* AWS Glue (primary ETL tool \- required)
* Experience working with S3\-based data lakes
* Familiarity with IAM, job scheduling, and monitoring in AWS
 Data Engineering Fundamentals
* ETL/ELT design patterns, Data Modelling Techniques.
* Data quality checks and basic validation frameworks
* Understanding of partitioning, schema evolution, and performance optimization
 Optional Skillsets:
* Experience with Redshift or any other MPP database.
* Knowledge of Iceberg, or other open table formats
* Exposure to CI/CD for data pipelines.
* Experience supporting event\-based design and systems preferably Kafka.
* Familiarity with data governance, lineage, or cataloging tools
 Location: Malvern\-PA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Any consideration of a background check would be an individualized assessment based on the applicant or employee's specific record and the duties and requirements of the specific job.</t>
        </is>
      </c>
    </row>
    <row r="47">
      <c r="A47" t="inlineStr">
        <is>
          <t>li-4365800619</t>
        </is>
      </c>
      <c r="B47" t="inlineStr">
        <is>
          <t>Senior Data Engineer</t>
        </is>
      </c>
      <c r="C47" t="inlineStr">
        <is>
          <t>Jobs via Dice</t>
        </is>
      </c>
      <c r="D47" t="inlineStr">
        <is>
          <t>linkedin</t>
        </is>
      </c>
      <c r="E47">
        <f>HYPERLINK("https://www.linkedin.com/jobs/view/4365800619", "https://www.linkedin.com/jobs/view/4365800619")</f>
        <v/>
      </c>
      <c r="F47">
        <f>HYPERLINK("https://click.appcast.io/t/VTgNyWyNFJkqHZ9g1JXJ1Ym6tChjhO84-NIfRrnuWb4=&amp;urlHash=Rm16", "https://click.appcast.io/t/VTgNyWyNFJkqHZ9g1JXJ1Ym6tChjhO84-NIfRrnuWb4=&amp;urlHash=Rm16")</f>
        <v/>
      </c>
      <c r="G47" t="inlineStr">
        <is>
          <t>San Francisco, CA</t>
        </is>
      </c>
      <c r="H47" t="inlineStr"/>
      <c r="I47" t="inlineStr">
        <is>
          <t>**About The Role**
 We are seeking a strong and passionate data engineer with experience in large scale system implementation, with a focus on complex data pipelines. The candidate must be able to design and drive large projects from inception to production. The right person will work with stakeholders, analysts, scientists to gather requirements and translate them into a data engineering roadmap. Must be a great communicator, team player, and a technical powerhouse.
**What The Candidate Will Do**
 Collaborate with engineering/product/analyst teams across tech sites to collectively accomplish OKRs to take Uber forward.
 Enrich data layers to effectively deal with the next generation of products which are a result of Uber's big bold bets.
 Design and build data pipelines to schedule \&amp; orchestrate a variety of tasks such as extract, cleanse, transform, enrich \&amp; load data as per the business needs.
**Basic Qualifications**
* Strong SQL skills
* Strong in Data Warehousing and Data Modelling concepts
* Hands on experience in Hadoop tech stack:
* HDFS, Hive, Oozie, Airflow, MapReduce, Spark.
* Programming languages \- Python, Java, Scala etc.
* Experience in building ETL Data Pipelines
* Performance Troubleshooting and Tuning
**Preferred Qualifications**
* Experience with DW (Data Warehouse) or BI (Business Intelligence) or OLAP tools like Anaplan, TM1, Hyperion etc.
* Experience building high\-quality end\-to\-end data solutions in an agile environment from requirements to production.
* Strong in Data Warehousing concepts
* Should be self\-motivated and passionate about bringing efficiency into the system through optimizations.
* Should be able to raise the bar for other engineers by proposing and driving innovative ideas.
* Experience in mentoring junior team members technically.
* If need be, Act as a Leader to drive big efforts in collaboration with other engineers or team members.
 For San Francisco, CA\-based roles: The base salary range for this role is USD$202,000 per year \- USD$224,000 per year.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48">
      <c r="A48" t="inlineStr">
        <is>
          <t>li-4366529341</t>
        </is>
      </c>
      <c r="B48" t="inlineStr">
        <is>
          <t>Senior Data Engineer</t>
        </is>
      </c>
      <c r="C48" t="inlineStr">
        <is>
          <t>Jobs via Dice</t>
        </is>
      </c>
      <c r="D48" t="inlineStr">
        <is>
          <t>linkedin</t>
        </is>
      </c>
      <c r="E48">
        <f>HYPERLINK("https://www.linkedin.com/jobs/view/4366529341", "https://www.linkedin.com/jobs/view/4366529341")</f>
        <v/>
      </c>
      <c r="F48">
        <f>HYPERLINK("https://click.appcast.io/t/r6l5NylwEuZHdihoRfwi_l-TvSubvHG3Gcq9zrP8LIU=&amp;urlHash=Bc84", "https://click.appcast.io/t/r6l5NylwEuZHdihoRfwi_l-TvSubvHG3Gcq9zrP8LIU=&amp;urlHash=Bc84")</f>
        <v/>
      </c>
      <c r="G48" t="inlineStr"/>
      <c r="H48" t="inlineStr"/>
      <c r="I48" t="inlineStr">
        <is>
          <t>Dice is the leading career destination for tech experts at every stage of their careers. Our client, V\-CENTRIX\-US LLC, is seeking the following. Apply via Dice today!
 Job Title: Senior Data Engineer (Python – LLM Data Pipelines)
**Location:** 
 Remote (US)
**Experience:** 
 5–10 Years
**Education:** 
 BTech / BSE / BS or equivalent
**Job Description**
 We are seeking a
 **Senior Data Engineer (Python)** 
 to design, build, and own large\-scale data pipelines that support
 **LLM (Large Language Model) training and experimentation** 
 . This is a
 **hands\-on individual contributor role** 
 focused on data ingestion, transformation, quality, and performance at scale.
 The ideal candidate is a
 **strong Python engineer** 
 with deep experience in data engineering, who enjoys working on large, messy datasets and building reliable, automated systems used by AI and ML teams.
 Key Responsibilities
* Design, build, and maintain scalable ETL/ELT pipelines in Python
* Process and transform terabyte\-scale datasets for AI/LLM training
* Implement data cleaning, deduplication, normalization, and filtering
* Ensure high data quality and integrity across all pipelines
* Structure datasets in formats such as JSON, Parquet, CSV
* Optimize data pipelines for performance, cost, and reliability
* Collaborate with ML engineers and AI researchers to support model training workflows
* Assist with data\-related issues during training runs when needed
**Required Skills \&amp; Qualifications**
* 8\+ years of experience in Data Engineering / Backend Engineering
* Expert\-level Python development skills
* Strong experience with Python data libraries:
+ Pandas
+ NumPy
+ Dask or Polars
* Proven experience building large\-scale data pipelines
* Strong understanding of:
+ Data structures
+ Data modeling
+ Software engineering best practices
* Experience handling large datasets in:
+ JSON
+ CSV
+ XML
+ Parquet
* Experience with Git, CI/CD, and testing
* Excellent problem\-solving and communication skills
**Nice To Have (Preferred)**
* Experience with LLM data preprocessing pipelines (GPT, BERT, LLaMA, etc.)
* Experience with Apache Spark or Ray
* Familiarity with Hugging Face (Transformers, Datasets, Tokenizers)
* Exposure to PyTorch or TensorFlow
* Experience with cloud platforms (AWS, Google Cloud Platform, or Azure)</t>
        </is>
      </c>
    </row>
    <row r="49">
      <c r="A49" t="inlineStr">
        <is>
          <t>li-4356481442</t>
        </is>
      </c>
      <c r="B49" t="inlineStr">
        <is>
          <t>Test Data Engineer (Hybrid)</t>
        </is>
      </c>
      <c r="C49" t="inlineStr">
        <is>
          <t>Signet Jewelers</t>
        </is>
      </c>
      <c r="D49" t="inlineStr">
        <is>
          <t>linkedin</t>
        </is>
      </c>
      <c r="E49">
        <f>HYPERLINK("https://www.linkedin.com/jobs/view/4356481442", "https://www.linkedin.com/jobs/view/4356481442")</f>
        <v/>
      </c>
      <c r="F49" t="inlineStr"/>
      <c r="G49" t="inlineStr">
        <is>
          <t>Irving, TX</t>
        </is>
      </c>
      <c r="H49" t="inlineStr"/>
      <c r="I49"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**Test Data Engineer III**
**Locations: Dallas, TX or Akron, OH (Hybrid)**
**POSITION SUMMARY** 
 :
 We are seeking a hands‑on
 **Senior Test Data Engineer** 
 to own and advance Signet’s non‑production test data ecosystem. In this role, you will design modern Test Data Management (TDM) practices, stabilize lower environments, and build automation that provisions, validates, and monitors test data at scale. Your work will accelerate high‑quality releases across engineering teams by ensuring that test data is consistent, privacy‑safe, and continuously reliable across all lower environments.
 This role blends architecture and deep engineering: you will define strategy, build open‑source tooling, govern data quality, and lead cross‑team collaboration to enable fast, stable, and testable delivery pipelines.
**RESPONSIBILITIES:**
**Own the Test Data Strategy \&amp; Architecture**
* Define the end‑to‑end test data strategy across all lower environments to ensure consistency, accuracy, privacy, safety, and reuse.
* Standardize and maintain reusable, versioned datasets, refresh cadences, and cross‑system referential integrity.
* Develop and maintain modern TDM frameworks including subsetting, masking/anonymization, and synthetic data generation.
* Reduce environment specific workarounds by implementing scalable, automated refresh mechanisms.
**Build Technical Provisioning, Automation \&amp; Tooling**
* Build and maintain open‑source automation (Python, shell, REST, Postman, Selenium) for on‑demand data provisioning, masking, synthetic generation, and data validations.
* Architect, optimize, and monitor extract jobs and pipelines in partnership with Lower Environments, ETL, ESB, PIM, and Order Management teams.
* Implement parameterized pipelines and frameworks that enable rapid provisioning for complex test scenarios.
* Integrate data provisioning workflows into CI pipelines and test automation frameworks.
**Environmental Stability \&amp; Observability**
* Improve lower‑environment stability by detecting and remediating data drift, config drift, and schema drift across platforms.
* Define and enforce SLAs related to environment readiness and test data availability.
* Implement data quality gates and observability at pipeline, including automated health checks, dashboards, alerts.
* Partner with support teams to build dashboards that proactively detect data quality issues and flag readiness gaps.
**Governance, Quality \&amp; Risk Management**
* Establish governance rules, protect designated shared test SKUs, and enforce data integrity standards.
* Ensure proper review, traceability, and documentation of changes using Jira and Confluence.
* Lead efforts to ensure regression and integration suites always have reliable, stable, and privacy‑compliant test data.
**Cross‑Team SME Leadership**
* Serve as the primary subject matter expert and escalation point for all test data concerns.
* Mentor engineers, conduct design reviews for new data feeds, and guide teams in building testable and resilient data flows.
* Partner closely with QE, Dev, Product, Ops, and Architecture teams to align test data strategy with delivery needs.
**Documentation \&amp; Continuous Improvement**
* Maintain clear documentation including data models, runbooks, job flows, TDM frameworks, and environment health guides.
* Track enhancements, issues, and KPIs through Jira to drive measurable continuous improvement.
* Lead initiatives that reduce manual setup, accelerate test scenario enablement, and improve synchronization performance.
**POSITION QUALIFICATIONS** 
 :
* 5\+ years of experience in Test Data Engineering, Data Engineering, or Quality Engineering.
* Strong expertise in SQL, data modeling, ETL/ESB pipelines, and job orchestration.
* Hands‑on experience with TDM practices including subsetting, masking/anonymization, synthetic data creation, and referential integrity.
* Automation first mindset using open‑source tools: Python, shell scripting, REST, Postman, Git, CI pipelines.
* Proven experience stabilizing lower environments, identifying drift, and troubleshooting cross‑system data issues.
* Experience building automated validations, data quality checks, metrics, and monitoring/alerting.
**Preferred Qualifications**
* Experience in retail or ecommerce domains.
* Familiarity with platforms such as SAP Hybris, Sterling Order Management (DOM), ETL, ESB, PIM, Payment/PLCC systems.
* Experience integrating test data flows with automated testing frameworks: Selenium, Cypress, Postman, REST Assured.
* Background in inventory synchronization, environment observability, or data governance frameworks.
* Experience with pipeline orchestration tools, cloud data platforms, or data virtualization technologies.
**BENEFITS \&amp; PERKS:**
* Competitive healthcare, dental \&amp; vision insurance
* 401(k) matching after one year of employment
* Generous time off \+ company holidays
* Merchandise discount
* Learning \&amp; Development programs
* Much more!</t>
        </is>
      </c>
    </row>
    <row r="50">
      <c r="A50" t="inlineStr">
        <is>
          <t>li-4330881644</t>
        </is>
      </c>
      <c r="B50" t="inlineStr">
        <is>
          <t>Staff Data Engineer (EL Focus - Azure/Snowflake)</t>
        </is>
      </c>
      <c r="C50" t="inlineStr">
        <is>
          <t>Life Science Connect</t>
        </is>
      </c>
      <c r="D50" t="inlineStr">
        <is>
          <t>linkedin</t>
        </is>
      </c>
      <c r="E50">
        <f>HYPERLINK("https://www.linkedin.com/jobs/view/4330881644", "https://www.linkedin.com/jobs/view/4330881644")</f>
        <v/>
      </c>
      <c r="F50">
        <f>HYPERLINK("http://lifescienceconnect.applytojob.com/apply/DxCsRw3qcA?source=LinkedIn&amp;urlHash=WQhX", "http://lifescienceconnect.applytojob.com/apply/DxCsRw3qcA?source=LinkedIn&amp;urlHash=WQhX")</f>
        <v/>
      </c>
      <c r="G50" t="inlineStr">
        <is>
          <t>Horsham, PA</t>
        </is>
      </c>
      <c r="H50" t="inlineStr"/>
      <c r="I50" t="inlineStr">
        <is>
          <t>**About Life Science Connect**
 Life Science Connect is dedicated to uniting life sciences professionals and suppliers to accelerate research, development, and manufacturing. We help professionals discover market opportunities by facilitating mutually beneficial connections between audiences and strategic partners. This accelerates the advancement of life\-improving, life\-extending, and life\-saving therapies and devices. We serve a loyal, satisfied readership that demands original, compelling content with utility. Our comprehensive suite of capabilities for B2B sales and marketing enablement contributes significantly to the creation and maintenance of robust business development pipelines for our partners.
**The Mission: Data Force Multiplier**
 Life Science Connect is pivoting from a traditional publisher to a
 **Data Authority** 
 . We are building a modern "Efficiency Stack" centered on
 **Azure, Snowflake, and dbt** 
 to power our proprietary intent scoring and analytics products.
 We are seeking an expert, hands\-on
 **Staff Data Engineer** 
 to be the technical backbone of our data ingestion strategy.
 This is a critical, high\-impact role focused specifically on the
 **Extraction and Load (EL)** 
 portion of our architecture. You will not just build pipelines; you will architect the ingestion framework that feeds our entire analytics ecosystem. Your success will be measured by your ability to deliver high\-quality, reliable, and timely raw data to our Analytics Engineering team, acting as a force multiplier that enables them to focus purely on business logic and transformation.
**Key Responsibilities**
* EL Pipeline Architecture \&amp; Execution
* Ingestion Architecture: Own the design, development, and optimization of scalable data ingestion pipelines using Azure Data Factory (ADF). You will move beyond basic "drag\-and\-drop" configurations to build resilient, parameterized frameworks.
* Complex Source Integration: Design robust pipelines for high\-volume, complex sources including Salesforce, Google Analytics (GA4\), and internal APIs. You will be responsible for building custom connectors (using Python/Azure Functions) when native ADF connectors encounter API limits or sampling constraints.
* Snowflake Landing: Architect efficient loading patterns into Snowflake (Snowpipe, External Stages), ensuring that the "Raw Layer" is optimized for cost and performance before transformation begins.
* Analytics Collaboration \&amp; Schema Governance
* The "dbt" Bridge: Act as the primary partner to the Analytics Engineering team. You will collaborate on Raw Layer schema design, ensuring that data lands in a structure that is easily consumable by dbt, preventing "garbage in" scenarios.
* Data Reliability: Provide the downstream teams with thoroughly documented reliable raw data feeds. You are the guarantee that the data in the warehouse matches the source of truth.
* Pipeline Orchestration \&amp; Optimization
* Advanced Orchestration: Design dependency\-aware pipeline orchestrations that manage the full data lifecycle, ensuring data arrives in the correct order and at the required frequency.
* Performance Tuning: Continuously monitor pipeline performance (latency, throughput) and optimize ADF resource allocation to control costs without sacrificing speed.
* Engineering Standards \&amp; Security
* CI/CD Implementation: Define and lead the implementation of CI/CD pipelines for data workflows. You will enforce automated testing and deployment processes using Git/GitHub, treating infrastructure as code.
* Security \&amp; Compliance: Implement security best practices within the ingestion layer, specifically regarding Azure Key Vault for credential management and PIPL/GDPR compliance for PII handling.
**The Ideal Candidate Profile**
* Experience: 7\+ years of professional experience in data engineering with a focus on high\-volume production pipelines.
* The "Hybrid" Skillset: You have expert\-level proficiency with Azure Data Factory (ADF), but you are also a strong coder. You are proficient in Python and SQL, capable of writing custom scripts for API interactions, data validation, and complex logic that GUI tools cannot handle.
* API Mastery: You understand the nuances of integrating with complex SaaS APIs (Salesforce, GA4\). You know how to handle rate limits, pagination, and token management programmatically.
* Warehouse Expertise: You have extensive experience loading data into Snowflake and understand the architectural implications of loading patterns on warehouse costs.
* Stakeholder Focus: You understand that your "customer" is the Analytics Engineer. You take pride in delivering clean, reliable raw data that makes their job easier.
**Why Join Now?**
* Strategic Impact: You will build the foundation of our "Data Authority" platform, handling the data that drives our revenue.
* Modern Stack: Work with a clean, modern stack—Azure, Snowflake, Python, and dbt—without the burden of on\-prem legacy debt.
* Empowerment: You report to the Director of Data Architecture with a mandate to define the standards for how data enters our ecosystem.
**We Invest in YOU**
 At Life Science Connect, our commitment to empowering innovation and facilitating growth within the life sciences sector extends to our employees. We offer a comprehensive total compensation program designed to support your overall health, financial well\-being, and professional development.
**In Addition To a Competitive Salary, You'll Enjoy**
* Medical/vision/prescription/dental coverage for you and your family
* 100% company\-paid short\- and long\-term disability insurance
* 100% company\-paid life insurance
* 401(k) with dollar\-for\-dollar company match up to 6%
* 15 vacation days and 6 personal days on day 1
* 13 company\-paid holidays
 To view all our job postings and showcases for some of our employees, visit: https://lifescienceconnect.com/careers/
**Principals only. We do not accept unsolicited resumes from third\-party recruiters or staffing agencies. No visa sponsorship is available for this position.**</t>
        </is>
      </c>
    </row>
    <row r="51">
      <c r="A51" t="inlineStr">
        <is>
          <t>li-4366530312</t>
        </is>
      </c>
      <c r="B51" t="inlineStr">
        <is>
          <t>Data Engineer</t>
        </is>
      </c>
      <c r="C51" t="inlineStr">
        <is>
          <t>Jobs via Dice</t>
        </is>
      </c>
      <c r="D51" t="inlineStr">
        <is>
          <t>linkedin</t>
        </is>
      </c>
      <c r="E51">
        <f>HYPERLINK("https://www.linkedin.com/jobs/view/4366530312", "https://www.linkedin.com/jobs/view/4366530312")</f>
        <v/>
      </c>
      <c r="F51" t="inlineStr"/>
      <c r="G51" t="inlineStr">
        <is>
          <t>Charlotte, NC</t>
        </is>
      </c>
      <c r="H51" t="inlineStr"/>
      <c r="I51" t="inlineStr">
        <is>
          <t>Dice is the leading career destination for tech experts at every stage of their careers. Our client, Techgene Solutions LLC, is seeking the following. Apply via Dice today!
**Responsibilities**
 Job Description
* Provides advanced level IT technical lead services and direction for software, middleware, or hardware projects on a single platform. Provides technical expertise and completes complex development, design, implementation, architecture design specification, and maintenance activities.
* Ensures the viability of IT deliverables.
* Communicates with key stakeholders on project issues and implications. Evaluates the impacts of change requests on technologies.
* Maintains current knowledge of IT development methodology, architecture design, and technical standards.
* Writes documentation, including technical standards and processes.
* Identifies opportunities for continuous quality improvement of technical standards, methodologies, and technologies.
* May participate in design, code, and test inspections throughout the product life cycle to contribute technical expertise and to identify issues. Presents technical status and issues at milestone reviews.
**Qualifications**
* Python, AWS, Data Analytics, Spark, Infrastructure as Code, Docker, SQL, Big Data, and Bitbucket, Lambda, GIT, EMR, Glue, S3, RDS, DynamoDB, Cloud formation, Kinesis, Athena
* Must have worked in AWS environment
 Job Responsibilities
 Job Responsibilities
* Maintains current knowledge of IT development methodology, architecture design, and technical standards.
* Writes documentation, including technical standards and processes.
* Identifies opportunities for continuous quality improvement of technical standards, methodologies, and technologies.
* May participate in design, code, and test inspections throughout product life cycle to contribute technical expertise and to identify issues. Presents technical status and issues at milestone reviews.</t>
        </is>
      </c>
    </row>
    <row r="52">
      <c r="A52" t="inlineStr">
        <is>
          <t>li-4366525426</t>
        </is>
      </c>
      <c r="B52" t="inlineStr">
        <is>
          <t>Job Title: Data Engineer -W2</t>
        </is>
      </c>
      <c r="C52" t="inlineStr">
        <is>
          <t>Jobs via Dice</t>
        </is>
      </c>
      <c r="D52" t="inlineStr">
        <is>
          <t>linkedin</t>
        </is>
      </c>
      <c r="E52">
        <f>HYPERLINK("https://www.linkedin.com/jobs/view/4366525426", "https://www.linkedin.com/jobs/view/4366525426")</f>
        <v/>
      </c>
      <c r="F52" t="inlineStr"/>
      <c r="G52" t="inlineStr"/>
      <c r="H52" t="inlineStr"/>
      <c r="I52" t="inlineStr">
        <is>
          <t>Dice is the leading career destination for tech experts at every stage of their careers. Our client, Virtuous Tech Inc, is seeking the following. Apply via Dice today!
**Experience:** 
 4–8\+ Years
**Location:** 
 Open (Remote / Hybrid / Onsite)
**Visa:** 
 Any (as applicable)
**Job Summary:**
 Experienced Data Engineer skilled in designing, building, and maintaining scalable data pipelines and data platforms to support analytics and business intelligence.
**Key Skills:**
* Python, SQL, Scala (preferred)
* ETL/ELT tools (Airflow, Informatica, Talend, dbt)
* Data Warehousing: Snowflake, Redshift, BigQuery
* Big Data: Spark, Hadoop, Kafka
* Cloud: AWS / Azure / Google Cloud Platform
* Data modeling, data governance
* CI/CD, Git, Docker
**Responsibilities:**
* Build and maintain data pipelines
* Optimize data flow and storage solutions
* Work with structured and unstructured data
* Ensure data quality, reliability, and security
* Collaborate with analytics and BI teams
**Nice to Have:**
* Real\-time streaming data experience
* Power BI / Tableau exposure
 If you want, I can:
* 🔹 Customize these for specific experience (5\+ / 8\+)
* 🔹 Add tool\-heavy keywords for ATS/portal ranking
* 🔹 Convert this into short marketing blurbs (3–4 lines per profile)</t>
        </is>
      </c>
    </row>
    <row r="53">
      <c r="A53" t="inlineStr">
        <is>
          <t>li-4356530328</t>
        </is>
      </c>
      <c r="B53" t="inlineStr">
        <is>
          <t>Senior Data Engineer with MDM experience - Synechron Inc.</t>
        </is>
      </c>
      <c r="C53" t="inlineStr">
        <is>
          <t>Jobs via eFinancialCareers</t>
        </is>
      </c>
      <c r="D53" t="inlineStr">
        <is>
          <t>linkedin</t>
        </is>
      </c>
      <c r="E53">
        <f>HYPERLINK("https://www.linkedin.com/jobs/view/4356530328", "https://www.linkedin.com/jobs/view/4356530328")</f>
        <v/>
      </c>
      <c r="F53">
        <f>HYPERLINK("https://click.appcast.io/t/uJSRsBtd83ty6PdMKopq00dP5PbUm3IwVKbvat_V8qs=&amp;urlHash=nWp5", "https://click.appcast.io/t/uJSRsBtd83ty6PdMKopq00dP5PbUm3IwVKbvat_V8qs=&amp;urlHash=nWp5")</f>
        <v/>
      </c>
      <c r="G53" t="inlineStr">
        <is>
          <t>Iselin, NJ</t>
        </is>
      </c>
      <c r="H53" t="inlineStr"/>
      <c r="I53"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highly skilled and experienced Senior Data Engineer specializing in Master Data Management (MDM) to join our data team. The ideal candidate will have a strong background in designing, implementing, and managing end\-to\-end MDM solutions, preferably within the financial sector. Candidate will be responsible for architecting robust data platforms, evaluating MDM tools, and aligning data strategies to meet business needs.
 Additional Information\*
 The base salary for this position will vary based on geography and other factors. In accordance with law, the base salary for this role if filled within Iselin, NJ is $140k \- $155k/year \&amp; benefits (see below).
**The Role**
**Responsibilities:**
* Lead the design, development, and deployment of comprehensive MDM solutions across the organization, with an emphasis on financial data domains.
* Demonstrate extensive experience with multiple MDM implementations, including platform selection, comparison, and optimization.
* Architect and present end\-to\-end MDM architectures, ensuring scalability, data quality, and governance standards are met.
* Evaluate various MDM platforms (e.g., Informatica, Reltio, Talend, IBM MDM, etc.) and provide objective recommendations aligned with business requirements.
* Collaborate with business stakeholders to understand reference data sources and develop strategies for managing reference and master data effectively.
* Implement data integration pipelines leveraging modern data engineering tools and practices.
* Develop, automate, and maintain data workflows using Python, Airflow, or Astronomer.
* Build and optimize data processing solutions using Kafka, Databricks, Snowflake, Azure Data Factory (ADF), and related technologies.
* Design microservices, especially utilizing GraphQL, to enable flexible and scalable data services.
* Ensure compliance with data governance, data privacy, and security standards.
* Support CI/CD pipelines for continuous integration and deployment of data solutions.
**Requirements:**
* 12\+ years of experience in data engineering, with a proven track record of MDM implementations, preferably in the financial services industry.
* Extensive hands\-on experience designing and deploying MDM solutions and comparing MDM platform options.
* Strong functional knowledge of reference data sources and domain\-specific data standards.
* Expertise in Python, Pyspark, Kafka, microservices architecture (particularly GraphQL), Databricks, Snowflake, Azure Data Factory, SQL, and orchestration tools such as Airflow or Astronomer.
* Familiarity with CI/CD practices, tools, and automation pipelines.
* Ability to work collaboratively across teams to deliver complex data solutions.
* Experience with financial systems (capital markets, credit risk, and regulatory compliance applications).
**Preferred, but not required:**
* Familiarity with financial data models and regulatory requirements.
* Experience with Azure cloud platforms
* Knowledge of data governance, data quality frameworks, and metadata management.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54">
      <c r="A54" t="inlineStr">
        <is>
          <t>li-4366779707</t>
        </is>
      </c>
      <c r="B54" t="inlineStr">
        <is>
          <t>Sr. Manager, Data Engineering (Enterprise Data)</t>
        </is>
      </c>
      <c r="C54" t="inlineStr">
        <is>
          <t>Capital One</t>
        </is>
      </c>
      <c r="D54" t="inlineStr">
        <is>
          <t>linkedin</t>
        </is>
      </c>
      <c r="E54">
        <f>HYPERLINK("https://www.linkedin.com/jobs/view/4366779707", "https://www.linkedin.com/jobs/view/4366779707")</f>
        <v/>
      </c>
      <c r="F54" t="inlineStr"/>
      <c r="G54" t="inlineStr">
        <is>
          <t>McLean, VA</t>
        </is>
      </c>
      <c r="H54" t="inlineStr"/>
      <c r="I5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AbInitio, Python, SQL, Scala, or Java
* 4\+ years of experience in AbInitio development and administration
* 4\+ years of experience with a public cloud (AWS, Microsoft Azure, Google Cloud)
* 5\+ years experience with Distributed data/computing tools (MapReduce, Hadoop, Hive, EMR, Kafka, Spark, Gurobi, or MySQL)
* 4\+ year experience working on batch,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li-4366786394</t>
        </is>
      </c>
      <c r="B55" t="inlineStr">
        <is>
          <t>Sr. Manager, Data Engineering (Enterprise Data)</t>
        </is>
      </c>
      <c r="C55" t="inlineStr">
        <is>
          <t>Capital One</t>
        </is>
      </c>
      <c r="D55" t="inlineStr">
        <is>
          <t>linkedin</t>
        </is>
      </c>
      <c r="E55">
        <f>HYPERLINK("https://www.linkedin.com/jobs/view/4366786394", "https://www.linkedin.com/jobs/view/4366786394")</f>
        <v/>
      </c>
      <c r="F55" t="inlineStr"/>
      <c r="G55" t="inlineStr">
        <is>
          <t>Richmond, VA</t>
        </is>
      </c>
      <c r="H55" t="inlineStr"/>
      <c r="I5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AbInitio, Python, SQL, Scala, or Java
* 4\+ years of experience in AbInitio development and administration
* 4\+ years of experience with a public cloud (AWS, Microsoft Azure, Google Cloud)
* 5\+ years experience with Distributed data/computing tools (MapReduce, Hadoop, Hive, EMR, Kafka, Spark, Gurobi, or MySQL)
* 4\+ year experience working on batch,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li-4366519511</t>
        </is>
      </c>
      <c r="B56" t="inlineStr">
        <is>
          <t>(10+ years Exp) Senior Data Engineer</t>
        </is>
      </c>
      <c r="C56" t="inlineStr">
        <is>
          <t>Jobs via Dice</t>
        </is>
      </c>
      <c r="D56" t="inlineStr">
        <is>
          <t>linkedin</t>
        </is>
      </c>
      <c r="E56">
        <f>HYPERLINK("https://www.linkedin.com/jobs/view/4366519511", "https://www.linkedin.com/jobs/view/4366519511")</f>
        <v/>
      </c>
      <c r="F56" t="inlineStr"/>
      <c r="G56" t="inlineStr">
        <is>
          <t>Jersey City, NJ</t>
        </is>
      </c>
      <c r="H56" t="inlineStr"/>
      <c r="I56" t="inlineStr">
        <is>
          <t>Dice is the leading career destination for tech experts at every stage of their careers. Our client, Empower Professionals, is seeking the following. Apply via Dice today!
**Role\- Senior Data Engineer**
**Location\- Iselin, NJ \-3 days**
 Job Description:
 We are seeking a highly skilled and experienced Senior Data Engineer specializing in Master Data Management (MDM) to join our data team. The ideal candidate will have a strong background in designing, implementing, and managing end\-to\-end MDM solutions, preferably within the financial sector. Candidate will be responsible for architecting robust data platforms, evaluating MDM tools, and aligning data strategies to meet business needs.
**Responsibilities:**
* Lead the design, development, and deployment of comprehensive MDM solutions across the organization, with an emphasis on financial data domains.
* Demonstrate extensive experience with multiple MDM implementations, including platform selection, comparison, and optimization.
* Architect and present end\-to\-end MDM architectures, ensuring scalability, data quality, and governance standards are met.
* Evaluate various MDM platforms (e.g., Informatica, Reltio, Talend, IBM MDM, etc.) and provide objective recommendations aligned with business requirements.
* Collaborate with business stakeholders to understand reference data sources and develop strategies for managing reference and master data effectively.
* Implement data integration pipelines leveraging modern data engineering tools and practices.
* Develop, automate, and maintain data workflows using Python, Airflow, or Astronomer.
* Build and optimize data processing solutions using Kafka, Databricks, Snowflake, Azure Data Factory (ADF), and related technologies.
* Design microservices, especially utilizing GraphQL, to enable flexible and scalable data services.
* Ensure compliance with data governance, data privacy, and security standards.
* Support CI/CD pipelines for continuous integration and deployment of data solutions.
**Requirements:**
* 12\+ years of experience in data engineering, with a proven track record of MDM implementations, preferably in the financial services industry.
* Extensive hands\-on experience designing and deploying MDM solutions and comparing MDM platform options.
* Strong functional knowledge of reference data sources and domain\-specific data standards.
* Expertise in Python, Pyspark, Kafka, microservices architecture (particularly GraphQL), Databricks, Snowflake, Azure Data Factory, SQL, and orchestration tools such as Airflow or Astronomer.
* Familiarity with CI/CD practices, tools, and automation pipelines.
* Ability to work collaboratively across teams to deliver complex data solutions.
* Experience with financial systems (capital markets, credit risk, and regulatory compliance applications).
**Preferred, but not required:**
* Familiarity with financial data models and regulatory requirements.
* Experience with Azure cloud platforms
* Knowledge of data governance, data quality frameworks, and metadata management
**Thanks**
**Piyush Verma** 
**Lead Technical Recruiter \| Empower Professionals**
**\|Official Phone: x 350**
* Fax: \| 100 Franklin Square Drive Suite 104 \| Somerset, NJ 08873
 Certified NJ and NY Minority Business Enterprise (NMSDC)</t>
        </is>
      </c>
    </row>
    <row r="57">
      <c r="A57" t="inlineStr">
        <is>
          <t>li-4366512645</t>
        </is>
      </c>
      <c r="B57" t="inlineStr">
        <is>
          <t>Very High priority!! AWS Data Engineer - Reston, VA</t>
        </is>
      </c>
      <c r="C57" t="inlineStr">
        <is>
          <t>Jobs via Dice</t>
        </is>
      </c>
      <c r="D57" t="inlineStr">
        <is>
          <t>linkedin</t>
        </is>
      </c>
      <c r="E57">
        <f>HYPERLINK("https://www.linkedin.com/jobs/view/4366512645", "https://www.linkedin.com/jobs/view/4366512645")</f>
        <v/>
      </c>
      <c r="F57">
        <f>HYPERLINK("https://click.appcast.io/t/znZJHnwJW3xe2QWtqUDnYmIbwcqJrmaGmT8NbIlkOjY=&amp;urlHash=MRIN", "https://click.appcast.io/t/znZJHnwJW3xe2QWtqUDnYmIbwcqJrmaGmT8NbIlkOjY=&amp;urlHash=MRIN")</f>
        <v/>
      </c>
      <c r="G57" t="inlineStr">
        <is>
          <t>Reston, VA</t>
        </is>
      </c>
      <c r="H57" t="inlineStr"/>
      <c r="I57" t="inlineStr">
        <is>
          <t>Dice is the leading career destination for tech experts at every stage of their careers. Our client, Hexaware Technologies, Inc, is seeking the following. Apply via Dice today!
**Who we are?**
 At Hexaware Technologies, we are a leading global IT Services company, dedicated to driving digital transformation and innovation for businesses around the world. Founded in 1990, Hexaware has grown into a global trusted partner for enterprises, offering comprehensive AI empowered services including IT Consulting, Application Development, Infrastructure and Cloud Management and Business Process services.
 At Hexaware we are a community of creative, diverse, and open\-minded Hexawarians creating smiles through the power of great people and technology.
 We pride ourselves on our people\-centric culture and commitment to sustainability. Our diverse team of over 30,000 professionals across 30 countries is driven by a shared passion for innovation and excellence. We foster a collaborative environment where creativity and continuous learning are encouraged, enabling our employees to thrive and grow.
**Just so you know...**
 You do not need to be perfect or have perfect qualifications to apply for this job nobody is!
 We believe that you do not need to match every requirement for the job position to make a valuable contribution to our team. We want to hear from you if you have the passion and potential to drive our mission forward! At Hexaware, we are committed to building and fostering a team with diverse backgrounds, experiences and skills. We value diversity and inclusion and strive to create a workplace where everyone feels welcome and supported. If you require any reasonable adjustments during the application process, please let us know.
**ROLE: AWS Data Engineer**
**Location\- Reston, VA**
 Seeking an AWS Data Engineer to design, build, and maintain scalable data pipelines and ETL solutions using Python/Pyspark and AWS managed services to support analytics and data product needs.
**Key Responsibilities**
* Build and maintain ETL pipelines using Python and PySpark on AWS Glue and other compute platforms
* Orchestrate workflows with AWS Step Functions and serverless components (Lambda)
* Implement messaging and event\-driven patterns using AWS SNS and SQS
* Design and optimize data storage and querying in Amazon Redshift
* Write performant SQL for data transformations, validation, and reporting
* Ensure data quality, monitoring, error handling and operational support for pipelines
* Collaborate with data consumers, engineers, and stakeholders to translate requirements into solutions
* Contribute to CI/CD, infrastructure\-as\-code, and documentation for reproducible deployments
**Required Skills**
* Strong experience with Python and Pyspark for large\-scale data processing
* Proven hands\-on experience with AWS services: Lambda, SNS, SQS, Glue, Redshift, Step Functions
* Solid SQLSQL skills and familiarity with data modeling and query optimization
* Experience with ETL best practices, data quality checks, and monitoring/alerting
* Familiarity with version control (Git) and basic DevOps/CI\-CD workflows
 What you'll get from us:
 Competitive Salary
 Company Pension Scheme
 Comprehensive Health Insurance
 Flexible and hybrid working options dependent on Customer requirements.
 24 days paid annual holidays \+ public holidays.
 Professional Development and Training Opportunities
 Employee Assistance Program (EAP)
 Diversity, Equity, and Inclusion Initiatives
 Company Events and Team\-Building Activities
 Equal Opportunities Employer:
 Hexaware Technologies is an equal opportunity employer. We are dedicated to providing a work environment free from discrimination and harassment. All employment decisions at Hexaware are based on business needs, job requirements, and individual qualifications. We do not discriminate based on race including colour, nationality, ethnic or national origin, religion or belief, sex, age, disability, marital status, sexual orientation, parental status, gender reassignment, or any other status protected by law. We encourage candidates of all backgrounds to apply.</t>
        </is>
      </c>
    </row>
    <row r="58">
      <c r="A58" t="inlineStr">
        <is>
          <t>li-4366530435</t>
        </is>
      </c>
      <c r="B58" t="inlineStr">
        <is>
          <t>1608 - Mid-level Data Engineer</t>
        </is>
      </c>
      <c r="C58" t="inlineStr">
        <is>
          <t>Sigma Defense Systems LLC</t>
        </is>
      </c>
      <c r="D58" t="inlineStr">
        <is>
          <t>linkedin</t>
        </is>
      </c>
      <c r="E58">
        <f>HYPERLINK("https://www.linkedin.com/jobs/view/4366530435", "https://www.linkedin.com/jobs/view/4366530435")</f>
        <v/>
      </c>
      <c r="F58" t="inlineStr"/>
      <c r="G58" t="inlineStr">
        <is>
          <t>San Diego, CA</t>
        </is>
      </c>
      <c r="H58" t="inlineStr"/>
      <c r="I58" t="inlineStr">
        <is>
          <t>Sigma Defense is seeking a highly skilled
 **Mid\-level Data Engineer** 
 to support the Readiness and Effectiveness Measuring (SHAREM) support contract at Surface and Mine Warfighting Development Center (SMWDC) in San Diego, CA. The ideal candidate should have database entry, management, and monitoring experience.
***Equal Opportunity Employer/Veterans/Disabled: Sigma Defense Systems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**Requirements**
 Mid\-level Data Scientist shall have a minimum of the following qualifications (which may be gained concurrently):
* 5\+ years of Navy experience managing Navy computer networks
* 3\+ years of experience using Python and other programming tools to script data analysis products
* Hold and maintain certifications and/or training to maintain FLANKSPEED IL6 AZURE Privileged Access to include:
+ AZURE Administrator Associate AZ\-104
+ IAT Level II iaw DoD 8750 Approved Baseline Certifications
+ Others as required by FLANKSPEED IL6 services
* Must be a U.S. citizen
**Computer Programs/Software:**
* Python
* Azure
**Personnel Clearance Level:**
* Candidate must possess or have the ability to obtain an active Secret security clearance or higher
* Clearance will be sponsored for the right candidate
**Essential Job Duties (** 
***not all\-inclusive***
**):**
* System administration for Naval Ship Tracking, Reporting and Analysis Tool (NSTRAT) System, to monitor the application and/or services and troubleshoot issues affecting availability
* Software Engineering and testing to develop data analysis tools and event reconstruction
* Performs database query analysis
**Salary Range:** 
 $75,000 \- $90,000 annually.
**Benefits**
* Dental and Vision Insurance
* Medical Insurance to Include HSA, FSA, and DFSA Plans
* Life and AD\&amp;D coverage
* Employee Assistance Program (EAP)
* 401(k) Plan with Company Matching Contributions
* 160 Hours of Paid Time Off (PTO)
* 12 (Floating) Holidays
* Educational Assistance
* Highly Competitive Salary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2026-01-28T21:09:53Z</dcterms:created>
  <dcterms:modified xsi:type="dcterms:W3CDTF">2026-01-28T21:09:53Z</dcterms:modified>
</cp:coreProperties>
</file>