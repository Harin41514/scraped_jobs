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in-c0d564f15b0482a3</t>
        </is>
      </c>
      <c r="B2" t="inlineStr">
        <is>
          <t>BI&amp;T Development Data Scientist</t>
        </is>
      </c>
      <c r="C2" t="inlineStr">
        <is>
          <t>Bristol Myers Squibb</t>
        </is>
      </c>
      <c r="D2" t="inlineStr">
        <is>
          <t>indeed</t>
        </is>
      </c>
      <c r="E2">
        <f>HYPERLINK("https://www.indeed.com/viewjob?jk=c0d564f15b0482a3", "https://www.indeed.com/viewjob?jk=c0d564f15b0482a3")</f>
        <v/>
      </c>
      <c r="F2">
        <f>HYPERLINK("https://tnl2.jometer.com/v2/job?jz=5tptp743567aa3b38f5dc5aa8b8282b3b4ec4TAAAKAAAAABQ&amp;utm_source=Joveo_Indeed%20Organic&amp;utm_campaign=Enabling%20Functions_Information%20Technology%202025&amp;source=jobboard_Indeed%20Organic_auto", "https://tnl2.jometer.com/v2/job?jz=5tptp743567aa3b38f5dc5aa8b8282b3b4ec4TAAAKAAAAABQ&amp;utm_source=Joveo_Indeed%20Organic&amp;utm_campaign=Enabling%20Functions_Information%20Technology%202025&amp;source=jobboard_Indeed%20Organic_auto")</f>
        <v/>
      </c>
      <c r="G2" t="inlineStr">
        <is>
          <t>Princeton, NJ, US</t>
        </is>
      </c>
      <c r="H2" s="2" t="n">
        <v>46049</v>
      </c>
      <c r="I2"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The BI\&amp;T Development Data Scientist Analyst position at Bristol Myers Squibb, as part of the Development Data \&amp; Analytics team offers a dynamic and meaningful career focused on advancing patient care through innovative data science solutions. The role involves designing and deploying advanced analytics, collaborating with stakeholders, and applying predictive modeling and machine learning to large and diverse datasets.  
The Development Data Scientist Analyst will play a crucial role in supporting study clinical operational analytics across Drug Development to ensure products continue to serve most pressing DD analytics needs, with opportunities to build new advanced analytics capabilities such as predictive modelling, simulation, and optimization. The Development Data Scientist Analyst should have a strong interest in solving business problems, and an eagerness to work on all parts of the analytics value chain, from partnering with IT on data pipelines to operationalizing predictive models in the service of our patients around the world.
**Major Responsibilities and Accountabilities:*** Hands\-on Development Data Scientist Analyst that will be expected to ideate, design, develop, model and deploy advanced solutions.
* Conduct analysis and interpretation of complex data sets to derive meaningful insights and recommendations based on an understanding of Drug Development priorities, critical issues, and value levers.
* Collaborate with stakeholders to identify business problems, goals, and KPIs to design, establish and maintain data pipelines, models and business facing reports and dashboards.
* Understanding of digital analytics tools and platforms and version control.
* Gather, pre\-process and explore large\-scale structured and unstructured data from diverse sources.
* Apply advanced statistical analysis, machine learning algorithms and predictive modelling techniques to extract insights and develop models that drive actionable recommendations.
* Conduct exploratory data analysis (EDA) to identify patterns and anomalies in the data and propose solutions to business problems.
* Develop and implement predictive models (e.g., regression, clustering, time series forecasting) to solve complex business challenges.
* Collaborate with data engineers and IT teams to ensure data availability, quality, and reliability for analysis and modeling.
* Communicate complex analytical findings and insights to both technical and non\-technical stakeholders through clear and compelling visualizations, reports and presentations.
**Qualifications**  
Minimum Requirements
* Minimum education of a b achelor's or master's degree in an analytical, engineering, operations research or scientific discipline is required.
* Minimum of two (2\) plus years of experience in a data and analytics role, including direct development experience.
* Experience working with large datasets, data visualization tools, statistical software packages and platforms. (specifically React, Python, advanced SQL, Domino, AWS, GitHub, dbt)
* Familiarity with data visualization tools such as React or Power BI for effective communication of findings.
* Strong background in statistical analysis, machine learning, and predictive modelling techniques.
* Experience in handling and analyzing large\-scale structured and unstructured data sets using SQL or similar technologies.
* Experience with building and deploying data science and data engineering solutions using established industry methods (MLOps,Git) to Complex datasets is preferred.
* Demonstrated ability to develop and implement predictive models and machine learning algorithms.
* Excellent communication and presentation skills to convey complex concepts to technical and non\-technical stakeholders.
\#LI\-Hybrid
If you come across a role that intrigues you but doesn't perfectly line up with your resume, we encourage you to apply anyway. You could be one step away from work that will transform your life and career.
**Compensation Overview:**  
Princeton \- NJ \- US: $87,810 \- $106,399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R1598600 : BI\&amp;T Development Data Scientist</t>
        </is>
      </c>
    </row>
    <row r="3">
      <c r="A3" t="inlineStr">
        <is>
          <t>in-08e2260059149035</t>
        </is>
      </c>
      <c r="B3" t="inlineStr">
        <is>
          <t>Data Scientist</t>
        </is>
      </c>
      <c r="C3" t="inlineStr">
        <is>
          <t>Varonis Systems</t>
        </is>
      </c>
      <c r="D3" t="inlineStr">
        <is>
          <t>indeed</t>
        </is>
      </c>
      <c r="E3">
        <f>HYPERLINK("https://www.indeed.com/viewjob?jk=08e2260059149035", "https://www.indeed.com/viewjob?jk=08e2260059149035")</f>
        <v/>
      </c>
      <c r="F3">
        <f>HYPERLINK("https://app.jobvite.com/CompanyJobs/Job.aspx?j=oNppzfwU&amp;s=Indeed", "https://app.jobvite.com/CompanyJobs/Job.aspx?j=oNppzfwU&amp;s=Indeed")</f>
        <v/>
      </c>
      <c r="G3" t="inlineStr">
        <is>
          <t>US</t>
        </is>
      </c>
      <c r="H3" s="2" t="n">
        <v>46049</v>
      </c>
      <c r="I3" t="inlineStr">
        <is>
          <t>**Title: Data Scientist**  
**Job Description:**
We are seeking a highly skilled and motivated Data scientist to join our talented team. As a Data scientist, you will play a crucial role in developing and optimizing our ML, LLM, and Agentic AI abilities.
You will work closely with our architects, data engineers, data scientists, and security researchers to design, train and evaluate our machine learning models as well as our state\-of\-the\-art LLM based features.
**Responsibilities:*** Design, develop, and evaluate agentic AI systems capable of autonomous or semi\-autonomous reasoning, planning, and action in cybersecurity use cases.
* Analyze large, complex datasets to identify patterns and trends that could indicate potential security threats.
* Collaborate closely with cybersecurity researchers, threat analysts, and architects to translate real\-world attack scenarios into AI\-driven detection, investigation, and response capabilities.
* Design and develop innovative prompts and instruction sets to enhance the conversational capabilities of our language models.
* Develop and optimize ML\- and LLM\-powered security workflows, including multi\-step reasoning, tool use, memory, and feedback loops.
* Stay current with advances in cybersecurity, adversarial ML, agentic AI architectures, and applied LLM research, and contribute to internal best practices.
* Partner with software and data engineers to deploy AI agents and ML models into production\-grade, secure, and scalable systems.
**Requirements:*** Bachelor’s degree in computer science, Engineering, or a related field. A master's or Ph.D. is a plus.
* Strong foundation in machine learning and deep learning, including supervised, unsupervised, and anomaly\-detection techniques.
* **Extensive experience** applying data science, machine learning, and agentic AI systems to cybersecurity domains, including threat detection and response.
* **Proven ability** to deliver reliable, high\-quality AI systems in fast\-paced, evolving environments.
* Proficiency in Python. Experience with PySpark, Databricks, or large\-scale data processing frameworks is a plus.
* Experience working with LLMs (open\-source and commercial) in production or research settings, including model selection, evaluation, and safe deployment.
* Familiarity with vector databases, embeddings, and retrieval\-augmented generation (RAG) for security or knowledge\-intensive workflows.
* Understanding of LLM and AI security considerations, such as adversarial inputs, model exploitation, data privacy, and governance.
* Experience with cloud\-based ML platforms and modern MLOps practices is a plus.
* Strong analytical and problem\-solving skills, with the ability to reason under uncertainty and adversarial conditions.
* Excellent communication and collaboration skills, with the ability to work effectively across security, engineering, and research teams.
*We invite you to check out our Instagram Page to gain further insight into the Varonis culture!**@VaronisLife**Varonis is an equal\-opportunity employer. We evaluate qualified applicants without regard to race, color, religion, sex, national origin, disability, veteran status, and other legally protected characteristics*</t>
        </is>
      </c>
    </row>
    <row r="4">
      <c r="A4" t="inlineStr">
        <is>
          <t>in-a1db3ea8b253c9ec</t>
        </is>
      </c>
      <c r="B4" t="inlineStr">
        <is>
          <t>Sr Data Scientist/Data Engineer</t>
        </is>
      </c>
      <c r="C4" t="inlineStr">
        <is>
          <t>Nomic</t>
        </is>
      </c>
      <c r="D4" t="inlineStr">
        <is>
          <t>indeed</t>
        </is>
      </c>
      <c r="E4">
        <f>HYPERLINK("https://www.indeed.com/viewjob?jk=a1db3ea8b253c9ec", "https://www.indeed.com/viewjob?jk=a1db3ea8b253c9ec")</f>
        <v/>
      </c>
      <c r="F4">
        <f>HYPERLINK("https://jobs.ashbyhq.com/nomic/2de875f4-2d28-4284-94a3-db071b8431be?utm_source=GgOO30E0l9", "https://jobs.ashbyhq.com/nomic/2de875f4-2d28-4284-94a3-db071b8431be?utm_source=GgOO30E0l9")</f>
        <v/>
      </c>
      <c r="G4" t="inlineStr">
        <is>
          <t>US</t>
        </is>
      </c>
      <c r="H4" s="2" t="n">
        <v>46049</v>
      </c>
      <c r="I4" t="inlineStr">
        <is>
          <t>**About us:**
Nomic was founded with a simple but ambitious goal: to make biology easier to measure. We’ve developed **nELISA**, the world’s highest throughput proteomic platform, by tackling some of the toughest challenges in protein profiling through a combination of DNA nanotechnology, high\-dimensional flow cytometry, lab automation, and machine learning.
Since spinning out of McGill University, we’ve partnered with dozens of top\-tier drug discovery groups, including 6 of the top 10 pharma companies, and have profiled over 60 million proteins from more than 400,000 samples to date.
Since closing a $42M Series B round, we recently scaled up the platform to meet rapidly growing demand. You can read more about this on our website here. Our state\-of\-the\-art facility is capable of profiling over 2\.5 million samples a year, generating 500 million protein assays.
We’re a diverse team of engineers, scientists, and problem\-solvers who thrive on breaking down difficult challenges using first principles thinking, and we leverage the latest scientific and technological breakthroughs to drive our mission forward.
**About the role:**
The Data team at Nomic is responsible for designing, building, operating and improving the data pipelines, data infrastructure, and data tools needed for analyzing nELISA data at scale. Our development roadmap includes building more robust data pipelines for decoding nELISA datasets, and developing improved internal\-facing tools that will let our scientists execute faster in the lab by extracting insights from our nELISA profiling and manufacturing QC data on\-demand.
As a senior IC on the team, you will sit at the intersection of our in\-lab technology development efforts, our efforts to improve our data processing algorithms and infrastructure, and our work to develop internal tools for our scientists to more automatically visualize and analyze datasets themselves.
**As a jack of all trades when it comes to analyzing data and building tools for others to do the same, your day to day responsibilities will include:**
* Designing, building, iteratively improving, and fully automating the data pipelines and algorithms we use for processing raw flow cytometry data from our highly multiplexed bead\-based assays into quantitative protein measurements. This will be done in close collaboration with your Data Engineering, Software Engineering, and Lab R\&amp;D teammates.
* You will leverage your fundamental knowledge of biosensors, fluorescence data, and bioengineering R\&amp;D to act as an expert for the interpretation, and analysis of, nELISA experimental data when challenges arise in R\&amp;D and day\-to\-day Lab Operations, connecting the fundamentals of the science to the specific features or anomalies of the data.
* You will also support R\&amp;D and Lab Operations teams through developing additional data support features and algorithms to support the growth of Nomic going forward. This will include any new data analysis pipelines to analyze nELISA data, including QC data from our daily manufacturing and profiling operations.
* This role will involve substantial communication, teamwork, and attention to detail, especially when identifying and troubleshooting issues related to nELISA data and ensuring we build the right tools, and the right abstractions.
* When tooling does not yet exist, you will leveraging your technical and bioscience domain expertise to develop new data analysis pipelines.
**What we’re looking for:**
* Graduate Degree \- or equivalent experience in industry \- in bioengineering or a related quantitative field of study in the biosciences, with a focus on biosensors, quantitative fluorescence data, or similar.
* 3\+ years of experience specifically with analyzing bioscience data and developing improved data processing algorithms.
* 2\+ years software engineering/development experience \- you must be comfortable standing up new toolsets for non\-programming users, and coding in a collaborative environment together with experienced data and software engineers.
* Statistical skills including bayesian statistics, sampling methods, mixed models, and experience applying other statistical concepts.
* Strong past experience working collaboratively on data science problems with wet lab scientists, ideally in a startup or equivalent fast paced environment.
* Nice to Have: Understanding of the fundamentals of life science tools, technologies and lab methods. In particular you would be an expert on multiple of: immunoassays, nucleic acid amplification, DNA nanoarchitecture and design, separation\-based techniques for biological samples and compounds, biophysics / fluorescence, and signal processing.
* Nice to Have: First hand experience optimizing (alone or in a team): surface chemistry (passivation, functionalization, regeneration), DNA\-based circuits and DNA biosensor designs, fluorophores/fluorescence and FRET, antibody\-antigen interactions and ligand binding, or similar domains.
* Excellent communication skills (written, verbal, and in a codebase) and an independent problem solver.
* Fluency in English is required as our customers and vendors are primarily located in the USA. In addition, this position will interact with our team members within our USA entity.
**Join us if you:**
* Connect deeply with our mission, ambition and sense of duty. Our mission isn’t marketing flash: we developed our technology to better measure biology and discover biomarkers for early disease detection. We firmly believe we will be successful in literally eradicating certain diseases by enabling them to be diagnosed earlier. We also believe that our hard work to bring this technology to its full potential is our duty.
* Are up for a challenge and want to grow: We are a team of problem\-solvers, and we continually put ourselves to the test and go into the unknown. We have a growth mindset, both on hard and soft skills, and we rely on each other to give critical and candid feedback to ensure that we can all reach our full potential.
* Want to be at the cutting\-edge of biotechnology. The nELISA is a new tool that leverages DNA nanotechnology to generate proteomic data more efficiently than ever before. You get to design and build the data pipelines and analysis tools that will support the scaling of this technology going forward.
* Love writing code and analyzing biological data, and want to be responsible for driving improvements to data pipelines from a full\-stack perspective.
* Prefer working and communicating within a diverse cross\-functional team. You would get to interface with your teammates from the broader Engineering, Operations, and Commercial teams on a daily basis, joining a collaborative, diverse, and inclusive team where your ideas will be valued.
* Want the responsibility of addressing some of our hardest problems. Data is one of our core competencies, and researching and developing improvements to the way we analyze data has a compounding benefit on all other aspects of our company and our customers, most notably the scientists using the nELISA and patients that will ultimately benefit from nELISA data.
If you are passionate about analyzing data and building better data pipelines for biology, want to drive innovation in proteomics, and are eager to make a meaningful impact in the world, we invite you to apply and join us on our journey to redefine proteomics and the understanding of biology.
**À propos de nous:**
Nomic a été fondée avec un objectif simple mais ambitieux : rendre la biologie plus facile à mesurer. Nous avons développé nELISA, la plateforme protéomique la plus performante au monde, en relevant certains des défis les plus complexes du profilage des protéines grâce à une combinaison de nanotechnologie ADN, de cytométrie en flux haute dimension, d'automatisation de laboratoire et d'apprentissage automatique.
Depuis notre spin\-off de l’Université McGill, nous avons collaboré avec des dizaines de groupes de découverte de médicaments de premier plan, dont 6 des 10 plus grandes sociétés pharmaceutiques, et avons profilé plus de 60 millions de protéines à partir de plus de 400 000 échantillons à ce jour.
Depuis la clôture d’un tour de financement de Série B de 42 M$, nous avons récemment étendu la plateforme pour répondre à une demande en forte croissance. Vous pouvez en lire davantage sur notre site web. Notre installation ultramoderne est capable de profiler plus de 2,5 millions d’échantillons par an, générant 500 millions d’analyses protéiques.
Nous sommes une équipe diversifiée d’ingénieurs, de scientifiques et de résolveurs de problèmes qui prospèrent en décomposant des défis complexes grâce à une réflexion fondée sur les premiers principes, et nous tirons parti des dernières avancées scientifiques et technologiques pour faire progresser notre mission.
**À propos du poste:**
L’équipe Data de Nomic est responsable de concevoir, construire, exploiter et améliorer les pipelines de données, l’infrastructure de données et les outils de données nécessaires à l’analyse des données nELISA à grande échelle. Notre feuille de route de développement comprend la création de pipelines de données plus robustes pour décoder les ensembles de données nELISA et le développement d’outils internes améliorés permettant à nos scientifiques de travailler plus rapidement au laboratoire en extrayant à la demande des informations issues de nos données de profilage nELISA et de contrôle qualité de fabrication.
En tant que contributeur senior au sein de l’équipe, vous serez à l’intersection de nos efforts de développement technologique en laboratoire, de nos travaux visant à améliorer nos algorithmes et infrastructures de traitement des données, et de notre travail d’analyse manuelle de jeux de données expérimentaux complexes dans le cadre du développement d’outils internes permettant à nos scientifiques de visualiser et d’analyser eux\-mêmes les jeux de données de manière plus automatique.
En tant que généraliste de l’analyse de données et de la création d’outils destinés aux autres, vos responsabilités quotidiennes comprendront :
* Concevoir, construire, améliorer de manière itérative et automatiser entièrement les pipelines de données et les algorithmes que nous utilisons pour traiter les données brutes de cytométrie en flux provenant de nos essais multiplexés à billes en mesures protéiques quantitatives. Ce travail se fera en étroite collaboration avec vos collègues en Data Engineering, Software Engineering et R\&amp;D en laboratoire.
* Mettre à profit vos connaissances fondamentales en biosenseurs, données de fluorescence et R\&amp;D en bio\-ingénierie pour jouer un rôle d’expert dans l’interprétation et l’analyse des données expérimentales nELISA provenant de la R\&amp;D et des opérations quotidiennes du laboratoire, en reliant les principes fondamentaux de la science aux caractéristiques ou anomalies spécifiques des données.
* Soutenir les équipes R\&amp;D et Opérations Laboratoire en développant des fonctionnalités et des algorithmes supplémentaires de support aux données afin d’accompagner la croissance de Nomic. Cela inclura la création de nouveaux pipelines d’analyse pour les données nELISA, y compris les données de contrôle qualité issues de nos opérations quotidiennes de fabrication et de profilage.
* Communiquer de façon intensive, travailler en équipe et prêter une grande attention aux détails, notamment lorsqu’il s’agit d’identifier et de résoudre des problèmes liés aux données nELISA et de s’assurer que nous construisons les bons outils et abstractions adaptés.
* Lorsque les outils n’existent pas encore, analyser les données nELISA en utilisant notre suite d’outils de décodage et d’analyse, ainsi que développer de nouveaux pipelines d’analyse lorsque nécessaire grâce à votre expertise technique et scientifique.
* Fournir un soutien aux équipes R\&amp;D et Opérations sur la conception et l’analyse expérimentales lorsque cela est requis, en s’appuyant sur votre expérience passée dans ce domaine.
**Ce que nous recherchons :**
* Diplôme de troisième cycle \- ou expérience équivalente en industrie \- en bio\-ingénierie ou dans un domaine quantitatif connexe des biosciences, avec une spécialisation en biocapteurs, données de fluorescence quantitatives, ou domaine similaire.
* 3\+ années d'expérience spécifiquement dans l'analyse de données bioscientifiques et le développement d'algorithmes améliorés de traitement de données.
* 2\+ années d'expérience en ingénierie/développement logiciel \- vous devez être à l'aise pour mettre en place de nouveaux outils pour des utilisateurs non programmeurs, et coder dans un environnement collaboratif avec des ingénieurs expérimentés en données et en logiciels.
* Compétences statistiques incluant les statistiques bayésiennes, les méthodes d’échantillonnage, les modèles mixtes, et l’application d’autres concepts statistiques.
* Solide expérience passée de travail collaboratif sur des problématiques de science des données avec des scientifiques de laboratoire humide, idéalement dans une startup ou un environnement équivalent à rythme rapide.
* Atout : Compréhension des fondamentaux des outils de sciences de la vie, des technologies et des méthodes de laboratoire. En particulier, vous seriez expert de plusieurs des domaines suivants : immunoessais, amplification des acides nucléiques, nanoarchitecture et conception de l'ADN, techniques de séparation pour les échantillons et composés biologiques, biophysique / fluorescence et traitement du signal.
* Atout : Expérience directe d'optimisation (seul ou en équipe) de : chimie de surface (passivation, fonctionnalisation, régénération), circuits à base d’ADN et conceptions de biocapteurs ADN, fluorophores/fluorescence et FRET, interactions anticorps\-antigène et liaison de ligands, ou domaines similaires.
* Excellentes compétences en communication (écrite, orale et dans une base de code) et capacité à résoudre des problèmes de manière autonome.
* La maîtrise de l'anglais est requise car nos clients et fournisseurs sont principalement situés aux États\-Unis. De plus, ce poste interagira avec les membres de notre équipe au sein de notre entité américaine.
**Joignez\-vous à notre équipe si:**
* Partagez profondément notre mission, notre ambition et notre sens du devoir. Notre mission n’est pas un slogan marketing : nous avons développé notre technologie pour mieux mesurer la biologie et découvrir des biomarqueurs pour la détection précoce des maladies. Nous croyons fermement pouvoir éradiquer certaines maladies en permettant leur diagnostic précoce. Nous croyons également que c’est notre devoir de travailler dur pour exploiter tout le potentiel de cette technologie.
* Êtes prêt à relever des défis et à progresser : nous sommes une équipe de résolveurs de problèmes qui se met constamment à l’épreuve et s’aventure dans l’inconnu. Nous avons un état d’esprit de croissance, tant sur les compétences techniques que comportementales, et nous comptons les uns sur les autres pour fournir des retours critiques et sincères permettant à chacun d’atteindre son plein potentiel.
* Voulez travailler à la pointe de la biotechnologie. Le nELISA est un nouvel outil utilisant la nanotechnologie ADN pour générer des données protéomiques de façon plus efficace que jamais. Vous participerez à la conception et au développement des pipelines de données et des outils d’analyse qui accompagneront la montée en puissance de cette technologie.
* Aimez coder et analyser des données biologiques, et souhaitez être responsable de l’amélioration des pipelines de données avec une approche full\-stack.
* Préférez travailler et communiquer au sein d’une équipe interdisciplinaire et diversifiée. Vous collaborerez quotidiennement avec vos collègues des équipes Engineering, Operations et Commerciales, en rejoignant une équipe collaborative, diversifiée et inclusive où vos idées seront valorisées.
* Voulez avoir la responsabilité de résoudre certains de nos problèmes les plus complexes. La donnée est l’une de nos compétences clés, et la recherche et le développement d’améliorations de nos méthodes d’analyse ont un effet multiplicateur sur tous les autres aspects de notre entreprise et de nos clients, en particulier les scientifiques utilisant le nELISA et les patients qui bénéficieront in fine des données nELISA.
Si vous êtes passionné par le développement d’algorithmes et de pipelines de données en biologie, si vous souhaitez faire progresser l’innovation en protéomique et avez à cœur de faire une réelle différence dans le monde, nous vous invitons à postuler et à nous rejoindre dans notre mission de redéfinir la protéomique et la compréhension de la biologie.</t>
        </is>
      </c>
    </row>
    <row r="5">
      <c r="A5" t="inlineStr">
        <is>
          <t>in-d69237f53d8acdd6</t>
        </is>
      </c>
      <c r="B5" t="inlineStr">
        <is>
          <t>Senior Data Scientist</t>
        </is>
      </c>
      <c r="C5" t="inlineStr">
        <is>
          <t>Intuit</t>
        </is>
      </c>
      <c r="D5" t="inlineStr">
        <is>
          <t>indeed</t>
        </is>
      </c>
      <c r="E5">
        <f>HYPERLINK("https://www.indeed.com/viewjob?jk=d69237f53d8acdd6", "https://www.indeed.com/viewjob?jk=d69237f53d8acdd6")</f>
        <v/>
      </c>
      <c r="F5">
        <f>HYPERLINK("https://jobs.intuit.com/job/mountain-view/senior-data-scientist/27595/91132219776", "https://jobs.intuit.com/job/mountain-view/senior-data-scientist/27595/91132219776")</f>
        <v/>
      </c>
      <c r="G5" t="inlineStr">
        <is>
          <t>Mountain View, CA, US</t>
        </is>
      </c>
      <c r="H5" s="2" t="n">
        <v>46049</v>
      </c>
      <c r="I5" t="inlineStr">
        <is>
          <t>Category Data
Location Mountain View, California
Job ID 19198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 are seeking a Senior Data Scientist to join the CRM analytics team for shaping the future of in\-product discovery and engagement. You will define the experimentation roadmap, run rigorous experiments and employ advanced experimentation techniques to drive platform adoption and growth. In this role, you’ll collaborate with product, design, marketing and engineering teams to deliver data\-driven solutions at scale. Your work will directly influence strategy, helping millions of users find more value in our platform.
 **Responsibilities**
Partner with teams across all of Intuit (including product development, marketing, data engineering) to enable decision support and key customer insights
Develop compelling visualizations that crystallize business opportunities for business stakeholders and leaders to make timely decisions.
Design and run data driven tests and experiments that identify business opportunities and compare performance against company goals.
Collaborate with stakeholders and analysts to ensure analytical solutions are scalable, repeatable, effective, sustainable, and meet expectations of various stakeholders
Provide recommendations utilizing multiple types of data, business knowledge, and strategic assumptions when data doesn’t exist.
Build relationships with other functions critical to the team's mission.
Deliver key metrics, dashboards and ad\-hoc analyses with interpretation, contributing to the development of hypotheses and actions for run the business metrics.
Designs and implements technical and business documentation
 **Qualifications**
4\+ Years of Advanced SQL skills to get the data you need from a data warehouse (e.g., Redshift, Hive, SparkSQL, Athena) and perform data segmentation and aggregation from scratch.
Experience in modern advanced analytical tools and programming languages such as Python
Data query and data processing tools/systems (e.g., relational, NoSQL, stream processing)
Distributed computing systems and related technologies (e.g., Spark, Hive)
Software engineering fundamentals: version control systems (i.e. Git, Github) and workflows, and ability to write production\-ready code
Bachelor's Degree in Statistics, Economics, Mathematics, Data Analytics, Finance, Advanced Analytics, or related field. Master's Degree preferred
Experience in developing data models, schema design, and working knowledge of cloud computing/services particularly in AWS
Experience in building multidimensional schemas for consolidating data from multiple sources (Redshift, Hive, SparkSQL, Athena)
Good working experience with data analytics and visualization tools (Tableau, QlikSense).
Knowledge of Computer science fundamentals: data structures, algorithms, and performance complexity
Familiarity with Data Science workflow and life cycle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6">
      <c r="A6" t="inlineStr">
        <is>
          <t>in-27f2fc1ba9e4e5dc</t>
        </is>
      </c>
      <c r="B6" t="inlineStr">
        <is>
          <t>Data Scientist</t>
        </is>
      </c>
      <c r="C6" t="inlineStr">
        <is>
          <t>Guidehouse</t>
        </is>
      </c>
      <c r="D6" t="inlineStr">
        <is>
          <t>indeed</t>
        </is>
      </c>
      <c r="E6">
        <f>HYPERLINK("https://www.indeed.com/viewjob?jk=27f2fc1ba9e4e5dc", "https://www.indeed.com/viewjob?jk=27f2fc1ba9e4e5dc")</f>
        <v/>
      </c>
      <c r="F6">
        <f>HYPERLINK("https://guidehouse.searchgreatcareers.com/job/arlington/data-scientist/25181/91127288384", "https://guidehouse.searchgreatcareers.com/job/arlington/data-scientist/25181/91127288384")</f>
        <v/>
      </c>
      <c r="G6" t="inlineStr">
        <is>
          <t>Arlington, VA, US</t>
        </is>
      </c>
      <c r="H6" s="2" t="n">
        <v>46049</v>
      </c>
      <c r="I6" t="inlineStr">
        <is>
          <t>Job Family:
Data Science Consulting  
Travel Required:
Up to 10%  
Clearance Required:
Ability to Obtain Public Trust
What You Will Do:  
Guidehouse is seeking a Data Scientist to join our Defense and Security Segment, where the individual will collect and analyze data to identify trends, develop visualizations in support of organizational and mission goals, and support decision\-making for large\-scale programs within the Department of Homeland Security (DHS). Responsibilities include, but are not limited to:
* Design and develop data visualization and dashboard solutions to provide required analytics insights (Power BI)
* Collecting, cleaning, and analyzing data using a variety of methods and tools, such as R
* Identifying and creating additional data visualization capabilities, as needed
* Ensuring data governance and quality assurance standards are met
* Conducting data validation and remediation using tools such as R and Excel
* Analyzing current process and identifying potential improvements
* Working with team members to summarize and report on business process improvements to include gaps in current processes and initiatives to improve processes for an organization
* Organizing and leading client meetings, including scheduling meetings; drafting and delivering agendas and meeting minutes; providing and archiving required documentation; and documenting, tracking, and following\-up on action items
* Summarizing and presenting information and reports to the team and make recommendations (both oral and written).
What You Will Need:
* Must be able to OBTAIN and MAINTAIN a Federal or DoD "PUBLIC TRUST"; candidates must obtain approved adjudication of their PUBLIC TRUST prior to onboarding with Guidehouse. Candidates with an ACTIVE PUBLIC TRUST or SUITABILITY are preferred.
* Bachelors Degree
* At least THREE (3\) years of experience in consulting, data analytics, or project management
What Would Be Nice To Have:
* Active DHS Public Trust
* Law Enforcement experience
* Data visualization tools such as Power BI
* Experience developing new and re\-designing existing processes to meet new and/or evolving business requirements
* Good critical thinking skills, writing skills, and communication skills
* Experience in business analysis
* Experience connecting visualization to various types of data sources
* Experience developing training materials
* Experience with process improvement
* Database optimization
* Monitoring program operations to ensure compliance with federal regulations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7">
      <c r="A7" t="inlineStr">
        <is>
          <t>in-90c81cb061100753</t>
        </is>
      </c>
      <c r="B7" t="inlineStr">
        <is>
          <t>Data Scientist</t>
        </is>
      </c>
      <c r="C7" t="inlineStr">
        <is>
          <t>Corning</t>
        </is>
      </c>
      <c r="D7" t="inlineStr">
        <is>
          <t>indeed</t>
        </is>
      </c>
      <c r="E7">
        <f>HYPERLINK("https://www.indeed.com/viewjob?jk=90c81cb061100753", "https://www.indeed.com/viewjob?jk=90c81cb061100753")</f>
        <v/>
      </c>
      <c r="F7">
        <f>HYPERLINK("https://corningjobs.corning.com/job/Tewksbury-Data-Scientist-MA-01876/1360035500/", "https://corningjobs.corning.com/job/Tewksbury-Data-Scientist-MA-01876/1360035500/")</f>
        <v/>
      </c>
      <c r="G7" t="inlineStr">
        <is>
          <t>Tewksbury, MA, US</t>
        </is>
      </c>
      <c r="H7" s="2" t="n">
        <v>46049</v>
      </c>
      <c r="I7" t="inlineStr">
        <is>
          <t>**Date:** Jan 28, 2026
**Location:** Tewksbury, MA, US, 01876
**Company:** Corning
Requisition Number: 73082
**The company built on breakthroughs.**  
**Join us.**
Corning is one of the world’s leading innovators in glass, ceramic, and materials science. From the depths of the ocean to the farthest reaches of space, our technologies push the boundaries of what’s possible.  
How do we do this? With our people. They break through limitations and expectations – not once in a career, but every day. They help move our company, and the world, forward.  
At Corning, there are endless possibilities for making an impact. You can help connect the unconnected, drive the future of automobiles, transform at\-home entertainment, and ensure the delivery of lifesaving medicines. And so much more.  
Come break through with us.
As a leading developer, manufacturer, and global supplier of scientific laboratory products for 100 years, Corning’s Life Sciences segment collaborates with researchers seeking new approaches to increase efficiencies, reduce costs and compress timelines in the drug discovery process. Using unique expertise in the fields of materials science, surface science, optics, biochemistry and biology, the segment provides innovative solutions that improve productivity and enable breakthrough discoveries.
**Scope of Position:**
You will be joining the Data Science and Innovation Team for the Corning Life Science division. Depending on your skills and interests, you will contribute to a variety of projects, including but not limited to revenue forecasting, manufacturing simulation and optimization, and applications of generative AI.
This role is well suited for a motivated self\-starter who takes initiative, follows through on assignments, and is eager to grow their technical and business acumen. Strong communication skills are essential, as you will be expected to clearly explain analytical approaches, insights, and results to both technical and non\-technical audiences.
**Day to Day Responsibilities:**
* Identify, retrieve, clean, and validate data across multiple sources using SQL, Python, and Spark to ensure data quality and usability
* Apply advanced analytics, machine learning, and AI techniques to understand, predict, and optimize key business drivers and opportunities
* Build, deploy, and maintain production\-ready models using Databricks, MLOps practices, and GitLab CI/CD
* Create clear model documentation and communicate results and insights to both technical and non\-technical stakeholders
* Participate in the Corning\-wide data community
**Required Education and Years of Experience:**
* Bachelor’s or Master’s degree in Data Science, Computer Science, Operations Research, or a related quantitative field
* Minimum of 3 years of professional experience in data science or related roles
**Required Skills:**
* Proficiency in SQL, Python, Spark
* Proficiency in data preprocessing, feature engineering, and exploratory data analysis
* Experience applying common machine learning techniques (e.g., regression, classification, tree\-based models), with an understanding of key parameters and trade\-offs
* Experience with MLOps fundamentals including experiment tracking, model versioning, validation, and monitoring
* Ability to translate business problems into analytical approaches and communicate results clearly
**Desired Skills:**
* Experience with Databricks is a plus
* Experience building lightweight machine learning applications (e.g., Streamlit) that enable business users to explore, interact with, or apply model results
* Experience with operations research techniques
* Experience building generative AI applications
**This position does not support immigration sponsorship.**
The range for this position is $108,951\.00 \- $149,808\.00 assuming full time status. Starting pay for the successful applicant is dependent on a variety of job\-related factors, including but not limited to geographic location, market demands, experience, training, and education.
Pay Grade: Grade C  
Employee Referral Amount: $1,500\.00 USD
**Nearest Major Market:** Boston</t>
        </is>
      </c>
    </row>
    <row r="8">
      <c r="A8" t="inlineStr">
        <is>
          <t>in-210603b08937d579</t>
        </is>
      </c>
      <c r="B8" t="inlineStr">
        <is>
          <t>Distinguished, Data Scientist</t>
        </is>
      </c>
      <c r="C8" t="inlineStr">
        <is>
          <t>Walmart</t>
        </is>
      </c>
      <c r="D8" t="inlineStr">
        <is>
          <t>indeed</t>
        </is>
      </c>
      <c r="E8">
        <f>HYPERLINK("https://www.indeed.com/viewjob?jk=210603b08937d579", "https://www.indeed.com/viewjob?jk=210603b08937d579")</f>
        <v/>
      </c>
      <c r="F8">
        <f>HYPERLINK("https://click.appcast.io/t/xlegkTgv3SrVF71OH_EUkdwcZcsZzLrbbagn0WM0vWk=", "https://click.appcast.io/t/xlegkTgv3SrVF71OH_EUkdwcZcsZzLrbbagn0WM0vWk=")</f>
        <v/>
      </c>
      <c r="G8" t="inlineStr">
        <is>
          <t>Sunnyvale, CA, US</t>
        </is>
      </c>
      <c r="H8" s="2" t="n">
        <v>46049</v>
      </c>
      <c r="I8" t="inlineStr">
        <is>
          <t>**Position Summary...**
-----------------------
**What you'll do...**
---------------------
**What You’ll Do**
------------------
As aDistinguished Data Scientist focused on eCommerce Search AI, you will set the strategic and technical direction for next\-generation search experiences that leverage neural search, Generative AI, and agentic AI systems to deliver highly relevant and personalized customer interactions at scale. You will architect and lead the design of scalable, end\-to\-end Search infrastructure, drive adoption of advanced ML and AI techniques including deep retrieval models and LLM\-powered intent understanding, and ensure these systems meet stringent standards for performance, latency, reliability, and operational excellence in production. You will partner closely with Search, Ads, Personalization, and Catalog leaders to ensure cohesive relevance, consistent ranking signals, and shared platform capabilities across all discovery surfaces. As a senior technical leader, you will influence cross\-functional strategy across Search, Ads, Personalization, and Catalog domains, aligning technical investments with customer experience, monetization, and business outcomes. You will mentor senior engineers and data scientists, champion best practices in experimentation, evaluation, and AI governance, and contribute to advancing the state of the art in search relevance and AI\-driven decisioning. You will foster a culture of innovation and accountability while staying ahead of emerging trends in neural search, GenAI, and agentic systems, ensuring solutions scale responsibly across the broader eCommerce ecosystem. As a senior technical leader, you will mentor and guide senior engineers and data scientists, promote engineering and AI best practices, and contribute to extending the state of the art in search relevance and AI\-driven decisioning. You will champion rigorous evaluation, experimentation, and governance for both deterministic models and non\-deterministic AI components, fostering a culture of innovation and responsibility while staying ahead of emerging trends in search and AI research.
**What You’ll Bring**
---------------------
* Deep expertise in search, information retrieval, and ranking systems at scale
* Strong understanding of neural search architectures, ML/AI, and generative models
* Experience applying LLMs and agentic AI techniques to production systems
* Demonstrated ability to translate technical solutions into business impact
* Excellent cross\-team collaboration and communication skills
* Proven ability to influence technical direction and mentor senior technical contributors
**Minimum Qualifications**
--------------------------
* Bachelor’s degree in Computer Science, Machine Learning, Data Science, or related field
* 12\+ years of relevant experience in search, ML/AI engineering, or data science
* Proven experience building and operating large\-scale search or AI systems
* Strong programming proficiency (e.g., Python, SQL) and experience with ML frameworks
**Preferred Qualifications**
----------------------------
* Master’s or PhD in a quantitative discipline
* Experience with neural retrieval models, embedding\-based search, and learning\-to\-rank
* Hands\-on experience with Generative AI, LLMs, RAG, or agentic AI frameworks
* Background in eCommerce, digital platforms, or consumer\-facing search systems
* Familiarity with cloud\-native infrastructure and real\-time distributed systems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$169,000\.00 \- $338,000\.00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6 years' experience in an analytics related field. Option 2: Master’s degree in Statistics, Economics, Analytics, Mathematics, Computer Science, Information Technology or related field and 4 years' experience in an analytics related field. Option 3: 8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9">
      <c r="A9" t="inlineStr">
        <is>
          <t>in-448f9fe016ce11a6</t>
        </is>
      </c>
      <c r="B9" t="inlineStr">
        <is>
          <t>Data Scientist</t>
        </is>
      </c>
      <c r="C9" t="inlineStr">
        <is>
          <t>Bravo Consulting Group</t>
        </is>
      </c>
      <c r="D9" t="inlineStr">
        <is>
          <t>indeed</t>
        </is>
      </c>
      <c r="E9">
        <f>HYPERLINK("https://www.indeed.com/viewjob?jk=448f9fe016ce11a6", "https://www.indeed.com/viewjob?jk=448f9fe016ce11a6")</f>
        <v/>
      </c>
      <c r="F9">
        <f>HYPERLINK("https://bravocg-jobs.services.agileonboarding.com/jobs/details/11630", "https://bravocg-jobs.services.agileonboarding.com/jobs/details/11630")</f>
        <v/>
      </c>
      <c r="G9" t="inlineStr">
        <is>
          <t>Springfield, VA, US</t>
        </is>
      </c>
      <c r="H9" s="2" t="n">
        <v>46049</v>
      </c>
      <c r="I9" t="inlineStr">
        <is>
          <t>Job Description
At Bravo Consulting Group, we foster Kind Leadership, empowering our team members to grow while making a positive impact. As an Exploitation Specialist (Data Scientist), you will support Geospatial mission activities by applying data science techniques to analyze, visualize, and interpret mission\-relevant data. This role is well\-suited for a junior data scientist eager to apply foundational skills in a real\-world intelligence environment while learning from senior technical staff.
Responsibilities
* Apply Python\-based data analysis techniques to mission\-relevant datasets
* Support data exploration, transformation, and analysis efforts
* Develop visualizations and analytic outputs to support intelligence exploitation
* Assist with building and refining data\-driven analytic workflows
* Leverage SQL and other tools to query and manage structured datasets
* Collaborate with analysts and engineers to test and refine analytic methodologies
,
Required Skills
* Active TS/SCI clearance with willingness to take a CI polygraph
* Ability to work onsite in Springfield, VA (40 hours/week)
* Proficiency with Python
,
Desired Skills
* Knowledge of GEOINT collection and NGA/NRO systems
* Experience with SQL
* Familiarity with visualization tools (Grafana, Tableau, Kibana)
* Exposure to JavaScript, HTML, CSS, or object\-oriented programming
* Strong interest in learning new technologies and analytic methodologies
,
Additional Details
**Here’s why you’ll love working with us:**  
* Growth Opportunities: Build practical experience applying data science concepts, programming, and visualization techniques while developing mission\-focused analytic skills.
* Tangible Impact: Your analyses and visualizations will directly support intelligence exploitation efforts and operational decision\-making at NGA.
* Collaborative Culture: Work alongside analysts, engineers, and data professionals in a supportive environment that values teamwork and knowledge sharing.
* Exciting Challenges: Apply Python, SQL, and visualization tools to complex datasets while solving meaningful intelligence problems in a fast\-paced mission setting.
* Values\-Driven Leadership: Join a company that invests in early\-career professionals and prioritizes growth, mentorship, and purpose\-driven work.
,
About Bravo Consulting Group
Bravo Consulting Group is a global leader in Microsoft technology consulting, specializing in simplifying how clients create, share, and secure intelligent information. For nearly two decades, we’ve empowered organizations across federal, state, local, and commercial sectors with innovative solutions.
Our commitment to Kind Leadership and Impactful Innovation defines who we are. We believe in developing talented individuals and creating a culture where collaboration drives results. Join us and become part of a team that’s not only transforming businesses but also uplifting those around us.</t>
        </is>
      </c>
    </row>
    <row r="10">
      <c r="A10" t="inlineStr">
        <is>
          <t>in-d0073bf7b2a57acc</t>
        </is>
      </c>
      <c r="B10" t="inlineStr">
        <is>
          <t>Data Scientist</t>
        </is>
      </c>
      <c r="C10" t="inlineStr">
        <is>
          <t>GALLO</t>
        </is>
      </c>
      <c r="D10" t="inlineStr">
        <is>
          <t>indeed</t>
        </is>
      </c>
      <c r="E10">
        <f>HYPERLINK("https://www.indeed.com/viewjob?jk=d0073bf7b2a57acc", "https://www.indeed.com/viewjob?jk=d0073bf7b2a57acc")</f>
        <v/>
      </c>
      <c r="F10">
        <f>HYPERLINK("https://careers.gallo.com/job/Dallas-Data-Scientist-TX-75201/1359984100/?feedId=423900&amp;utm_source=Indeed&amp;utm_campaign=Gallo_Indeed", "https://careers.gallo.com/job/Dallas-Data-Scientist-TX-75201/1359984100/?feedId=423900&amp;utm_source=Indeed&amp;utm_campaign=Gallo_Indeed")</f>
        <v/>
      </c>
      <c r="G10" t="inlineStr">
        <is>
          <t>Dallas, TX, US</t>
        </is>
      </c>
      <c r="H10" s="2" t="n">
        <v>46049</v>
      </c>
      <c r="I10" t="inlineStr">
        <is>
          <t>Job Req ID: 106789
Job Type: Full\-time
Work Category: Hybrid Telecommute
Application Close Date: 02/11/2026
Sponsorship: Not Available
Compensation: $ 103,100 \- $ 154,800
 **We are GALLO**
We’re a family\-owned company with a 90\+ year legacy, that’s consistently recognized as a Glassdoor “Best Places to Work.” We have 130\+ brands in our total alcohol beverage portfolio including wine, malt, spirits, and ready\-to\-drink beverages. We’re home to the \#1 wine and spirits brands in the U.S. \- Barefoot Wine \&amp; High Noon and are the official sponsors of the NFL, NHL, UFC, and PGA of America.
 **A Taste of What You'll Do**
We’re seeking a curious, collaborative Data Scientist to join our Sales Analytics team and turn complex data into clear, actionable insights. Working under general supervision on up to two concurrent initiatives, you’ll consolidate diverse, unstructured sources, build and validate models, run experiments (A/B testing), and translate results into business\-ready solutions that drive measurable impact. You’ll partner with stakeholders across functions, elicit and refine requirements, and create compelling business cases that prioritize high\-impact outcomes.  
You are comfortable coding in Python and using libraries like Pandas, NumPy, Matplotlib or Seaborn, writing SQL to harvest data, and building reproducible analysis pipelines. You’ll design models and simple linear optimization solutions with solvers (e.g., Gurobi, CPLEX), implement prototypes for production, and work with engineers to ensure quality and adoption. You’ll apply statistical rigor to identify causal relationships, validate assumptions, and evaluate solution effectiveness while documenting technical specs and communicating tradeoffs in plain language for nontechnical audiences.  
We value intrapreneurship and ownership: think boldly, take appropriate risks, learn from mistakes, and hold yourself and teammates accountable. You’ll facilitate team meetings, mentor interns as needed, and help integrate new use cases using modern methods and tools. Timely work, attention to architecture and usability, and a focus on production\-ready outcomes are essential.  
GALLO is committed to equity and inclusion. We encourage candidates of all backgrounds and experiences to apply and will provide reasonable accommodations throughout the hiring process. If you’re passionate about using data to influence sales strategy and create business value, we’d like to hear from you. **What You'll Need*** Master’s degree in Statistics, Applied Mathematics, Computer Science, Data Science/Analytics, Geo Spatial Science, Operations Research, Industrial Engineering, Business Analytics, or Mathematics, plus 2 years of experience in advanced data analytics reflecting increasing levels of responsibility; OR Bachelor's degree in Information Systems, Computer Science, Management Information Systems (MIS), Economics, Mathematics, Statistics, Data Science, Data Analytics, Physics, Engineering, Operations Research, Industrial Engineering, or Business Analytics, plus 3 years of experience in advanced data analytics reflecting increasing levels of responsibility.
* Understands technology standards and architectural guidelines.
* Can work as part of a larger team and effectively collaborate with geographically distributed teams.
* Demonstrates knowledge \&amp; understanding of statistical machine learning and artificial intelligence (AI) models that integrate with the application development environment.
* Skilled at representing data in graphical form using tools such as MicroStrategy, Tableau, Excel.
* Intermediate Knowledge of AWS Resources in the aiding of automation.
* Working knowledge on building compelling Dashboards that tell a story and deliver actionable insights.
* Working knowledge developing experiments that identify causal relationships in the field.
* Required to travel to company offices, sites, and/or meeting locations for onboarding, training, meetings, and events for development, department needs, and business delivery up to 5% of the time, with or without reasonable accommodation. This may be in addition to travel requirements, if applicable, as listed in this job description.
* Required to be 18 years or older. This may be in addition to other age requirements, if applicable, as listed in this job description.
 **How You'll Stand Out*** Masters degree in Statistics, Applied Mathematics, Computer Science, Data Science/Analytics, Geo Spatial Science, Operations Research, Industrial Engineering, Business Analytics, or Mathematics plus 4 years experience in advanced data analytics reflecting increasing levels of responsibility; OR Bachelor's degree in Information Systems, Computer Science, Management Information Systems (MIS), Economics, Mathematics, Statistics, Data Science, Data Analytics, Physics, Engineering, Operations Research, Industrial Engineering, or Business Analytics plus 5 years experience in advanced data analytics reflecting increasing levels of responsibility.
 **Our Benefits \&amp; Perks**
We are committed to providing competitive compensation, perks, and a culture that supports your well\-being. Benefits depend on your work category and may include medical and dental coverage, 401k plans, profit sharing, pet insurance, company holidays, access to an employee wine shop, and more! Additional information will be provided before your first interview.
 **The Fine Print**
* The Company does not sponsor for employment\-based visas for this position now or in the future.
* Actual compensation paid within the range will be determined by factors such as the education, experience, knowledge, skills and abilities of the applicant, internal equity, and alignment with market data. In addition to the salary, this position **may** be eligible for bonuses, incentive plans, or participate in tasting room tip pools, as applicable.
* This position will be based in the location(s) specified in the job posting with an option for occasional telecommuting. You will be expected to live within a commutable distance.
* It is the Company’s policy for job postings to be open to internal candidates for a minimum of 5 days and to external candidates, if applicable, for a minimum of 3 days.
Gallo’s policy is to afford equal employment opportunities to all applicants and employees and not to discriminate on the basis of race, traits associated with race, including but not limited to, hair texture and protective hairstyles (such as braids, locks, and twists), color, national origin, ancestry, creed, religion, physical disability, mental disability, medical condition as defined by applicable state law (including cancer and predisposing genetic characteristics), genetic information, marital status, familial status, sex, gender, gender identity, gender expression, sexual orientation (actual or perceived), transgender status, sex stereotyping, pregnancy, childbirth or related medical conditions, reproductive health decision making, age, military or veteran status, domestic violence or sexual assault victim status, or any other basis protected by applicable law. Nor will Gallo discriminate based on a perception that an individual has any of the foregoing characteristics or is associated with a person who has, or is perceived to have, any of those characteristics.
Gallo will comply with state and local laws prohibiting discrimination for lawful out\-of\-work behavior, such as off\-duty use of cannabis away from the workplace (subject to federal and state law exceptions), the existence of non\-psychoactive cannabis metabolites in hair, blood, urine, or other bodily fluids as determined by a drug screening test (subject to federal and state law exceptions).
We also consider qualified applicants with criminal histories, consistent with applicable federal, state and local law. Gallo is committed to providing reasonable accommodation for candidates with disabilities in our recruiting process. If you need any assistance or accommodation due to a disability, please let us know at 209\.341\.7000\.
Gallo is enrolled in the Department of Homeland Security's E\-Verify program and will use the program to verify the employment eligibility of all newly hired employees as required.</t>
        </is>
      </c>
    </row>
    <row r="11">
      <c r="A11" t="inlineStr">
        <is>
          <t>in-8999786e2a8c2908</t>
        </is>
      </c>
      <c r="B11" t="inlineStr">
        <is>
          <t>Data Scientist</t>
        </is>
      </c>
      <c r="C11" t="inlineStr">
        <is>
          <t>University of Wisconsin–Madison</t>
        </is>
      </c>
      <c r="D11" t="inlineStr">
        <is>
          <t>indeed</t>
        </is>
      </c>
      <c r="E11">
        <f>HYPERLINK("https://www.indeed.com/viewjob?jk=8999786e2a8c2908", "https://www.indeed.com/viewjob?jk=8999786e2a8c2908")</f>
        <v/>
      </c>
      <c r="F11">
        <f>HYPERLINK("https://jobs.wisc.edu/jobs/data-scientist-tiwari-research-lab-madison-wisconsin-united-states", "https://jobs.wisc.edu/jobs/data-scientist-tiwari-research-lab-madison-wisconsin-united-states")</f>
        <v/>
      </c>
      <c r="G11" t="inlineStr">
        <is>
          <t>Madison, WI, US</t>
        </is>
      </c>
      <c r="H11" s="2" t="n">
        <v>46048</v>
      </c>
      <c r="I11" t="inlineStr">
        <is>
          <t>*Current employees: if you are currently employed at any of the universities of wisconsin, log in to workday to apply through the internal application process.*
Job category:
Academic Staff
Employment type:
Regular
Job profile:
Data Scientist I
Job summary:
The Department of Radiology, University of Wisconsin \- Madison, School of Medicine \&amp; Public Health is seeking a Radiology Informatics Data Scientist who will work under the direction of Dr. Pallavi Tiwari and will work closely with other staff, medical school groups, UW Health, and the Radiology Informatics team. The research conducted by Tiwari lab utilizes medical imaging and clinical data to build and optimize AI and machine learning models that identify computerized image\-based phenotypes, and their associations with genomics and histo\-pathology for disease characterization, with the aim of developing personalized diagnostic tools towards improved early diagnosis, prognosis, and response to treatment for neurological conditions and other diseases.
The Radiology Informatics Data Scientist will be responsible for data cleaning and management, the development and maintenance of clinical research databases, helping develop and deploy novel imaging tools, and disseminating new knowledge through abstracts, posters, presentations, and manuscripts. They will also be involved in project monitoring and evaluation, data analysis, oversight of trainees, and dissemination of program results and will work closely with the PI, lab manager, and Department of Radiology's Informatics Analysts.
ADDITIONAL JOB DETAILS:
* This position may require some work to be performed in\-person, onsite, at a designated campus work location. Some work may be performed remotely, at an offsite, non\-campus work location.
* Multiple Titles: Data Scientist I, Data Scientist II, or Data Scientist III. Applicants for this position will be considered for the titles listed in this posting. The title is determined by the experience and qualifications of the finalist.
* Candidates who demonstrate the following knowledge, skills, and abilities will be given first consideration; Professional and effective oral and written communications skills, and able to clearly relay information to faculty PI's and other researchers and prepare reports as needed; Effective data management and organizational skills, ability to train, work with, and elicit cooperation from team members with regards to data stewardship; Ability to problem\-solve effectively, with ability to develop and implement alternative solutions as needed; Ability to learn and apply new ideas, techniques, processes, policies, functions, etc.; Highly motivated and a self\-starter.
Key job responsibilities:
* Identifies, writes, or assists in developing grant opportunities, grant applications, and proposals to secure research funding
* Organizes and automates project steps for data preparation and analysis
* Composes and assembles reproducible workflows and reports to clearly articulate patterns to researchers and/or administrators
* Prepares data sets for analysis including cleaning/quality assurance, transformations, restructuring, and integration of multiple data sources
* Documents approaches to address research questions
* Implements appropriate data science techniques under the guidance of other data scientists, statisticians, and/or other researchers to find data patterns and answer research questions chosen by the lead researcher including data visualization, statistical analysis, machine learning, and data mining
* Conducts literature reviews, prepares reports and materials and, disseminates information to appropriate entities
Department:
===========
School of Medicine and Public Health, Department of Radiology, Tiwari Research Lab
Join UW Radiology and UW Health—A Legacy of Innovation
The University of Wisconsin Department of Radiology, in partnership with UW Health, has been at the forefront of clinical care, imaging research, and education for nearly a century. Since its inception on May 18, 1927—when Dr. Ernst Pohle was appointed as the first professor of Radiology, the department has grown to more than 160 faculty members across 14 specialized sections, serving as a key pillar of UW Health’s world\-class medical enterprise.
What Sets Us Apart
* Collaborative Excellence: Strong partnerships with UW Health, Medical Physics, and leading equipment vendors drive continuous advancements in imaging.
* Cutting\-Edge Technology: We utilize state\-of\-the\-art imaging in CT, MR, PET/CT, PET/MR, angiography, ultrasound, PACS, and AI\-driven medical imaging.
* Robust Research Infrastructure: Dedicated support for grant writing, media specialists, research nurses, technologists, and data managers enhance investigative success.
* Premier Imaging Facilities: The WIMR Imaging Sciences Center offers 60,000 square feet of advanced imaging space, including MRI, PET/MRI, PET/CT, CT, ultrasound, angiography, cyclotron, radiopharmaceutical production and comprehensive small animal imaging technologies.
Together, UW Radiology and UW Health are committed to advancing human health through groundbreaking clinical care, pioneering research, and excellence in education. We foster a respectful, adaptive, and accountable environment—one that prioritizes innovation while serving the needs of all patients, including underserved populations.
Visit our official website to learn more about our work and opportunities.
Compensation:
=============
The starting salary for the position is $65,000 annually; but is negotiable based on experience and qualifications.
Employees in this position can expect to receive benefits such as generous vacation, holidays, and sick leave; competitive insurances and savings accounts; retirement benefits.
Required Qualifications:
========================
* Experience working with medical imaging and/or electronic health record data, as well as understanding compliance requirements.
* Experience in developing machine learning and/or deep learning models for medical imaging, genetic, and/or biological data.
* At least 3 years of experience with programming languages (C\+\+, Python, Matlab), including libraries like NumPy, SciPy, and scikit\-learn.
* Proficiency in Linux environment, including common commands and shell scripting.
* Familiarity with medical imaging data and standards such as DICOM and HL7, as well as ensuring compliance.
Preferred Qualifications:
=========================
* Proficiency in database languages (SQL, NoSQL databases like MongoDB, graph databases).
* Familiarity with data management and lifecycle platforms such as Flywheel, XNAT, or data versioning tools like DVC.
* Previous grant writing experience; manuscript writing; program management and/or development experience.
* Experience contributing to clinical research projects, including IRB protocols and clinical trials.
* Knowledge of statistical analysis and data visualization tools (R, SAS, Matplotlib, Seaborn, Plotly).
Education:
==========
Bachelor’s Degree Required; focus in Physics, Biomedical Statistics, Computer Science or related field by application date.
Terminal Degree Preferred; PhD in Medical Imaging, Physics, Biomedical Statistics, Computer Science, or related field by application date.
How to Apply:
=============
For the best experience completing your application, we recommend using Chrome or Firefox as your web browser.
To apply for this position, select either “I am a current employee” or “I am not a current employee” under Apply Now. You will then be prompted to upload your application materials.
Important: The application has only one attachment field. Upload all required documents in that field, either as a single combined file or as multiple files in the same upload area.
Upload required documents:  
* Cover letter
* Resume
Your cover letter should address how your training and experience align with the required and preferred qualifications listed above. Application reviewers will rely on these written materials to determine which applicants move forward in the process. References will be requested from final candidates. All applicants will be notified once the search concludes, and a candidate is selected.
University sponsorship is not available for this position, including transfers of sponsorship and TN visas.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an ongoing position that will require continuous work eligibility. If you are selected for this position, you must provide proof of work authorization and eligibility to work.
The department will not be able to support a request for a J\-1 waiver. If you choose to pursue a waiver and apply for our position, neither the UW nor UWMF will reimburse you for your legal or waiver fees.
Contact Information:
====================
Amanda Joncas, ajoncas@wisc.edu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12">
      <c r="A12" t="inlineStr">
        <is>
          <t>in-df931ca06fb5950f</t>
        </is>
      </c>
      <c r="B12" t="inlineStr">
        <is>
          <t>Applied Scientist, Amazon Special Projects</t>
        </is>
      </c>
      <c r="C12" t="inlineStr">
        <is>
          <t>Amazon.com</t>
        </is>
      </c>
      <c r="D12" t="inlineStr">
        <is>
          <t>indeed</t>
        </is>
      </c>
      <c r="E12">
        <f>HYPERLINK("https://www.indeed.com/viewjob?jk=df931ca06fb5950f", "https://www.indeed.com/viewjob?jk=df931ca06fb5950f")</f>
        <v/>
      </c>
      <c r="F12">
        <f>HYPERLINK("https://www.amazon.jobs/jobs/3152795/applied-scientist-amazon-special-projects?cmpid=DA_INAD200785B", "https://www.amazon.jobs/jobs/3152795/applied-scientist-amazon-special-projects?cmpid=DA_INAD200785B")</f>
        <v/>
      </c>
      <c r="G12" t="inlineStr">
        <is>
          <t>Seattle, WA, US</t>
        </is>
      </c>
      <c r="H12" s="2" t="n">
        <v>46026</v>
      </c>
      <c r="I1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in-fae2d97423278118</t>
        </is>
      </c>
      <c r="B13" t="inlineStr">
        <is>
          <t>Sr. Applied Scientist, Amazon Ads</t>
        </is>
      </c>
      <c r="C13" t="inlineStr">
        <is>
          <t>Amazon.com</t>
        </is>
      </c>
      <c r="D13" t="inlineStr">
        <is>
          <t>indeed</t>
        </is>
      </c>
      <c r="E13">
        <f>HYPERLINK("https://www.indeed.com/viewjob?jk=fae2d97423278118", "https://www.indeed.com/viewjob?jk=fae2d97423278118")</f>
        <v/>
      </c>
      <c r="F13">
        <f>HYPERLINK("https://www.amazon.jobs/jobs/3139328/sr-applied-scientist-amazon-ads?cmpid=DA_INAD200785B", "https://www.amazon.jobs/jobs/3139328/sr-applied-scientist-amazon-ads?cmpid=DA_INAD200785B")</f>
        <v/>
      </c>
      <c r="G13" t="inlineStr">
        <is>
          <t>New York, NY, US</t>
        </is>
      </c>
      <c r="H13" s="2"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in-f9bfbcf5e1ad98a3</t>
        </is>
      </c>
      <c r="B14" t="inlineStr">
        <is>
          <t>Sr. Applied Scientist, Amazon Ads</t>
        </is>
      </c>
      <c r="C14" t="inlineStr">
        <is>
          <t>Amazon.com</t>
        </is>
      </c>
      <c r="D14" t="inlineStr">
        <is>
          <t>indeed</t>
        </is>
      </c>
      <c r="E14">
        <f>HYPERLINK("https://www.indeed.com/viewjob?jk=f9bfbcf5e1ad98a3", "https://www.indeed.com/viewjob?jk=f9bfbcf5e1ad98a3")</f>
        <v/>
      </c>
      <c r="F14">
        <f>HYPERLINK("https://www.amazon.jobs/jobs/3139328/sr-applied-scientist-amazon-ads?cmpid=DA_INAD200785B", "https://www.amazon.jobs/jobs/3139328/sr-applied-scientist-amazon-ads?cmpid=DA_INAD200785B")</f>
        <v/>
      </c>
      <c r="G14" t="inlineStr">
        <is>
          <t>Corvallis, OR, US</t>
        </is>
      </c>
      <c r="H14" s="2" t="n">
        <v>45998</v>
      </c>
      <c r="I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
      <c r="A15" t="inlineStr">
        <is>
          <t>in-3151c026da1696e1</t>
        </is>
      </c>
      <c r="B15" t="inlineStr">
        <is>
          <t>Sr. Applied Scientist, Amazon Ads</t>
        </is>
      </c>
      <c r="C15" t="inlineStr">
        <is>
          <t>Amazon.com</t>
        </is>
      </c>
      <c r="D15" t="inlineStr">
        <is>
          <t>indeed</t>
        </is>
      </c>
      <c r="E15">
        <f>HYPERLINK("https://www.indeed.com/viewjob?jk=3151c026da1696e1", "https://www.indeed.com/viewjob?jk=3151c026da1696e1")</f>
        <v/>
      </c>
      <c r="F15">
        <f>HYPERLINK("https://www.amazon.jobs/jobs/3139328/sr-applied-scientist-amazon-ads?cmpid=DA_INAD200785B", "https://www.amazon.jobs/jobs/3139328/sr-applied-scientist-amazon-ads?cmpid=DA_INAD200785B")</f>
        <v/>
      </c>
      <c r="G15" t="inlineStr">
        <is>
          <t>Boulder, CO,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in-dec2e0d31b520bd7</t>
        </is>
      </c>
      <c r="B16" t="inlineStr">
        <is>
          <t>Sr. Applied Scientist, Amazon Ads</t>
        </is>
      </c>
      <c r="C16" t="inlineStr">
        <is>
          <t>Amazon.com</t>
        </is>
      </c>
      <c r="D16" t="inlineStr">
        <is>
          <t>indeed</t>
        </is>
      </c>
      <c r="E16">
        <f>HYPERLINK("https://www.indeed.com/viewjob?jk=dec2e0d31b520bd7", "https://www.indeed.com/viewjob?jk=dec2e0d31b520bd7")</f>
        <v/>
      </c>
      <c r="F16">
        <f>HYPERLINK("https://www.amazon.jobs/jobs/3139328/sr-applied-scientist-amazon-ads?cmpid=DA_INAD200785B", "https://www.amazon.jobs/jobs/3139328/sr-applied-scientist-amazon-ads?cmpid=DA_INAD200785B")</f>
        <v/>
      </c>
      <c r="G16" t="inlineStr">
        <is>
          <t>Palo Alto, CA,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in-6c318a1f49e80700</t>
        </is>
      </c>
      <c r="B17" t="inlineStr">
        <is>
          <t>Sr. Applied Scientist, Amazon Ads</t>
        </is>
      </c>
      <c r="C17" t="inlineStr">
        <is>
          <t>Amazon.com</t>
        </is>
      </c>
      <c r="D17" t="inlineStr">
        <is>
          <t>indeed</t>
        </is>
      </c>
      <c r="E17">
        <f>HYPERLINK("https://www.indeed.com/viewjob?jk=6c318a1f49e80700", "https://www.indeed.com/viewjob?jk=6c318a1f49e80700")</f>
        <v/>
      </c>
      <c r="F17">
        <f>HYPERLINK("https://www.amazon.jobs/jobs/3139328/sr-applied-scientist-amazon-ads?cmpid=DA_INAD200785B", "https://www.amazon.jobs/jobs/3139328/sr-applied-scientist-amazon-ads?cmpid=DA_INAD200785B")</f>
        <v/>
      </c>
      <c r="G17" t="inlineStr">
        <is>
          <t>Brooklyn, NY,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in-c03db82fccc6ec55</t>
        </is>
      </c>
      <c r="B18" t="inlineStr">
        <is>
          <t>Sr. Applied Scientist, Amazon Ads</t>
        </is>
      </c>
      <c r="C18" t="inlineStr">
        <is>
          <t>Amazon.com</t>
        </is>
      </c>
      <c r="D18" t="inlineStr">
        <is>
          <t>indeed</t>
        </is>
      </c>
      <c r="E18">
        <f>HYPERLINK("https://www.indeed.com/viewjob?jk=c03db82fccc6ec55", "https://www.indeed.com/viewjob?jk=c03db82fccc6ec55")</f>
        <v/>
      </c>
      <c r="F18">
        <f>HYPERLINK("https://www.amazon.jobs/jobs/3139328/sr-applied-scientist-amazon-ads?cmpid=DA_INAD200785B", "https://www.amazon.jobs/jobs/3139328/sr-applied-scientist-amazon-ads?cmpid=DA_INAD200785B")</f>
        <v/>
      </c>
      <c r="G18" t="inlineStr">
        <is>
          <t>Sunnyvale, CA,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in-66f0a106f31ff648</t>
        </is>
      </c>
      <c r="B19" t="inlineStr">
        <is>
          <t>Sr. Applied Scientist, Amazon Ads</t>
        </is>
      </c>
      <c r="C19" t="inlineStr">
        <is>
          <t>Amazon.com</t>
        </is>
      </c>
      <c r="D19" t="inlineStr">
        <is>
          <t>indeed</t>
        </is>
      </c>
      <c r="E19">
        <f>HYPERLINK("https://www.indeed.com/viewjob?jk=66f0a106f31ff648", "https://www.indeed.com/viewjob?jk=66f0a106f31ff648")</f>
        <v/>
      </c>
      <c r="F19">
        <f>HYPERLINK("https://www.amazon.jobs/jobs/3139328/sr-applied-scientist-amazon-ads?cmpid=DA_INAD200785B", "https://www.amazon.jobs/jobs/3139328/sr-applied-scientist-amazon-ads?cmpid=DA_INAD200785B")</f>
        <v/>
      </c>
      <c r="G19" t="inlineStr">
        <is>
          <t>Boston, MA,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in-ba6b605b387d4956</t>
        </is>
      </c>
      <c r="B20" t="inlineStr">
        <is>
          <t>Sr. Applied Scientist, Amazon Ads</t>
        </is>
      </c>
      <c r="C20" t="inlineStr">
        <is>
          <t>Amazon.com</t>
        </is>
      </c>
      <c r="D20" t="inlineStr">
        <is>
          <t>indeed</t>
        </is>
      </c>
      <c r="E20">
        <f>HYPERLINK("https://www.indeed.com/viewjob?jk=ba6b605b387d4956", "https://www.indeed.com/viewjob?jk=ba6b605b387d4956")</f>
        <v/>
      </c>
      <c r="F20">
        <f>HYPERLINK("https://www.amazon.jobs/jobs/3139328/sr-applied-scientist-amazon-ads?cmpid=DA_INAD200785B", "https://www.amazon.jobs/jobs/3139328/sr-applied-scientist-amazon-ads?cmpid=DA_INAD200785B")</f>
        <v/>
      </c>
      <c r="G20" t="inlineStr">
        <is>
          <t>Santa Monica, CA, US</t>
        </is>
      </c>
      <c r="H20" s="2" t="n">
        <v>45998</v>
      </c>
      <c r="I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
      <c r="A21" t="inlineStr">
        <is>
          <t>in-4a02e15b0e607048</t>
        </is>
      </c>
      <c r="B21" t="inlineStr">
        <is>
          <t>Sr. Applied Scientist, Amazon Ads</t>
        </is>
      </c>
      <c r="C21" t="inlineStr">
        <is>
          <t>Amazon.com</t>
        </is>
      </c>
      <c r="D21" t="inlineStr">
        <is>
          <t>indeed</t>
        </is>
      </c>
      <c r="E21">
        <f>HYPERLINK("https://www.indeed.com/viewjob?jk=4a02e15b0e607048", "https://www.indeed.com/viewjob?jk=4a02e15b0e607048")</f>
        <v/>
      </c>
      <c r="F21">
        <f>HYPERLINK("https://www.amazon.jobs/jobs/3139328/sr-applied-scientist-amazon-ads?cmpid=DA_INAD200785B", "https://www.amazon.jobs/jobs/3139328/sr-applied-scientist-amazon-ads?cmpid=DA_INAD200785B")</f>
        <v/>
      </c>
      <c r="G21" t="inlineStr">
        <is>
          <t>Seattle, WA, US</t>
        </is>
      </c>
      <c r="H21" s="2" t="n">
        <v>45998</v>
      </c>
      <c r="I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
      <c r="A22" t="inlineStr">
        <is>
          <t>in-90353ed567b8e1e9</t>
        </is>
      </c>
      <c r="B22" t="inlineStr">
        <is>
          <t>Sr. Applied Scientist, Amazon Ads</t>
        </is>
      </c>
      <c r="C22" t="inlineStr">
        <is>
          <t>Amazon.com</t>
        </is>
      </c>
      <c r="D22" t="inlineStr">
        <is>
          <t>indeed</t>
        </is>
      </c>
      <c r="E22">
        <f>HYPERLINK("https://www.indeed.com/viewjob?jk=90353ed567b8e1e9", "https://www.indeed.com/viewjob?jk=90353ed567b8e1e9")</f>
        <v/>
      </c>
      <c r="F22">
        <f>HYPERLINK("https://www.amazon.jobs/jobs/3139328/sr-applied-scientist-amazon-ads?cmpid=DA_INAD200785B", "https://www.amazon.jobs/jobs/3139328/sr-applied-scientist-amazon-ads?cmpid=DA_INAD200785B")</f>
        <v/>
      </c>
      <c r="G22" t="inlineStr">
        <is>
          <t>Tukwila, WA,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in-2b97b0fc57bb3fa8</t>
        </is>
      </c>
      <c r="B23" t="inlineStr">
        <is>
          <t>Applied Scientist, ML Compiler</t>
        </is>
      </c>
      <c r="C23" t="inlineStr">
        <is>
          <t>Amazon Web Services</t>
        </is>
      </c>
      <c r="D23" t="inlineStr">
        <is>
          <t>indeed</t>
        </is>
      </c>
      <c r="E23">
        <f>HYPERLINK("https://www.indeed.com/viewjob?jk=2b97b0fc57bb3fa8", "https://www.indeed.com/viewjob?jk=2b97b0fc57bb3fa8")</f>
        <v/>
      </c>
      <c r="F23">
        <f>HYPERLINK("https://www.amazon.jobs/jobs/3136884/applied-scientist-ml-compiler?cmpid=DA_INAD200785B", "https://www.amazon.jobs/jobs/3136884/applied-scientist-ml-compiler?cmpid=DA_INAD200785B")</f>
        <v/>
      </c>
      <c r="G23" t="inlineStr">
        <is>
          <t>Cupertino, CA, US</t>
        </is>
      </c>
      <c r="H23" s="2" t="n">
        <v>45993</v>
      </c>
      <c r="I2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in-a868abab8f29bc16</t>
        </is>
      </c>
      <c r="B24" t="inlineStr">
        <is>
          <t>Applied Scientist, ML Compiler</t>
        </is>
      </c>
      <c r="C24" t="inlineStr">
        <is>
          <t>Amazon Web Services</t>
        </is>
      </c>
      <c r="D24" t="inlineStr">
        <is>
          <t>indeed</t>
        </is>
      </c>
      <c r="E24">
        <f>HYPERLINK("https://www.indeed.com/viewjob?jk=a868abab8f29bc16", "https://www.indeed.com/viewjob?jk=a868abab8f29bc16")</f>
        <v/>
      </c>
      <c r="F24">
        <f>HYPERLINK("https://www.amazon.jobs/jobs/3136884/applied-scientist-ml-compiler?cmpid=DA_INAD200785B", "https://www.amazon.jobs/jobs/3136884/applied-scientist-ml-compiler?cmpid=DA_INAD200785B")</f>
        <v/>
      </c>
      <c r="G24" t="inlineStr">
        <is>
          <t>Seattle, WA, US</t>
        </is>
      </c>
      <c r="H24" s="2" t="n">
        <v>45993</v>
      </c>
      <c r="I24"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in-279e6fb1f38f3402</t>
        </is>
      </c>
      <c r="B25" t="inlineStr">
        <is>
          <t>Senior Applied Scientist, Locomotion, Amazon Industrial Robotics</t>
        </is>
      </c>
      <c r="C25" t="inlineStr">
        <is>
          <t>Amazon.com</t>
        </is>
      </c>
      <c r="D25" t="inlineStr">
        <is>
          <t>indeed</t>
        </is>
      </c>
      <c r="E25">
        <f>HYPERLINK("https://www.indeed.com/viewjob?jk=279e6fb1f38f3402", "https://www.indeed.com/viewjob?jk=279e6fb1f38f3402")</f>
        <v/>
      </c>
      <c r="F25">
        <f>HYPERLINK("https://www.amazon.jobs/jobs/3134751/senior-applied-scientist-locomotion-amazon-industrial-robotics?cmpid=DA_INAD200785B", "https://www.amazon.jobs/jobs/3134751/senior-applied-scientist-locomotion-amazon-industrial-robotics?cmpid=DA_INAD200785B")</f>
        <v/>
      </c>
      <c r="G25" t="inlineStr">
        <is>
          <t>Reading, MA, US</t>
        </is>
      </c>
      <c r="H25" s="2" t="n">
        <v>45992</v>
      </c>
      <c r="I2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in-f332d84733d7be1d</t>
        </is>
      </c>
      <c r="B26" t="inlineStr">
        <is>
          <t>Principal Applied Scientist, Amazon Special Projects</t>
        </is>
      </c>
      <c r="C26" t="inlineStr">
        <is>
          <t>Amazon.com</t>
        </is>
      </c>
      <c r="D26" t="inlineStr">
        <is>
          <t>indeed</t>
        </is>
      </c>
      <c r="E26">
        <f>HYPERLINK("https://www.indeed.com/viewjob?jk=f332d84733d7be1d", "https://www.indeed.com/viewjob?jk=f332d84733d7be1d")</f>
        <v/>
      </c>
      <c r="F26">
        <f>HYPERLINK("https://www.amazon.jobs/jobs/3132566/principal-applied-scientist-amazon-special-projects?cmpid=DA_INAD200785B", "https://www.amazon.jobs/jobs/3132566/principal-applied-scientist-amazon-special-projects?cmpid=DA_INAD200785B")</f>
        <v/>
      </c>
      <c r="G26" t="inlineStr">
        <is>
          <t>Boston, MA, US</t>
        </is>
      </c>
      <c r="H26" s="2" t="n">
        <v>45982</v>
      </c>
      <c r="I2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in-8791dc3cfc7a7c52</t>
        </is>
      </c>
      <c r="B27" t="inlineStr">
        <is>
          <t>Principal Applied Scientist, Amazon Special Projects</t>
        </is>
      </c>
      <c r="C27" t="inlineStr">
        <is>
          <t>Amazon.com</t>
        </is>
      </c>
      <c r="D27" t="inlineStr">
        <is>
          <t>indeed</t>
        </is>
      </c>
      <c r="E27">
        <f>HYPERLINK("https://www.indeed.com/viewjob?jk=8791dc3cfc7a7c52", "https://www.indeed.com/viewjob?jk=8791dc3cfc7a7c52")</f>
        <v/>
      </c>
      <c r="F27">
        <f>HYPERLINK("https://www.amazon.jobs/jobs/3132566/principal-applied-scientist-amazon-special-projects?cmpid=DA_INAD200785B", "https://www.amazon.jobs/jobs/3132566/principal-applied-scientist-amazon-special-projects?cmpid=DA_INAD200785B")</f>
        <v/>
      </c>
      <c r="G27" t="inlineStr">
        <is>
          <t>Seattle, WA, US</t>
        </is>
      </c>
      <c r="H27" s="2" t="n">
        <v>45982</v>
      </c>
      <c r="I2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in-7b482e1cff2e2530</t>
        </is>
      </c>
      <c r="B28" t="inlineStr">
        <is>
          <t>Sr. Applied Scientist, SPB Advertiser Guidance</t>
        </is>
      </c>
      <c r="C28" t="inlineStr">
        <is>
          <t>Amazon.com</t>
        </is>
      </c>
      <c r="D28" t="inlineStr">
        <is>
          <t>indeed</t>
        </is>
      </c>
      <c r="E28">
        <f>HYPERLINK("https://www.indeed.com/viewjob?jk=7b482e1cff2e2530", "https://www.indeed.com/viewjob?jk=7b482e1cff2e2530")</f>
        <v/>
      </c>
      <c r="F28">
        <f>HYPERLINK("https://www.amazon.jobs/jobs/3132336/sr-applied-scientist-spb-advertiser-guidance?cmpid=DA_INAD200785B", "https://www.amazon.jobs/jobs/3132336/sr-applied-scientist-spb-advertiser-guidance?cmpid=DA_INAD200785B")</f>
        <v/>
      </c>
      <c r="G28" t="inlineStr">
        <is>
          <t>Palo Alto, CA, US</t>
        </is>
      </c>
      <c r="H28" s="2" t="n">
        <v>45981</v>
      </c>
      <c r="I2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in-9f566bf90c9a25bb</t>
        </is>
      </c>
      <c r="B29" t="inlineStr">
        <is>
          <t>Sr. Applied Scientist, SPB Advertiser Guidance</t>
        </is>
      </c>
      <c r="C29" t="inlineStr">
        <is>
          <t>Amazon.com</t>
        </is>
      </c>
      <c r="D29" t="inlineStr">
        <is>
          <t>indeed</t>
        </is>
      </c>
      <c r="E29">
        <f>HYPERLINK("https://www.indeed.com/viewjob?jk=9f566bf90c9a25bb", "https://www.indeed.com/viewjob?jk=9f566bf90c9a25bb")</f>
        <v/>
      </c>
      <c r="F29">
        <f>HYPERLINK("https://www.amazon.jobs/jobs/3132336/sr-applied-scientist-spb-advertiser-guidance?cmpid=DA_INAD200785B", "https://www.amazon.jobs/jobs/3132336/sr-applied-scientist-spb-advertiser-guidance?cmpid=DA_INAD200785B")</f>
        <v/>
      </c>
      <c r="G29" t="inlineStr">
        <is>
          <t>New York, NY, US</t>
        </is>
      </c>
      <c r="H29" s="2" t="n">
        <v>45981</v>
      </c>
      <c r="I2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in-7a43f077d5dba901</t>
        </is>
      </c>
      <c r="B30" t="inlineStr">
        <is>
          <t>Sr. Applied Scientist, SPB Advertiser Guidance</t>
        </is>
      </c>
      <c r="C30" t="inlineStr">
        <is>
          <t>Amazon.com</t>
        </is>
      </c>
      <c r="D30" t="inlineStr">
        <is>
          <t>indeed</t>
        </is>
      </c>
      <c r="E30">
        <f>HYPERLINK("https://www.indeed.com/viewjob?jk=7a43f077d5dba901", "https://www.indeed.com/viewjob?jk=7a43f077d5dba901")</f>
        <v/>
      </c>
      <c r="F30">
        <f>HYPERLINK("https://www.amazon.jobs/jobs/3132336/sr-applied-scientist-spb-advertiser-guidance?cmpid=DA_INAD200785B", "https://www.amazon.jobs/jobs/3132336/sr-applied-scientist-spb-advertiser-guidance?cmpid=DA_INAD200785B")</f>
        <v/>
      </c>
      <c r="G30" t="inlineStr">
        <is>
          <t>Seattle, WA, US</t>
        </is>
      </c>
      <c r="H30" s="2" t="n">
        <v>45981</v>
      </c>
      <c r="I3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in-fae900e702197477</t>
        </is>
      </c>
      <c r="B31" t="inlineStr">
        <is>
          <t>Senior Applied Scientist, Artificial General Intelligence</t>
        </is>
      </c>
      <c r="C31" t="inlineStr">
        <is>
          <t>Amazon.com</t>
        </is>
      </c>
      <c r="D31" t="inlineStr">
        <is>
          <t>indeed</t>
        </is>
      </c>
      <c r="E31">
        <f>HYPERLINK("https://www.indeed.com/viewjob?jk=fae900e702197477", "https://www.indeed.com/viewjob?jk=fae900e702197477")</f>
        <v/>
      </c>
      <c r="F31">
        <f>HYPERLINK("https://www.amazon.jobs/jobs/3131971/senior-applied-scientist-artificial-general-intelligence?cmpid=DA_INAD200785B", "https://www.amazon.jobs/jobs/3131971/senior-applied-scientist-artificial-general-intelligence?cmpid=DA_INAD200785B")</f>
        <v/>
      </c>
      <c r="G31" t="inlineStr">
        <is>
          <t>Sunnyvale, CA, US</t>
        </is>
      </c>
      <c r="H31" s="2" t="n">
        <v>45980</v>
      </c>
      <c r="I3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in-9204e163239d7383</t>
        </is>
      </c>
      <c r="B32" t="inlineStr">
        <is>
          <t>Senior Applied Scientist, Artificial General Intelligence</t>
        </is>
      </c>
      <c r="C32" t="inlineStr">
        <is>
          <t>Amazon.com</t>
        </is>
      </c>
      <c r="D32" t="inlineStr">
        <is>
          <t>indeed</t>
        </is>
      </c>
      <c r="E32">
        <f>HYPERLINK("https://www.indeed.com/viewjob?jk=9204e163239d7383", "https://www.indeed.com/viewjob?jk=9204e163239d7383")</f>
        <v/>
      </c>
      <c r="F32">
        <f>HYPERLINK("https://www.amazon.jobs/jobs/3131971/senior-applied-scientist-artificial-general-intelligence?cmpid=DA_INAD200785B", "https://www.amazon.jobs/jobs/3131971/senior-applied-scientist-artificial-general-intelligence?cmpid=DA_INAD200785B")</f>
        <v/>
      </c>
      <c r="G32" t="inlineStr">
        <is>
          <t>Boston, MA, US</t>
        </is>
      </c>
      <c r="H32" s="2" t="n">
        <v>45980</v>
      </c>
      <c r="I3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in-3946bbedb7077931</t>
        </is>
      </c>
      <c r="B33" t="inlineStr">
        <is>
          <t>Senior Applied Scientist, Artificial General Intelligence</t>
        </is>
      </c>
      <c r="C33" t="inlineStr">
        <is>
          <t>Amazon.com</t>
        </is>
      </c>
      <c r="D33" t="inlineStr">
        <is>
          <t>indeed</t>
        </is>
      </c>
      <c r="E33">
        <f>HYPERLINK("https://www.indeed.com/viewjob?jk=3946bbedb7077931", "https://www.indeed.com/viewjob?jk=3946bbedb7077931")</f>
        <v/>
      </c>
      <c r="F33">
        <f>HYPERLINK("https://www.amazon.jobs/jobs/3131971/senior-applied-scientist-artificial-general-intelligence?cmpid=DA_INAD200785B", "https://www.amazon.jobs/jobs/3131971/senior-applied-scientist-artificial-general-intelligence?cmpid=DA_INAD200785B")</f>
        <v/>
      </c>
      <c r="G33" t="inlineStr">
        <is>
          <t>New York, NY, US</t>
        </is>
      </c>
      <c r="H33" s="2" t="n">
        <v>45980</v>
      </c>
      <c r="I3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in-96457d7706addd4b</t>
        </is>
      </c>
      <c r="B34" t="inlineStr">
        <is>
          <t>Senior Applied Scientist, Artificial General Intelligence</t>
        </is>
      </c>
      <c r="C34" t="inlineStr">
        <is>
          <t>Amazon.com</t>
        </is>
      </c>
      <c r="D34" t="inlineStr">
        <is>
          <t>indeed</t>
        </is>
      </c>
      <c r="E34">
        <f>HYPERLINK("https://www.indeed.com/viewjob?jk=96457d7706addd4b", "https://www.indeed.com/viewjob?jk=96457d7706addd4b")</f>
        <v/>
      </c>
      <c r="F34">
        <f>HYPERLINK("https://www.amazon.jobs/jobs/3131971/senior-applied-scientist-artificial-general-intelligence?cmpid=DA_INAD200785B", "https://www.amazon.jobs/jobs/3131971/senior-applied-scientist-artificial-general-intelligence?cmpid=DA_INAD200785B")</f>
        <v/>
      </c>
      <c r="G34" t="inlineStr">
        <is>
          <t>Seattle, WA, US</t>
        </is>
      </c>
      <c r="H34" s="2" t="n">
        <v>45980</v>
      </c>
      <c r="I3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in-6c31fd725eb6b96f</t>
        </is>
      </c>
      <c r="B35" t="inlineStr">
        <is>
          <t>Applied Scientist II, SPB Advertiser Guidance</t>
        </is>
      </c>
      <c r="C35" t="inlineStr">
        <is>
          <t>Amazon.com</t>
        </is>
      </c>
      <c r="D35" t="inlineStr">
        <is>
          <t>indeed</t>
        </is>
      </c>
      <c r="E35">
        <f>HYPERLINK("https://www.indeed.com/viewjob?jk=6c31fd725eb6b96f", "https://www.indeed.com/viewjob?jk=6c31fd725eb6b96f")</f>
        <v/>
      </c>
      <c r="F35">
        <f>HYPERLINK("https://www.amazon.jobs/jobs/3131876/applied-scientist-ii-spb-advertiser-guidance?cmpid=DA_INAD200785B", "https://www.amazon.jobs/jobs/3131876/applied-scientist-ii-spb-advertiser-guidance?cmpid=DA_INAD200785B")</f>
        <v/>
      </c>
      <c r="G35" t="inlineStr">
        <is>
          <t>New York, NY, US</t>
        </is>
      </c>
      <c r="H35" s="2" t="n">
        <v>45980</v>
      </c>
      <c r="I3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in-b6929400dc41b347</t>
        </is>
      </c>
      <c r="B36" t="inlineStr">
        <is>
          <t>Applied Scientist II, SPB Advertiser Guidance</t>
        </is>
      </c>
      <c r="C36" t="inlineStr">
        <is>
          <t>Amazon.com</t>
        </is>
      </c>
      <c r="D36" t="inlineStr">
        <is>
          <t>indeed</t>
        </is>
      </c>
      <c r="E36">
        <f>HYPERLINK("https://www.indeed.com/viewjob?jk=b6929400dc41b347", "https://www.indeed.com/viewjob?jk=b6929400dc41b347")</f>
        <v/>
      </c>
      <c r="F36">
        <f>HYPERLINK("https://www.amazon.jobs/jobs/3131876/applied-scientist-ii-spb-advertiser-guidance?cmpid=DA_INAD200785B", "https://www.amazon.jobs/jobs/3131876/applied-scientist-ii-spb-advertiser-guidance?cmpid=DA_INAD200785B")</f>
        <v/>
      </c>
      <c r="G36" t="inlineStr">
        <is>
          <t>Seattle, WA, US</t>
        </is>
      </c>
      <c r="H36" s="2" t="n">
        <v>45980</v>
      </c>
      <c r="I3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in-58cb0d54a102c8e0</t>
        </is>
      </c>
      <c r="B37" t="inlineStr">
        <is>
          <t>Applied Scientist II, SPB Advertiser Guidance</t>
        </is>
      </c>
      <c r="C37" t="inlineStr">
        <is>
          <t>Amazon.com</t>
        </is>
      </c>
      <c r="D37" t="inlineStr">
        <is>
          <t>indeed</t>
        </is>
      </c>
      <c r="E37">
        <f>HYPERLINK("https://www.indeed.com/viewjob?jk=58cb0d54a102c8e0", "https://www.indeed.com/viewjob?jk=58cb0d54a102c8e0")</f>
        <v/>
      </c>
      <c r="F37">
        <f>HYPERLINK("https://www.amazon.jobs/jobs/3131876/applied-scientist-ii-spb-advertiser-guidance?cmpid=DA_INAD200785B", "https://www.amazon.jobs/jobs/3131876/applied-scientist-ii-spb-advertiser-guidance?cmpid=DA_INAD200785B")</f>
        <v/>
      </c>
      <c r="G37" t="inlineStr">
        <is>
          <t>Palo Alto, CA, US</t>
        </is>
      </c>
      <c r="H37" s="2" t="n">
        <v>45980</v>
      </c>
      <c r="I3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in-7a675890edd82b68</t>
        </is>
      </c>
      <c r="B38" t="inlineStr">
        <is>
          <t>Principal Applied Scientist, Sponsored Products and Brands</t>
        </is>
      </c>
      <c r="C38" t="inlineStr">
        <is>
          <t>Amazon.com</t>
        </is>
      </c>
      <c r="D38" t="inlineStr">
        <is>
          <t>indeed</t>
        </is>
      </c>
      <c r="E38">
        <f>HYPERLINK("https://www.indeed.com/viewjob?jk=7a675890edd82b68", "https://www.indeed.com/viewjob?jk=7a675890edd82b68")</f>
        <v/>
      </c>
      <c r="F38">
        <f>HYPERLINK("https://www.amazon.jobs/jobs/3130855/principal-applied-scientist-sponsored-products-and-brands?cmpid=DA_INAD200785B", "https://www.amazon.jobs/jobs/3130855/principal-applied-scientist-sponsored-products-and-brands?cmpid=DA_INAD200785B")</f>
        <v/>
      </c>
      <c r="G38" t="inlineStr">
        <is>
          <t>Seattle, WA, US</t>
        </is>
      </c>
      <c r="H38" s="2" t="n">
        <v>45979</v>
      </c>
      <c r="I3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in-222f74fa3337ee3a</t>
        </is>
      </c>
      <c r="B39" t="inlineStr">
        <is>
          <t>Principal Applied Scientist, Sponsored Products and Brands</t>
        </is>
      </c>
      <c r="C39" t="inlineStr">
        <is>
          <t>Amazon.com</t>
        </is>
      </c>
      <c r="D39" t="inlineStr">
        <is>
          <t>indeed</t>
        </is>
      </c>
      <c r="E39">
        <f>HYPERLINK("https://www.indeed.com/viewjob?jk=222f74fa3337ee3a", "https://www.indeed.com/viewjob?jk=222f74fa3337ee3a")</f>
        <v/>
      </c>
      <c r="F39">
        <f>HYPERLINK("https://www.amazon.jobs/jobs/3130855/principal-applied-scientist-sponsored-products-and-brands?cmpid=DA_INAD200785B", "https://www.amazon.jobs/jobs/3130855/principal-applied-scientist-sponsored-products-and-brands?cmpid=DA_INAD200785B")</f>
        <v/>
      </c>
      <c r="G39" t="inlineStr">
        <is>
          <t>New York, NY, US</t>
        </is>
      </c>
      <c r="H39" s="2" t="n">
        <v>45979</v>
      </c>
      <c r="I3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in-9152426924b69abb</t>
        </is>
      </c>
      <c r="B40" t="inlineStr">
        <is>
          <t>Sr. Applied Scientist, AGI Foundations</t>
        </is>
      </c>
      <c r="C40" t="inlineStr">
        <is>
          <t>Amazon.com</t>
        </is>
      </c>
      <c r="D40" t="inlineStr">
        <is>
          <t>indeed</t>
        </is>
      </c>
      <c r="E40">
        <f>HYPERLINK("https://www.indeed.com/viewjob?jk=9152426924b69abb", "https://www.indeed.com/viewjob?jk=9152426924b69abb")</f>
        <v/>
      </c>
      <c r="F40">
        <f>HYPERLINK("https://www.amazon.jobs/jobs/3128807/sr-applied-scientist-agi-foundations?cmpid=DA_INAD200785B", "https://www.amazon.jobs/jobs/3128807/sr-applied-scientist-agi-foundations?cmpid=DA_INAD200785B")</f>
        <v/>
      </c>
      <c r="G40" t="inlineStr">
        <is>
          <t>Sunnyvale, CA, US</t>
        </is>
      </c>
      <c r="H40" s="2" t="n">
        <v>45978</v>
      </c>
      <c r="I4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in-1d7407e01345879f</t>
        </is>
      </c>
      <c r="B41" t="inlineStr">
        <is>
          <t>Sr. Applied Scientist, AGI Foundations</t>
        </is>
      </c>
      <c r="C41" t="inlineStr">
        <is>
          <t>Amazon.com</t>
        </is>
      </c>
      <c r="D41" t="inlineStr">
        <is>
          <t>indeed</t>
        </is>
      </c>
      <c r="E41">
        <f>HYPERLINK("https://www.indeed.com/viewjob?jk=1d7407e01345879f", "https://www.indeed.com/viewjob?jk=1d7407e01345879f")</f>
        <v/>
      </c>
      <c r="F41">
        <f>HYPERLINK("https://www.amazon.jobs/jobs/3128807/sr-applied-scientist-agi-foundations?cmpid=DA_INAD200785B", "https://www.amazon.jobs/jobs/3128807/sr-applied-scientist-agi-foundations?cmpid=DA_INAD200785B")</f>
        <v/>
      </c>
      <c r="G41" t="inlineStr">
        <is>
          <t>Bellevue, WA, US</t>
        </is>
      </c>
      <c r="H41" s="2" t="n">
        <v>45978</v>
      </c>
      <c r="I4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in-c4643c358259e6a2</t>
        </is>
      </c>
      <c r="B42" t="inlineStr">
        <is>
          <t>Sr. Applied Scientist, AGI Foundations</t>
        </is>
      </c>
      <c r="C42" t="inlineStr">
        <is>
          <t>Amazon.com</t>
        </is>
      </c>
      <c r="D42" t="inlineStr">
        <is>
          <t>indeed</t>
        </is>
      </c>
      <c r="E42">
        <f>HYPERLINK("https://www.indeed.com/viewjob?jk=c4643c358259e6a2", "https://www.indeed.com/viewjob?jk=c4643c358259e6a2")</f>
        <v/>
      </c>
      <c r="F42">
        <f>HYPERLINK("https://www.amazon.jobs/jobs/3128807/sr-applied-scientist-agi-foundations?cmpid=DA_INAD200785B", "https://www.amazon.jobs/jobs/3128807/sr-applied-scientist-agi-foundations?cmpid=DA_INAD200785B")</f>
        <v/>
      </c>
      <c r="G42" t="inlineStr">
        <is>
          <t>Boston, MA, US</t>
        </is>
      </c>
      <c r="H42" s="2" t="n">
        <v>45978</v>
      </c>
      <c r="I4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in-a4dd751632e0be88</t>
        </is>
      </c>
      <c r="B43" t="inlineStr">
        <is>
          <t>Sr. Applied Scientist, AGI Foundations</t>
        </is>
      </c>
      <c r="C43" t="inlineStr">
        <is>
          <t>Amazon.com</t>
        </is>
      </c>
      <c r="D43" t="inlineStr">
        <is>
          <t>indeed</t>
        </is>
      </c>
      <c r="E43">
        <f>HYPERLINK("https://www.indeed.com/viewjob?jk=a4dd751632e0be88", "https://www.indeed.com/viewjob?jk=a4dd751632e0be88")</f>
        <v/>
      </c>
      <c r="F43">
        <f>HYPERLINK("https://www.amazon.jobs/jobs/3128807/sr-applied-scientist-agi-foundations?cmpid=DA_INAD200785B", "https://www.amazon.jobs/jobs/3128807/sr-applied-scientist-agi-foundations?cmpid=DA_INAD200785B")</f>
        <v/>
      </c>
      <c r="G43" t="inlineStr">
        <is>
          <t>New York, NY, US</t>
        </is>
      </c>
      <c r="H43" s="2" t="n">
        <v>45978</v>
      </c>
      <c r="I4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in-221c6e5712991ba7</t>
        </is>
      </c>
      <c r="B44" t="inlineStr">
        <is>
          <t>Applied Scientist II, Robotics and ML, Amazon Industrial Robotics</t>
        </is>
      </c>
      <c r="C44" t="inlineStr">
        <is>
          <t>Amazon.com</t>
        </is>
      </c>
      <c r="D44" t="inlineStr">
        <is>
          <t>indeed</t>
        </is>
      </c>
      <c r="E44">
        <f>HYPERLINK("https://www.indeed.com/viewjob?jk=221c6e5712991ba7", "https://www.indeed.com/viewjob?jk=221c6e5712991ba7")</f>
        <v/>
      </c>
      <c r="F44">
        <f>HYPERLINK("https://www.amazon.jobs/jobs/3128219/applied-scientist-ii-robotics-and-ml-amazon-industrial-robotics?cmpid=DA_INAD200785B", "https://www.amazon.jobs/jobs/3128219/applied-scientist-ii-robotics-and-ml-amazon-industrial-robotics?cmpid=DA_INAD200785B")</f>
        <v/>
      </c>
      <c r="G44" t="inlineStr">
        <is>
          <t>Reading, MA, US</t>
        </is>
      </c>
      <c r="H44" s="2" t="n">
        <v>45975</v>
      </c>
      <c r="I4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in-23a4db1b279a0203</t>
        </is>
      </c>
      <c r="B45" t="inlineStr">
        <is>
          <t>Sr. Applied Scientist, Amazon Industrial Robotics</t>
        </is>
      </c>
      <c r="C45" t="inlineStr">
        <is>
          <t>Amazon.com</t>
        </is>
      </c>
      <c r="D45" t="inlineStr">
        <is>
          <t>indeed</t>
        </is>
      </c>
      <c r="E45">
        <f>HYPERLINK("https://www.indeed.com/viewjob?jk=23a4db1b279a0203", "https://www.indeed.com/viewjob?jk=23a4db1b279a0203")</f>
        <v/>
      </c>
      <c r="F45">
        <f>HYPERLINK("https://www.amazon.jobs/jobs/3128751/sr-applied-scientist-amazon-industrial-robotics?cmpid=DA_INAD200785B", "https://www.amazon.jobs/jobs/3128751/sr-applied-scientist-amazon-industrial-robotics?cmpid=DA_INAD200785B")</f>
        <v/>
      </c>
      <c r="G45" t="inlineStr">
        <is>
          <t>Reading, MA, US</t>
        </is>
      </c>
      <c r="H45" s="2" t="n">
        <v>45973</v>
      </c>
      <c r="I4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in-f77583c48f3f61ec</t>
        </is>
      </c>
      <c r="B46" t="inlineStr">
        <is>
          <t>Principal Applied Scientist, Amazon AGI</t>
        </is>
      </c>
      <c r="C46" t="inlineStr">
        <is>
          <t>Amazon.com</t>
        </is>
      </c>
      <c r="D46" t="inlineStr">
        <is>
          <t>indeed</t>
        </is>
      </c>
      <c r="E46">
        <f>HYPERLINK("https://www.indeed.com/viewjob?jk=f77583c48f3f61ec", "https://www.indeed.com/viewjob?jk=f77583c48f3f61ec")</f>
        <v/>
      </c>
      <c r="F46">
        <f>HYPERLINK("https://www.amazon.jobs/jobs/3128808/principal-applied-scientist-amazon-agi?cmpid=DA_INAD200785B", "https://www.amazon.jobs/jobs/3128808/principal-applied-scientist-amazon-agi?cmpid=DA_INAD200785B")</f>
        <v/>
      </c>
      <c r="G46" t="inlineStr">
        <is>
          <t>Boston, MA, US</t>
        </is>
      </c>
      <c r="H46" s="2" t="n">
        <v>45964</v>
      </c>
      <c r="I4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in-6cb40be2ad746a78</t>
        </is>
      </c>
      <c r="B47" t="inlineStr">
        <is>
          <t>Principal Applied Scientist, Amazon AGI</t>
        </is>
      </c>
      <c r="C47" t="inlineStr">
        <is>
          <t>Amazon.com</t>
        </is>
      </c>
      <c r="D47" t="inlineStr">
        <is>
          <t>indeed</t>
        </is>
      </c>
      <c r="E47">
        <f>HYPERLINK("https://www.indeed.com/viewjob?jk=6cb40be2ad746a78", "https://www.indeed.com/viewjob?jk=6cb40be2ad746a78")</f>
        <v/>
      </c>
      <c r="F47">
        <f>HYPERLINK("https://www.amazon.jobs/jobs/3128808/principal-applied-scientist-amazon-agi?cmpid=DA_INAD200785B", "https://www.amazon.jobs/jobs/3128808/principal-applied-scientist-amazon-agi?cmpid=DA_INAD200785B")</f>
        <v/>
      </c>
      <c r="G47" t="inlineStr">
        <is>
          <t>San Francisco, CA, US</t>
        </is>
      </c>
      <c r="H47" s="2" t="n">
        <v>45964</v>
      </c>
      <c r="I4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in-2d1c1e86fbcfea21</t>
        </is>
      </c>
      <c r="B48" t="inlineStr">
        <is>
          <t>Sr. Applied Scientist, AGI Foundations</t>
        </is>
      </c>
      <c r="C48" t="inlineStr">
        <is>
          <t>Amazon.com</t>
        </is>
      </c>
      <c r="D48" t="inlineStr">
        <is>
          <t>indeed</t>
        </is>
      </c>
      <c r="E48">
        <f>HYPERLINK("https://www.indeed.com/viewjob?jk=2d1c1e86fbcfea21", "https://www.indeed.com/viewjob?jk=2d1c1e86fbcfea21")</f>
        <v/>
      </c>
      <c r="F48">
        <f>HYPERLINK("https://www.amazon.jobs/jobs/3123268/sr-applied-scientist-agi-foundations?cmpid=DA_INAD200785B", "https://www.amazon.jobs/jobs/3123268/sr-applied-scientist-agi-foundations?cmpid=DA_INAD200785B")</f>
        <v/>
      </c>
      <c r="G48" t="inlineStr">
        <is>
          <t>New York, NY, US</t>
        </is>
      </c>
      <c r="H48" s="2" t="n">
        <v>45963</v>
      </c>
      <c r="I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in-970ddaaa8c384897</t>
        </is>
      </c>
      <c r="B49" t="inlineStr">
        <is>
          <t>Sr. Applied Scientist, AGI Foundations</t>
        </is>
      </c>
      <c r="C49" t="inlineStr">
        <is>
          <t>Amazon.com</t>
        </is>
      </c>
      <c r="D49" t="inlineStr">
        <is>
          <t>indeed</t>
        </is>
      </c>
      <c r="E49">
        <f>HYPERLINK("https://www.indeed.com/viewjob?jk=970ddaaa8c384897", "https://www.indeed.com/viewjob?jk=970ddaaa8c384897")</f>
        <v/>
      </c>
      <c r="F49">
        <f>HYPERLINK("https://www.amazon.jobs/jobs/3123268/sr-applied-scientist-agi-foundations?cmpid=DA_INAD200785B", "https://www.amazon.jobs/jobs/3123268/sr-applied-scientist-agi-foundations?cmpid=DA_INAD200785B")</f>
        <v/>
      </c>
      <c r="G49" t="inlineStr">
        <is>
          <t>Boston, MA, US</t>
        </is>
      </c>
      <c r="H49" s="2" t="n">
        <v>45963</v>
      </c>
      <c r="I4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in-eb369981ceebe4be</t>
        </is>
      </c>
      <c r="B50" t="inlineStr">
        <is>
          <t>Sr. Applied Scientist, AGI Foundations</t>
        </is>
      </c>
      <c r="C50" t="inlineStr">
        <is>
          <t>Amazon.com</t>
        </is>
      </c>
      <c r="D50" t="inlineStr">
        <is>
          <t>indeed</t>
        </is>
      </c>
      <c r="E50">
        <f>HYPERLINK("https://www.indeed.com/viewjob?jk=eb369981ceebe4be", "https://www.indeed.com/viewjob?jk=eb369981ceebe4be")</f>
        <v/>
      </c>
      <c r="F50">
        <f>HYPERLINK("https://www.amazon.jobs/jobs/3123268/sr-applied-scientist-agi-foundations?cmpid=DA_INAD200785B", "https://www.amazon.jobs/jobs/3123268/sr-applied-scientist-agi-foundations?cmpid=DA_INAD200785B")</f>
        <v/>
      </c>
      <c r="G50" t="inlineStr">
        <is>
          <t>Bellevue, WA, US</t>
        </is>
      </c>
      <c r="H50" s="2" t="n">
        <v>45963</v>
      </c>
      <c r="I5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in-95202d98a051e882</t>
        </is>
      </c>
      <c r="B51" t="inlineStr">
        <is>
          <t>Principal Applied Scientist, AWS Agentic AI Science</t>
        </is>
      </c>
      <c r="C51" t="inlineStr">
        <is>
          <t>Amazon Web Services</t>
        </is>
      </c>
      <c r="D51" t="inlineStr">
        <is>
          <t>indeed</t>
        </is>
      </c>
      <c r="E51">
        <f>HYPERLINK("https://www.indeed.com/viewjob?jk=95202d98a051e882", "https://www.indeed.com/viewjob?jk=95202d98a051e882")</f>
        <v/>
      </c>
      <c r="F51">
        <f>HYPERLINK("https://www.amazon.jobs/jobs/3132887/principal-applied-scientist-aws-agentic-ai-science?cmpid=DA_INAD200785B", "https://www.amazon.jobs/jobs/3132887/principal-applied-scientist-aws-agentic-ai-science?cmpid=DA_INAD200785B")</f>
        <v/>
      </c>
      <c r="G51" t="inlineStr">
        <is>
          <t>New York, NY, US</t>
        </is>
      </c>
      <c r="H51" s="2" t="n">
        <v>45963</v>
      </c>
      <c r="I5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in-1efea87195858a51</t>
        </is>
      </c>
      <c r="B52" t="inlineStr">
        <is>
          <t>Principal Applied Scientist, AWS Agentic AI Science</t>
        </is>
      </c>
      <c r="C52" t="inlineStr">
        <is>
          <t>Amazon Web Services</t>
        </is>
      </c>
      <c r="D52" t="inlineStr">
        <is>
          <t>indeed</t>
        </is>
      </c>
      <c r="E52">
        <f>HYPERLINK("https://www.indeed.com/viewjob?jk=1efea87195858a51", "https://www.indeed.com/viewjob?jk=1efea87195858a51")</f>
        <v/>
      </c>
      <c r="F52">
        <f>HYPERLINK("https://www.amazon.jobs/jobs/3132887/principal-applied-scientist-aws-agentic-ai-science?cmpid=DA_INAD200785B", "https://www.amazon.jobs/jobs/3132887/principal-applied-scientist-aws-agentic-ai-science?cmpid=DA_INAD200785B")</f>
        <v/>
      </c>
      <c r="G52" t="inlineStr">
        <is>
          <t>Santa Clara, CA, US</t>
        </is>
      </c>
      <c r="H52" s="2" t="n">
        <v>45963</v>
      </c>
      <c r="I5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in-987c33dd9b0d0f64</t>
        </is>
      </c>
      <c r="B53" t="inlineStr">
        <is>
          <t>Sr. Applied Scientist, Sponsored Product Off-Search</t>
        </is>
      </c>
      <c r="C53" t="inlineStr">
        <is>
          <t>Amazon.com</t>
        </is>
      </c>
      <c r="D53" t="inlineStr">
        <is>
          <t>indeed</t>
        </is>
      </c>
      <c r="E53">
        <f>HYPERLINK("https://www.indeed.com/viewjob?jk=987c33dd9b0d0f64", "https://www.indeed.com/viewjob?jk=987c33dd9b0d0f64")</f>
        <v/>
      </c>
      <c r="F53">
        <f>HYPERLINK("https://www.amazon.jobs/jobs/3120815/sr-applied-scientist-sponsored-product-offsearch-?cmpid=DA_INAD200785B", "https://www.amazon.jobs/jobs/3120815/sr-applied-scientist-sponsored-product-offsearch-?cmpid=DA_INAD200785B")</f>
        <v/>
      </c>
      <c r="G53" t="inlineStr">
        <is>
          <t>New York, NY, US</t>
        </is>
      </c>
      <c r="H53" s="2" t="n">
        <v>45963</v>
      </c>
      <c r="I5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in-43bc2c2708cbba47</t>
        </is>
      </c>
      <c r="B54" t="inlineStr">
        <is>
          <t>Sr. Applied Scientist, Sponsored Product Off-Search</t>
        </is>
      </c>
      <c r="C54" t="inlineStr">
        <is>
          <t>Amazon.com</t>
        </is>
      </c>
      <c r="D54" t="inlineStr">
        <is>
          <t>indeed</t>
        </is>
      </c>
      <c r="E54">
        <f>HYPERLINK("https://www.indeed.com/viewjob?jk=43bc2c2708cbba47", "https://www.indeed.com/viewjob?jk=43bc2c2708cbba47")</f>
        <v/>
      </c>
      <c r="F54">
        <f>HYPERLINK("https://www.amazon.jobs/jobs/3120815/sr-applied-scientist-sponsored-product-offsearch-?cmpid=DA_INAD200785B", "https://www.amazon.jobs/jobs/3120815/sr-applied-scientist-sponsored-product-offsearch-?cmpid=DA_INAD200785B")</f>
        <v/>
      </c>
      <c r="G54" t="inlineStr">
        <is>
          <t>Seattle, WA, US</t>
        </is>
      </c>
      <c r="H54" s="2" t="n">
        <v>45963</v>
      </c>
      <c r="I5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in-9e418456ebeaedf8</t>
        </is>
      </c>
      <c r="B55" t="inlineStr">
        <is>
          <t>Applied Scientist, AWS Agentic AI</t>
        </is>
      </c>
      <c r="C55" t="inlineStr">
        <is>
          <t>Amazon Web Services</t>
        </is>
      </c>
      <c r="D55" t="inlineStr">
        <is>
          <t>indeed</t>
        </is>
      </c>
      <c r="E55">
        <f>HYPERLINK("https://www.indeed.com/viewjob?jk=9e418456ebeaedf8", "https://www.indeed.com/viewjob?jk=9e418456ebeaedf8")</f>
        <v/>
      </c>
      <c r="F55">
        <f>HYPERLINK("https://www.amazon.jobs/jobs/3141517/applied-scientist-aws-agentic-ai-?cmpid=DA_INAD200785B", "https://www.amazon.jobs/jobs/3141517/applied-scientist-aws-agentic-ai-?cmpid=DA_INAD200785B")</f>
        <v/>
      </c>
      <c r="G55" t="inlineStr">
        <is>
          <t>New York, NY, US</t>
        </is>
      </c>
      <c r="H55" s="2" t="n">
        <v>45962</v>
      </c>
      <c r="I5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in-fa6792ba45566643</t>
        </is>
      </c>
      <c r="B56" t="inlineStr">
        <is>
          <t>Applied Scientist, AWS Agentic AI</t>
        </is>
      </c>
      <c r="C56" t="inlineStr">
        <is>
          <t>Amazon Web Services</t>
        </is>
      </c>
      <c r="D56" t="inlineStr">
        <is>
          <t>indeed</t>
        </is>
      </c>
      <c r="E56">
        <f>HYPERLINK("https://www.indeed.com/viewjob?jk=fa6792ba45566643", "https://www.indeed.com/viewjob?jk=fa6792ba45566643")</f>
        <v/>
      </c>
      <c r="F56">
        <f>HYPERLINK("https://www.amazon.jobs/jobs/3141517/applied-scientist-aws-agentic-ai-?cmpid=DA_INAD200785B", "https://www.amazon.jobs/jobs/3141517/applied-scientist-aws-agentic-ai-?cmpid=DA_INAD200785B")</f>
        <v/>
      </c>
      <c r="G56" t="inlineStr">
        <is>
          <t>Seattle, WA, US</t>
        </is>
      </c>
      <c r="H56" s="2" t="n">
        <v>45962</v>
      </c>
      <c r="I5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in-d43f5c65bb1c2481</t>
        </is>
      </c>
      <c r="B57" t="inlineStr">
        <is>
          <t>Applied Scientist, AWS Agentic AI</t>
        </is>
      </c>
      <c r="C57" t="inlineStr">
        <is>
          <t>Amazon Web Services</t>
        </is>
      </c>
      <c r="D57" t="inlineStr">
        <is>
          <t>indeed</t>
        </is>
      </c>
      <c r="E57">
        <f>HYPERLINK("https://www.indeed.com/viewjob?jk=d43f5c65bb1c2481", "https://www.indeed.com/viewjob?jk=d43f5c65bb1c2481")</f>
        <v/>
      </c>
      <c r="F57">
        <f>HYPERLINK("https://www.amazon.jobs/jobs/3141517/applied-scientist-aws-agentic-ai-?cmpid=DA_INAD200785B", "https://www.amazon.jobs/jobs/3141517/applied-scientist-aws-agentic-ai-?cmpid=DA_INAD200785B")</f>
        <v/>
      </c>
      <c r="G57" t="inlineStr">
        <is>
          <t>Santa Clara, CA, US</t>
        </is>
      </c>
      <c r="H57" s="2" t="n">
        <v>45962</v>
      </c>
      <c r="I5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in-4432100522b79618</t>
        </is>
      </c>
      <c r="B58" t="inlineStr">
        <is>
          <t>Principal Applied Scientist, Advertiser Growth, Amazon Sponsored Products &amp; Brands</t>
        </is>
      </c>
      <c r="C58" t="inlineStr">
        <is>
          <t>Amazon.com</t>
        </is>
      </c>
      <c r="D58" t="inlineStr">
        <is>
          <t>indeed</t>
        </is>
      </c>
      <c r="E58">
        <f>HYPERLINK("https://www.indeed.com/viewjob?jk=4432100522b79618", "https://www.indeed.com/viewjob?jk=4432100522b79618")</f>
        <v/>
      </c>
      <c r="F58">
        <f>HYPERLINK("https://www.amazon.jobs/jobs/3115279/principal-applied-scientist-advertiser-growth-amazon-sponsored-products--brands?cmpid=DA_INAD200785B", "https://www.amazon.jobs/jobs/3115279/principal-applied-scientist-advertiser-growth-amazon-sponsored-products--brands?cmpid=DA_INAD200785B")</f>
        <v/>
      </c>
      <c r="G58" t="inlineStr">
        <is>
          <t>Seattle, WA, US</t>
        </is>
      </c>
      <c r="H58" s="2" t="n">
        <v>45942</v>
      </c>
      <c r="I5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in-8ea7338c9737384c</t>
        </is>
      </c>
      <c r="B59" t="inlineStr">
        <is>
          <t>Principal Applied Scientist, Advertiser Growth, Amazon Sponsored Products &amp; Brands</t>
        </is>
      </c>
      <c r="C59" t="inlineStr">
        <is>
          <t>Amazon.com</t>
        </is>
      </c>
      <c r="D59" t="inlineStr">
        <is>
          <t>indeed</t>
        </is>
      </c>
      <c r="E59">
        <f>HYPERLINK("https://www.indeed.com/viewjob?jk=8ea7338c9737384c", "https://www.indeed.com/viewjob?jk=8ea7338c9737384c")</f>
        <v/>
      </c>
      <c r="F59">
        <f>HYPERLINK("https://www.amazon.jobs/jobs/3115279/principal-applied-scientist-advertiser-growth-amazon-sponsored-products--brands?cmpid=DA_INAD200785B", "https://www.amazon.jobs/jobs/3115279/principal-applied-scientist-advertiser-growth-amazon-sponsored-products--brands?cmpid=DA_INAD200785B")</f>
        <v/>
      </c>
      <c r="G59" t="inlineStr">
        <is>
          <t>New York, NY, US</t>
        </is>
      </c>
      <c r="H59" s="2" t="n">
        <v>45942</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in-99e89271674a8f35</t>
        </is>
      </c>
      <c r="B60" t="inlineStr">
        <is>
          <t>Principal Applied Scientist, Advertiser Growth, Amazon Sponsored Products &amp; Brands</t>
        </is>
      </c>
      <c r="C60" t="inlineStr">
        <is>
          <t>Amazon.com</t>
        </is>
      </c>
      <c r="D60" t="inlineStr">
        <is>
          <t>indeed</t>
        </is>
      </c>
      <c r="E60">
        <f>HYPERLINK("https://www.indeed.com/viewjob?jk=99e89271674a8f35", "https://www.indeed.com/viewjob?jk=99e89271674a8f35")</f>
        <v/>
      </c>
      <c r="F60">
        <f>HYPERLINK("https://www.amazon.jobs/jobs/3115279/principal-applied-scientist-advertiser-growth-amazon-sponsored-products--brands?cmpid=DA_INAD200785B", "https://www.amazon.jobs/jobs/3115279/principal-applied-scientist-advertiser-growth-amazon-sponsored-products--brands?cmpid=DA_INAD200785B")</f>
        <v/>
      </c>
      <c r="G60" t="inlineStr">
        <is>
          <t>Palo Alto, CA, US</t>
        </is>
      </c>
      <c r="H60" s="2" t="n">
        <v>45942</v>
      </c>
      <c r="I6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in-2a37f4be306ecb89</t>
        </is>
      </c>
      <c r="B61" t="inlineStr">
        <is>
          <t>Applied Scientist</t>
        </is>
      </c>
      <c r="C61" t="inlineStr">
        <is>
          <t>Amazon.com</t>
        </is>
      </c>
      <c r="D61" t="inlineStr">
        <is>
          <t>indeed</t>
        </is>
      </c>
      <c r="E61">
        <f>HYPERLINK("https://www.indeed.com/viewjob?jk=2a37f4be306ecb89", "https://www.indeed.com/viewjob?jk=2a37f4be306ecb89")</f>
        <v/>
      </c>
      <c r="F61">
        <f>HYPERLINK("https://www.amazon.jobs/jobs/3106501/applied-scientist?cmpid=DA_INAD200785B", "https://www.amazon.jobs/jobs/3106501/applied-scientist?cmpid=DA_INAD200785B")</f>
        <v/>
      </c>
      <c r="G61" t="inlineStr">
        <is>
          <t>Seattle, WA, US</t>
        </is>
      </c>
      <c r="H61" s="2" t="n">
        <v>45939</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in-82ef03362ee59af9</t>
        </is>
      </c>
      <c r="B62" t="inlineStr">
        <is>
          <t>Applied Scientist</t>
        </is>
      </c>
      <c r="C62" t="inlineStr">
        <is>
          <t>Amazon.com</t>
        </is>
      </c>
      <c r="D62" t="inlineStr">
        <is>
          <t>indeed</t>
        </is>
      </c>
      <c r="E62">
        <f>HYPERLINK("https://www.indeed.com/viewjob?jk=82ef03362ee59af9", "https://www.indeed.com/viewjob?jk=82ef03362ee59af9")</f>
        <v/>
      </c>
      <c r="F62">
        <f>HYPERLINK("https://www.amazon.jobs/jobs/3106501/applied-scientist?cmpid=DA_INAD200785B", "https://www.amazon.jobs/jobs/3106501/applied-scientist?cmpid=DA_INAD200785B")</f>
        <v/>
      </c>
      <c r="G62" t="inlineStr">
        <is>
          <t>New York, NY, US</t>
        </is>
      </c>
      <c r="H62" s="2" t="n">
        <v>45939</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in-825bbb5b75ecfc64</t>
        </is>
      </c>
      <c r="B63" t="inlineStr">
        <is>
          <t>Applied Scientist</t>
        </is>
      </c>
      <c r="C63" t="inlineStr">
        <is>
          <t>Amazon.com</t>
        </is>
      </c>
      <c r="D63" t="inlineStr">
        <is>
          <t>indeed</t>
        </is>
      </c>
      <c r="E63">
        <f>HYPERLINK("https://www.indeed.com/viewjob?jk=825bbb5b75ecfc64", "https://www.indeed.com/viewjob?jk=825bbb5b75ecfc64")</f>
        <v/>
      </c>
      <c r="F63">
        <f>HYPERLINK("https://www.amazon.jobs/jobs/3106501/applied-scientist?cmpid=DA_INAD200785B", "https://www.amazon.jobs/jobs/3106501/applied-scientist?cmpid=DA_INAD200785B")</f>
        <v/>
      </c>
      <c r="G63" t="inlineStr">
        <is>
          <t>Palo Alto, CA, US</t>
        </is>
      </c>
      <c r="H63" s="2" t="n">
        <v>45939</v>
      </c>
      <c r="I6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in-dabcadabfca36033</t>
        </is>
      </c>
      <c r="B64" t="inlineStr">
        <is>
          <t>Sr. Applied Scientist, SPB Advertiser Guidance</t>
        </is>
      </c>
      <c r="C64" t="inlineStr">
        <is>
          <t>Amazon.com</t>
        </is>
      </c>
      <c r="D64" t="inlineStr">
        <is>
          <t>indeed</t>
        </is>
      </c>
      <c r="E64">
        <f>HYPERLINK("https://www.indeed.com/viewjob?jk=dabcadabfca36033", "https://www.indeed.com/viewjob?jk=dabcadabfca36033")</f>
        <v/>
      </c>
      <c r="F64">
        <f>HYPERLINK("https://www.amazon.jobs/jobs/3106497/sr-applied-scientist-spb-advertiser-guidance?cmpid=DA_INAD200785B", "https://www.amazon.jobs/jobs/3106497/sr-applied-scientist-spb-advertiser-guidance?cmpid=DA_INAD200785B")</f>
        <v/>
      </c>
      <c r="G64" t="inlineStr">
        <is>
          <t>Palo Alto, CA, US</t>
        </is>
      </c>
      <c r="H64" s="2" t="n">
        <v>45939</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in-16b605fe5d688d86</t>
        </is>
      </c>
      <c r="B65" t="inlineStr">
        <is>
          <t>Sr. Applied Scientist, SPB Advertiser Guidance</t>
        </is>
      </c>
      <c r="C65" t="inlineStr">
        <is>
          <t>Amazon.com</t>
        </is>
      </c>
      <c r="D65" t="inlineStr">
        <is>
          <t>indeed</t>
        </is>
      </c>
      <c r="E65">
        <f>HYPERLINK("https://www.indeed.com/viewjob?jk=16b605fe5d688d86", "https://www.indeed.com/viewjob?jk=16b605fe5d688d86")</f>
        <v/>
      </c>
      <c r="F65">
        <f>HYPERLINK("https://www.amazon.jobs/jobs/3106497/sr-applied-scientist-spb-advertiser-guidance?cmpid=DA_INAD200785B", "https://www.amazon.jobs/jobs/3106497/sr-applied-scientist-spb-advertiser-guidance?cmpid=DA_INAD200785B")</f>
        <v/>
      </c>
      <c r="G65" t="inlineStr">
        <is>
          <t>Seattle, WA, US</t>
        </is>
      </c>
      <c r="H65" s="2" t="n">
        <v>45939</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in-ea7451127fc20d08</t>
        </is>
      </c>
      <c r="B66" t="inlineStr">
        <is>
          <t>Sr. Applied Scientist, SPB Advertiser Guidance</t>
        </is>
      </c>
      <c r="C66" t="inlineStr">
        <is>
          <t>Amazon.com</t>
        </is>
      </c>
      <c r="D66" t="inlineStr">
        <is>
          <t>indeed</t>
        </is>
      </c>
      <c r="E66">
        <f>HYPERLINK("https://www.indeed.com/viewjob?jk=ea7451127fc20d08", "https://www.indeed.com/viewjob?jk=ea7451127fc20d08")</f>
        <v/>
      </c>
      <c r="F66">
        <f>HYPERLINK("https://www.amazon.jobs/jobs/3106497/sr-applied-scientist-spb-advertiser-guidance?cmpid=DA_INAD200785B", "https://www.amazon.jobs/jobs/3106497/sr-applied-scientist-spb-advertiser-guidance?cmpid=DA_INAD200785B")</f>
        <v/>
      </c>
      <c r="G66" t="inlineStr">
        <is>
          <t>New York, NY, US</t>
        </is>
      </c>
      <c r="H66" s="2" t="n">
        <v>45939</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in-a0e94b13352a2ae1</t>
        </is>
      </c>
      <c r="B67" t="inlineStr">
        <is>
          <t>Applied Scientist II, Prime Video - Personalization and Discovery Science, Personalization and Discovery Science</t>
        </is>
      </c>
      <c r="C67" t="inlineStr">
        <is>
          <t>Amazon.com</t>
        </is>
      </c>
      <c r="D67" t="inlineStr">
        <is>
          <t>indeed</t>
        </is>
      </c>
      <c r="E67">
        <f>HYPERLINK("https://www.indeed.com/viewjob?jk=a0e94b13352a2ae1", "https://www.indeed.com/viewjob?jk=a0e94b13352a2ae1")</f>
        <v/>
      </c>
      <c r="F6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7" t="inlineStr">
        <is>
          <t>Sunnyvale, CA, US</t>
        </is>
      </c>
      <c r="H67" s="2" t="n">
        <v>45930</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in-259a6dace9291613</t>
        </is>
      </c>
      <c r="B68" t="inlineStr">
        <is>
          <t>Applied Scientist II, Prime Video - Personalization and Discovery Science, Personalization and Discovery Science</t>
        </is>
      </c>
      <c r="C68" t="inlineStr">
        <is>
          <t>Amazon.com</t>
        </is>
      </c>
      <c r="D68" t="inlineStr">
        <is>
          <t>indeed</t>
        </is>
      </c>
      <c r="E68">
        <f>HYPERLINK("https://www.indeed.com/viewjob?jk=259a6dace9291613", "https://www.indeed.com/viewjob?jk=259a6dace9291613")</f>
        <v/>
      </c>
      <c r="F6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8" t="inlineStr">
        <is>
          <t>Seattle, WA, US</t>
        </is>
      </c>
      <c r="H68" s="2" t="n">
        <v>45930</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in-bd1370bbac226c74</t>
        </is>
      </c>
      <c r="B69" t="inlineStr">
        <is>
          <t>Applied Scientist II, Prime Video - Personalization and Discovery Science, Personalization and Discovery Science</t>
        </is>
      </c>
      <c r="C69" t="inlineStr">
        <is>
          <t>Amazon.com</t>
        </is>
      </c>
      <c r="D69" t="inlineStr">
        <is>
          <t>indeed</t>
        </is>
      </c>
      <c r="E69">
        <f>HYPERLINK("https://www.indeed.com/viewjob?jk=bd1370bbac226c74", "https://www.indeed.com/viewjob?jk=bd1370bbac226c74")</f>
        <v/>
      </c>
      <c r="F6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9" t="inlineStr">
        <is>
          <t>New York, NY, US</t>
        </is>
      </c>
      <c r="H69" s="2" t="n">
        <v>45930</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in-71b5127a5c948fb3</t>
        </is>
      </c>
      <c r="B70" t="inlineStr">
        <is>
          <t>Senior Applied Scientist, Sponsored Products and Brands</t>
        </is>
      </c>
      <c r="C70" t="inlineStr">
        <is>
          <t>Amazon.com</t>
        </is>
      </c>
      <c r="D70" t="inlineStr">
        <is>
          <t>indeed</t>
        </is>
      </c>
      <c r="E70">
        <f>HYPERLINK("https://www.indeed.com/viewjob?jk=71b5127a5c948fb3", "https://www.indeed.com/viewjob?jk=71b5127a5c948fb3")</f>
        <v/>
      </c>
      <c r="F70">
        <f>HYPERLINK("https://www.amazon.jobs/jobs/3094886/senior-applied-scientist-sponsored-products-and-brands?cmpid=DA_INAD200785B", "https://www.amazon.jobs/jobs/3094886/senior-applied-scientist-sponsored-products-and-brands?cmpid=DA_INAD200785B")</f>
        <v/>
      </c>
      <c r="G70" t="inlineStr">
        <is>
          <t>New York, NY, US</t>
        </is>
      </c>
      <c r="H70" s="2" t="n">
        <v>45922</v>
      </c>
      <c r="I7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in-d943c538a0e36262</t>
        </is>
      </c>
      <c r="B71" t="inlineStr">
        <is>
          <t>Senior Applied Scientist, Sponsored Products and Brands</t>
        </is>
      </c>
      <c r="C71" t="inlineStr">
        <is>
          <t>Amazon.com</t>
        </is>
      </c>
      <c r="D71" t="inlineStr">
        <is>
          <t>indeed</t>
        </is>
      </c>
      <c r="E71">
        <f>HYPERLINK("https://www.indeed.com/viewjob?jk=d943c538a0e36262", "https://www.indeed.com/viewjob?jk=d943c538a0e36262")</f>
        <v/>
      </c>
      <c r="F71">
        <f>HYPERLINK("https://www.amazon.jobs/jobs/3094886/senior-applied-scientist-sponsored-products-and-brands?cmpid=DA_INAD200785B", "https://www.amazon.jobs/jobs/3094886/senior-applied-scientist-sponsored-products-and-brands?cmpid=DA_INAD200785B")</f>
        <v/>
      </c>
      <c r="G71" t="inlineStr">
        <is>
          <t>Seattle, WA, US</t>
        </is>
      </c>
      <c r="H71" s="2" t="n">
        <v>45922</v>
      </c>
      <c r="I7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in-a39575f579874fe7</t>
        </is>
      </c>
      <c r="B72" t="inlineStr">
        <is>
          <t>Applied Scientist, Workplace Health &amp; Safety</t>
        </is>
      </c>
      <c r="C72" t="inlineStr">
        <is>
          <t>Amazon.com</t>
        </is>
      </c>
      <c r="D72" t="inlineStr">
        <is>
          <t>indeed</t>
        </is>
      </c>
      <c r="E72">
        <f>HYPERLINK("https://www.indeed.com/viewjob?jk=a39575f579874fe7", "https://www.indeed.com/viewjob?jk=a39575f579874fe7")</f>
        <v/>
      </c>
      <c r="F72">
        <f>HYPERLINK("https://www.amazon.jobs/jobs/3144886/applied-scientist-workplace-health--safety-?cmpid=DA_INAD200785B", "https://www.amazon.jobs/jobs/3144886/applied-scientist-workplace-health--safety-?cmpid=DA_INAD200785B")</f>
        <v/>
      </c>
      <c r="G72" t="inlineStr">
        <is>
          <t>Bellevue, WA, US</t>
        </is>
      </c>
      <c r="H72" s="2" t="n">
        <v>45917</v>
      </c>
      <c r="I7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in-cd58c6eecf4a6daa</t>
        </is>
      </c>
      <c r="B73" t="inlineStr">
        <is>
          <t>Applied Scientist, Workplace Health &amp; Safety</t>
        </is>
      </c>
      <c r="C73" t="inlineStr">
        <is>
          <t>Amazon.com</t>
        </is>
      </c>
      <c r="D73" t="inlineStr">
        <is>
          <t>indeed</t>
        </is>
      </c>
      <c r="E73">
        <f>HYPERLINK("https://www.indeed.com/viewjob?jk=cd58c6eecf4a6daa", "https://www.indeed.com/viewjob?jk=cd58c6eecf4a6daa")</f>
        <v/>
      </c>
      <c r="F73">
        <f>HYPERLINK("https://www.amazon.jobs/jobs/3144886/applied-scientist-workplace-health--safety-?cmpid=DA_INAD200785B", "https://www.amazon.jobs/jobs/3144886/applied-scientist-workplace-health--safety-?cmpid=DA_INAD200785B")</f>
        <v/>
      </c>
      <c r="G73" t="inlineStr">
        <is>
          <t>Nashville, TN, US</t>
        </is>
      </c>
      <c r="H73" s="2" t="n">
        <v>45917</v>
      </c>
      <c r="I7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in-28174d88279499fe</t>
        </is>
      </c>
      <c r="B74" t="inlineStr">
        <is>
          <t>Applied Scientist II, Prime Video - Personalization and Discovery Science</t>
        </is>
      </c>
      <c r="C74" t="inlineStr">
        <is>
          <t>Amazon.com</t>
        </is>
      </c>
      <c r="D74" t="inlineStr">
        <is>
          <t>indeed</t>
        </is>
      </c>
      <c r="E74">
        <f>HYPERLINK("https://www.indeed.com/viewjob?jk=28174d88279499fe", "https://www.indeed.com/viewjob?jk=28174d88279499fe")</f>
        <v/>
      </c>
      <c r="F74">
        <f>HYPERLINK("https://www.amazon.jobs/jobs/3086060/applied-scientist-ii-prime-video--personalization-and-discovery-science?cmpid=DA_INAD200785B", "https://www.amazon.jobs/jobs/3086060/applied-scientist-ii-prime-video--personalization-and-discovery-science?cmpid=DA_INAD200785B")</f>
        <v/>
      </c>
      <c r="G74" t="inlineStr">
        <is>
          <t>Seattle, WA, US</t>
        </is>
      </c>
      <c r="H74" s="2" t="n">
        <v>45915</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in-8803881772618469</t>
        </is>
      </c>
      <c r="B75" t="inlineStr">
        <is>
          <t>Applied Scientist II, Prime Video - Personalization and Discovery Science</t>
        </is>
      </c>
      <c r="C75" t="inlineStr">
        <is>
          <t>Amazon.com</t>
        </is>
      </c>
      <c r="D75" t="inlineStr">
        <is>
          <t>indeed</t>
        </is>
      </c>
      <c r="E75">
        <f>HYPERLINK("https://www.indeed.com/viewjob?jk=8803881772618469", "https://www.indeed.com/viewjob?jk=8803881772618469")</f>
        <v/>
      </c>
      <c r="F75">
        <f>HYPERLINK("https://www.amazon.jobs/jobs/3086060/applied-scientist-ii-prime-video--personalization-and-discovery-science?cmpid=DA_INAD200785B", "https://www.amazon.jobs/jobs/3086060/applied-scientist-ii-prime-video--personalization-and-discovery-science?cmpid=DA_INAD200785B")</f>
        <v/>
      </c>
      <c r="G75" t="inlineStr">
        <is>
          <t>New York, NY, US</t>
        </is>
      </c>
      <c r="H75" s="2" t="n">
        <v>45915</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in-52d8d6813a5e5542</t>
        </is>
      </c>
      <c r="B76" t="inlineStr">
        <is>
          <t>Applied Scientist II, Prime Video - Personalization and Discovery Science</t>
        </is>
      </c>
      <c r="C76" t="inlineStr">
        <is>
          <t>Amazon.com</t>
        </is>
      </c>
      <c r="D76" t="inlineStr">
        <is>
          <t>indeed</t>
        </is>
      </c>
      <c r="E76">
        <f>HYPERLINK("https://www.indeed.com/viewjob?jk=52d8d6813a5e5542", "https://www.indeed.com/viewjob?jk=52d8d6813a5e5542")</f>
        <v/>
      </c>
      <c r="F76">
        <f>HYPERLINK("https://www.amazon.jobs/jobs/3086060/applied-scientist-ii-prime-video--personalization-and-discovery-science?cmpid=DA_INAD200785B", "https://www.amazon.jobs/jobs/3086060/applied-scientist-ii-prime-video--personalization-and-discovery-science?cmpid=DA_INAD200785B")</f>
        <v/>
      </c>
      <c r="G76" t="inlineStr">
        <is>
          <t>Sunnyvale, CA, US</t>
        </is>
      </c>
      <c r="H76" s="2" t="n">
        <v>45915</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in-f8cecdbc36065878</t>
        </is>
      </c>
      <c r="B77" t="inlineStr">
        <is>
          <t>Applied Scientist II, Prime Video - Personalization and Discovery Science</t>
        </is>
      </c>
      <c r="C77" t="inlineStr">
        <is>
          <t>Amazon.com</t>
        </is>
      </c>
      <c r="D77" t="inlineStr">
        <is>
          <t>indeed</t>
        </is>
      </c>
      <c r="E77">
        <f>HYPERLINK("https://www.indeed.com/viewjob?jk=f8cecdbc36065878", "https://www.indeed.com/viewjob?jk=f8cecdbc36065878")</f>
        <v/>
      </c>
      <c r="F77">
        <f>HYPERLINK("https://www.amazon.jobs/jobs/3059253/applied-scientist-ii-prime-video--personalization-and-discovery-science?cmpid=DA_INAD200785B", "https://www.amazon.jobs/jobs/3059253/applied-scientist-ii-prime-video--personalization-and-discovery-science?cmpid=DA_INAD200785B")</f>
        <v/>
      </c>
      <c r="G77" t="inlineStr">
        <is>
          <t>New York, NY, US</t>
        </is>
      </c>
      <c r="H77" s="2" t="n">
        <v>45881</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in-a470880ce6271a7d</t>
        </is>
      </c>
      <c r="B78" t="inlineStr">
        <is>
          <t>Sr. Applied Scientist, Prime Video - Personalization and Discovery Science</t>
        </is>
      </c>
      <c r="C78" t="inlineStr">
        <is>
          <t>Amazon.com</t>
        </is>
      </c>
      <c r="D78" t="inlineStr">
        <is>
          <t>indeed</t>
        </is>
      </c>
      <c r="E78">
        <f>HYPERLINK("https://www.indeed.com/viewjob?jk=a470880ce6271a7d", "https://www.indeed.com/viewjob?jk=a470880ce6271a7d")</f>
        <v/>
      </c>
      <c r="F78">
        <f>HYPERLINK("https://www.amazon.jobs/jobs/3059256/sr-applied-scientist-prime-video--personalization-and-discovery-science?cmpid=DA_INAD200785B", "https://www.amazon.jobs/jobs/3059256/sr-applied-scientist-prime-video--personalization-and-discovery-science?cmpid=DA_INAD200785B")</f>
        <v/>
      </c>
      <c r="G78" t="inlineStr">
        <is>
          <t>New York, NY, US</t>
        </is>
      </c>
      <c r="H78" s="2" t="n">
        <v>45881</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in-9521c77fb5b2da0c</t>
        </is>
      </c>
      <c r="B79" t="inlineStr">
        <is>
          <t>Sr. Applied Scientist, Prime Video - Personalization and Discovery Science</t>
        </is>
      </c>
      <c r="C79" t="inlineStr">
        <is>
          <t>Amazon.com</t>
        </is>
      </c>
      <c r="D79" t="inlineStr">
        <is>
          <t>indeed</t>
        </is>
      </c>
      <c r="E79">
        <f>HYPERLINK("https://www.indeed.com/viewjob?jk=9521c77fb5b2da0c", "https://www.indeed.com/viewjob?jk=9521c77fb5b2da0c")</f>
        <v/>
      </c>
      <c r="F79">
        <f>HYPERLINK("https://www.amazon.jobs/jobs/3059256/sr-applied-scientist-prime-video--personalization-and-discovery-science?cmpid=DA_INAD200785B", "https://www.amazon.jobs/jobs/3059256/sr-applied-scientist-prime-video--personalization-and-discovery-science?cmpid=DA_INAD200785B")</f>
        <v/>
      </c>
      <c r="G79" t="inlineStr">
        <is>
          <t>Sunnyvale, CA, US</t>
        </is>
      </c>
      <c r="H79" s="2" t="n">
        <v>45881</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in-8252c67fafb40c41</t>
        </is>
      </c>
      <c r="B80" t="inlineStr">
        <is>
          <t>Applied Scientist II, Prime Video - Personalization and Discovery Science</t>
        </is>
      </c>
      <c r="C80" t="inlineStr">
        <is>
          <t>Amazon.com</t>
        </is>
      </c>
      <c r="D80" t="inlineStr">
        <is>
          <t>indeed</t>
        </is>
      </c>
      <c r="E80">
        <f>HYPERLINK("https://www.indeed.com/viewjob?jk=8252c67fafb40c41", "https://www.indeed.com/viewjob?jk=8252c67fafb40c41")</f>
        <v/>
      </c>
      <c r="F80">
        <f>HYPERLINK("https://www.amazon.jobs/jobs/3059253/applied-scientist-ii-prime-video--personalization-and-discovery-science?cmpid=DA_INAD200785B", "https://www.amazon.jobs/jobs/3059253/applied-scientist-ii-prime-video--personalization-and-discovery-science?cmpid=DA_INAD200785B")</f>
        <v/>
      </c>
      <c r="G80" t="inlineStr">
        <is>
          <t>Seattle, WA, US</t>
        </is>
      </c>
      <c r="H80" s="2" t="n">
        <v>45881</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in-6566ac0e8c9dacab</t>
        </is>
      </c>
      <c r="B81" t="inlineStr">
        <is>
          <t>Sr. Applied Scientist, Prime Video - Personalization and Discovery Science</t>
        </is>
      </c>
      <c r="C81" t="inlineStr">
        <is>
          <t>Amazon.com</t>
        </is>
      </c>
      <c r="D81" t="inlineStr">
        <is>
          <t>indeed</t>
        </is>
      </c>
      <c r="E81">
        <f>HYPERLINK("https://www.indeed.com/viewjob?jk=6566ac0e8c9dacab", "https://www.indeed.com/viewjob?jk=6566ac0e8c9dacab")</f>
        <v/>
      </c>
      <c r="F81">
        <f>HYPERLINK("https://www.amazon.jobs/jobs/3059256/sr-applied-scientist-prime-video--personalization-and-discovery-science?cmpid=DA_INAD200785B", "https://www.amazon.jobs/jobs/3059256/sr-applied-scientist-prime-video--personalization-and-discovery-science?cmpid=DA_INAD200785B")</f>
        <v/>
      </c>
      <c r="G81" t="inlineStr">
        <is>
          <t>Seattle, WA, US</t>
        </is>
      </c>
      <c r="H81" s="2" t="n">
        <v>45881</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in-6406ef997a161584</t>
        </is>
      </c>
      <c r="B82" t="inlineStr">
        <is>
          <t>Applied Scientist II, Prime Video - Personalization and Discovery Science</t>
        </is>
      </c>
      <c r="C82" t="inlineStr">
        <is>
          <t>Amazon.com</t>
        </is>
      </c>
      <c r="D82" t="inlineStr">
        <is>
          <t>indeed</t>
        </is>
      </c>
      <c r="E82">
        <f>HYPERLINK("https://www.indeed.com/viewjob?jk=6406ef997a161584", "https://www.indeed.com/viewjob?jk=6406ef997a161584")</f>
        <v/>
      </c>
      <c r="F82">
        <f>HYPERLINK("https://www.amazon.jobs/jobs/3059253/applied-scientist-ii-prime-video--personalization-and-discovery-science?cmpid=DA_INAD200785B", "https://www.amazon.jobs/jobs/3059253/applied-scientist-ii-prime-video--personalization-and-discovery-science?cmpid=DA_INAD200785B")</f>
        <v/>
      </c>
      <c r="G82" t="inlineStr">
        <is>
          <t>Sunnyvale, CA, US</t>
        </is>
      </c>
      <c r="H82" s="2" t="n">
        <v>45881</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in-5721d05bc10c9e66</t>
        </is>
      </c>
      <c r="B83" t="inlineStr">
        <is>
          <t>Sr. Applied Scientist, Amazon Advertising</t>
        </is>
      </c>
      <c r="C83" t="inlineStr">
        <is>
          <t>Amazon.com</t>
        </is>
      </c>
      <c r="D83" t="inlineStr">
        <is>
          <t>indeed</t>
        </is>
      </c>
      <c r="E83">
        <f>HYPERLINK("https://www.indeed.com/viewjob?jk=5721d05bc10c9e66", "https://www.indeed.com/viewjob?jk=5721d05bc10c9e66")</f>
        <v/>
      </c>
      <c r="F83">
        <f>HYPERLINK("https://www.amazon.jobs/jobs/3035686/sr-applied-scientist-amazon-advertising?cmpid=DA_INAD200785B", "https://www.amazon.jobs/jobs/3035686/sr-applied-scientist-amazon-advertising?cmpid=DA_INAD200785B")</f>
        <v/>
      </c>
      <c r="G83" t="inlineStr">
        <is>
          <t>Palo Alto, CA,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in-858039148c4d554a</t>
        </is>
      </c>
      <c r="B84" t="inlineStr">
        <is>
          <t>Sr. Applied Scientist, Amazon Advertising</t>
        </is>
      </c>
      <c r="C84" t="inlineStr">
        <is>
          <t>Amazon.com</t>
        </is>
      </c>
      <c r="D84" t="inlineStr">
        <is>
          <t>indeed</t>
        </is>
      </c>
      <c r="E84">
        <f>HYPERLINK("https://www.indeed.com/viewjob?jk=858039148c4d554a", "https://www.indeed.com/viewjob?jk=858039148c4d554a")</f>
        <v/>
      </c>
      <c r="F84">
        <f>HYPERLINK("https://www.amazon.jobs/jobs/3035686/sr-applied-scientist-amazon-advertising?cmpid=DA_INAD200785B", "https://www.amazon.jobs/jobs/3035686/sr-applied-scientist-amazon-advertising?cmpid=DA_INAD200785B")</f>
        <v/>
      </c>
      <c r="G84" t="inlineStr">
        <is>
          <t>West Hollywood, CA, US</t>
        </is>
      </c>
      <c r="H84" s="2"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in-1c9f8b829a657a35</t>
        </is>
      </c>
      <c r="B85" t="inlineStr">
        <is>
          <t>Sr. Applied Scientist, Amazon Advertising</t>
        </is>
      </c>
      <c r="C85" t="inlineStr">
        <is>
          <t>Amazon.com</t>
        </is>
      </c>
      <c r="D85" t="inlineStr">
        <is>
          <t>indeed</t>
        </is>
      </c>
      <c r="E85">
        <f>HYPERLINK("https://www.indeed.com/viewjob?jk=1c9f8b829a657a35", "https://www.indeed.com/viewjob?jk=1c9f8b829a657a35")</f>
        <v/>
      </c>
      <c r="F85">
        <f>HYPERLINK("https://www.amazon.jobs/jobs/3035686/sr-applied-scientist-amazon-advertising?cmpid=DA_INAD200785B", "https://www.amazon.jobs/jobs/3035686/sr-applied-scientist-amazon-advertising?cmpid=DA_INAD200785B")</f>
        <v/>
      </c>
      <c r="G85" t="inlineStr">
        <is>
          <t>Arlington, VA, US</t>
        </is>
      </c>
      <c r="H85" s="2"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in-7dddea656555397b</t>
        </is>
      </c>
      <c r="B86" t="inlineStr">
        <is>
          <t>Sr. Applied Scientist, Amazon Advertising</t>
        </is>
      </c>
      <c r="C86" t="inlineStr">
        <is>
          <t>Amazon.com</t>
        </is>
      </c>
      <c r="D86" t="inlineStr">
        <is>
          <t>indeed</t>
        </is>
      </c>
      <c r="E86">
        <f>HYPERLINK("https://www.indeed.com/viewjob?jk=7dddea656555397b", "https://www.indeed.com/viewjob?jk=7dddea656555397b")</f>
        <v/>
      </c>
      <c r="F86">
        <f>HYPERLINK("https://www.amazon.jobs/jobs/3035686/sr-applied-scientist-amazon-advertising?cmpid=DA_INAD200785B", "https://www.amazon.jobs/jobs/3035686/sr-applied-scientist-amazon-advertising?cmpid=DA_INAD200785B")</f>
        <v/>
      </c>
      <c r="G86" t="inlineStr">
        <is>
          <t>New York, NY, US</t>
        </is>
      </c>
      <c r="H86" s="2"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in-69d625123e320777</t>
        </is>
      </c>
      <c r="B87" t="inlineStr">
        <is>
          <t>Sr. Applied Scientist, Amazon Advertising</t>
        </is>
      </c>
      <c r="C87" t="inlineStr">
        <is>
          <t>Amazon.com</t>
        </is>
      </c>
      <c r="D87" t="inlineStr">
        <is>
          <t>indeed</t>
        </is>
      </c>
      <c r="E87">
        <f>HYPERLINK("https://www.indeed.com/viewjob?jk=69d625123e320777", "https://www.indeed.com/viewjob?jk=69d625123e320777")</f>
        <v/>
      </c>
      <c r="F87">
        <f>HYPERLINK("https://www.amazon.jobs/jobs/3035686/sr-applied-scientist-amazon-advertising?cmpid=DA_INAD200785B", "https://www.amazon.jobs/jobs/3035686/sr-applied-scientist-amazon-advertising?cmpid=DA_INAD200785B")</f>
        <v/>
      </c>
      <c r="G87" t="inlineStr">
        <is>
          <t>Simi Valley, CA,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in-6ef9510e895c3eef</t>
        </is>
      </c>
      <c r="B88" t="inlineStr">
        <is>
          <t>Sr. Applied Scientist, Amazon Advertising</t>
        </is>
      </c>
      <c r="C88" t="inlineStr">
        <is>
          <t>Amazon.com</t>
        </is>
      </c>
      <c r="D88" t="inlineStr">
        <is>
          <t>indeed</t>
        </is>
      </c>
      <c r="E88">
        <f>HYPERLINK("https://www.indeed.com/viewjob?jk=6ef9510e895c3eef", "https://www.indeed.com/viewjob?jk=6ef9510e895c3eef")</f>
        <v/>
      </c>
      <c r="F88">
        <f>HYPERLINK("https://www.amazon.jobs/jobs/3035686/sr-applied-scientist-amazon-advertising?cmpid=DA_INAD200785B", "https://www.amazon.jobs/jobs/3035686/sr-applied-scientist-amazon-advertising?cmpid=DA_INAD200785B")</f>
        <v/>
      </c>
      <c r="G88" t="inlineStr">
        <is>
          <t>Austin, TX,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in-d216a073a28d75b4</t>
        </is>
      </c>
      <c r="B89" t="inlineStr">
        <is>
          <t>Sr. Applied Scientist, Amazon Advertising</t>
        </is>
      </c>
      <c r="C89" t="inlineStr">
        <is>
          <t>Amazon.com</t>
        </is>
      </c>
      <c r="D89" t="inlineStr">
        <is>
          <t>indeed</t>
        </is>
      </c>
      <c r="E89">
        <f>HYPERLINK("https://www.indeed.com/viewjob?jk=d216a073a28d75b4", "https://www.indeed.com/viewjob?jk=d216a073a28d75b4")</f>
        <v/>
      </c>
      <c r="F89">
        <f>HYPERLINK("https://www.amazon.jobs/jobs/3035686/sr-applied-scientist-amazon-advertising?cmpid=DA_INAD200785B", "https://www.amazon.jobs/jobs/3035686/sr-applied-scientist-amazon-advertising?cmpid=DA_INAD200785B")</f>
        <v/>
      </c>
      <c r="G89" t="inlineStr">
        <is>
          <t>Los Angeles, CA,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in-904c0371ba1fb361</t>
        </is>
      </c>
      <c r="B90" t="inlineStr">
        <is>
          <t>Sr. Applied Scientist, Amazon Advertising</t>
        </is>
      </c>
      <c r="C90" t="inlineStr">
        <is>
          <t>Amazon.com</t>
        </is>
      </c>
      <c r="D90" t="inlineStr">
        <is>
          <t>indeed</t>
        </is>
      </c>
      <c r="E90">
        <f>HYPERLINK("https://www.indeed.com/viewjob?jk=904c0371ba1fb361", "https://www.indeed.com/viewjob?jk=904c0371ba1fb361")</f>
        <v/>
      </c>
      <c r="F90">
        <f>HYPERLINK("https://www.amazon.jobs/jobs/3035686/sr-applied-scientist-amazon-advertising?cmpid=DA_INAD200785B", "https://www.amazon.jobs/jobs/3035686/sr-applied-scientist-amazon-advertising?cmpid=DA_INAD200785B")</f>
        <v/>
      </c>
      <c r="G90" t="inlineStr">
        <is>
          <t>Seattle, WA,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in-1dbc35925acb82ae</t>
        </is>
      </c>
      <c r="B91" t="inlineStr">
        <is>
          <t>Applied Scientist, Prime Video - Personalization and Discovery Science</t>
        </is>
      </c>
      <c r="C91" t="inlineStr">
        <is>
          <t>Amazon.com</t>
        </is>
      </c>
      <c r="D91" t="inlineStr">
        <is>
          <t>indeed</t>
        </is>
      </c>
      <c r="E91">
        <f>HYPERLINK("https://www.indeed.com/viewjob?jk=1dbc35925acb82ae", "https://www.indeed.com/viewjob?jk=1dbc35925acb82ae")</f>
        <v/>
      </c>
      <c r="F91">
        <f>HYPERLINK("https://www.amazon.jobs/jobs/3033050/applied-scientist-prime-video--personalization-and-discovery-science?cmpid=DA_INAD200785B", "https://www.amazon.jobs/jobs/3033050/applied-scientist-prime-video--personalization-and-discovery-science?cmpid=DA_INAD200785B")</f>
        <v/>
      </c>
      <c r="G91" t="inlineStr">
        <is>
          <t>Sunnyvale, CA, US</t>
        </is>
      </c>
      <c r="H91" s="2" t="n">
        <v>45845</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in-3a64546574b55788</t>
        </is>
      </c>
      <c r="B92" t="inlineStr">
        <is>
          <t>Applied Scientist, Prime Video - Personalization and Discovery Science</t>
        </is>
      </c>
      <c r="C92" t="inlineStr">
        <is>
          <t>Amazon.com</t>
        </is>
      </c>
      <c r="D92" t="inlineStr">
        <is>
          <t>indeed</t>
        </is>
      </c>
      <c r="E92">
        <f>HYPERLINK("https://www.indeed.com/viewjob?jk=3a64546574b55788", "https://www.indeed.com/viewjob?jk=3a64546574b55788")</f>
        <v/>
      </c>
      <c r="F92">
        <f>HYPERLINK("https://www.amazon.jobs/jobs/3033050/applied-scientist-prime-video--personalization-and-discovery-science?cmpid=DA_INAD200785B", "https://www.amazon.jobs/jobs/3033050/applied-scientist-prime-video--personalization-and-discovery-science?cmpid=DA_INAD200785B")</f>
        <v/>
      </c>
      <c r="G92" t="inlineStr">
        <is>
          <t>New York, NY, US</t>
        </is>
      </c>
      <c r="H92" s="2" t="n">
        <v>45845</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in-35664286419795ae</t>
        </is>
      </c>
      <c r="B93" t="inlineStr">
        <is>
          <t>Applied Scientist, Prime Video - Personalization and Discovery Science</t>
        </is>
      </c>
      <c r="C93" t="inlineStr">
        <is>
          <t>Amazon.com</t>
        </is>
      </c>
      <c r="D93" t="inlineStr">
        <is>
          <t>indeed</t>
        </is>
      </c>
      <c r="E93">
        <f>HYPERLINK("https://www.indeed.com/viewjob?jk=35664286419795ae", "https://www.indeed.com/viewjob?jk=35664286419795ae")</f>
        <v/>
      </c>
      <c r="F93">
        <f>HYPERLINK("https://www.amazon.jobs/jobs/3033050/applied-scientist-prime-video--personalization-and-discovery-science?cmpid=DA_INAD200785B", "https://www.amazon.jobs/jobs/3033050/applied-scientist-prime-video--personalization-and-discovery-science?cmpid=DA_INAD200785B")</f>
        <v/>
      </c>
      <c r="G93" t="inlineStr">
        <is>
          <t>Seattle, WA, US</t>
        </is>
      </c>
      <c r="H93" s="2" t="n">
        <v>45845</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in-ae918ce5f86d1b6d</t>
        </is>
      </c>
      <c r="B94" t="inlineStr">
        <is>
          <t>Senior Applied Scientist, Artificial General Intelligence</t>
        </is>
      </c>
      <c r="C94" t="inlineStr">
        <is>
          <t>Amazon.com</t>
        </is>
      </c>
      <c r="D94" t="inlineStr">
        <is>
          <t>indeed</t>
        </is>
      </c>
      <c r="E94">
        <f>HYPERLINK("https://www.indeed.com/viewjob?jk=ae918ce5f86d1b6d", "https://www.indeed.com/viewjob?jk=ae918ce5f86d1b6d")</f>
        <v/>
      </c>
      <c r="F94">
        <f>HYPERLINK("https://www.amazon.jobs/jobs/3032183/senior-applied-scientist-artificial-general-intelligence?cmpid=DA_INAD200785B", "https://www.amazon.jobs/jobs/3032183/senior-applied-scientist-artificial-general-intelligence?cmpid=DA_INAD200785B")</f>
        <v/>
      </c>
      <c r="G94" t="inlineStr">
        <is>
          <t>Sunnyvale, CA, US</t>
        </is>
      </c>
      <c r="H94" s="2" t="n">
        <v>45838</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in-6bdca2cf7650622f</t>
        </is>
      </c>
      <c r="B95" t="inlineStr">
        <is>
          <t>Senior Applied Scientist, Artificial General Intelligence</t>
        </is>
      </c>
      <c r="C95" t="inlineStr">
        <is>
          <t>Amazon.com</t>
        </is>
      </c>
      <c r="D95" t="inlineStr">
        <is>
          <t>indeed</t>
        </is>
      </c>
      <c r="E95">
        <f>HYPERLINK("https://www.indeed.com/viewjob?jk=6bdca2cf7650622f", "https://www.indeed.com/viewjob?jk=6bdca2cf7650622f")</f>
        <v/>
      </c>
      <c r="F95">
        <f>HYPERLINK("https://www.amazon.jobs/jobs/3032183/senior-applied-scientist-artificial-general-intelligence?cmpid=DA_INAD200785B", "https://www.amazon.jobs/jobs/3032183/senior-applied-scientist-artificial-general-intelligence?cmpid=DA_INAD200785B")</f>
        <v/>
      </c>
      <c r="G95" t="inlineStr">
        <is>
          <t>New York, NY, US</t>
        </is>
      </c>
      <c r="H95" s="2" t="n">
        <v>45838</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in-4cf444c369925a4a</t>
        </is>
      </c>
      <c r="B96" t="inlineStr">
        <is>
          <t>Senior Applied Scientist, Artificial General Intelligence</t>
        </is>
      </c>
      <c r="C96" t="inlineStr">
        <is>
          <t>Amazon.com</t>
        </is>
      </c>
      <c r="D96" t="inlineStr">
        <is>
          <t>indeed</t>
        </is>
      </c>
      <c r="E96">
        <f>HYPERLINK("https://www.indeed.com/viewjob?jk=4cf444c369925a4a", "https://www.indeed.com/viewjob?jk=4cf444c369925a4a")</f>
        <v/>
      </c>
      <c r="F96">
        <f>HYPERLINK("https://www.amazon.jobs/jobs/3032183/senior-applied-scientist-artificial-general-intelligence?cmpid=DA_INAD200785B", "https://www.amazon.jobs/jobs/3032183/senior-applied-scientist-artificial-general-intelligence?cmpid=DA_INAD200785B")</f>
        <v/>
      </c>
      <c r="G96" t="inlineStr">
        <is>
          <t>Boston, MA, US</t>
        </is>
      </c>
      <c r="H96" s="2" t="n">
        <v>45838</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in-f4b1e5b2c3bf3ac3</t>
        </is>
      </c>
      <c r="B97" t="inlineStr">
        <is>
          <t>Sr. Applied Scientist, Sales AI</t>
        </is>
      </c>
      <c r="C97" t="inlineStr">
        <is>
          <t>Amazon.com</t>
        </is>
      </c>
      <c r="D97" t="inlineStr">
        <is>
          <t>indeed</t>
        </is>
      </c>
      <c r="E97">
        <f>HYPERLINK("https://www.indeed.com/viewjob?jk=f4b1e5b2c3bf3ac3", "https://www.indeed.com/viewjob?jk=f4b1e5b2c3bf3ac3")</f>
        <v/>
      </c>
      <c r="F97">
        <f>HYPERLINK("https://www.amazon.jobs/jobs/3020528/sr-applied-scientist-sales-ai?cmpid=DA_INAD200785B", "https://www.amazon.jobs/jobs/3020528/sr-applied-scientist-sales-ai?cmpid=DA_INAD200785B")</f>
        <v/>
      </c>
      <c r="G97" t="inlineStr">
        <is>
          <t>New York, NY, US</t>
        </is>
      </c>
      <c r="H97" s="2" t="n">
        <v>45830</v>
      </c>
      <c r="I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in-2c5cd91a8d2b3eba</t>
        </is>
      </c>
      <c r="B98" t="inlineStr">
        <is>
          <t>Sr. Applied Scientist, Sales AI</t>
        </is>
      </c>
      <c r="C98" t="inlineStr">
        <is>
          <t>Amazon.com</t>
        </is>
      </c>
      <c r="D98" t="inlineStr">
        <is>
          <t>indeed</t>
        </is>
      </c>
      <c r="E98">
        <f>HYPERLINK("https://www.indeed.com/viewjob?jk=2c5cd91a8d2b3eba", "https://www.indeed.com/viewjob?jk=2c5cd91a8d2b3eba")</f>
        <v/>
      </c>
      <c r="F98">
        <f>HYPERLINK("https://www.amazon.jobs/jobs/3020528/sr-applied-scientist-sales-ai?cmpid=DA_INAD200785B", "https://www.amazon.jobs/jobs/3020528/sr-applied-scientist-sales-ai?cmpid=DA_INAD200785B")</f>
        <v/>
      </c>
      <c r="G98" t="inlineStr">
        <is>
          <t>Sunnyvale, CA, US</t>
        </is>
      </c>
      <c r="H98" s="2" t="n">
        <v>45830</v>
      </c>
      <c r="I9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in-215cc6067cca628c</t>
        </is>
      </c>
      <c r="B99" t="inlineStr">
        <is>
          <t>Sr. Applied Scientist, Sales AI</t>
        </is>
      </c>
      <c r="C99" t="inlineStr">
        <is>
          <t>Amazon.com</t>
        </is>
      </c>
      <c r="D99" t="inlineStr">
        <is>
          <t>indeed</t>
        </is>
      </c>
      <c r="E99">
        <f>HYPERLINK("https://www.indeed.com/viewjob?jk=215cc6067cca628c", "https://www.indeed.com/viewjob?jk=215cc6067cca628c")</f>
        <v/>
      </c>
      <c r="F99">
        <f>HYPERLINK("https://www.amazon.jobs/jobs/3020528/sr-applied-scientist-sales-ai?cmpid=DA_INAD200785B", "https://www.amazon.jobs/jobs/3020528/sr-applied-scientist-sales-ai?cmpid=DA_INAD200785B")</f>
        <v/>
      </c>
      <c r="G99" t="inlineStr">
        <is>
          <t>Seattle, WA, US</t>
        </is>
      </c>
      <c r="H99" s="2" t="n">
        <v>45830</v>
      </c>
      <c r="I9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in-6fc4dc13cabd0ed3</t>
        </is>
      </c>
      <c r="B100" t="inlineStr">
        <is>
          <t>Sr. Applied Scientist, AGI Info</t>
        </is>
      </c>
      <c r="C100" t="inlineStr">
        <is>
          <t>Amazon.com</t>
        </is>
      </c>
      <c r="D100" t="inlineStr">
        <is>
          <t>indeed</t>
        </is>
      </c>
      <c r="E100">
        <f>HYPERLINK("https://www.indeed.com/viewjob?jk=6fc4dc13cabd0ed3", "https://www.indeed.com/viewjob?jk=6fc4dc13cabd0ed3")</f>
        <v/>
      </c>
      <c r="F100">
        <f>HYPERLINK("https://www.amazon.jobs/jobs/2999351/sr-applied-scientist-agi-info?cmpid=DA_INAD200785B", "https://www.amazon.jobs/jobs/2999351/sr-applied-scientist-agi-info?cmpid=DA_INAD200785B")</f>
        <v/>
      </c>
      <c r="G100" t="inlineStr">
        <is>
          <t>Bellevue, WA, US</t>
        </is>
      </c>
      <c r="H100" s="2" t="n">
        <v>45811</v>
      </c>
      <c r="I100"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in-a50709e23a21a866</t>
        </is>
      </c>
      <c r="B101" t="inlineStr">
        <is>
          <t>Sr. Applied Scientist, AGI Info</t>
        </is>
      </c>
      <c r="C101" t="inlineStr">
        <is>
          <t>Amazon.com</t>
        </is>
      </c>
      <c r="D101" t="inlineStr">
        <is>
          <t>indeed</t>
        </is>
      </c>
      <c r="E101">
        <f>HYPERLINK("https://www.indeed.com/viewjob?jk=a50709e23a21a866", "https://www.indeed.com/viewjob?jk=a50709e23a21a866")</f>
        <v/>
      </c>
      <c r="F101">
        <f>HYPERLINK("https://www.amazon.jobs/jobs/2999351/sr-applied-scientist-agi-info?cmpid=DA_INAD200785B", "https://www.amazon.jobs/jobs/2999351/sr-applied-scientist-agi-info?cmpid=DA_INAD200785B")</f>
        <v/>
      </c>
      <c r="G101" t="inlineStr">
        <is>
          <t>Sunnyvale, CA, US</t>
        </is>
      </c>
      <c r="H101" s="2" t="n">
        <v>45811</v>
      </c>
      <c r="I101"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in-ff2bf86197b65c2e</t>
        </is>
      </c>
      <c r="B102" t="inlineStr">
        <is>
          <t>Principal Applied Scientist, Delivery Foundation Model</t>
        </is>
      </c>
      <c r="C102" t="inlineStr">
        <is>
          <t>Amazon.com</t>
        </is>
      </c>
      <c r="D102" t="inlineStr">
        <is>
          <t>indeed</t>
        </is>
      </c>
      <c r="E102">
        <f>HYPERLINK("https://www.indeed.com/viewjob?jk=ff2bf86197b65c2e", "https://www.indeed.com/viewjob?jk=ff2bf86197b65c2e")</f>
        <v/>
      </c>
      <c r="F102">
        <f>HYPERLINK("https://www.amazon.jobs/jobs/3006938/principal-applied-scientist-delivery-foundation-model-?cmpid=DA_INAD200785B", "https://www.amazon.jobs/jobs/3006938/principal-applied-scientist-delivery-foundation-model-?cmpid=DA_INAD200785B")</f>
        <v/>
      </c>
      <c r="G102" t="inlineStr">
        <is>
          <t>Santa Clara, CA, US</t>
        </is>
      </c>
      <c r="H102" s="2" t="n">
        <v>45810</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in-225f61931d75d318</t>
        </is>
      </c>
      <c r="B103" t="inlineStr">
        <is>
          <t>Principal Applied Scientist, Delivery Foundation Model</t>
        </is>
      </c>
      <c r="C103" t="inlineStr">
        <is>
          <t>Amazon.com</t>
        </is>
      </c>
      <c r="D103" t="inlineStr">
        <is>
          <t>indeed</t>
        </is>
      </c>
      <c r="E103">
        <f>HYPERLINK("https://www.indeed.com/viewjob?jk=225f61931d75d318", "https://www.indeed.com/viewjob?jk=225f61931d75d318")</f>
        <v/>
      </c>
      <c r="F103">
        <f>HYPERLINK("https://www.amazon.jobs/jobs/3006938/principal-applied-scientist-delivery-foundation-model-?cmpid=DA_INAD200785B", "https://www.amazon.jobs/jobs/3006938/principal-applied-scientist-delivery-foundation-model-?cmpid=DA_INAD200785B")</f>
        <v/>
      </c>
      <c r="G103" t="inlineStr">
        <is>
          <t>New York, NY, US</t>
        </is>
      </c>
      <c r="H103" s="2" t="n">
        <v>45810</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in-6cef35b2239023c2</t>
        </is>
      </c>
      <c r="B104" t="inlineStr">
        <is>
          <t>Principal Applied Scientist, Delivery Foundation Model</t>
        </is>
      </c>
      <c r="C104" t="inlineStr">
        <is>
          <t>Amazon.com</t>
        </is>
      </c>
      <c r="D104" t="inlineStr">
        <is>
          <t>indeed</t>
        </is>
      </c>
      <c r="E104">
        <f>HYPERLINK("https://www.indeed.com/viewjob?jk=6cef35b2239023c2", "https://www.indeed.com/viewjob?jk=6cef35b2239023c2")</f>
        <v/>
      </c>
      <c r="F104">
        <f>HYPERLINK("https://www.amazon.jobs/jobs/3006938/principal-applied-scientist-delivery-foundation-model-?cmpid=DA_INAD200785B", "https://www.amazon.jobs/jobs/3006938/principal-applied-scientist-delivery-foundation-model-?cmpid=DA_INAD200785B")</f>
        <v/>
      </c>
      <c r="G104" t="inlineStr">
        <is>
          <t>Austin, TX, US</t>
        </is>
      </c>
      <c r="H104" s="2" t="n">
        <v>45810</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in-0f595f7ab4407061</t>
        </is>
      </c>
      <c r="B105" t="inlineStr">
        <is>
          <t>Principal Applied Scientist, Delivery Foundation Model</t>
        </is>
      </c>
      <c r="C105" t="inlineStr">
        <is>
          <t>Amazon.com</t>
        </is>
      </c>
      <c r="D105" t="inlineStr">
        <is>
          <t>indeed</t>
        </is>
      </c>
      <c r="E105">
        <f>HYPERLINK("https://www.indeed.com/viewjob?jk=0f595f7ab4407061", "https://www.indeed.com/viewjob?jk=0f595f7ab4407061")</f>
        <v/>
      </c>
      <c r="F105">
        <f>HYPERLINK("https://www.amazon.jobs/jobs/3006938/principal-applied-scientist-delivery-foundation-model-?cmpid=DA_INAD200785B", "https://www.amazon.jobs/jobs/3006938/principal-applied-scientist-delivery-foundation-model-?cmpid=DA_INAD200785B")</f>
        <v/>
      </c>
      <c r="G105" t="inlineStr">
        <is>
          <t>Bellevue, WA, US</t>
        </is>
      </c>
      <c r="H105" s="2" t="n">
        <v>45810</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in-8c45faa2a901d27b</t>
        </is>
      </c>
      <c r="B106" t="inlineStr">
        <is>
          <t>Senior Applied Scientist, Delivery Foundation Model</t>
        </is>
      </c>
      <c r="C106" t="inlineStr">
        <is>
          <t>Amazon.com</t>
        </is>
      </c>
      <c r="D106" t="inlineStr">
        <is>
          <t>indeed</t>
        </is>
      </c>
      <c r="E106">
        <f>HYPERLINK("https://www.indeed.com/viewjob?jk=8c45faa2a901d27b", "https://www.indeed.com/viewjob?jk=8c45faa2a901d27b")</f>
        <v/>
      </c>
      <c r="F106">
        <f>HYPERLINK("https://www.amazon.jobs/jobs/2998435/senior-applied-scientist-delivery-foundation-model-?cmpid=DA_INAD200785B", "https://www.amazon.jobs/jobs/2998435/senior-applied-scientist-delivery-foundation-model-?cmpid=DA_INAD200785B")</f>
        <v/>
      </c>
      <c r="G106" t="inlineStr">
        <is>
          <t>New York, NY, US</t>
        </is>
      </c>
      <c r="H106" s="2" t="n">
        <v>45806</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in-f6cdc020b8d41035</t>
        </is>
      </c>
      <c r="B107" t="inlineStr">
        <is>
          <t>Senior Applied Scientist, Delivery Foundation Model</t>
        </is>
      </c>
      <c r="C107" t="inlineStr">
        <is>
          <t>Amazon.com</t>
        </is>
      </c>
      <c r="D107" t="inlineStr">
        <is>
          <t>indeed</t>
        </is>
      </c>
      <c r="E107">
        <f>HYPERLINK("https://www.indeed.com/viewjob?jk=f6cdc020b8d41035", "https://www.indeed.com/viewjob?jk=f6cdc020b8d41035")</f>
        <v/>
      </c>
      <c r="F107">
        <f>HYPERLINK("https://www.amazon.jobs/jobs/2998435/senior-applied-scientist-delivery-foundation-model-?cmpid=DA_INAD200785B", "https://www.amazon.jobs/jobs/2998435/senior-applied-scientist-delivery-foundation-model-?cmpid=DA_INAD200785B")</f>
        <v/>
      </c>
      <c r="G107" t="inlineStr">
        <is>
          <t>Santa Clara, CA, US</t>
        </is>
      </c>
      <c r="H107" s="2" t="n">
        <v>45806</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in-8eeed4832cdc7f27</t>
        </is>
      </c>
      <c r="B108" t="inlineStr">
        <is>
          <t>Senior Applied Scientist, Delivery Foundation Model</t>
        </is>
      </c>
      <c r="C108" t="inlineStr">
        <is>
          <t>Amazon.com</t>
        </is>
      </c>
      <c r="D108" t="inlineStr">
        <is>
          <t>indeed</t>
        </is>
      </c>
      <c r="E108">
        <f>HYPERLINK("https://www.indeed.com/viewjob?jk=8eeed4832cdc7f27", "https://www.indeed.com/viewjob?jk=8eeed4832cdc7f27")</f>
        <v/>
      </c>
      <c r="F108">
        <f>HYPERLINK("https://www.amazon.jobs/jobs/2998435/senior-applied-scientist-delivery-foundation-model-?cmpid=DA_INAD200785B", "https://www.amazon.jobs/jobs/2998435/senior-applied-scientist-delivery-foundation-model-?cmpid=DA_INAD200785B")</f>
        <v/>
      </c>
      <c r="G108" t="inlineStr">
        <is>
          <t>Bellevue, WA, US</t>
        </is>
      </c>
      <c r="H108" s="2" t="n">
        <v>45806</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in-e64d39673ef9ce45</t>
        </is>
      </c>
      <c r="B109" t="inlineStr">
        <is>
          <t>Principal Applied Scientist, Delivery Foundation Model</t>
        </is>
      </c>
      <c r="C109" t="inlineStr">
        <is>
          <t>Amazon.com</t>
        </is>
      </c>
      <c r="D109" t="inlineStr">
        <is>
          <t>indeed</t>
        </is>
      </c>
      <c r="E109">
        <f>HYPERLINK("https://www.indeed.com/viewjob?jk=e64d39673ef9ce45", "https://www.indeed.com/viewjob?jk=e64d39673ef9ce45")</f>
        <v/>
      </c>
      <c r="F109">
        <f>HYPERLINK("https://www.amazon.jobs/jobs/2998635/principal-applied-scientist-delivery-foundation-model-?cmpid=DA_INAD200785B", "https://www.amazon.jobs/jobs/2998635/principal-applied-scientist-delivery-foundation-model-?cmpid=DA_INAD200785B")</f>
        <v/>
      </c>
      <c r="G109" t="inlineStr">
        <is>
          <t>New York, NY, US</t>
        </is>
      </c>
      <c r="H109" s="2" t="n">
        <v>45757</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in-782be32154452966</t>
        </is>
      </c>
      <c r="B110" t="inlineStr">
        <is>
          <t>Principal Applied Scientist, Delivery Foundation Model</t>
        </is>
      </c>
      <c r="C110" t="inlineStr">
        <is>
          <t>Amazon.com</t>
        </is>
      </c>
      <c r="D110" t="inlineStr">
        <is>
          <t>indeed</t>
        </is>
      </c>
      <c r="E110">
        <f>HYPERLINK("https://www.indeed.com/viewjob?jk=782be32154452966", "https://www.indeed.com/viewjob?jk=782be32154452966")</f>
        <v/>
      </c>
      <c r="F110">
        <f>HYPERLINK("https://www.amazon.jobs/jobs/2998635/principal-applied-scientist-delivery-foundation-model-?cmpid=DA_INAD200785B", "https://www.amazon.jobs/jobs/2998635/principal-applied-scientist-delivery-foundation-model-?cmpid=DA_INAD200785B")</f>
        <v/>
      </c>
      <c r="G110" t="inlineStr">
        <is>
          <t>Bellevue, WA, US</t>
        </is>
      </c>
      <c r="H110" s="2" t="n">
        <v>45757</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in-c087e12ff357d90c</t>
        </is>
      </c>
      <c r="B111" t="inlineStr">
        <is>
          <t>Principal Applied Scientist, Delivery Foundation Model</t>
        </is>
      </c>
      <c r="C111" t="inlineStr">
        <is>
          <t>Amazon.com</t>
        </is>
      </c>
      <c r="D111" t="inlineStr">
        <is>
          <t>indeed</t>
        </is>
      </c>
      <c r="E111">
        <f>HYPERLINK("https://www.indeed.com/viewjob?jk=c087e12ff357d90c", "https://www.indeed.com/viewjob?jk=c087e12ff357d90c")</f>
        <v/>
      </c>
      <c r="F111">
        <f>HYPERLINK("https://www.amazon.jobs/jobs/2998635/principal-applied-scientist-delivery-foundation-model-?cmpid=DA_INAD200785B", "https://www.amazon.jobs/jobs/2998635/principal-applied-scientist-delivery-foundation-model-?cmpid=DA_INAD200785B")</f>
        <v/>
      </c>
      <c r="G111" t="inlineStr">
        <is>
          <t>Santa Clara, CA, US</t>
        </is>
      </c>
      <c r="H111" s="2" t="n">
        <v>45757</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in-24884305770d932d</t>
        </is>
      </c>
      <c r="B112" t="inlineStr">
        <is>
          <t>Principal Applied Scientist, FAR (Frontier AI &amp; Robotics)</t>
        </is>
      </c>
      <c r="C112" t="inlineStr">
        <is>
          <t>Amazon.com</t>
        </is>
      </c>
      <c r="D112" t="inlineStr">
        <is>
          <t>indeed</t>
        </is>
      </c>
      <c r="E112">
        <f>HYPERLINK("https://www.indeed.com/viewjob?jk=24884305770d932d", "https://www.indeed.com/viewjob?jk=24884305770d932d")</f>
        <v/>
      </c>
      <c r="F112">
        <f>HYPERLINK("https://www.amazon.jobs/jobs/2938625/principal-applied-scientist-far-frontier-ai--robotics?cmpid=DA_INAD200785B", "https://www.amazon.jobs/jobs/2938625/principal-applied-scientist-far-frontier-ai--robotics?cmpid=DA_INAD200785B")</f>
        <v/>
      </c>
      <c r="G112" t="inlineStr">
        <is>
          <t>Seattle, WA, US</t>
        </is>
      </c>
      <c r="H112" s="2" t="n">
        <v>45740</v>
      </c>
      <c r="I11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in-a183496f16780867</t>
        </is>
      </c>
      <c r="B113" t="inlineStr">
        <is>
          <t>Principal Applied Scientist, FAR (Frontier AI &amp; Robotics)</t>
        </is>
      </c>
      <c r="C113" t="inlineStr">
        <is>
          <t>Amazon.com</t>
        </is>
      </c>
      <c r="D113" t="inlineStr">
        <is>
          <t>indeed</t>
        </is>
      </c>
      <c r="E113">
        <f>HYPERLINK("https://www.indeed.com/viewjob?jk=a183496f16780867", "https://www.indeed.com/viewjob?jk=a183496f16780867")</f>
        <v/>
      </c>
      <c r="F113">
        <f>HYPERLINK("https://www.amazon.jobs/jobs/2938625/principal-applied-scientist-far-frontier-ai--robotics?cmpid=DA_INAD200785B", "https://www.amazon.jobs/jobs/2938625/principal-applied-scientist-far-frontier-ai--robotics?cmpid=DA_INAD200785B")</f>
        <v/>
      </c>
      <c r="G113" t="inlineStr">
        <is>
          <t>San Francisco, CA, US</t>
        </is>
      </c>
      <c r="H113" s="2" t="n">
        <v>45740</v>
      </c>
      <c r="I11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in-09858c88283baf60</t>
        </is>
      </c>
      <c r="B114" t="inlineStr">
        <is>
          <t>Associate Data Scientist</t>
        </is>
      </c>
      <c r="C114" t="inlineStr">
        <is>
          <t>Authenticx</t>
        </is>
      </c>
      <c r="D114" t="inlineStr">
        <is>
          <t>indeed</t>
        </is>
      </c>
      <c r="E114">
        <f>HYPERLINK("https://www.indeed.com/viewjob?jk=09858c88283baf60", "https://www.indeed.com/viewjob?jk=09858c88283baf60")</f>
        <v/>
      </c>
      <c r="F114">
        <f>HYPERLINK("https://grnh.se/05iixxj89us", "https://grnh.se/05iixxj89us")</f>
        <v/>
      </c>
      <c r="G114" t="inlineStr">
        <is>
          <t>Indianapolis, IN, US</t>
        </is>
      </c>
      <c r="H114" s="2" t="n">
        <v>46049</v>
      </c>
      <c r="I114" t="inlineStr">
        <is>
          <t>**Who is Authenticx?**
Authenticx is on a mission to help humans understand humans. Our software platform is the new standard for humanizing customer interaction data at scale. We do this by channeling our passion and talent into helping health care leaders listen to their conversational data in a way that delivers value to the enterprise.
**What do we offer our team members?**
* A culture based on our core values of Authenticity, Courage and Having Fun
* A collaborative environment that supports your personal and professional development
* Remote/virtual working flexibility
* Free health insurance options
* Comprehensive benefits \- medical, vision, dental, life, and disability insurance
* HSA and FSA plans
* 401(K)
* Unlimited vacation time
* Generous paid holidays, sick leave, and parental leave
* Perks at Work membership for discounts on shopping, travel and much more
**Position Summary**
Our ideal candidate will spend most of the time developing machine learning models using natural language process that will be integrated into our automated processes. This role is ideal for an early\-career engineer eager to grow technical depth and contribute to scalable, reliable services in a mission\-driven environment. You will work alongside experienced engineers who deliver production grade models into our SaaS platform in a highly regulated environment. Your responsibility will be to build and train models, deploy model pipelines, and implement a variety of algorithms to extract insights from unstructured data. If needed, you will also troubleshoot and provide technical solutions to resolve issues. Ideally, we would love someone with experience in a startup or small company, but if not, willingness to wear a lot of hats and a self\-starter is great too.
**As a Data Scientist at** **Authenticx****, your responsibilities will include:**
* Utilizing Python, SQL, and machine learning technologies to perform conversational analytics.
* Analyzing structured and unstructured data and building predictive models using a variety of approaches.
* Searching through large data sets and transforming data to make it more appropriate for analysis
* Creating reports and presentations for business uses
* Document and maintain codebase standards, contributing to ongoing quality and reliability improvements.
**Key Metrics**
* Delivery of assigned feature work on time and within quality standards.
* Consistent adherence to code review and documentation standards.
* Resolution of assigned defects and production issues within established SLAs.
* Contribution to overall system reliability, uptime, and performance goals.
* Demonstrated growth in technical proficiency and cross\-team collaboration.
**Qualifications**
**Basic Qualifications:**
* Proficiency with Python (Pandas, NumPy, Matplotlib, Scikit\-Learn, Spacy, SciPy, etc...)
* Strong knowledge of Natural Language Processing (NLP) or Audio Signal Processing
* Experience with a deep learning framework (TensorFlow, Pytorch, etc..) and deep learning architectures (RNNs, CNNs, Transformers, etc...)
* Experience with fine\-tuning transformers and relevant libraries (Transformers, Unsloth, vLLM, TRL)
* Strong mathematics skills (e.g., Linear Algebra, Statistics)
* Advanced ability to perform exploratory data analysis and to communicate complex data in a simple, actionable way
* Experience with SQL, databases, and other data management tools
* Ability to work independently and with team members from different backgrounds
* Comfortable interacting with executive level leaders
* Strong communication skills and eagerness to learn in a collaborative, fast\-paced SaaS environment.
* Internal Motivation and Intellectual Curiosity to uncover the answers to unknowns
* B.S. in Mathematics, Economics, Computer Science, Statistics (or equivalent practical experience).
**Preferred Qualifications:**
* Experience as a Data Scientist, Machine Learning Engineer
* Software\-as\-a\-service (SaaS) and/or healthcare industry experience
* Experience with cloud technologies a plus (Azure, AWS, GCP, Kubernetes)
* Experience with the full life cycle of model development. From data acquisition to training and deploying the model in a production environment
* Data Visualization and Monitoring technologies a plus (Matplotlib, Seaborn, Pyplot, WandB)
* Experience with time series forecasting or anomaly detection a plus
* Familiarity with Docker and Scripting a plus
* Exceptional technical writing skills
 **How You Work**
* **Curious and Coachable:** You seek feedback, ask questions, and thrive in a learning culture.
* **Collaborative:** You communicate clearly and partner well with peers across disciplines.
* **Reliable:** You follow through on commitments and contribute to system stability.
* **Detail\-Oriented:** You care about accuracy, maintainability, and performance.
* **Mission\-Driven:** You connect your technical work to the Authenticx mission — helping humans understand humans.
 **Work Environment**
* This is a remote/virtual position.
* You must live in the United States of America.
* You must be authorized to work in the USA, now and in the future, WITHOUT requirement of sponsorship/visa.
* Occasional travel to Indianapolis may be required (approximately 2–4 times per year) based on business needs.
**Limitations**
The above job description is not intended to be an all\-inclusive list of duties and standards of the position. Employees will follow any other instructions and perform other related duties, as assigned by their manager. Reasonable accommodations may be made to enable individuals with disabilities to perform the essential functions.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li-4178562606</t>
        </is>
      </c>
      <c r="B2" t="inlineStr">
        <is>
          <t>Data Scientist (L5) - Cloud Games Quality of Experience</t>
        </is>
      </c>
      <c r="C2" t="inlineStr">
        <is>
          <t>Netflix</t>
        </is>
      </c>
      <c r="D2" t="inlineStr">
        <is>
          <t>linkedin</t>
        </is>
      </c>
      <c r="E2">
        <f>HYPERLINK("https://www.linkedin.com/jobs/view/4178562606", "https://www.linkedin.com/jobs/view/4178562606")</f>
        <v/>
      </c>
      <c r="F2" t="inlineStr"/>
      <c r="G2" t="inlineStr"/>
      <c r="H2" t="inlineStr"/>
      <c r="I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This data scientist role will focus on characterizing the quality of experience specific to our nascent cloud games offering, and operationalizing it across the business to illuminate and drive prioritization against the highest impact opportunities. You will join the team of Analytics Engineers, Data Scientists, and Data Engineers who partner with our infrastructure engineering teams to create metrics, perform analysis, and develop the tools and data products that help us make better decisions about our infrastructure and its impact on our product’s quality of experience.
**What You’ll Do**
* Establish the fundamental set of quality of experience metrics used to evaluate our Cloud Games sessions, which is likely to include research and development of several new metrics.
* Become the resident expert on all things Cloud Games Quality of Experience, partnering closely with Games Engineering and Games Studio teams to drive a culture of data\-informed decision\-making about our games title portfolio and the games platform infrastructure.
* Develop deep expertise in how the Cloud Games infrastructure works, and understand how data, analytics, experimentation, and algorithms can play an impactful role in driving improvements to its performance.
* Use a combination of experiment and observational data to understand the Netflix member perspective on their gaming experiences. Help us understand the Netflix member perspective on their experiences.
* Translate valuable insights and data from this domain to initiatives in other parts of the business.
**You Have**
* Advanced training in a quantitative field (Data Science, Statistics, Mathematics, Engineering, Physics, Economics, etc) or commensurate work experience.
* Fluent in SQL. Comfortable prototyping pipelines of moderate complexity, with the ability to effectively partner with data engineering teams building more scalable solutions for important use cases
* Strong Quantitative Programming skills in Python, R experience a plus
* Passion for instrumenting and analyzing products to drive improvements to user experience, backed by strong product knowledge and intuition \- ideally utilized in consumer/user interface settings or internally serving technical audiences such as engineers.
* Demonstrated effectiveness at developing meaningful stakeholder relationships and deep domain expertise.
* The demonstrated ability to communicate technical and statistical concepts clearly and concisely among audiences at many different levels.
* Comfort with ambiguity, and the ability to thrive with minimal oversight and process.
* Embodied the Netflix values while bringing a new perspective to continue improving our culture.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li-4351596423</t>
        </is>
      </c>
      <c r="B3" t="inlineStr">
        <is>
          <t>Data Scientist</t>
        </is>
      </c>
      <c r="C3" t="inlineStr">
        <is>
          <t>Lazard</t>
        </is>
      </c>
      <c r="D3" t="inlineStr">
        <is>
          <t>linkedin</t>
        </is>
      </c>
      <c r="E3">
        <f>HYPERLINK("https://www.linkedin.com/jobs/view/4351596423", "https://www.linkedin.com/jobs/view/4351596423")</f>
        <v/>
      </c>
      <c r="F3">
        <f>HYPERLINK("https://lazard-careers.tal.net/vx/lang-en-GB/mobile-0/appcentre-1/brand-4/xf-807f18a34e16/candidate/so/pm/1/pl/3/opp/4183-Data-Scientist/en-GB&amp;urlHash=J9Dr", "https://lazard-careers.tal.net/vx/lang-en-GB/mobile-0/appcentre-1/brand-4/xf-807f18a34e16/candidate/so/pm/1/pl/3/opp/4183-Data-Scientist/en-GB&amp;urlHash=J9Dr")</f>
        <v/>
      </c>
      <c r="G3" t="inlineStr">
        <is>
          <t>New York, United States</t>
        </is>
      </c>
      <c r="H3" t="inlineStr"/>
      <c r="I3" t="inlineStr">
        <is>
          <t>Americas
 Corporate
 New York
 Lazard is one of the world’s preeminent financial advisory and asset management firms.
 **Our people and culture make the difference** 
 . While global in presence and reach, ours is a close, collaborative community of just over 3,000 professionals. Lazard is a place of continuous knowledge sharing, skill development and relationship building, where professionals grow and succeed together. Our entrepreneurial culture, flat structure and embrace of individual differences, allow creative ideas, original concepts, and unique perspectives to drive our business forward — and for careers to take flight.
 The Lazard Data Analytics Group, composed of data scientists, AI engineers, and software engineers, drives innovation by developing advanced AI and data science solutions that enhance decision\-making across our financial advisory and asset management business lines. This team ensures Lazard stays at the forefront of a data\-driven world, delivering insights that support client engagements and strengthen key partnerships, while keeping the firm competitive and efficient in an evolving financial landscape.
 The Data Scientist at Lazard will work within the AI \&amp; Data Group in a high\-impact role at the intersection of quantitative analysis, applied AI, and finance. We are seeking a highly motivated problem solver who will collaborate with investment bankers, senior management, and engineers across the Firm.
**We’ll trust you to:**
* Creating novel quantitative analysis using large\-scale structured and unstructured financial data.
* Partnering with investment banking teams to understand workstreams and identify opportunities for quantitative and AI tools.
* Developing AI\-powered tools that provide actionable insights and enhance data\-driven decision\-making.
* Building robust, scalable, and interpretable machine learning models.
* Driving the adoption and integration of AI solutions into core investment banking workstreams.
**You’ll need to have:**
* Bachelor’s or advanced degree in Math, Statistics, Computer Science, Data Science, Economics, Quantitative Finance, or related fields.
* Prior work or academic experience in finance.
* Strong programming skills in Python with experience deriving insights from complex and ambiguous datasets.
* Strong fundamentals in statistics, probability, and databases.
* Excellent understanding of machine learning algorithms and concepts.
* Strong communication skills with the ability to translate between technical and non\-technical audiences.
* Proficiency with frameworks for large language models (LLMs) such as LangChain, LlamaIndex, and VectorDBs.
**It is a bonus to have:**
* Familiarity with M\&amp;A, capital markets, and/or equity research.
* Experience with agentic workflows, RAG systems, and AI/data platforms such as Databricks.
* Experience collaborating using version\-control tools such as Git.
* Interest or exposure to deploying tools and models using cloud platforms such as Azure.
**What we offer:**
 We strive to enhance the total health and well\-being of our employees through comprehensive, competitive benefits. Our goal is to offer a highly individualized employee experience that enables you to balance your commitments to career, family, and community. When you work for Lazard, you are working for an organization that cares about your unique talents and passions and will continue to invest in the development of your career.
 We expect the base salary range for this role to be approximately $110,000 \- $140,000 USD. Various factors contribute to determining the actual base compensation offered, including but not limited to the applicant’s years of relevant experience, career tenure, qualifications, level of education attained, certifications or other professional licenses held, relevant skills for the role. Base salary is one component of Lazard’s compensation package, which also includes comprehensive benefits and may include incentive compensation.
**Does this sound like you?**
 Apply! We'll get in touch and let you know the next steps.
**Representation at Lazard**
 Lazard is an intellectual capital business committed to delivering the best advice and solutions to clients. To achieve these objectives, we focus on attracting, developing and retaining the best talent. We believe that a workforce comprised of people who represent a wide array of backgrounds, experiences and perspectives creates a rich variety of thought that empowers us to challenge conventional wisdom, solve problems creatively and make better decisions.
 Lazard was built on the premise that a multicultural firm can best serve a global clientele. As a global firm that has grown organically from local roots in different countries, we have a deep tradition of respecting and appreciating individual differences. Doing so has been core to our success for over 175 years. We are committed to sustaining an environment where every colleague is supported in their professional pursuits, can maximize their individual potential and contribute to our collective success.</t>
        </is>
      </c>
    </row>
    <row r="4">
      <c r="A4" t="inlineStr">
        <is>
          <t>li-4366770843</t>
        </is>
      </c>
      <c r="B4" t="inlineStr">
        <is>
          <t>Data Scientist</t>
        </is>
      </c>
      <c r="C4" t="inlineStr">
        <is>
          <t>Mantra Health</t>
        </is>
      </c>
      <c r="D4" t="inlineStr">
        <is>
          <t>linkedin</t>
        </is>
      </c>
      <c r="E4">
        <f>HYPERLINK("https://www.linkedin.com/jobs/view/4366770843", "https://www.linkedin.com/jobs/view/4366770843")</f>
        <v/>
      </c>
      <c r="F4" t="inlineStr"/>
      <c r="G4" t="inlineStr">
        <is>
          <t>New York, NY</t>
        </is>
      </c>
      <c r="H4" t="inlineStr"/>
      <c r="I4" t="inlineStr">
        <is>
          <t>**Company Overview**
 Mantra Health is an award\-winning digital mental health provider on a mission to make evidence\-based care more accessible to students. We partner with colleges and universities to offer comprehensive virtual mental health services, including therapy, psychiatry, 24/7 crisis care, emotional wellness coaching, and self\-care content. Our technology solutions seamlessly integrate with campus health systems to enhance student well\-being and improve graduation rates. Recognized as a leader in digital mental health, Mantra Health was named a Rising Star by the UCSF Digital Health Awards and won Juniper Research's Gold Star for Best Digital Therapeutic Solution. Today, our programs support over 900,000 students across 125\+ campuses, including Penn State, MIT, and Miami Dade College. We've raised over $34M from leading investors and we're looking for ambitious, talented, action\-oriented individuals to join us in shaping the future of student mental healthcare.
**Opportunity for Impact**
 Mantra Health is seeking a
 **Senior Data Scientist** 
 to help advance Beacon, an intelligence platform designed to improve student well\-being, success, and retention. This role sits at the intersection of product, engineering, and strategy—turning complex data into clear, actionable insights that help institutions understand not just what is happening, but what to do next.
 This is a highly visible,
 **senior individual\-contributor** 
 role with meaningful ownership and executive exposure. The right candidate brings strong analytical judgment, excellent communication skills, and the ability to translate data into compelling narratives that demonstrate real\-world impact and ROI while continuously enhancing Beacon capabilities.
**What You'll Do**
* **Build Data Products for Population Insights:** 
 Design and deliver data products that translate complex data into clear, actionable insights for Care Teams and partnering schools. Focus on population\-level insights that support early identification, prioritization, and effective response to student needs.
* **Develop the Data Platform Across the Care Lifecycle:** 
 Build and evolve data infrastructure that supports the full lifecycle—from identifying student needs, to recommending pathways for support, to escalation and follow\-up. Partner with engineering to ensure insights are delivered reliably, securely, and at scale.
* **Validate Impact with Product and Clinical Partners:** 
 Work closely with Product and Clinical teams to define success metrics and validate the efficacy of insights, interventions, and workflows. Ensure analytics align with clinical realities, ethical standards, and real\-world care delivery.
* **Drive Scalable, Technology\-Enabled Improvement:** 
 Lead efforts to apply technology\-driven solutions that deepen understanding of each student while supporting a rapidly growing population. Continuously improve how insights are generated, delivered, and acted upon to ensure Beacon scales without sacrificing quality or clarity.
**Who You Are**
* **Adaptable and Pragmatic:** 
 You are comfortable navigating ambiguity and evolving priorities. You adapt your approach as new information emerges and focus on practical solutions that balance rigor with speed.
* **Strong Analytical Judgment:** 
 You bring a solid foundation in statistics and applied analytics, with the ability to choose appropriate methods for the problem at hand. You understand concepts such as confidence intervals, bias, and tradeoffs, and apply them thoughtfully in real\-world contexts.
* **Product\-Oriented Data Scientist:** 
 You have experience working on analytics that directly influence product direction or business decisions. You understand how to define meaningful metrics, evaluate impact, and connect insights to outcomes.
* **Technically Proficient:** 
 You are proficient in Python and SQL and comfortable working with modern data stacks, pipelines, and large datasets. You value clean, well\-documented, reproducible work and collaborate effectively with analytics and engineering partners.
* **Clear Communicator:** 
 You can explain complex analytical concepts to non\-technical audiences and focus on the "so what." You tell compelling stories with data that resonate with executives, partners, and cross\-functional teams.
* **Mission\-Aligned:** 
 You are motivated by improving student wellbeing and care access. You care about responsible data use, ethics, and outcomes, and you bring a "Grow Our Impact" mindset to your work.
**Must\-Have Qualifications:**
* **Professional Experience:** 
 4\+ years of experience in data science, analytics, or a related field, including delivering analytics, models, or data products used in production environments.
* **Domain Experience:** 
 Experience working in healthcare, education, fintech, or other regulated or data\-sensitive industries. Familiarity with healthcare or education data is a strong plus and will help you ramp more quickly.
* **Applied Product Analytics:** 
 Demonstrated experience applying data science in a product\-driven context. You have worked on initiatives that directly informed product direction or business decisions, rather than purely exploratory or academic work.
* **Technical Proficiency:** 
 Strong proficiency in Python and SQL for data analysis. Comfortable working with large datasets, writing complex queries, and using Python\-based libraries to clean, analyze, and interpret data.
* **Statistical Judgment:** 
 Solid grounding in statistical analysis and experimental thinking. You can design and evaluate analyses with appropriate rigor and clearly interpret results, balancing precision with practical decision\-making.
* **Communication Skills:** 
 Proven ability to communicate insights and analytical concepts to diverse audiences. You can produce clear visualizations or presentations and explain the "so what" to inform decisions at multiple levels of the organization.
* **Cross\-Functional Collaboration:** 
 A team\-oriented mindset with experience working closely with Product, Engineering, Design, or Clinical partners to deliver shared outcomes.
* **Ownership \&amp; Accountability:** 
 High degree of self\-direction and accountability. You take initiative, manage your time effectively, and can independently drive projects from problem definition through execution and follow\-through.
**Preferred Qualifications:**
* **AI \&amp; LLM Experience:** 
 Experience applying natural language processing techniques or working with large language models, even in experimental or early production contexts.
* **Production Analytics or ML Exposure:** 
 Experience supporting analytics or machine\-learning systems in production, including validation, monitoring, or iteration over time.
* **Data Visualization \&amp; BI Tools:** 
 Familiarity with tools such as Looker, Tableau, or similar platforms for communicating trends and insights prior to full productization.
* **Advanced Education:** 
 An advanced degree in a quantitative field (e.g., Statistics, Data Science, Computer Science, Engineering) is a plus, but not required.
**Why Choose Mantra**
* **Impactful Opportunity:** 
 Your work will directly influence how institutions understand and support student mental health. The insights you deliver can guide real decisions that help students access care sooner and more effectively.
* **Professional Growth:** 
 This is a high\-ownership role within a strategic product area. You'll deepen your analytical and technical skills while expanding your product thinking and business impact through close collaboration with senior leaders.
* **Collaborative Culture:** 
 At Mantra, we value empathy, inclusion, and intellectual curiosity. You'll join a mission\-driven team that collaborates closely and supports continuous learning.
* **Career Advancement:** 
 As Mantra continues to grow, this role offers opportunities to expand scope and influence over time. We invest in our team's long\-term success and support individuals as they take on increasing responsibility.
**Compensation \&amp; Benefits**
 Compensation: $150,000 \- $200,000
 Pay range may vary by location and is commensurate with experience and market rates.
 At Mantra, our distributed team is our secret sauce that allows us to support our mission everyday. We're collaborative, empathetic, and curious. We take time to celebrate our wins and learn from our mistakes. Each full\-time employee at Mantra enjoys:
* Stock Options
* Medical, vision, and dental coverage for employees, spouses, and dependents
* 401(k)
* Flexible work location
* Generous PTO, sick days, jury duty days, and bereavement. Three week sabbatical and $3,000 stipend after five years of continuous full\-time employment
* Inclusive parental leave, equal for all parents
* $1,000 new\-parent mental wellness benefit
* Commuter card, if you commute
* Access to One Medical
* Healthcare \&amp; Dependent Care FSA
**Join us** 
 in shaping the future of student mental healthcare through data! If you're excited by the opportunity to build life\-changing technology and have the skills and passion to match, we'd love to meet you. Apply today to help us transform mental health support for the next generation.
**Note:** 
 This role is open to candidates
 **based in the United States** 
 . We are a remote\-friendly team (with a slight preference for New York\-based candidates for occasional in\-person collaboration). Mantra Health is an equal opportunity employer. We celebrate diversity and are committed to creating an inclusive environment for all employees.
***Protect Your Information:** 
 Mantra Health has been made aware of fraudulent recruitment activities where individuals pose as our hiring team. Please note that all official communications will come from an
 **@mantrahealth.com** 
 email address. Click here to learn more.*</t>
        </is>
      </c>
    </row>
    <row r="5">
      <c r="A5" t="inlineStr">
        <is>
          <t>li-4366903800</t>
        </is>
      </c>
      <c r="B5" t="inlineStr">
        <is>
          <t>GTM Data Scientist</t>
        </is>
      </c>
      <c r="C5" t="inlineStr">
        <is>
          <t>Clay</t>
        </is>
      </c>
      <c r="D5" t="inlineStr">
        <is>
          <t>linkedin</t>
        </is>
      </c>
      <c r="E5">
        <f>HYPERLINK("https://www.linkedin.com/jobs/view/4366903800", "https://www.linkedin.com/jobs/view/4366903800")</f>
        <v/>
      </c>
      <c r="F5" t="inlineStr"/>
      <c r="G5" t="inlineStr">
        <is>
          <t>New York, NY</t>
        </is>
      </c>
      <c r="H5" t="inlineStr"/>
      <c r="I5"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Waste Management, Figma, and Ramp — go to market with unique data, signals, and AI research.
 In 2025, we crossed $100M in revenue and raised a $100M Series C at a $3\.1B valuation, backed by world\-class investors including Sequoia, CapitalG, and First Round. We also completed our first first employee tender offer and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****Data @ Clay****
 We’re looking for a
 **GTM Data Scientist**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early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
 Compensation Range: $130K \- $170K</t>
        </is>
      </c>
    </row>
    <row r="6">
      <c r="A6" t="inlineStr">
        <is>
          <t>li-4366500246</t>
        </is>
      </c>
      <c r="B6" t="inlineStr">
        <is>
          <t>Data Scientist</t>
        </is>
      </c>
      <c r="C6" t="inlineStr">
        <is>
          <t>Stripe</t>
        </is>
      </c>
      <c r="D6" t="inlineStr">
        <is>
          <t>linkedin</t>
        </is>
      </c>
      <c r="E6">
        <f>HYPERLINK("https://www.linkedin.com/jobs/view/4366500246", "https://www.linkedin.com/jobs/view/4366500246")</f>
        <v/>
      </c>
      <c r="F6">
        <f>HYPERLINK("https://www.wiraa.com/job-description/us26374CC110ABA63689583B38A735858E?source=Linkedin&amp;urlHash=Sqfr", "https://www.wiraa.com/job-description/us26374CC110ABA63689583B38A735858E?source=Linkedin&amp;urlHash=Sqfr")</f>
        <v/>
      </c>
      <c r="G6" t="inlineStr"/>
      <c r="H6" t="inlineStr"/>
      <c r="I6" t="inlineStr">
        <is>
          <t>**About The Company**
 Stripe is a leading financial infrastructure platform that empowers businesses of all sizes to accept payments, grow revenue, and explore new market opportunities. Serving millions of companies worldwide, from large enterprises to innovative startups, Stripe aims to increase the GDP of the internet by providing seamless, scalable, and secure payment solutions. Our mission is to facilitate economic growth and democratize access to financial services by building robust infrastructure that supports innovation and entrepreneurship on a global scale. With a focus on cutting\-edge technology and customer\-centric solutions, Stripe continues to push the boundaries of digital finance, making it easier for businesses to succeed in an increasingly digital economy.
**About The Role**
 We are seeking a highly skilled Data Scientist to join our dynamic Data Science team at Stripe. In this role, you will collaborate closely with cross\-functional teams including Product, Finance, Payments, Security, Risk, Growth, and Go\-to\-Market. Your primary responsibility will be to leverage data to optimize systems, inform strategic decision\-making, and drive impactful outcomes across the organization. You will analyze complex data sets, develop machine learning models, conduct experiments, and provide actionable insights that influence product development, risk management, customer experience, and business growth initiatives. This position offers an exciting opportunity to work on a broad spectrum of projects that shape the future of our platform and contribute significantly to Stripe’s mission of increasing internet GDP.
**Qualifications**
* 3\-8\+ years of experience in data science or quantitative modeling
* Proficiency in SQL and at least one programming language such as Python or R
* Strong expertise in machine learning, statistics, optimization, and product analytics
* Experience with causal inference, experimentation, and A/B testing
* Proven ability to collaborate with cross\-functional teams to deliver results
* Excellent communication skills with the ability to translate complex analyses into clear recommendations
* High attention to detail and ability to manage multiple projects simultaneously
* Solid business acumen and understanding of how data insights impact strategic decisions
* A builder’s mindset with curiosity to challenge assumptions and conventional wisdom
* Preferred: Experience deploying models in production and adjusting thresholds for performance improvement
* Preferred: Experience with distributed data tools such as Spark or Hadoop
* Preferred: PhD or MS in Statistics, Engineering, Mathematics, Economics, Quantitative Finance, Sciences, or Operations Research
**Responsibilities**
* Partner with Product, Finance, Payments, Security, Risk, Growth, and Go\-to\-Market teams to identify opportunities for data\-driven improvements
* Analyze large and complex datasets to uncover insights and inform decision\-making
* Develop and deploy machine learning models, statistical models, and optimization algorithms to improve product features and business processes
* Design, run, and analyze experiments to evaluate the impact of new initiatives and features
* Translate analytical findings into actionable recommendations for various stakeholders
* Collaborate with engineering teams to deploy models in production environments and monitor their performance
* Continuously improve models and analytical processes based on feedback and new data
* Communicate complex technical concepts effectively to non\-technical audiences
* Maintain high standards of data quality and integrity across projects
* Stay current with industry trends and emerging technologies in data science and machine learning
**Benefits**
* Competitive salary range of $138,900 \- $261,800 annually (US\-based roles)
* Equity options and potential for bonuses or sales commissions
* Comprehensive health, dental, and vision insurance plans
* 401(k) retirement savings plan
* Wellness stipends and employee assistance programs
* Flexible work arrangements, including remote work options
* Opportunities for professional development and continuous learning
* Inclusive and diverse work environment that encourages innovation
 Equal Opportunity
 Stripe is committed to fostering an inclusive environment and equal opportunity for all employees and applicants. We celebrate diversity and are dedicated to creating a workplace where everyone feels valued and empowered. We do not discriminate based on race, ethnicity, gender, age, sexual orientation, disability, or any other protected characteristic. We encourage candidates from all backgrounds to apply and join us in building a more accessible and equitable internet economy.</t>
        </is>
      </c>
    </row>
    <row r="7">
      <c r="A7" t="inlineStr">
        <is>
          <t>li-4366786611</t>
        </is>
      </c>
      <c r="B7" t="inlineStr">
        <is>
          <t>Data Scientist</t>
        </is>
      </c>
      <c r="C7" t="inlineStr">
        <is>
          <t>Inizio Partners</t>
        </is>
      </c>
      <c r="D7" t="inlineStr">
        <is>
          <t>linkedin</t>
        </is>
      </c>
      <c r="E7">
        <f>HYPERLINK("https://www.linkedin.com/jobs/view/4366786611", "https://www.linkedin.com/jobs/view/4366786611")</f>
        <v/>
      </c>
      <c r="F7" t="inlineStr"/>
      <c r="G7" t="inlineStr">
        <is>
          <t>San Antonio, Texas Metropolitan Area</t>
        </is>
      </c>
      <c r="H7" t="inlineStr"/>
      <c r="I7" t="inlineStr">
        <is>
          <t>**Job Description:** 
 Data Scientist
**Overview** 
 Our client is seeking a talented and motivated Data Scientist to join their dynamic team. The Data Scientist will leverage advanced analytics, machine learning, and statistical modeling to support data\-driven decision making across the organization. This role will play a key part in extracting insights from complex datasets to improve operational efficiency, customer experience, and strategic planning within the energy sector.
**Key Responsibilities** 
* Apply a consultative approach to data science, partnering with stakeholders to identify business problems, recommend tailored analytical solutions, and guide decision\-making throughout project lifecycles.
* Analyze large and diverse datasets to identify trends, patterns, and opportunities for improvement within operations.
* Design, develop, and deploy predictive models and machine learning algorithms to solve business challenges.
* Collaborate with cross\-functional teams, including IT, engineering, and business units, to understand data needs and deliver actionable insights.
* Visualize data findings and communicate results clearly to both technical and non\-technical stakeholders.
* Support the implementation of data governance standards and ensure the integrity and security of data.
* Stay updated on emerging technologies and best practices in data science and the energy industry.
**Qualifications** 
* Bachelors or Masters degree in Data Science, Computer Science, Statistics, Mathematics, or related field.
* 2–5\+ years of experience as a Data Scientist, ML Engineer, or similar role.
* Strong proficiency in Python (pandas, scikit‑learn, NumPy, SciPy, TensorFlow/PyTorch optional).
* Experience with machine learning frameworks (e.g., scikit\-learn, TensorFlow).
* Experience working with data warehouses, SQL databases, and cloud platforms (AWS, Azure, GCP).
* Familiarity with visualization tools such as Tableau, Power BI, or matplotlib.
* Experience with statistical modeling, forecasting, and optimization.
* Experience in the
 **energy or utilities industry.**
* Knowledge of cloud platforms (e.g., Azure, AWS, Google Cloud) and big data technologies (e.g., Hadoop, Spark).
* Exposure to MLOps practices and production model deployment.
**Location: This is a hybrid position based in San Antonio TX.**</t>
        </is>
      </c>
    </row>
    <row r="8">
      <c r="A8" t="inlineStr">
        <is>
          <t>li-4366774033</t>
        </is>
      </c>
      <c r="B8" t="inlineStr">
        <is>
          <t>Data Scientist</t>
        </is>
      </c>
      <c r="C8" t="inlineStr">
        <is>
          <t>ValidiFI</t>
        </is>
      </c>
      <c r="D8" t="inlineStr">
        <is>
          <t>linkedin</t>
        </is>
      </c>
      <c r="E8">
        <f>HYPERLINK("https://www.linkedin.com/jobs/view/4366774033", "https://www.linkedin.com/jobs/view/4366774033")</f>
        <v/>
      </c>
      <c r="F8" t="inlineStr"/>
      <c r="G8" t="inlineStr">
        <is>
          <t>Alpharetta, GA</t>
        </is>
      </c>
      <c r="H8" t="inlineStr"/>
      <c r="I8" t="inlineStr">
        <is>
          <t>**Data Scientist** 
 Full\-Time
 Alpharetta, GA
**Job Summary:** 
 ValidiFI is a fast\-paced, growing private financial\-technology company specializing in bank account intelligence in the forms of credit risk and account validation. We are seeking a Data Scientist to join our growing team. As part of the data science team at ValidiFI you will be responsible for analyzing, developing and supporting machine learning models, and provide actionable insights that support our business goals. This role requires proficiency in data manipulation, statistical analysis, predictive modeling, and data visualization. This position reports directly to the Sr. Director of Analytics \&amp; Insights.
**Key Responsibilities:** 
* Gather, clean, transform, and analyze data from various sources to identify actionable and meaningful insights
* Consuming complex data and generating easy\-to\-understand reports and data visualizations for both technical and non\-technical audiences
* Create and present analytical findings to both potential customers and business stakeholders
* Build and deploy algorithms and predictive models to solve business problems
* Collaborating with different departments, such as marketing, products, and sales to understand their data needs and deliver insights that drive decision\-making
**Qualifications** 
* Bachelor’s degree in Data Science, Mathematics, Statistics, Computer Science, or a related field with 5\+ years of experience as a Data Scientist or similar role OR
* Master’s degree in Data Science, Mathematics, Statistics, Computer Science, or a related field with 2\+ years of experience as a Data Scientist or similar role
* Strong analytical skills with the ability to interrogate datasets and generate insights
* Strong proficiency in data analysis tools such as R, Python, SQL, or Excel
* Experience developing and implementing machine learning \&amp; predictive models
* Familiarity with databases and ability write complex SQL queries
* Good communications skills with the ability to present complex findings to non\-technical audiences
* Ability to work independently and as part of a team in a fast\-paced environment
* Strong attention to detail, analytical thinking, and problem\-solving skills
**What you’ll get from us** 
 A team where you can make an impact, and where you and your experience are valued.
 We offer comprehensive compensation and healthcare packages, 401k matching, and flexible time off.
 No agencies please. ValidiFI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t>
        </is>
      </c>
    </row>
    <row r="9">
      <c r="A9" t="inlineStr">
        <is>
          <t>li-4366524915</t>
        </is>
      </c>
      <c r="B9" t="inlineStr">
        <is>
          <t>GTM Data Scientist</t>
        </is>
      </c>
      <c r="C9" t="inlineStr">
        <is>
          <t>Clay</t>
        </is>
      </c>
      <c r="D9" t="inlineStr">
        <is>
          <t>linkedin</t>
        </is>
      </c>
      <c r="E9">
        <f>HYPERLINK("https://www.linkedin.com/jobs/view/4366524915", "https://www.linkedin.com/jobs/view/4366524915")</f>
        <v/>
      </c>
      <c r="F9" t="inlineStr"/>
      <c r="G9" t="inlineStr"/>
      <c r="H9" t="inlineStr"/>
      <c r="I9"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Waste Management, Figma, and Ramp — go to market with unique data, signals, and AI research.
 In 2025, we crossed $100M in revenue and raised a $100M Series C at a $3\.1B valuation, backed by world\-class investors including Sequoia, CapitalG, and First Round. We also completed our first first employee tender offer and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**Data @ Clay**
 We’re looking for a
 **GTM Data Scientist**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early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row>
    <row r="10">
      <c r="A10" t="inlineStr">
        <is>
          <t>li-4356611356</t>
        </is>
      </c>
      <c r="B10" t="inlineStr">
        <is>
          <t>Data Scientist (Remote - United States)</t>
        </is>
      </c>
      <c r="C10" t="inlineStr">
        <is>
          <t>MissionOG</t>
        </is>
      </c>
      <c r="D10" t="inlineStr">
        <is>
          <t>linkedin</t>
        </is>
      </c>
      <c r="E10">
        <f>HYPERLINK("https://www.linkedin.com/jobs/view/4356611356", "https://www.linkedin.com/jobs/view/4356611356")</f>
        <v/>
      </c>
      <c r="F10" t="inlineStr"/>
      <c r="G10" t="inlineStr"/>
      <c r="H10" t="inlineStr"/>
      <c r="I10" t="inlineStr">
        <is>
          <t>BlastPoint
 Remote \- United States
 Background
 Founded in Pittsburgh, PA by Carnegie Mellon University alumni, BlastPoint is a data\-driven, AI based customer intelligence product company. We sell our proven SaaS based technology to mid\-sized and large organizations. Our unique data\-driven customer intelligence technology allows organizations to develop predictive, action\-ready, objective\-oriented insights: from developing customer strategies, to optimizing customer engagement, to enabling the overall customer journey. BlastPoint’s key differentiator is its highly targeted, objective\-driven intelligence.
 BlastPoint is growing rapidly (300%\-400% YoY), and has multiple large customers already established (billion dollars \+). BlastPoint is presently engaged with large utilities, insurance and banking institutions, as well as large automakers, including Electric Vehicle manufacturers and customers in other related industries. With our rapid growth and proven technology, we are looking to build our teams quickly for continued growth and expansion into multiple industries and countries.
* Focus: Everyone at BlastPoint is highly motivated and driven for success. BlastPoint’s unique technology has brought significant results to our customers, creating huge opportunities for growth and developing a brand in the customer intelligence domain. BlastPoint offers an open culture to its employees, allowing them to bring new ideas and offer freedom in achieving results and objectives.
* Growth: BlastPoint is poised to make a difference in customer intelligence space and is at the brink of multifold growth. BlastPoint is a fit for anyone who wants to grow their career fast, take challenges, and make it big.
* Solve Challenging Problems: Customer intelligence is required in every aspect of business. BlastPoint’s platform incorporates cutting\-edge approaches to geospatial data, machine learning, psychographic clustering, data enrichment, and a dynamic visualization environment–all at scale.
* Have An Impact: Small but mighty, BlastPoint’s growth is due to big companies increasingly trusting us with supporting key decisions using their most sensitive data. What we do positively impacts the lives of millions of Americans (and beyond).
* Make Positive Change in the World: BlastPoint is all about green value. Our solutions reduce paper consumption, help struggling families pay their bills, and promote clean energy. We also offer our platform for free to nonprofits and civic\-oriented organizations.
* Employee\-Focused Culture: We support the individual needs of our team, from schedule and time\-off flexibility to generous compensation benefits. We also tailor growth opportunities, from skills training to industry conferences.
**Job Summary**
 We are seeking an experienced Data Scientist to join our growing engineering team. The ideal candidate is adept at building practical, effective machine learning models to solve real\-world problems. This role will focus on developing data\-driven solutions, ensuring model quality, and enabling scalable workflows. The successful candidate will develop and deliver predictive models, improve the systems behind our modeling work, and collaborate with clients and internal teams to produce consistent, high\-value results.
**Responsibilities**
* Develop machine learning models using customer, open\-source, and proprietary data for a variety of business cases.
* Contribute to the design and automation of customer data analysis and insights delivery processes.
* Develop new ML solutions for emerging use cases, client needs, or market demand, and standardize and templatize these approaches into data products.
* Serve as the technical liaison between the customer and the product, ensuring tools are effective, gathering feedback, and customizing solutions based on client requirements.
* Serve as the technical liaison between the customer and the product, ensuring tools are effective, gathering feedback, and customizing solutions based on client requirements.
* Apply empathy and an analytical perspective when consulting with clients, understanding their unique needs, and representing them internally and externally. This involves participating in client meetings, conducting technical discussions, presenting project outcomes, and engaging in customer\-facing technical interactions as needed.
* Dedicate 60\-80% of your time to client projects, 20\-40% to developing internal tools or data products, and approximately 10% to account management or support tasks. The aim is to leverage client feedback to make our systems more efficient and self\-service, reducing the reliance on consultative project teams.
**Requirements**
**Professional Requirements:**
* 2–4 years of experience in data science, machine learning, or predictive analytics; Bachelor’s degree or equivalent experience in a relevant field.
* Highly proficient in Python, including Pandas, Scikit\-Learn, and modular ML workflows built around reproducible pipelines. Experience working within shared codebases or contributing to internal tools that support other data scientists or analysts.
* Strong ML modeling fundamentals and experience translating business problems into machine learning or predictive analytics solutions. Knowledge of different machine learning and statistical techniques, including their strengths, limitations, and appropriate use cases.
* Practical experience developing ML models from exploration to validated, working solutions, with sound judgment about feature design, evaluation metrics, and iterative improvement. Experience contributing to model deployments or maintaining models in production environments is highly valued.
* Excellent communication skills, with the ability to present technical information to non\-technical audiences.
* Comfort working in a fast\-paced environment with a mix of client work and internal initiatives. Self\-directed and organized—able to manage your own workload and proactively flag risks or blockers.
* A curious and proactive problem solver, open to sharing new ideas, advocating best practices, and self\-teaching as needed.
* Authorized to work in the United States.
**Nice To Haves**
* Familiarity with AWS cloud services, with a particular focus on Amazon SageMaker and its core functionalities for building, training, and deploying machine learning models.
* Deep skillset in advanced ML model interpretation methods (e.g., SHAP, partial dependence plots, other feature attribution techniques) and proven ability to articulate ML concepts, model behavior, and their implications to diverse audiences.
* Prior contributions to open\-source or internal Python libraries that provide reusable components for data processing, modeling, or analytical workflows.
* Strong data visualization skills, with experience creating publication\-quality visuals for high\-visibility reports and a proven ability to convey complex insights from data clearly and effectively.
* Experience with time\-series modeling, NLP, or recommendation systems.
* Willingness to travel domestically for company events (2\-4 times per year).
 Interested Applicants
 Apply
 **here** 
 .</t>
        </is>
      </c>
    </row>
    <row r="11">
      <c r="A11" t="inlineStr">
        <is>
          <t>li-4366503052</t>
        </is>
      </c>
      <c r="B11" t="inlineStr">
        <is>
          <t>Data Scientist</t>
        </is>
      </c>
      <c r="C11" t="inlineStr">
        <is>
          <t>GALLO</t>
        </is>
      </c>
      <c r="D11" t="inlineStr">
        <is>
          <t>linkedin</t>
        </is>
      </c>
      <c r="E11">
        <f>HYPERLINK("https://www.linkedin.com/jobs/view/4366503052", "https://www.linkedin.com/jobs/view/4366503052")</f>
        <v/>
      </c>
      <c r="F11" t="inlineStr"/>
      <c r="G11" t="inlineStr">
        <is>
          <t>Dallas, TX</t>
        </is>
      </c>
      <c r="H11" t="inlineStr"/>
      <c r="I11" t="inlineStr">
        <is>
          <t>Job Req ID: 106789
 Job Type: Full\-time
 Work Category: Hybrid Telecommute
 Application Close Date: 02/11/2026
 Sponsorship: Not Available
 Compensation: $ 103,100 \- $ 154,800
 Gallo Privacy Policy
**We are GALLO**
 We’re a family\-owned company with a 90\+ year legacy, that’s consistently recognized as a Glassdoor “Best Places to Work.” We have 130\+ brands in our total alcohol beverage portfolio including wine, malt, spirits, and ready\-to\-drink beverages. We’re home to the \#1 wine and spirits brands in the U.S. \- Barefoot Wine \&amp; High Noon and are the official sponsors of the NFL, NHL, UFC, and PGA of America.
 View our Corporate Values and Mission Statement here.
 A Taste of What You'll Do
 We’re seeking a curious, collaborative Data Scientist to join our Sales Analytics team and turn complex data into clear, actionable insights. Working under general supervision on up to two concurrent initiatives, you’ll consolidate diverse, unstructured sources, build and validate models, run experiments (A/B testing), and translate results into business\-ready solutions that drive measurable impact. You’ll partner with stakeholders across functions, elicit and refine requirements, and create compelling business cases that prioritize high\-impact outcomes.
 You are comfortable coding in Python and using libraries like Pandas, NumPy, Matplotlib or Seaborn, writing SQL to harvest data, and building reproducible analysis pipelines. You’ll design models and simple linear optimization solutions with solvers (e.g., Gurobi, CPLEX), implement prototypes for production, and work with engineers to ensure quality and adoption. You’ll apply statistical rigor to identify causal relationships, validate assumptions, and evaluate solution effectiveness while documenting technical specs and communicating tradeoffs in plain language for nontechnical audiences.
 We value intrapreneurship and ownership: think boldly, take appropriate risks, learn from mistakes, and hold yourself and teammates accountable. You’ll facilitate team meetings, mentor interns as needed, and help integrate new use cases using modern methods and tools. Timely work, attention to architecture and usability, and a focus on production\-ready outcomes are essential.
 GALLO is committed to equity and inclusion. We encourage candidates of all backgrounds and experiences to apply and will provide reasonable accommodations throughout the hiring process. If you’re passionate about using data to influence sales strategy and create business value, we’d like to hear from you.
 What You'll Need
* Master’s degree in Statistics, Applied Mathematics, Computer Science, Data Science/Analytics, Geo Spatial Science, Operations Research, Industrial Engineering, Business Analytics, or Mathematics, plus 2 years of experience in advanced data analytics reflecting increasing levels of responsibility; OR Bachelor's degree in Information Systems, Computer Science, Management Information Systems (MIS), Economics, Mathematics, Statistics, Data Science, Data Analytics, Physics, Engineering, Operations Research, Industrial Engineering, or Business Analytics, plus 3 years of experience in advanced data analytics reflecting increasing levels of responsibility.
* Understands technology standards and architectural guidelines.
* Can work as part of a larger team and effectively collaborate with geographically distributed teams.
* Demonstrates knowledge \&amp; understanding of statistical machine learning and artificial intelligence (AI) models that integrate with the application development environment.
* Skilled at representing data in graphical form using tools such as MicroStrategy, Tableau, Excel.
* Intermediate Knowledge of AWS Resources in the aiding of automation.
* Working knowledge on building compelling Dashboards that tell a story and deliver actionable insights.
* Working knowledge developing experiments that identify causal relationships in the field.
* Required to travel to company offices, sites, and/or meeting locations for onboarding, training, meetings, and events for development, department needs, and business delivery up to 5% of the time, with or without reasonable accommodation. This may be in addition to travel requirements, if applicable, as listed in this job description.
* Required to be 18 years or older. This may be in addition to other age requirements, if applicable, as listed in this job description.
 How You'll Stand Out
* Masters degree in Statistics, Applied Mathematics, Computer Science, Data Science/Analytics, Geo Spatial Science, Operations Research, Industrial Engineering, Business Analytics, or Mathematics plus 4 years experience in advanced data analytics reflecting increasing levels of responsibility; OR Bachelor's degree in Information Systems, Computer Science, Management Information Systems (MIS), Economics, Mathematics, Statistics, Data Science, Data Analytics, Physics, Engineering, Operations Research, Industrial Engineering, or Business Analytics plus 5 years experience in advanced data analytics reflecting increasing levels of responsibility.
**Our Benefits \&amp; Perks**
 To view the full job description, please click here.
 We are committed to providing competitive compensation, perks, and a culture that supports your well\-being. Benefits depend on your work category and may include medical and dental coverage, 401k plans, profit sharing, pet insurance, company holidays, access to an employee wine shop, and more! Additional information will be provided before your first interview.
**The Fine Print**
* The Company does not sponsor for employment\-based visas for this position now or in the future.
* Actual compensation paid within the range will be determined by factors such as the education, experience, knowledge, skills and abilities of the applicant, internal equity, and alignment with market data. In addition to the salary, this position may be eligible for bonuses, incentive plans, or participate in tasting room tip pools, as applicable.
* This position will be based in the location(s) specified in the job posting with an option for occasional telecommuting. You will be expected to live within a commutable distance.
* It is the Company’s policy for job postings to be open to internal candidates for a minimum of 5 days and to external candidates, if applicable, for a minimum of 3 days.
 Gallo’s policy is to afford equal employment opportunities to all applicants and employees and not to discriminate on the basis of race, traits associated with race, including but not limited to, hair texture and protective hairstyles (such as braids, locks, and twists), color, national origin, ancestry, creed, religion, physical disability, mental disability, medical condition as defined by applicable state law (including cancer and predisposing genetic characteristics), genetic information, marital status, familial status, sex, gender, gender identity, gender expression, sexual orientation (actual or perceived), transgender status, sex stereotyping, pregnancy, childbirth or related medical conditions, reproductive health decision making, age, military or veteran status, domestic violence or sexual assault victim status, or any other basis protected by applicable law. Nor will Gallo discriminate based on a perception that an individual has any of the foregoing characteristics or is associated with a person who has, or is perceived to have, any of those characteristics.
 Gallo will comply with state and local laws prohibiting discrimination for lawful out\-of\-work behavior, such as off\-duty use of cannabis away from the workplace (subject to federal and state law exceptions), the existence of non\-psychoactive cannabis metabolites in hair, blood, urine, or other bodily fluids as determined by a drug screening test (subject to federal and state law exceptions).
 We also consider qualified applicants with criminal histories, consistent with applicable federal, state and local law. Gallo is committed to providing reasonable accommodation for candidates with disabilities in our recruiting process. If you need any assistance or accommodation due to a disability, please let us know at 209\.341\.7000\.
 Gallo is enrolled in the Department of Homeland Security's E\-Verify program and will use the program to verify the employment eligibility of all newly hired employees as required.
 E\-Verify Notice
 Right to Work
 Employee Polygraph Protection Act</t>
        </is>
      </c>
    </row>
    <row r="12">
      <c r="A12" t="inlineStr">
        <is>
          <t>li-4366512102</t>
        </is>
      </c>
      <c r="B12" t="inlineStr">
        <is>
          <t>Consumer Product Data Scientist</t>
        </is>
      </c>
      <c r="C12" t="inlineStr">
        <is>
          <t>Clarus Group</t>
        </is>
      </c>
      <c r="D12" t="inlineStr">
        <is>
          <t>linkedin</t>
        </is>
      </c>
      <c r="E12">
        <f>HYPERLINK("https://www.linkedin.com/jobs/view/4366512102", "https://www.linkedin.com/jobs/view/4366512102")</f>
        <v/>
      </c>
      <c r="F12" t="inlineStr"/>
      <c r="G12" t="inlineStr"/>
      <c r="H12" t="inlineStr"/>
      <c r="I12" t="inlineStr">
        <is>
          <t>**About Clarus Group:** 
 Clarus Group is a leading provider of IT services and solutions, delivering cutting\-edge technology to drive business success. Our mission is to empower clients with innovative solutions tailored to their unique needs. We pride ourselves on fostering a collaborative and growth\-oriented work environment.
**Position Summary:** 
 As a Consumer Product Data Scientist, you will be using the Databricks platform to analyze complex datasets, identify trends, uncover patterns, and provide meaningful interpretations for a highly visible online product. You will leverage skills in big data collection, cleaning, and exploratory analysis to discover patterns, anomalies, and relationships using statistical methods and visualization techniques. Requires strong experience applying statistical tests and models to validate hypotheses and identify significant trends in customer retention and churn. Requires advanced expertise in Python and SQL to manipulate data, implement analytical solutions and machine learning.
 \*\*Must be able to obtain and maintain a Public Trust clearance in accordance with federal contract requirements. Must be legally authorized to work in the United States.\*\*
**Technical Skills** 
* Predictive Modeling and Analytics \- Advanced
* Data Visualization \- Intermediate
* Databricks Platform \- Expert
* Big Data Engineering \- Intermediate
* Data Science \- Expert
**Work Environment \&amp; Physical Requirements:** 
 This is a hybrid position, with a combination of remote and on\-site work. The role involves prolonged periods of sitting and working at a computer, effective communication via phone, video, and email, and occasional in\-person collaboration or meetings. Reliable internet access and a suitable workspace are required for remote days. Reasonable accommodations will be provided for qualified individuals with disabilities.
**Equal Employment Opportunity Statement:** 
 Clarus Group is firmly committed to Equal Employment Opportunity (EEO) and to compliance with all Federal, State and local laws that prohibit employment discrimination on the basis of age, race, color, gender, national origin, sexual orientation, religion, disability, protected veteran status and other protected classifications. This policy applies to all employment decisions including, but not limited to, recruiting, hiring, training, promotions, pay practices, benefits, disciplinary actions and terminations. If you require reasonable accommodation in the application process, call Human Resources at 913\-599\-5255\.</t>
        </is>
      </c>
    </row>
    <row r="13">
      <c r="A13" t="inlineStr">
        <is>
          <t>li-4366520338</t>
        </is>
      </c>
      <c r="B13" t="inlineStr">
        <is>
          <t>Data Scientist</t>
        </is>
      </c>
      <c r="C13" t="inlineStr">
        <is>
          <t>LatentView Analytics</t>
        </is>
      </c>
      <c r="D13" t="inlineStr">
        <is>
          <t>linkedin</t>
        </is>
      </c>
      <c r="E13">
        <f>HYPERLINK("https://www.linkedin.com/jobs/view/4366520338", "https://www.linkedin.com/jobs/view/4366520338")</f>
        <v/>
      </c>
      <c r="F13" t="inlineStr"/>
      <c r="G13" t="inlineStr">
        <is>
          <t>Mountain View, CA</t>
        </is>
      </c>
      <c r="H13" t="inlineStr"/>
      <c r="I13" t="inlineStr">
        <is>
          <t>LatentView Analytics is one of the world’s largest and fastest\-growing digital analytics firms.
 We help companies drive digital transformation by helping them combine digital and traditional data to gain a competitive advantage. LatentView provides a 360\-degree view of the digital consumer, enabling companies to predict new revenue streams, anticipate product trends and popularity, improve customer retention rates, and optimize investment decisions.
**Role: Data Analytics** 
**Location: Mountain View CA Onsite is Must)** 
**Authorized to work in the United States** 
**No Need of Visa sponsorship** 
* Experienced in data analytics and product analytics for the QuickBooks Accounting Automation team—defining metrics and tracking workflow performance.
* Hands\-on with A/B testing and experimentation to measure impact and guide product decisions.
* Strong dashboarding skills in Tableau and Qlik Sense, building clear, actionable dashboards for teams and leaders.
* Strong SQL skills, and comfortable partnering with cross\-functional stakeholders to turn business needs into data\-driven actions.
 EEO Statement
*“At LatentView Analytics LLC, we value a diverse, inclusive workforce and we provide equal employment opportunities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usrec@latentview.com. LatentView Analytics LLC will reasonably accommodate qualified individuals with disabilities to the extent required by applicable law.”*</t>
        </is>
      </c>
    </row>
    <row r="14">
      <c r="A14" t="inlineStr">
        <is>
          <t>li-4366490445</t>
        </is>
      </c>
      <c r="B14" t="inlineStr">
        <is>
          <t>Data Scientist</t>
        </is>
      </c>
      <c r="C14" t="inlineStr">
        <is>
          <t>Humana</t>
        </is>
      </c>
      <c r="D14" t="inlineStr">
        <is>
          <t>linkedin</t>
        </is>
      </c>
      <c r="E14">
        <f>HYPERLINK("https://www.linkedin.com/jobs/view/4366490445", "https://www.linkedin.com/jobs/view/4366490445")</f>
        <v/>
      </c>
      <c r="F14">
        <f>HYPERLINK("https://www.wiraa.com/job-description/usF68F885B2806F91A4EDE6E704AA1884A?source=Linkedin&amp;urlHash=AoxN", "https://www.wiraa.com/job-description/usF68F885B2806F91A4EDE6E704AA1884A?source=Linkedin&amp;urlHash=AoxN")</f>
        <v/>
      </c>
      <c r="G14" t="inlineStr"/>
      <c r="H14" t="inlineStr"/>
      <c r="I14" t="inlineStr">
        <is>
          <t>**About The Company** 
 Humana Inc. is a leading health and well\-being company dedicated to putting health first for its members, employees, and communities. With a commitment to innovative healthcare solutions, Humana offers a wide range of insurance services and healthcare programs designed to improve quality of life. Through its subsidiaries, including CenterWell, Humana strives to deliver accessible, personalized, and compassionate care to diverse populations such as Medicare, Medicaid, military service members, and individuals. The company fosters a culture of inclusivity, integrity, and continuous improvement, emphasizing the importance of health, wellness, and community engagement.
**About The Role** 
 We are seeking a highly skilled and innovative AI Specialist to join our Enterprise AI organization at Humana. In this role, you will be at the forefront of developing advanced autonomous agent systems capable of managing complex, real\-world tasks. Your primary responsibility will be to architect goal\-setting mechanisms, design dynamic planning systems, and collaborate across teams to ensure the safe and effective deployment of AI agents. You will contribute to scientific research and engineering efforts to create reliable, interpretable, and robust AI modules that align with human intent and operational safety standards. This position offers an exciting opportunity to influence the future of healthcare through AI innovation, working remotely within the United States.
**Qualifications** 
* Master's Degree in Computer Science, Data Science, Machine Learning, or related field.
* 4\+ years of experience in research, ML engineering, or applied research, with a focus on AI solutions.
* At least 2 years of leading the development of AI/ML systems.
* Proficiency in SQL, Python, and data analysis/data mining tools.
* Experience with machine learning frameworks such as Pytorch, Jax, LangChain, LangGraph, or AutoGen.
* Experience with large\-scale, high\-performance ML systems and language modeling with transformers.
* Knowledge of symbolic planning, causal reasoning, and model\-based reinforcement learning.
* Experience with large\-scale ETL processes and data pipelines.
* Strong understanding of autonomous agent design, planning, and control mechanisms.
**Responsibilities** 
* Architect goal setting and decomposition mechanisms for autonomous agents operating in uncertain or open\-ended environments.
* Design and implement dynamic planning systems, including hierarchical planning, curriculum learning, and self\-refinement loops.
* Collaborate on memory, tool\-use, and feedback\-loop designs to enable multi\-step, self\-directed agent behaviors.
* Develop evaluation frameworks to ensure alignment with human intent, consistency, and progress on long\-term objectives.
* Prototype agents that interface with APIs, servers, search engines, databases, or real\-world actuators to pursue goals safely and efficiently.
* Explore mechanisms to detect and mitigate goal misalignment, looping behaviors, or undesirable emergent strategies.
* Work cross\-functionally to integrate goal alignment with safety, operational reliability, and risk mitigation strategies.
* Contribute to scientific research and engineering efforts to improve agent reliability, interpretability, and robustness across diverse tasks.
**Benefits** 
* Work from home flexibility with remote work options within the US.
* Generous paid time off and holiday leave to support work\-life balance.
* Health, dental, and vision insurance coverage effective from day one.
* Participation in the Annual Incentive Plan based on performance.
* 401(k) retirement savings plan with an excellent company match.
* Well\-being programs and resources to support physical and mental health.
* Paid volunteer time off to engage with community initiatives.
* Opportunity to work with cutting\-edge AI technologies in a supportive and innovative environment.
 Equal Opportunity
 Humana is an equal opportunity employer that values diversity and inclusion. We do not discriminate against any employee or applicant based on race, color, religion, sex, sexual orientation, gender identity, national origin, age, marital status, genetic information, disability, or protected veteran status.</t>
        </is>
      </c>
    </row>
    <row r="15">
      <c r="A15" t="inlineStr">
        <is>
          <t>li-4366505674</t>
        </is>
      </c>
      <c r="B15" t="inlineStr">
        <is>
          <t>Data Scientist</t>
        </is>
      </c>
      <c r="C15" t="inlineStr">
        <is>
          <t>McKinsey.org</t>
        </is>
      </c>
      <c r="D15" t="inlineStr">
        <is>
          <t>linkedin</t>
        </is>
      </c>
      <c r="E15">
        <f>HYPERLINK("https://www.linkedin.com/jobs/view/4366505674", "https://www.linkedin.com/jobs/view/4366505674")</f>
        <v/>
      </c>
      <c r="F15" t="inlineStr"/>
      <c r="G15" t="inlineStr"/>
      <c r="H15" t="inlineStr"/>
      <c r="I15" t="inlineStr">
        <is>
          <t>**About the Role** 
 In this role, you will work closely with stakeholders across the organization to solve complex business problems using data, machine learning, and statistical modeling. You’ll transform raw data into actionable insights that drive smarter decisions and measurable outcomes.
**Responsibilities** 
* Collect, clean, and analyze large datasets to identify trends and patterns.
* Build, test, and deploy predictive models and machine learning algorithms.
* Translate business needs into technical solutions using advanced analytics.
* Present insights through clear data visualizations and reports to technical and non\-technical audiences.
* Collaborate with product, engineering, and business teams to develop data\-driven strategies.
* Design and implement A/B testing frameworks and experiments.
* Maintain and optimize data pipelines in collaboration with data engineers.
* Stay up to date with the latest data science and machine learning tools, trends, and technologies.
**Required Qualifications:** 
* Bachelor’s or Master’s degree in Data Science, Computer Science, Statistics, Mathematics, or a related field.
* **2–7\+ years** 
 of experience in data science, analytics, or machine learning roles.
* Proficiency in Python or R, and SQL.
* Experience with machine learning libraries (e.g., scikit\-learn, TensorFlow, XGBoost, PyTorch).
* Familiarity with data visualization tools (e.g., Tableau, Power BI, matplotlib, Seaborn).
* Strong understanding of statistical methods, hypothesis testing, and experimental design.
* Excellent communication skills and ability to explain technical results to business audiences.
* Comfortable working in a fully remote, cross\-functional team environment.</t>
        </is>
      </c>
    </row>
    <row r="16">
      <c r="A16" t="inlineStr">
        <is>
          <t>li-4366483797</t>
        </is>
      </c>
      <c r="B16" t="inlineStr">
        <is>
          <t>Data Scientist</t>
        </is>
      </c>
      <c r="C16" t="inlineStr">
        <is>
          <t>GALLO</t>
        </is>
      </c>
      <c r="D16" t="inlineStr">
        <is>
          <t>linkedin</t>
        </is>
      </c>
      <c r="E16">
        <f>HYPERLINK("https://www.linkedin.com/jobs/view/4366483797", "https://www.linkedin.com/jobs/view/4366483797")</f>
        <v/>
      </c>
      <c r="F16">
        <f>HYPERLINK("https://careers.gallo.com/job/Dallas-Data-Scientist-TX-75201/1359984100/?feedId=151900&amp;utm_source=LinkedInJobPostings&amp;utm_campaign=Gallo_Linkedin&amp;urlHash=AVg_", "https://careers.gallo.com/job/Dallas-Data-Scientist-TX-75201/1359984100/?feedId=151900&amp;utm_source=LinkedInJobPostings&amp;utm_campaign=Gallo_Linkedin&amp;urlHash=AVg_")</f>
        <v/>
      </c>
      <c r="G16" t="inlineStr">
        <is>
          <t>Modesto, CA</t>
        </is>
      </c>
      <c r="H16" t="inlineStr"/>
      <c r="I16" t="inlineStr">
        <is>
          <t>Job Req ID: 106789
 Job Type: Full\-time
 Work Category: Hybrid Telecommute
 Application Close Date: 02/11/2026
 Sponsorship: Not Available
 Compensation: $ 103,100 \- $ 154,800
 Gallo Privacy Policy
**We are GALLO**
 We’re a family\-owned company with a 90\+ year legacy, that’s consistently recognized as a Glassdoor “Best Places to Work.” We have 130\+ brands in our total alcohol beverage portfolio including wine, malt, spirits, and ready\-to\-drink beverages. We’re home to the \#1 wine and spirits brands in the U.S. \- Barefoot Wine \&amp; High Noon and are the official sponsors of the NFL, NHL, UFC, and PGA of America.
 View our Corporate Values and Mission Statement here.
 A Taste of What You'll Do
 We’re seeking a curious, collaborative Data Scientist to join our Sales Analytics team and turn complex data into clear, actionable insights. Working under general supervision on up to two concurrent initiatives, you’ll consolidate diverse, unstructured sources, build and validate models, run experiments (A/B testing), and translate results into business\-ready solutions that drive measurable impact. You’ll partner with stakeholders across functions, elicit and refine requirements, and create compelling business cases that prioritize high\-impact outcomes.
 You are comfortable coding in Python and using libraries like Pandas, NumPy, Matplotlib or Seaborn, writing SQL to harvest data, and building reproducible analysis pipelines. You’ll design models and simple linear optimization solutions with solvers (e.g., Gurobi, CPLEX), implement prototypes for production, and work with engineers to ensure quality and adoption. You’ll apply statistical rigor to identify causal relationships, validate assumptions, and evaluate solution effectiveness while documenting technical specs and communicating tradeoffs in plain language for nontechnical audiences.
 We value intrapreneurship and ownership: think boldly, take appropriate risks, learn from mistakes, and hold yourself and teammates accountable. You’ll facilitate team meetings, mentor interns as needed, and help integrate new use cases using modern methods and tools. Timely work, attention to architecture and usability, and a focus on production\-ready outcomes are essential.
 GALLO is committed to equity and inclusion. We encourage candidates of all backgrounds and experiences to apply and will provide reasonable accommodations throughout the hiring process. If you’re passionate about using data to influence sales strategy and create business value, we’d like to hear from you.
 What You'll Need
* Master’s degree in Statistics, Applied Mathematics, Computer Science, Data Science/Analytics, Geo Spatial Science, Operations Research, Industrial Engineering, Business Analytics, or Mathematics, plus 2 years of experience in advanced data analytics reflecting increasing levels of responsibility; OR Bachelor's degree in Information Systems, Computer Science, Management Information Systems (MIS), Economics, Mathematics, Statistics, Data Science, Data Analytics, Physics, Engineering, Operations Research, Industrial Engineering, or Business Analytics, plus 3 years of experience in advanced data analytics reflecting increasing levels of responsibility.
* Understands technology standards and architectural guidelines.
* Can work as part of a larger team and effectively collaborate with geographically distributed teams.
* Demonstrates knowledge \&amp; understanding of statistical machine learning and artificial intelligence (AI) models that integrate with the application development environment.
* Skilled at representing data in graphical form using tools such as MicroStrategy, Tableau, Excel.
* Intermediate Knowledge of AWS Resources in the aiding of automation.
* Working knowledge on building compelling Dashboards that tell a story and deliver actionable insights.
* Working knowledge developing experiments that identify causal relationships in the field.
* Required to travel to company offices, sites, and/or meeting locations for onboarding, training, meetings, and events for development, department needs, and business delivery up to 5% of the time, with or without reasonable accommodation. This may be in addition to travel requirements, if applicable, as listed in this job description.
* Required to be 18 years or older. This may be in addition to other age requirements, if applicable, as listed in this job description.
 How You'll Stand Out
* Masters degree in Statistics, Applied Mathematics, Computer Science, Data Science/Analytics, Geo Spatial Science, Operations Research, Industrial Engineering, Business Analytics, or Mathematics plus 4 years experience in advanced data analytics reflecting increasing levels of responsibility; OR Bachelor's degree in Information Systems, Computer Science, Management Information Systems (MIS), Economics, Mathematics, Statistics, Data Science, Data Analytics, Physics, Engineering, Operations Research, Industrial Engineering, or Business Analytics plus 5 years experience in advanced data analytics reflecting increasing levels of responsibility.
**Our Benefits \&amp; Perks**
 To view the full job description, please click here.
 We are committed to providing competitive compensation, perks, and a culture that supports your well\-being. Benefits depend on your work category and may include medical and dental coverage, 401k plans, profit sharing, pet insurance, company holidays, access to an employee wine shop, and more! Additional information will be provided before your first interview.
**The Fine Print**
* The Company does not sponsor for employment\-based visas for this position now or in the future.
* Actual compensation paid within the range will be determined by factors such as the education, experience, knowledge, skills and abilities of the applicant, internal equity, and alignment with market data. In addition to the salary, this position may be eligible for bonuses, incentive plans, or participate in tasting room tip pools, as applicable.
* This position will be based in the location(s) specified in the job posting with an option for occasional telecommuting. You will be expected to live within a commutable distance.
* It is the Company’s policy for job postings to be open to internal candidates for a minimum of 5 days and to external candidates, if applicable, for a minimum of 3 days.
 Gallo’s policy is to afford equal employment opportunities to all applicants and employees and not to discriminate on the basis of race, traits associated with race, including but not limited to, hair texture and protective hairstyles (such as braids, locks, and twists), color, national origin, ancestry, creed, religion, physical disability, mental disability, medical condition as defined by applicable state law (including cancer and predisposing genetic characteristics), genetic information, marital status, familial status, sex, gender, gender identity, gender expression, sexual orientation (actual or perceived), transgender status, sex stereotyping, pregnancy, childbirth or related medical conditions, reproductive health decision making, age, military or veteran status, domestic violence or sexual assault victim status, or any other basis protected by applicable law. Nor will Gallo discriminate based on a perception that an individual has any of the foregoing characteristics or is associated with a person who has, or is perceived to have, any of those characteristics.
 Gallo will comply with state and local laws prohibiting discrimination for lawful out\-of\-work behavior, such as off\-duty use of cannabis away from the workplace (subject to federal and state law exceptions), the existence of non\-psychoactive cannabis metabolites in hair, blood, urine, or other bodily fluids as determined by a drug screening test (subject to federal and state law exceptions).
 We also consider qualified applicants with criminal histories, consistent with applicable federal, state and local law. Gallo is committed to providing reasonable accommodation for candidates with disabilities in our recruiting process. If you need any assistance or accommodation due to a disability, please let us know at 209\.341\.7000\.
 Gallo is enrolled in the Department of Homeland Security's E\-Verify program and will use the program to verify the employment eligibility of all newly hired employees as required.
 E\-Verify Notice
 Right to Work
 Employee Polygraph Protection Act</t>
        </is>
      </c>
    </row>
    <row r="17">
      <c r="A17" t="inlineStr">
        <is>
          <t>li-4366787823</t>
        </is>
      </c>
      <c r="B17" t="inlineStr">
        <is>
          <t>Statistical Data Scientist</t>
        </is>
      </c>
      <c r="C17" t="inlineStr">
        <is>
          <t>ReSupply</t>
        </is>
      </c>
      <c r="D17" t="inlineStr">
        <is>
          <t>linkedin</t>
        </is>
      </c>
      <c r="E17">
        <f>HYPERLINK("https://www.linkedin.com/jobs/view/4366787823", "https://www.linkedin.com/jobs/view/4366787823")</f>
        <v/>
      </c>
      <c r="F17" t="inlineStr"/>
      <c r="G17" t="inlineStr">
        <is>
          <t>Boston, MA</t>
        </is>
      </c>
      <c r="H17" t="inlineStr"/>
      <c r="I17" t="inlineStr">
        <is>
          <t>**Position \&amp; Company Overview:** 
 Resupply is looking for an analytical team player to join us on our journey to reinvent and forever change the supply\-chain of charitable contributions within the U.S. We are seeking someone who will be passionate about our mission and partnerships as we turn household goods into emergency relief for those in need. 
 As a Statistical Data Scientist, you will embed yourself within the product development team as a trusted partner to prepare for product releases, measure outcomes, and uncover new opportunities for growth. This role focuses on using data to enhance user experience and improve product performance through thoughtful experimentation, measurement, and analysis. A strong foundation in statistics and comfort with basic programming will enable you to succeed as you build out tests, dashboards, and insights that shape our product roadmap.
 Our small, tight\-knit team is seeking a candidate who will work closely with us at our Downtown Boston headquarters. We work best when we can all innovate together in an open, collaborative environment.
 Click to learn how Resupply is forever changing charitable giving:
 https://www.youtube.com/watch?v\=AVW60dsKJq0\&amp;t\=6s
**Responsibilities** 
* Understand how our data is created, stored, aggregated, cleaned, and how it can be used to inform decision making
* Apply foundational statistical reasoning to help define and validate product metrics
* Think critically about how we define our metrics
* Design, run, and analyze the results of A/B tests
* Build and maintain clear, reliable dashboards and reports to support new feature development and measure outcomes
* Perform analyses on product features to answer open\-ended questions and provide strategic recommendations to influence the product roadmap
* Architect and maintain data pipelines and queries that serve as the backbone of our product insights and experimentation efforts
* Collaborate closely with product and engineering teammates to translate data findings into actionable insights
**Requirements** 
* Bachelor’s Degree in a quantitative field (e.g., Math, Statistics, Computer Science, Data Science); MS level preferred
* Solid understanding of core statistical concepts such as probability, sampling, confidence intervals, hypothesis testing, and the foundations of experimental design
* Familiarity with A/B testing principles and measuring product outcomes
* Expertise in SQL and working with relational databases
* Experience building or maintaining dashboards (e.g., Power BI, QuickSight, Tableau)
* At least 2 years of experience with Python scripting through internships/coursework
* Experience working on projects that require handling large quantities of data
* Curiosity, attention to detail, and a passion for using data to influence product decisions
**Why ReSupply?** 
* The opportunity to have a tangible, real\-world impact through your work
* Join a mission\-driven and service\-oriented culture
* Flexible PTO and early\-exit Fridays year\-round
* Complimentary daily lunch in the office
* Team\-building events
* 401(k) savings option
* Medical, vision, and dental benefits
* 17 paid holidays
*ReSupply is an equal opportunity employer. As such, it is our policy to fill positions with qualified candidates regardless of the candidate's race, color, sex, age, religion, ancestry, national origin, citizenship status, marital status, sexual orientation, gender identity, genetic information, disability, pregnancy, military status, veteran status or any other protected group status.*</t>
        </is>
      </c>
    </row>
    <row r="18">
      <c r="A18" t="inlineStr">
        <is>
          <t>li-4366791807</t>
        </is>
      </c>
      <c r="B18" t="inlineStr">
        <is>
          <t>Data Scientist</t>
        </is>
      </c>
      <c r="C18" t="inlineStr">
        <is>
          <t>Best Job Tool</t>
        </is>
      </c>
      <c r="D18" t="inlineStr">
        <is>
          <t>linkedin</t>
        </is>
      </c>
      <c r="E18">
        <f>HYPERLINK("https://www.linkedin.com/jobs/view/4366791807", "https://www.linkedin.com/jobs/view/4366791807")</f>
        <v/>
      </c>
      <c r="F18">
        <f>HYPERLINK("https://www.hirecrap.com/job-description-usj/8229609598555144165?src=LinkedIn&amp;urlHash=gZOC", "https://www.hirecrap.com/job-description-usj/8229609598555144165?src=LinkedIn&amp;urlHash=gZOC")</f>
        <v/>
      </c>
      <c r="G18" t="inlineStr"/>
      <c r="H18" t="inlineStr"/>
      <c r="I18" t="inlineStr">
        <is>
          <t>**About The Company**
 Walmart is a globally recognized leader in the retail industry, committed to providing customers with high\-quality products at competitive prices. With a rich history spanning over five decades, Walmart has established a strong presence across the globe, operating thousands of stores and e\-commerce platforms. The company emphasizes innovation, sustainability, and community engagement, striving to create value for its customers, associates, and stakeholders. Walmart's mission is to help people save money and live better, which guides its strategic initiatives and corporate culture.
**About The Role**
 The role at Walmart offers an exciting opportunity to be part of a dynamic team dedicated to delivering exceptional customer service and operational excellence. As a key contributor within the organization, you will be responsible for supporting various business functions, implementing strategic initiatives, and ensuring the smooth functioning of daily operations. This position requires a proactive approach, strong communication skills, and the ability to adapt to a fast\-paced environment. The role provides a platform for professional growth, enabling you to develop your skills while contributing to the company's overarching mission of enhancing customer satisfaction and operational efficiency.
**Qualifications**
 The ideal candidate will possess a combination of relevant experience and educational background. A minimum of a bachelor's degree in business administration, retail management, or a related field is preferred. Prior experience in retail, customer service, or operations management is highly desirable. Strong analytical skills, proficiency in Microsoft Office Suite, and familiarity with retail management systems are essential. Excellent interpersonal and communication skills are required to collaborate effectively with team members and stakeholders. The ability to problem\-solve, prioritize tasks, and work under pressure is crucial for success in this role.
**Responsibilities**
 In this role, your responsibilities will include overseeing daily store operations to ensure efficiency and high service standards. You will be tasked with managing a team of associates, providing coaching and development opportunities to foster a motivated and productive workforce. Ensuring compliance with company policies, health and safety regulations, and legal requirements is vital. You will analyze sales data and customer feedback to identify areas for improvement and implement strategies to enhance the shopping experience. Collaborating with cross\-functional teams to execute marketing campaigns, inventory management, and promotional activities will also be part of your duties. Additionally, maintaining a clean, safe, and welcoming environment for customers and staff is a top priority.
**Benefits**
 Walmart offers a comprehensive benefits package designed to support the well\-being and development of its employees. This includes competitive salary packages, health insurance plans, retirement savings options, and paid time off. Employees also have access to ongoing training and development programs to advance their careers. Walmart fosters a positive work environment with opportunities for internal mobility, recognition programs, and employee discounts. The company is committed to work\-life balance and providing resources that support the personal and professional growth of its team members.
 Equal Opportunity
 Walmart is an equal opportunity employer. We celebrate diversity and are committed to creating an inclusive environment for all employees. We do not discriminate based on race, color, religion, gender, sexual orientation, gender identity or expression, age, national origin, disability, or any other protected characteristic. Our hiring practices are designed to promote fairness and equal access to opportunities, ensuring that every individual has the chance to succeed and grow within our organization.</t>
        </is>
      </c>
    </row>
    <row r="19">
      <c r="A19" t="inlineStr">
        <is>
          <t>li-4366471663</t>
        </is>
      </c>
      <c r="B19" t="inlineStr">
        <is>
          <t>Data Scientist</t>
        </is>
      </c>
      <c r="C19" t="inlineStr">
        <is>
          <t>Life Cycle Engineering</t>
        </is>
      </c>
      <c r="D19" t="inlineStr">
        <is>
          <t>linkedin</t>
        </is>
      </c>
      <c r="E19">
        <f>HYPERLINK("https://www.linkedin.com/jobs/view/4366471663", "https://www.linkedin.com/jobs/view/4366471663")</f>
        <v/>
      </c>
      <c r="F19" t="inlineStr"/>
      <c r="G19" t="inlineStr">
        <is>
          <t>Quantico, VA</t>
        </is>
      </c>
      <c r="H19" t="inlineStr"/>
      <c r="I19" t="inlineStr">
        <is>
          <t>**DATA SCIENTIST**
 Join Life Cycle Engineering in support of the NCIS IT support services mission headquartered in Quantico, Virginia. The Information Technology Directorate (ITD) supports the NCIS core mission areas to investigate and defeat criminal, terrorist, and foreign intelligence threats by planning for and providing services through appropriate use of the people, equipment, technology, and infrastructure resources of the United States (U.S.) Navy and Marine Corps.
**Position Summary:**
 As a Data Scientist, you will be responsible for identifying opportunities to improve organizational outcomes using data, builds and overseeing predictive models to tell stories with data that highlight Client insights
**Clearance Requirements:**
 Must have an active DoD Top\-Secret Clearance.
**Essential Functions and Responsibilities:**
* Experienced in Problem Analysis and Project Management, Data Collection and Integration, Data Exploration.
* Collect, analyze, and interpret large data sets. Use this information to develop data\-driven solutions to difficult business challenges.
* Experienced in a wide range of technical competencies including statistics and machine learning, coding languages, databases, machine learning, and reporting technologies.
**Required Education, Skills, and Experience:**
* Bachelor's or Master's degree in computer science, data science, operations research, statistics, applied mathematics, or a related quantitative field \[or equivalent work experience such as, economics, engineering and physics] is \[preferred/required].
* Alternate experience and education in equivalent areas such as economics, engineering or physics, is acceptable. Experience in more than one (1\) area is strongly preferred.
* Minimum of ten (10\) years of previous relevant experience.
* Three (3\) to six (6\) \- mid\-level \- of relevant project experience in successfully launching, planning, and executing data science projects. Preferably in the domains of risk modelling and quality assessment.
* A specialization in text analytics, image recognition, graph analysis or other specialized ML techniques such as deep learning, etc., is preferred. Ideally, the candidates are adept in agile methodologies and well\-versed in applying DevOps/MLOps methods to the construction of ML and data science pipelines.
* Coding knowledge and experience in several languages: for example, R, Python, Java, C\+\+, Excel, MATLAB, etc.
* Experience with popular database programming languages including SQL, PL/SQL, others for relational databases and upcoming nonrelational databases such as NoSQL/Hadoop\-oriented databases such as MongoDB, Cassandra, others.
* Experience with distributed data/computing tools such as MapReduce, Hadoop, Hive, Kafka, and MySQL
* Experience in one (1\) or more of the following commercial/opensource data discovery/analysis platforms: RStudio, Spark, KNIME, RapidMiner, Alteryx, Dataiku, H2O, SAS Enterprise Miner (SAS EM) and/or SAS Visual Data Mining and Machine Learning, Microsoft AzureML, IBM Watson Studio or SPSS Modeler, Amazon SageMaker, Google Cloud ML, SAP Predictive Analytics.
**Physical Demands and Expectations:**
* Travel will be required to support this task (up to 25% travel)
* Regular physical activity to include walking, climbing stairs, bending, stooping, reaching, lifting (up to 30 pounds), and standing; occasional prolonged sitting
* Ability to speak, read, hear and write, with or without assistance
* Ability to use phone and computer systems, copier, fax and other office equipment
*This position description represents a summary of the major components and requirements of the outlined job. Other duties and responsibilities may be assigned or required as business needs dictate. Questions regarding this description should immediately be addressed to the department manager or to Human Resources.*
**LIFE CYCLE ENGINEERING**
 Life Cycle Engineering (LCE) is a privately held, employee\-owned company with an emphasis on "doing the right thing the right way”, which applies to the way we treat our customers and employees. We are proud to have been recognized as a "Best Place to Work” in Engineering and in many states and local communities in which we work! Learn more below and at www.lce.com.
**Mission**
**Our mission is to enable people and organizations to achieve their full potential.**
 As a professional services organization, our mission is focused on our clients' people and organizations. It is our company's cornerstone belief that we will not lead the industry in assisting our clients unless we excel at helping our own people and teams reach their full potential.
**Culture**
**Our corporate culture encourages personal and professional growth because** 
**LCE's success depends on the talent, innovation, professionalism, and commitment of its employees.** 
 LCE is a strengths\-based organization focused on turning individual talents into strengths and then turning individual strengths into organizational performance that supports our clients' success.
**Benefits**
* Affordable Medical/Dental/Vision Plans for employees and their families
* Free Employee Life and Disability Insurance, with supplemental coverage options available
* Health Savings Account and Flexible Savings Account options
* Company matched 401(k) \&amp; company\-funded Employee Stock Ownership Program (ESOP)
* Paid Vacation, Holiday, Sick Leave
* Continuing Education and Professional Development programs at all levels
* Flexible Schedules and Relaxed Dress Code
* Employer\-sponsored events, social collaboration, and open communication
* Free access to an extensive online training library, including certification prep
* Bonus Program for outstanding contributions, Employee Referral Program, numerous Recognition Opportunities, and more…
 \*Benefits may vary by business unit and location.
**Life Cycle Engineering is an equal opportunity employer and makes all employment decisions without regard to race, color, religion, sex, sexual orientation, gender identity, national origin, citizenship, age, disability, genetic information, application for or service in the military or status as a disabled veteran or veteran, because of or on the basis of pregnancy, childbirth, or related medical conditions, including, but not limited to, lactation, and any other status protected by applicable state or federal law.**</t>
        </is>
      </c>
    </row>
    <row r="20">
      <c r="A20" t="inlineStr">
        <is>
          <t>li-4330882036</t>
        </is>
      </c>
      <c r="B20" t="inlineStr">
        <is>
          <t>Data Scientist (Tapestry)</t>
        </is>
      </c>
      <c r="C20" t="inlineStr">
        <is>
          <t>X, The Moonshot Factory</t>
        </is>
      </c>
      <c r="D20" t="inlineStr">
        <is>
          <t>linkedin</t>
        </is>
      </c>
      <c r="E20">
        <f>HYPERLINK("https://www.linkedin.com/jobs/view/4330882036", "https://www.linkedin.com/jobs/view/4330882036")</f>
        <v/>
      </c>
      <c r="F20" t="inlineStr"/>
      <c r="G20" t="inlineStr">
        <is>
          <t>Mountain View, CA</t>
        </is>
      </c>
      <c r="H20" t="inlineStr"/>
      <c r="I20" t="inlineStr">
        <is>
          <t>**About The Team**
 Tapestry is an energy intelligence company incubated at X, the Moonshot Factory, the innovation lab within Alphabet. We are building the intelligence layer for the future electric grid. Our mission is to make the grid visible, predictable, and optimized through advanced AI systems so clean and reliable energy is available for everyone.
 The grid is one of the most important and complex systems in the world. It is under increasing pressure from electrification, renewable adoption, and climate\-driven volatility. Tapestry creates the software and models that help utilities and grid operators understand what is happening, anticipate what is coming, and respond with confidence.
 Our team brings together experts in AI, energy systems, software engineering, and product design. We operate with the agility of a young company supported by the technical rigor and resources in Alphabet’s ecosystem.
 If you want to work on problems that matter and build tools with real impact, we would love to meet you.
**About The Role**
 At Tapestry, data drives all our decision\-making. Data Scientists work all across the organization to help shape our business and technical strategies by processing, analyzing and interpreting huge data sets. Using analytical excellence and statistical methods, you mine through data to identify opportunities for Tapestry and our partners to operate more efficiently, from enhancing advertising efficacy to network infrastructure optimization to studying user behavior. As a Data Scientist, you do more than just crunch the numbers.
**How You’ll Make 10x Impact**
* Apply the latest in data science techniques to build and deploy data pipelines and exploratory data analysis on large\-scale datasets
* Test and develop new techniques to pull forward critical insights and communicate them clearly to a diverse group of stakeholders
* Work with large datasets and solve difficult analysis problems, applying advanced analytical methods. Conduct end\-to\-end analyses, including data gathering and requirements specification, processing, analysis, ongoing deliverables, and presentations.
* Build and prototype analysis pipelines iteratively to provide insights at scale.
* Make business recommendations with effective presentations of findings at multiple levels of stakeholders through visual displays of quantitative information.
* Research and develop analyses and forecasting and optimization methods across search quality, end\-user behavioral modeling, and live experiments.
**What You Should Have**
* PhD or Master’s in a quantitative field and 7\+ years of tech or energy industry work experience as a statistician, quantitative analyst, or data scientist. Fluency in Python and SQL
* Experience with electric power grid data, and physics based understanding of electrical networks and utility data Experience articulating business questions and using mathematical techniques to arrive at an answer using available data.
* Experience building compelling data visualization, design and implement quantitative evaluation processes and metrics to measure the performance of a system
* Experience in statistical data analysis, such as linear models, multivariate analysis, stochastic models, and sampling methods. Ability to select the right statistical tools given a data analysis problem.
* Experience applied experience with machine learning on large datasets, deep learning, computer vision models, time series forecasting or LLMs’
* Experience with cloud hosting services and storage of both unstructured and structured data
* Experience with processing live data streams, including sampling, synchronization, and quantification
* Experience working with software engineering and cross functional teams to build ML\-powered systems ready for production
* Experience in building comprehensive model evaluation tooling and processes
**It’d Be Great If You Had These**
* Thrive on ambiguity, setting own goals and effectively delivering to them in a very fast\-changing environment
* Ability to influence without authority, working with technical and cross\-functional teams who do not report into this role to get things done
* Distinctive problem solving and analysis skills, combined with impeccable business judgment, leadership skills, and ability to communicate with a senior management team
* Attention to detail, project management, and organizational skills
* Fast learner with capacity to learn about a wide\-spread of different technologies \&amp; industries
* Passion for the energy and climate space
 The US base salary range for this full\-time position is $166,000 \- $244,000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21">
      <c r="A21" t="inlineStr">
        <is>
          <t>li-4356560798</t>
        </is>
      </c>
      <c r="B21" t="inlineStr">
        <is>
          <t>Product Data Scientist</t>
        </is>
      </c>
      <c r="C21" t="inlineStr">
        <is>
          <t>Ladders</t>
        </is>
      </c>
      <c r="D21" t="inlineStr">
        <is>
          <t>linkedin</t>
        </is>
      </c>
      <c r="E21">
        <f>HYPERLINK("https://www.linkedin.com/jobs/view/4356560798", "https://www.linkedin.com/jobs/view/4356560798")</f>
        <v/>
      </c>
      <c r="F21">
        <f>HYPERLINK("https://www.theladders.com/linkedin/85026593?src=LinkedIn&amp;urlHash=Y1Lg", "https://www.theladders.com/linkedin/85026593?src=LinkedIn&amp;urlHash=Y1Lg")</f>
        <v/>
      </c>
      <c r="G21" t="inlineStr"/>
      <c r="H21" t="inlineStr"/>
      <c r="I21" t="inlineStr">
        <is>
          <t>For our client, we are seeking a Product Data Scientist to join the team of a leader in the Education, Government \&amp; Non\-Profit space. You’ll play a key role delivering outcomes for customers and stakeholders in the Education, Government \&amp; Non\-Profit space. You’ll collaborate cross\-functionally and take ownership of priorities. This role offers visibility, growth, and impact.
 Location: Remote \- US based candidates only, no visa sponsorship available
 Compensation: $210,000 – $260,000 annually.
**Responsibilities**
* Partner with product and engineering teams to shape product roadmap using data
* Design and analyze A/B and multivariate tests for product and UX decisions
* Build and maintain core metrics, dashboards, and experimentation frameworks
* Extract actionable insights from behavioral data
* Influence product direction through data\-driven recommendations
**Qualifications**
* 4\+ years in product analytics or data science role in a high\-growth tech company
* Proficiency in SQL and Python (or R)
* Experience designing experiments and building metrics from scratch
* Strong ability to translate data insights into strategic recommendations
* Interest in AI\-powered products, consumer experiences, or commerce tech
**Benefits**
* Remote\-flexible working arrangements
* Meaningful equity in the company
* Opportunity to work on AI\-driven consumer products
* High visibility role with direct influence on product development
* Join a dynamic founding team in the exciting Series\-A phase
 Our client is an equal opportunity employer. We encourage you to apply even if you don’t meet every qualification—your background could be exactly what this team needs.</t>
        </is>
      </c>
    </row>
    <row r="22">
      <c r="A22" t="inlineStr">
        <is>
          <t>li-4366504379</t>
        </is>
      </c>
      <c r="B22" t="inlineStr">
        <is>
          <t>Data Scientist</t>
        </is>
      </c>
      <c r="C22" t="inlineStr">
        <is>
          <t>RemoteHunter</t>
        </is>
      </c>
      <c r="D22" t="inlineStr">
        <is>
          <t>linkedin</t>
        </is>
      </c>
      <c r="E22">
        <f>HYPERLINK("https://www.linkedin.com/jobs/view/4366504379", "https://www.linkedin.com/jobs/view/4366504379")</f>
        <v/>
      </c>
      <c r="F22">
        <f>HYPERLINK("https://www.remotehunter.com/apply-with-ai/61d53ec1-dd64-46df-96f9-5c99aeab0a88?utm_medium=job_posting&amp;utm_source=linkedin&amp;utm_campaign=data_scientist_remote&amp;utm_category=data_scientist&amp;utm_term=data_scientist&amp;urlHash=3Bf6", "https://www.remotehunter.com/apply-with-ai/61d53ec1-dd64-46df-96f9-5c99aeab0a88?utm_medium=job_posting&amp;utm_source=linkedin&amp;utm_campaign=data_scientist_remote&amp;utm_category=data_scientist&amp;utm_term=data_scientist&amp;urlHash=3Bf6")</f>
        <v/>
      </c>
      <c r="G22" t="inlineStr"/>
      <c r="H22" t="inlineStr"/>
      <c r="I22"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li-4366909196</t>
        </is>
      </c>
      <c r="B23" t="inlineStr">
        <is>
          <t>BI&amp;T Development Data Scientist</t>
        </is>
      </c>
      <c r="C23" t="inlineStr">
        <is>
          <t>Bristol Myers Squibb</t>
        </is>
      </c>
      <c r="D23" t="inlineStr">
        <is>
          <t>linkedin</t>
        </is>
      </c>
      <c r="E23">
        <f>HYPERLINK("https://www.linkedin.com/jobs/view/4366909196", "https://www.linkedin.com/jobs/view/4366909196")</f>
        <v/>
      </c>
      <c r="F23" t="inlineStr"/>
      <c r="G23" t="inlineStr">
        <is>
          <t>Princeton, NJ</t>
        </is>
      </c>
      <c r="H23" t="inlineStr"/>
      <c r="I23"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The BI\&amp;T Development Data Scientist Analyst position at Bristol Myers Squibb, as part of the Development Data \&amp; Analytics team offers a dynamic and meaningful career focused on advancing patient care through innovative data science solutions. The role involves designing and deploying advanced analytics, collaborating with stakeholders, and applying predictive modeling and machine learning to large and diverse datasets.
 The Development Data Scientist Analyst will play a crucial role in supporting study clinical operational analytics across Drug Development to ensure products continue to serve most pressing DD analytics needs, with opportunities to build new advanced analytics capabilities such as predictive modelling, simulation, and optimization. The Development Data Scientist Analyst should have a strong interest in solving business problems, and an eagerness to work on all parts of the analytics value chain, from partnering with IT on data pipelines to operationalizing predictive models in the service of our patients around the world.
**Major Responsibilities And Accountabilities**
* Hands\-on Development Data Scientist Analyst that will be expected to ideate, design, develop, model and deploy advanced solutions.
* Conduct analysis and interpretation of complex data sets to derive meaningful insights and recommendations based on an understanding of Drug Development priorities, critical issues, and value levers.
* Collaborate with stakeholders to identify business problems, goals, and KPIs to design, establish and maintain data pipelines, models and business facing reports and dashboards.
* Understanding of digital analytics tools and platforms and version control.
* Gather, pre\-process and explore large\-scale structured and unstructured data from diverse sources.
* Apply advanced statistical analysis, machine learning algorithms and predictive modelling techniques to extract insights and develop models that drive actionable recommendations.
* Conduct exploratory data analysis (EDA) to identify patterns and anomalies in the data and propose solutions to business problems.
* Develop and implement predictive models (e.g., regression, clustering, time series forecasting) to solve complex business challenges.
* Collaborate with data engineers and IT teams to ensure data availability, quality, and reliability for analysis and modeling.
* Communicate complex analytical findings and insights to both technical and non\-technical stakeholders through clear and compelling visualizations, reports and presentations.
**Qualifications**
**Minimum Requirements**
* Minimum education of a b achelor's or master's degree in an analytical, engineering, operations research or scientific discipline is required.
* Minimum of two (2\) plus years of experience in a data and analytics role, including direct development experience.
* Experience working with large datasets, data visualization tools, statistical software packages and platforms. (specifically React, Python, advanced SQL, Domino, AWS, GitHub, dbt)
* Familiarity with data visualization tools such as React or Power BI for effective communication of findings.
* Strong background in statistical analysis, machine learning, and predictive modelling techniques.
* Experience in handling and analyzing large\-scale structured and unstructured data sets using SQL or similar technologies.
* Experience with building and deploying data science and data engineering solutions using established industry methods (MLOps,Git) to Complex datasets is preferred.
* Demonstrated ability to develop and implement predictive models and machine learning algorithms.
* Excellent communication and presentation skills to convey complex concepts to technical and non\-technical stakeholders.
 If you come across a role that intrigues you but doesn't perfectly line up with your resume, we encourage you to apply anyway. You could be one step away from work that will transform your life and career.
**Compensation Overview**
 Princeton \- NJ \- US $87,810 \- $106,399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R1598600 BI\&amp;T Development Data Scientist</t>
        </is>
      </c>
    </row>
    <row r="24">
      <c r="A24" t="inlineStr">
        <is>
          <t>li-4366526173</t>
        </is>
      </c>
      <c r="B24" t="inlineStr">
        <is>
          <t>Data Scientists</t>
        </is>
      </c>
      <c r="C24" t="inlineStr">
        <is>
          <t>NV5</t>
        </is>
      </c>
      <c r="D24" t="inlineStr">
        <is>
          <t>linkedin</t>
        </is>
      </c>
      <c r="E24">
        <f>HYPERLINK("https://www.linkedin.com/jobs/view/4366526173", "https://www.linkedin.com/jobs/view/4366526173")</f>
        <v/>
      </c>
      <c r="F24">
        <f>HYPERLINK("https://careers-nv5.icims.com/jobs/11780/data-scientists/job?in_iframe=1&amp;mode=apply&amp;iis=LinkedIn&amp;urlHash=rLG9", "https://careers-nv5.icims.com/jobs/11780/data-scientists/job?in_iframe=1&amp;mode=apply&amp;iis=LinkedIn&amp;urlHash=rLG9")</f>
        <v/>
      </c>
      <c r="G24" t="inlineStr"/>
      <c r="H24" t="inlineStr"/>
      <c r="I24" t="inlineStr">
        <is>
          <t>NV5 Geospatial is actively recruiting a
 **Data Scientist** 
 . Strong capabilities in developing and refining predictive models, analyzing large\-scale datasets, and documenting analytic processes are required. The Data Scientist will be based remotely supporting US Southern Command.
 **US citizenship, along with the ability to successfully pass a basic background check for access to US military bases, is required for employment. While no clearance is required, a Secret or higher is preferred.**
**Work Setting:**
* This role offers flexibility in location, with the option to work from any NV5 Regional Office or remotely from home.
* Potential travel up to 5\-15% of the time
 NV5 is a global technology solutions and consulting services company with a workforce of over 4,500 professionals in more than 100 offices worldwide. NV5’s continued growth has been spurred through strategic investments in firms with unique capabilities to help current and future customers solve the world’s toughest problems. The NV5 family brings together talent across a wide range of markets and fields, including Professional Engineers, Professional Land Surveyors, Architects, Photogrammetrists, GIS Professionals, Software Developers, IT, Project Management Professionals, and more.
 At NV5 Geospatial , we are a collaboration of intelligent, innovative thinkers who care for each other, our communities, and the environment. We value both heart and head, the diversity of our people, and their experiences because that is how we continue to grow as leaders in our industry and expand our individual and collective potential.
**Responsibilities**
* Develop and refine predictive models, conduct exploratory data analysis, and generate AI\-driven insights to enhance intelligence and operational planning.
* Integrate customer feedback into model iteration cycles, leveraging Agile development methodologies to maintain responsiveness to mission requirements.
* Document key findings, model accuracy metrics, and operational impact assessments.
* Implement sprint\-based Agile methodologies, ensuring rapid development cycles, backlog grooming, and alignment with mission requirements.
* Provide Rough Order of Magnitude estimates before each analytic project detailing hours, compute costs, storage consumption, and infrastructure requirements.
* Conduct quarterly reviews to track cost efficiency, assess system performance, and optimize analytic workflows.
**Qualifications**
**Minimum Requriements:**
* Bachelor’s degree in Data Science, Statistics, Computer Science or seven (7\) years of equivalent experience in machine learning and predictive modeling.
* Demonstrated experience in exploratory data analysis, feature engineering, and statistical testing.
* Demonstrated experience with Python, R, SQL, and data science libraries (e.g., Pandas, NumPy, SciPy).
* Demonstrated experience in cloud\-based AI/ML tools such as AWS SageMaker or Azure Machine Learning, and in implementing models into operational workflows.
* Demonstrated proficiency in data mining, statistical modeling, AI\-driven forecasting techniques, and working with structured and unstructured data sources.
* Demonstrated skills in data visualization, feature selection, and geospatial analytics.
* Demonstrated capabilities integrating data from multiple sources, ensuring model accuracy, and working within Agile sprint cycles to deliver iterative improvements.
* Ability to manage and prioritize complex project tasks.
**Preferred:**
* AWS Certified Data Analytics Specialty, Microsoft Certified Azure AI Fundamentals, Certified Data Scientist (CDS).
* Portuguese or Spanish language skills.
* Experience with government IT programs and environments.
**Clearance Requirement:**
* None required; Secret of higher preferred.
 Please be aware that some of our positions may require the ability to obtain security clearance. Security clearances may only be granted to U.S. citizens. In addition, applicants who accept a conditional offer of employment may be subject to government security investigation(s) and must meet eligibility requirements for access to classified information.
 Employment is contingent upon successful completion of a background check and drug screening.
 NV5 offers a competitive compensation and benefits package including medical, dental, life insurance, FTO,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t>
        </is>
      </c>
    </row>
    <row r="25">
      <c r="A25" t="inlineStr">
        <is>
          <t>li-4366783470</t>
        </is>
      </c>
      <c r="B25" t="inlineStr">
        <is>
          <t>Data Scientist</t>
        </is>
      </c>
      <c r="C25" t="inlineStr">
        <is>
          <t>OKAYA INFOCOM</t>
        </is>
      </c>
      <c r="D25" t="inlineStr">
        <is>
          <t>linkedin</t>
        </is>
      </c>
      <c r="E25">
        <f>HYPERLINK("https://www.linkedin.com/jobs/view/4366783470", "https://www.linkedin.com/jobs/view/4366783470")</f>
        <v/>
      </c>
      <c r="F25" t="inlineStr"/>
      <c r="G25" t="inlineStr">
        <is>
          <t>Pennington, NJ</t>
        </is>
      </c>
      <c r="H25" t="inlineStr"/>
      <c r="I25" t="inlineStr">
        <is>
          <t>**Data Scientist** 
**Fulltime** 
**3 days onsite in a week** 
**(Charlotte, NC / Plano, TX / Pennington NJ)** 
 Job Description
**Must Have Technical/Functional Skills** 
 Primary Skill: Sr. Developer with strong knowledge in AI/ML, NLP, Deep Learning, LLM’s, Gen AI Models, Python scripting language and Libraries, this role is responsible for building or optimizing Data science solutions and help the business to address complex problems.
 Experience: Minimum 8 years
**Roles \&amp; Responsibilities** 
* Bachelor’s or master’s degree in computer science or related field.
* The candidate must have strong technical background with 8\+ years of IT experience. Sr. Developer with
* strong knowledge in AI/ML, NLP, Deep Learning, LLM’s, Gen AI Models, Python scripting language and Libraries, this role is responsible for building or optimizing Data science solutions and help the business to address complex problems.
* Strong experience in Machine Learning, NLP, Deep Learning, Statistical Modeling, understanding of machine learning techniques and algorithms.
* Strong hands\-on in Implementing LLM Models, GEN\-AI Models, OpenAI API’s. Strong hands\-on design and development experience in Python.
* Experience with data visualization tools.
* Worked on the Data analysis libraries like pandas · Experience in web API calls.
* Automations experience.
* Strong problem solving, analytical and interpersonal skills · Ability to work effectively in a team environment.
* Strong written and oral communication skills. Should have the ability to clearly express ideas.
* Experience working with Agile Methodology</t>
        </is>
      </c>
    </row>
    <row r="26">
      <c r="A26" t="inlineStr">
        <is>
          <t>li-4366916216</t>
        </is>
      </c>
      <c r="B26" t="inlineStr">
        <is>
          <t>Data Scientist</t>
        </is>
      </c>
      <c r="C26" t="inlineStr">
        <is>
          <t>Masimo</t>
        </is>
      </c>
      <c r="D26" t="inlineStr">
        <is>
          <t>linkedin</t>
        </is>
      </c>
      <c r="E26">
        <f>HYPERLINK("https://www.linkedin.com/jobs/view/4366916216", "https://www.linkedin.com/jobs/view/4366916216")</f>
        <v/>
      </c>
      <c r="F26" t="inlineStr"/>
      <c r="G26" t="inlineStr">
        <is>
          <t>Irvine, CA</t>
        </is>
      </c>
      <c r="H26" t="inlineStr"/>
      <c r="I26" t="inlineStr">
        <is>
          <t>**Job Summary**
**JOB DESCRIPTION**
 Masimo is dedicated to developing innovative evidence solutions and critical insights through diverse data sources including Real World Data (RWD), trial data (collected internally and externally) and emerging innovative data sources, to support our clinical/scientific programs and regulatory submissions. The Clinical Data Scientist will collaborate closely with strategic partners in Clinical Research , Engineering, Marketing, Medical Affairs and Payor Relations to develop and implement evidence and insights to improve patient outcomes and help meet unrealized marketing claims, and support regulatory activities.
**Duties \&amp; Responsibilities**
**Study Design and Statistical Planning**
* Contribute towards study protocols and study designs by developing and maintaining statistical analysis plans, simulation studies, and innovative methodologies tailored to multimodal datasets.
* Apply rigorous statistical methodologies ensuring reproducibility, robustness, and regulatory readiness.
**Evidence Generation**
* Implement real world evidence (RWE) generation strategies using conventional clinical study data and RWD to articulate value, address unmet needs, and support portfolio planning, commercialization, and patient access.
**Data Science, Analytics and Management**
* Apply advanced statistical methods to large\-scale datasets, including EHRs, claims, registries and longitudinal cohort studies.
* Develop and execute data management plans across various relational databases, with proficiency in data cleaning, manipulation, and database management.
* Collaborate with internal and external data management and statistical programming teams to generate research datasets and deliver insights.
* Dive deep into data to uncover trends, identify key insights, and craft machine learning models to improve the accuracies, minimize resource usage and maximize the ease of use of existing and future Masimo products.
* Improve data storage architectures and collection protocols
**Strategic Business Partnership and Market Access**
* Translate analytical findings, develop compelling narratives, and generate visualizations that connect evidence generation to business objectives, enabling alignment across product development, payer engagement, and policy planning.
* Collaborate cross\-functionally with colleagues across Masimo to meet organizational objectives.
* Work collaboratively with Payor Relations to support efforts to expand patient access to Masimo Technologies by generating statistical key evidence to support private and public payer coverage decisions
**Clinical and Scientific Communication / Publications**
* Collaborate with physicians and clinical experts to develop high\-quality clinical papers, abstracts, and presentations, resulting in publications in top\-tier, peer\-reviewed journals.
* Communicate findings and methodologies clearly to scientific, clinical, and non\-technical stakeholders.
**Regulatory, Quality and Compliance**
* Ensure all projects comply with ethical standards, regulatory requirements, and internal quality guidelines.
**Minimum Qualifications**
**Minimum \&amp; Preferred Qualifications and Experience:**
* Minimum 3 years of experience in the medical device, pharma or healthcare industry, preferably in health economics, epidemiology, real\-world evidence generation, outcomes research, or related functions.
* Familiarity with and exposure to clinical development processes, research study designs and data analysis methods to include statistical analyses.
**Preferred Qualifications**
* Experience working with datasets from patient monitoring solutions and wearables (e.g., Blood pressure, Pulse Rate, ECG, Respiratory Rate, EEG, Alarms Data, EMR, hospital administrative metrics) and understanding of their clinical context is desired.
* Demonstrated experience executing evidence generation strategies using RWD and managing multiple research projects concurrently (e.g., claims, EMR, administrative data, adaptive clinical trial designs).
* Experience contributing to research activities across the study lifecycle, including developing research questions, assessing data feasibility, supporting study design, analysis, and interpretation.
* Proficiency in applied statistics, statistical programming and database languages (SQL, R, Python, MATLAB, Pandas etc.)
* Familiarity with AI frameworks such as Pytorch, Tensorflow, Keras, etc.), desired.
* Experience working with real\-world data (EHR, claims, registries, digital health) and familiarity with their opportunities and limitations.
* Knowledge of endpoint validation frameworks and regulatory requirements (e.g., FDA/EMA).
* Experience working with external partners and customers to support market access, portfolio planning, and commercialization initiatives using data and evidence.
* Experience collaborating with hospitals, physicians, and professional organizations to help advance health economics and reimbursement activities in support of commercialization and sales/marketing objectives.
* Outstanding organizational, verbal, and written communication skills, with the ability to create statistical visualizations in support of technical and business reports, internal presentations, and publication\-ready manuscripts.
**Education**
* Ph.D. or M.S. degree in Bioinformatics, Computational Biology, Computer Science, Health Economics, Mathematics, Physics or similar quantitative discipline preferred.
**Compensation** 
 :
 *The anticipated range for this position is $100,000 \- $140,000* 
 .
 *Actual placement within the range is dependent on multiple factors, including but not limited to skills, education, and experience. This position also qualifies for up to 10% annual bonus based on Company, department, and individual performance.*
 Physical requirements/Work Environment
 This position primarily works in an office environment. It requires frequent sitting, standing and walking. Daily use of a computer and other computing and digital devices is required. May stand for extended periods when facilitating meetings or walking in the facilities. Some travel is necessary, approximately 10%.
 The physical demands of the position described herein are essential functions of the job and employees must be able to successfully perform these tasks for extended periods. Reasonable accommodations may be made for those individuals with real or perceived disabilities to perform the essential functions of the job described.
**About Us**
 For over thirty years, Masimo has been expanding the boundaries of noninvasive monitoring to improve patient outcomes and reduce the cost of care. Today, Masimo delivers a portfolio of hospital\-trusted monitoring solutions to help increase patient safety, health, and wellness in the hospital and at home. When you join our team, you’ll be part of a culture that’s driven by passion, challenging the status quo, and making an impact in the lives of others.
 This employer participates in the federal E\-Verify program to confirm the identity and employment authorization of all newly hired employees. For further information about the E\-Verify program, please click here: click here</t>
        </is>
      </c>
    </row>
    <row r="27">
      <c r="A27" t="inlineStr">
        <is>
          <t>li-4329203154</t>
        </is>
      </c>
      <c r="B27" t="inlineStr">
        <is>
          <t>Data Scientist</t>
        </is>
      </c>
      <c r="C27" t="inlineStr">
        <is>
          <t>TriWest Healthcare Alliance</t>
        </is>
      </c>
      <c r="D27" t="inlineStr">
        <is>
          <t>linkedin</t>
        </is>
      </c>
      <c r="E27">
        <f>HYPERLINK("https://www.linkedin.com/jobs/view/4329203154", "https://www.linkedin.com/jobs/view/4329203154")</f>
        <v/>
      </c>
      <c r="F27" t="inlineStr"/>
      <c r="G27" t="inlineStr">
        <is>
          <t>Phoenix, AZ</t>
        </is>
      </c>
      <c r="H27" t="inlineStr"/>
      <c r="I27" t="inlineStr">
        <is>
          <t>Profile
 We offer remote work opportunities (AK, AR, AZ,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main objective of this role is to assess vast quantities of healthcare data and collaborate with our business teams to create predictive modeling for KPI tools that evaluate our processes and services.
**Education \&amp; Experience**
**Required:**
* A master’s degree in computer science, mathematics, statistics, or engineering
* U.S. Citizenship
* Must be able to receive favorable Interim and adjudicated final Department of Defense D0D) background investigation
* Experience using statistical computer languages including Python and SQL
* Working knowledge of a variety of advanced machine\-learning techniques, including regression, simulation, scenario analysis, modeling, and artificial neural networks
* Expertise with statistical and data mining techniques including GLM/Regression, Random Forest, Boosting, Trees, text mining, social network analysis, etc.
* Experience analyzing data from third\-party providers
* Strong technical writing and presentation skills
* Exceptional analytical and problem\-solving skills
* Strong data analysis, statistics, problem solving and project management experience
* Advanced in MS Excel and proficient in MS Office Suite
**Preferred**
* Knowledge of healthcare claims processing, health care or insurance industry experience
* Knowledge of data visualization software (e.g. Tableau, Power BI)
* Coding experience with C, C\+\+, Java, and JavaScript
**Key Responsibilities**
* Collect data from established channels and by analyzing business results or new studies.
* Create new, experimental frameworks and build tools to automate data collection.
* Carry out preprocessing, cleansing, and validating data.
* Mine and analyze data from company databases.
* Correlate similar data to ¿nd actionable information and present results concisely.
* Collaborate with stakeholders to leverage data and expand data collection procedures.
* Assess the effectiveness and accuracy of new data sources and data\-gathering techniques.
* Develop custom data models/algorithms to apply to data sets, and use predictive modeling.
* Institute company A/B testing framework and test model quality.
* Create processes and tools to monitor and analyze model performance and data accuracy.
* Performs administrative and other duties as assigned.
* Regular and reliable attendance is required.
**Competencies**
**Computer Literacy:** 
 Ability to function in a multi\-system Microsoft environment using Word, Outlook, TriWest Intranet, the Internet, and department software applications.
**Coping / Flexibility:** 
 Resiliency in adapting to a variety of situations and individuals while maintaining a sense of purpose and mature problem\-solving approach is required.
**Independent Thinking / Self\-Initiative:** 
 Critical thinkers with ability to focus on things which matter most to achieving outcomes; commitment to task to produce outcomes without direction and to find necessary resources.
**Information Management:** 
 Ability to manage large amounts of complex information easily, communicate clearly, and draw sound conclusions.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**Team\-Building / Team Player:** 
 Influence the actions and opinions of others in a positive direction and build group commitment.
**Technical Skills:** 
 MS Office Suite and advanced in Excel.
**Working Conditions**
**Working Conditions**
* Availability to cover any work shift
* Onsite: Works within a standard office environment
* Remote: Private and secure work space and work station with high speed internet is required
* Extensive computer work with prolonged sitting, wearing of headset, typing, speaking on a phone
**Company Overview**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$110,000 \- $122,000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28">
      <c r="A28" t="inlineStr">
        <is>
          <t>li-4296245887</t>
        </is>
      </c>
      <c r="B28" t="inlineStr">
        <is>
          <t>Senior Data Scientist</t>
        </is>
      </c>
      <c r="C28" t="inlineStr">
        <is>
          <t>Weedmaps</t>
        </is>
      </c>
      <c r="D28" t="inlineStr">
        <is>
          <t>linkedin</t>
        </is>
      </c>
      <c r="E28">
        <f>HYPERLINK("https://www.linkedin.com/jobs/view/4296245887", "https://www.linkedin.com/jobs/view/4296245887")</f>
        <v/>
      </c>
      <c r="F28" t="inlineStr"/>
      <c r="G28" t="inlineStr">
        <is>
          <t>New York, NY</t>
        </is>
      </c>
      <c r="H28" t="inlineStr"/>
      <c r="I28" t="inlineStr">
        <is>
          <t>(Hybrid in NYC)
**Overview**
 As a
 **Senior Data Scientist** 
 at Weedmaps, you will shape the future of people\-facing and business\-facing products we build across our entire family of applications. By applying your technical skills, analytical mindset, and product intuition to our rich and unique data sets, you will help define the experiences we build for millions of cannabis consumers, businesses, and brands. You will collaborate on a wide array of product and business problems with a diverse set of cross\-functional partners across Product, Engineering, Marketing, Sales, Finance and others. You will use data and models to identify and solve problems facing all facets of our business.
 You will uncover insights and recommendations that shape product development, quantify new opportunities, identify upcoming challenges, and ensure the products we build bring value to people, businesses, and Weedmaps. You will help your partner teams prioritize what to build, set goals, and understand their product’s ecosystem.
 You will develop hypotheses and employ a diverse toolkit of rigorous analytical approaches, methodologies, and frameworks to test them. You won’t simply present data, but tell data\-driven stories. You will convince and influence your partners using clear insights and recommendations.
 In addition to uncovering novel insights and actionable recommendations in data, you will also partner with the ML team to build and deploy production models and applications to improve our products, processes, and experiences.
**The Impact You'll Make**
* Work with large, messy, and complex data sets to solve a wide array of challenging problems using different analytical, statistical, ML, and AI approaches.
* Collaborate with Data and Analytic Engineers to improve the quality and usability of our data and generate reusable assets in our feature store.
* Apply technical expertise with quantitative analysis, experimentation, causal inference, and the presentation of data to develop strategies for our products that serve billions of people and hundreds of millions of businesses.
* Define, understand, and test opportunities and levers to improve the product, and drive roadmaps through your insights and recommendations.
* Partner with Product, Engineering, and cross\-functional teams to inform, influence, support, and execute product and business strategy.
* Build and deploy interactive applications to enable business partners to answer questions.
* Develop, deploy, and maintain AI/ML models in production with support from the ML team.
**What You've Accomplished**
* Bachelor's degree in Mathematics, Statistics, Computer Science, Computer Engineering or a relevant technical field, or equivalent practical experience
* A minimum of 6 years of work experience in data science and analytics
* Expert coding skills in Python and SQL, plus deep familiarity with Git and CI/CD practices
* Exceptional data visualization and storytelling skills
* Experience deploying and maintaining ML models in production environments
**Bonus Points**
* Experience with dbt and/or jinja for building performant data models
* Experience building recommender systems or other personalization tooling at scale
* Familiarity with Spark, dask, or other big data manipulation tools
* Experience building and deploying Streamlit applications
* Experience working with event tracking data (Segment, Amplitude, etc.) and/or building user journey insights
* Familiarity with the AWS stack, including Sagemaker and Bedrock
*The base pay range for this position is $178,313\.00 \- $210,073\.00 per year*
**2026 US Benefits For Full Time, Regular Employees**
* Physical Health (Medical, Dental \&amp; Vision)
+ 100% employer\-paid premium for employees
+ Up to 80% coverage for dependents
+ Company HSA contribution with the High Deductible Health Plan
* 401(k) Retirement Plan (employer will match contribution up to 3\.5% of employee contribution)
* Basic Life, Voluntary Life and AD\&amp;D Insurance options
* Supplemental, voluntary benefits
+ Student Loan Repayment/529 Education Savings with a monthly company contribution
+ FSA (Medical, Dependent, Transit and Parking)
+ Voluntary Life and AD\&amp;D Insurance
+ Critical Illness Insurance
+ Accident Insurance
+ Short\- and Long\-term Disability Insurance
+ Pet Insurance
+ Identity theft protection
+ Legal access to a network of attorneys
* PTO, paid sick leave, and company holidays (including a 2026 holiday shutdown)
* Paid parental leave
**Why Work at Weedmaps?**
 Life at Weedmaps means innovation and heart. Come join us if you care about the plant, the people who love it, and are ready to let your talent shine. We foster a bustling and collaborative culture that revolves around an environment that focuses on the benefits of weed, and the community that supports it.
 You too can have a hand in shaping the industry’s future; ready to roll with us?
 See how we’ve grown—our journey, leadership team, and what’s next at Weedmaps.com/corporate
**About Weedmaps**
 Founded in 2008, we’ve grown from a small startup to a global leader in the cannabis industry. Our dedication to transparency, education, and community has set us apart, and today, we proudly serve cannabis to consumers and businesses in the U.S. and worldwide.
 “Freedom to choose. Freedom to access. Freedom to enjoy.”
**Notice To Prospective Weedmaps Job Applicants**
 Our team has been made aware of incidents involving LinkedIn, Telegram, and Facebook accounts impersonating Weedmaps recruiters. These individuals are attempting to use our company name to solicit payment from prospective candidates interested in applying for jobs at our company. Our team is actively working to combat these attempts, but in the meantime, please be mindful of the following:
* Our recruiters will always communicate with candidates through an @weedmaps.com email address.
* CORRECT: jlebowski@weedmaps.com
* INCORRECT: jlebowski@gmail.com
* Our recruiters will NEVER ask for or attempt to solicit payment from applicants in order to apply, interview, or work for Weedmaps.
* If you are interested in a role at Weedmaps, please apply through our established channels.
* Weedmaps Careers Page or LinkedIn
 If you are unsure if a communication is legitimate, please contact our recruitment team at talentops@weedmaps.com and they will happily confirm for you. Thank you for your vigilance and we appreciate your interest in working with us!
 Weedmaps is an equal opportunity employer and makes employment decisions on the basis of merit. The Company prohibits unlawful discrimination against employees or applicants based on race (including traits historically associated with race, such as hair texture and protective hairstyles), religion and religious creed, color, national origin, ancestry, physical disability, mental disability, medical condition, genetic information, marital status, sex, gender, gender identity, gender expression, age, military status, veteran status, uniformed service member status, sexual orientation, transgender identity, citizenship status, pregnancy, or any other consideration made unlawful by federal, state, or local laws. The Company also prohibits unlawful discrimination based on the perception that anyone has any of those characteristics, or is associated with a person who has or is perceived as having any of those characteristics. Our company uses E\-Verify to confirm the employment eligibility of all newly hired employees. To learn more about E\-Verify, including your rights and responsibilities, please visit www.dhs.gov/E\-Verify.
 Applicants are entitled to reasonable accommodations under the terms of the Americans with Disabilities Act and applicable state/local laws, unless the accommodation presents undue hardship. Please email us at peopleoperations at weedmaps.com if you would like to confidentially discuss a potential accommodation during the interview process.</t>
        </is>
      </c>
    </row>
    <row r="29">
      <c r="A29" t="inlineStr">
        <is>
          <t>li-4366785491</t>
        </is>
      </c>
      <c r="B29" t="inlineStr">
        <is>
          <t>Senior Data Scientist</t>
        </is>
      </c>
      <c r="C29" t="inlineStr">
        <is>
          <t>Uneek Global</t>
        </is>
      </c>
      <c r="D29" t="inlineStr">
        <is>
          <t>linkedin</t>
        </is>
      </c>
      <c r="E29">
        <f>HYPERLINK("https://www.linkedin.com/jobs/view/4366785491", "https://www.linkedin.com/jobs/view/4366785491")</f>
        <v/>
      </c>
      <c r="F29" t="inlineStr"/>
      <c r="G29" t="inlineStr">
        <is>
          <t>New York, United States</t>
        </is>
      </c>
      <c r="H29" t="inlineStr"/>
      <c r="I29" t="inlineStr">
        <is>
          <t>**Senior Data Scientist** 
**New York** 
**$140,000 \- $160,000 \+ equity** 
 We have partnered with a fast\-growing, AI\-first startup using advanced analytics and GenAI to solve messy, high\-value data problems in the insurance space. They’re already well established in their niche and now scaling their core platform.
**What you’ll be doing** 
* Building LLM\-driven pipelines to extract insight from complex documents
* Developing agentic workflows that reason across multiple data sources
* Creating predictive models on enriched claims and financial data
* Working closely with engineering to ship robust, production\-ready models
* Partnering with product and client teams on real\-world analytics use cases
**What they’re looking for** 
* 3–5 years in applied data science (or PhD \+ industry experience)
* Strong Python \&amp; SQL skills
* Practical experience with LLMs, NLP, and unstructured data
* Solid grounding in statistics and ML
* Comfortable in fast\-moving, early\-stage environments
**Why it’s interesting** 
* High\-impact role with real autonomy
* Genuinely challenging data and modeling problems
* Senior, experienced team
* Strong comp, equity, and benefits</t>
        </is>
      </c>
    </row>
    <row r="30">
      <c r="A30" t="inlineStr">
        <is>
          <t>li-4356411587</t>
        </is>
      </c>
      <c r="B30" t="inlineStr">
        <is>
          <t>Data Scientist</t>
        </is>
      </c>
      <c r="C30" t="inlineStr">
        <is>
          <t>Memorial Hermann Health System</t>
        </is>
      </c>
      <c r="D30" t="inlineStr">
        <is>
          <t>linkedin</t>
        </is>
      </c>
      <c r="E30">
        <f>HYPERLINK("https://www.linkedin.com/jobs/view/4356411587", "https://www.linkedin.com/jobs/view/4356411587")</f>
        <v/>
      </c>
      <c r="F30">
        <f>HYPERLINK("https://jobs.memorialhermann.org/us/en/job/MHHSUS100176444EXTERNALENUS/Data-Scientist?utm_source=Linkedin&amp;utm_medium=phenom-feeds&amp;urlHash=Z_Hj", "https://jobs.memorialhermann.org/us/en/job/MHHSUS100176444EXTERNALENUS/Data-Scientist?utm_source=Linkedin&amp;utm_medium=phenom-feeds&amp;urlHash=Z_Hj")</f>
        <v/>
      </c>
      <c r="G30" t="inlineStr">
        <is>
          <t>Houston, TX</t>
        </is>
      </c>
      <c r="H30" t="inlineStr"/>
      <c r="I30" t="inlineStr">
        <is>
          <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
**Job Summary**
 Mines and analyzes complex and unstructured data sets using advanced statistical methods for use in data driven decision making. Responsible for supporting cross\-functional teams and providing in\-depth data insights for complex business problems approached with advanced analytic techniques to collect, explore, and extract insights from structured and unstructured data. This position is an ideal first step for candidates familiar with a hospital setting to transition to a data science career. Typically reports to the Manager of Data Science.
**Job Description**
**MINIMUM QUALIFICATIONS**
**Education:** 
 Bachelor’s Degree in science, engineering, computer science, mathematics, statistics or related STEM field required. Master’s Degree in Data Science preferred.
**Licenses/Certifications:** 
 (None)
**Experience / Knowledge / Skills:**
* Demonstrated experience performing multiple projects (academic or professional) using a programing language like Python and libraries (numpy, sciPy, etc.) is required
* Professional experience in a hospital setting with medical informatics, healthcare information technology/finance/revenue cycle data management, or Electronic Health Record (EHR) data management is preferred
* Familiarity with the Extract, Transform, and Load (ETL) process, working knowledge of data bases and handling large data sets
* Ability to communicate, gather requirements, and engage in storytelling with data
* Demonstrates problem solving, analytical reasoning, and decision\-making skills
* Demonstrates ability to identify and seek needed information to perform problem/situation analysis
* Develops and applies algorithms or models to key business metrics with the goal of improving operations or answering business questions. Provides findings and analysis for use in decision making.
* Handles moderately complex issues and problems, and refers more complex issues to higher\-level staff
* Exhibits strong project management skills, with an ability to work independently on multiple projects with competing priorities and a strong commitment to meeting goals and deadlines
* Understanding of SQL database management tools
* Demonstrates interest in learning new tools and processes
* Strong written and verbal communication skills in IT and business environments; ability to communicate to technical and non\-technical audiences
* Ability to work under minimal supervision in a fast\-paced multidisciplinary environment
* Effective oral and written communication skills
**Principal Accountabilities**
* Works collaboratively with cross\-functional teams to draw insight and intelligence from large datasets and electronic medical records.
* Provides in\-depth data insights from structured and unstructured data for complex business problems through use of advanced analytics techniques, predictive modeling, data mining/visualization and pattern analysis tools.
* Performs research, analysis, and modeling on organizational data.
* Develops and tests hypotheses and communicates findings in clear, precise and actionable manner to project and leadership teams.
* Works closely with teams to identify, understand, and resolve data issues and improve efficiency, productivity and scalability of data processes.
* Assists with the evaluation of data science vendors and tools.
* Ensures safe care to patients, staff and visitors; adheres to all Memorial Hermann policies, procedures, and standards within budgetary specifications including time management, supply management, productivity and quality of service.
*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 Demonstrates commitment to caring for every member of our community by creating compassionate and personalized experiences. Models Memorial Hermann’s service standards by providing safe, caring, personalized and efficient experiences to patients and colleagues.
* Other duties as assigned.</t>
        </is>
      </c>
    </row>
    <row r="31">
      <c r="A31" t="inlineStr">
        <is>
          <t>li-4366789385</t>
        </is>
      </c>
      <c r="B31" t="inlineStr">
        <is>
          <t>Data Scientist III</t>
        </is>
      </c>
      <c r="C31" t="inlineStr">
        <is>
          <t>Reflexive Concepts</t>
        </is>
      </c>
      <c r="D31" t="inlineStr">
        <is>
          <t>linkedin</t>
        </is>
      </c>
      <c r="E31">
        <f>HYPERLINK("https://www.linkedin.com/jobs/view/4366789385", "https://www.linkedin.com/jobs/view/4366789385")</f>
        <v/>
      </c>
      <c r="F31" t="inlineStr"/>
      <c r="G31" t="inlineStr">
        <is>
          <t>Annapolis Junction, MD</t>
        </is>
      </c>
      <c r="H31" t="inlineStr"/>
      <c r="I31" t="inlineStr">
        <is>
          <t>**Reflexive Concepts is seeking a skilled Data Scientist III to join our growing team!**
 Specifically, we are seeking a candidate with significant MLOPS and Data Science background. The candidate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
**Requirements**
* Bachelor's degree or higher from an accredited college or university in a quantitative discipline (e.g., statistics, mathematics, operations research, engineering or computer science).
* A minimum of ten (10\) years of experience in two (2\) or more of the following: designing/implementing machine learning, data mining, advanced analytical algorithms, advanced statistical analysis, artificial intelligence, or software engineering with data analysis software such as R, Python, SAS, or MATLAB.
* An additional four (4\) years of experience in software development, cloud development, analyzing datasets, or developing descriptive, predictive, and prescriptive analytics can be substituted for a Bachelor's degree.
* A Master’s Degree from an accredited college or university in a quantitative discipline can be substituted for two (2\) years of experience for a total of eight (8\) years of experience required.
* A Doctoral Degree from an accredited college or university in a quantitative discipline can be substituted for four (4\) years of experience for a total of six (6\) years of experience required.
**Key Responsibilities:**
* Produce data visualizations that provide insight into dataset structure and meaning
* Work with subject matters experts (SMEs) to identify important information in raw data and develop scripts that extract this information from a variety of data formats (e.g., SQL tables, structured metadata, network logs)
* Incorporate SME input into feature vectors suitable for analytic development and testing
* Translate customer qualitative analysis process and goals into quantitative formulations that are coded into software prototypes
* Develop and implement statistical, machine learning, and heuristic techniques to create descriptive, predictive, and prescriptive analytics
* Develop statistical tests to make data\-driven recommendations and decisions
* Develop experiments to collect data or models to simulate data when required data are unavailable
* Develop feature vectors for input into machine learning algorithms
* Identify the most appropriate algorithm for a given dataset and tune input and model parameters
* Evaluate and validate the performance of analytics using standard techniques and metrics (e.g. cross validation, ROC curves, confusion matrices)
* Oversee the development of individual analytic efforts and guide team in analytic development process
* Guide analytic development toward solutions that can scale to large datasets
* Partner with software engineers and cloud developers to develop production analytics
* Develop and train machine learning systems based on statistical analysis of data characteristics to support mission automation
* Lead a team of data scientists in the development of multiple analytic efforts
* Work with customers and SMEs to define analytic requirements and guide the team in formulating analytics that meet requirements
* Guide the transition of prototyped analytics to production system
* Understand emerging machine learning and pattern recognition algorithms and guide a team of data scientists in integrating state\-of\-the\-art algorithms into solutions
* Delegate analysis responsibilities to one or more team members and monitor performance</t>
        </is>
      </c>
    </row>
    <row r="32">
      <c r="A32" t="inlineStr">
        <is>
          <t>li-4366771544</t>
        </is>
      </c>
      <c r="B32" t="inlineStr">
        <is>
          <t>Azure Data Scientist/Engineer</t>
        </is>
      </c>
      <c r="C32" t="inlineStr">
        <is>
          <t>LindFast Solutions Group</t>
        </is>
      </c>
      <c r="D32" t="inlineStr">
        <is>
          <t>linkedin</t>
        </is>
      </c>
      <c r="E32">
        <f>HYPERLINK("https://www.linkedin.com/jobs/view/4366771544", "https://www.linkedin.com/jobs/view/4366771544")</f>
        <v/>
      </c>
      <c r="F32" t="inlineStr"/>
      <c r="G32" t="inlineStr"/>
      <c r="H32" t="inlineStr"/>
      <c r="I32" t="inlineStr">
        <is>
          <t>**Location:** 
 Remote (U.S. based)
**Department:** 
 IT \- Data \&amp; Analytics
**Job Type:** 
 Full\-Time
**Experience Level** 
 : 5\+ Years
**What You’ll Do:** 
* Design and implement end\-to\-end data architecture solutions in Microsoft Azure.
* Develop, maintain, and optimize data models, pipelines, and integration frameworks using Azure Data Factory, Synapse Analytics, Databricks, and other tools.
* Cleanse, validate, and transform large datasets to ensure accuracy, consistency, and reliability across reporting and analytics platforms.
* Integrate and harmonize data from multiple ERP systems and other enterprise applications into a unified reporting and analytics environment.
* Define, implement, and enforce data governance, security, and compliance standards.
* Monitor and optimize pipeline performance, proactively addressing bottlenecks and scalability challenges.
* Document data processes, workflows, and standards to ensure knowledge sharing and maintainability.
* Collaborate with business stakeholders, data scientists, and Power BI developers to understand requirements and deliver optimal solutions.
* Stay current with Azure innovations and recommend best practices.
**What We’re Looking For:** 
* Minimum Bachelor’s degree in Computer Science, Information Systems or related field
* Hands\-on experience working with and integrating data from multiple ERP systems (e.g., SAP, Oracle, Microsoft Dynamics, Epicor, or similar).
* Strong proficiency in SQL, Python, and/or Spark.
* Experience with Azure services (Azure Data Factory, Synapse Analytics, Databricks, Azure SQL, Cosmos DB).
* Familiarity with Delta Lake, Spark, and Microsoft Fabric is a plus.
* Background in data modeling, ETL/ELT processes, and big data technologies.
* Knowledge of data governance, security, and compliance frameworks.
* Experience with Git or other version control systems.
* Excellent communication and collaboration skills.
* Azure certifications preferred.
**Why Join LSG** 
* Competitive compensation, comprehensive benefits, and
 **remote flexibility**
* Work on
 **high\-visibility projects** 
 that directly influence company strategy and decision\-making.
* Gain exposure to
 **large\-scale datasets** 
 and modern Microsoft technologies.
* Join a
 **collaborative, data\-driven culture** 
 with opportunities for skill growth and career development.</t>
        </is>
      </c>
    </row>
    <row r="33">
      <c r="A33" t="inlineStr">
        <is>
          <t>li-4356591521</t>
        </is>
      </c>
      <c r="B33" t="inlineStr">
        <is>
          <t>Commercial Data Scientist</t>
        </is>
      </c>
      <c r="C33" t="inlineStr">
        <is>
          <t>Jobot</t>
        </is>
      </c>
      <c r="D33" t="inlineStr">
        <is>
          <t>linkedin</t>
        </is>
      </c>
      <c r="E33">
        <f>HYPERLINK("https://www.linkedin.com/jobs/view/4356591521", "https://www.linkedin.com/jobs/view/4356591521")</f>
        <v/>
      </c>
      <c r="F33" t="inlineStr"/>
      <c r="G33" t="inlineStr">
        <is>
          <t>Houston, TX</t>
        </is>
      </c>
      <c r="H33" t="inlineStr"/>
      <c r="I33" t="inlineStr">
        <is>
          <t>Want to learn more about this role and Jobot? Click our Jobot logo and follow our LinkedIn page!
 Job details
**Together we can fuel the future**
 This Jobot Job is hosted by Tarik Grant
 Are you a fit? Easy Apply now by clicking the "Easy Apply" button and sending us your resume.
 Salary $198,000 \- $242,000 per year
**A Bit About Us**
 We are a global leader in the energy sector, operating across oil, power, renewables, and carbon markets. Data and analytics are central to our decision\-making, helping optimize operations, trading, and market strategies. Our Commercial organization leverages assets, market knowledge, and integrated value chain strategies to create measurable business impact while driving the energy transition.
****Why join us?****
 As a Data Scientist, you’ll work at the intersection of data, technology, and business strategy, turning complex datasets into actionable insights that influence real\-world decisions. You’ll collaborate with trading desks, commercial teams, and engineering experts, applying advanced analytics and machine learning to solve high\-impact problems.
 This role is ideal for someone who enjoys complex, fast\-paced environments, thrives on problem\-solving, and wants their work to drive business value at scale in a rapidly evolving energy landscape.
**Job Details**
 As a Data Scientist, you will
 Analyze large, multi\-source datasets to uncover trends and insights.
 Develop, deploy, and maintain predictive analytics and machine learning models using MLOps best practices.
 Collaborate with trading, commercial, and IT teams to integrate ML solutions into operational systems.
 Perform statistical analysis, time series modeling, and data visualization to support decision\-making.
 Translate technical results into actionable recommendations for non\-technical stakeholders.
 Mentor colleagues and contribute to data science best practices, code reviews, and tooling decisions.
**Requirements**
 Master’s degree or Ph.D. in Computer Science, Data Science, Machine Learning, or related field
 3\+ years of industry experience in ML model development and deployment
 Proficiency in Python, ML frameworks (PyTorch, TensorFlow, scikit\-learn), Spark/Databricks on Azure
 Strong foundations in statistics, time series analysis, and econometrics
 Excellent communication and collaboration skills
**Preferred**
 Energy or commodities trading experience
 Experience integrating ML into dashboards (Dash, Streamlit)
 Comfortable working with ambiguous, high\-volume datasets and generating innovative solutions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4">
      <c r="A34" t="inlineStr">
        <is>
          <t>li-4356560806</t>
        </is>
      </c>
      <c r="B34" t="inlineStr">
        <is>
          <t>Senior Data Scientist</t>
        </is>
      </c>
      <c r="C34" t="inlineStr">
        <is>
          <t>T. Rowe Price</t>
        </is>
      </c>
      <c r="D34" t="inlineStr">
        <is>
          <t>linkedin</t>
        </is>
      </c>
      <c r="E34">
        <f>HYPERLINK("https://www.linkedin.com/jobs/view/4356560806", "https://www.linkedin.com/jobs/view/4356560806")</f>
        <v/>
      </c>
      <c r="F34">
        <f>HYPERLINK("https://ars2.equest.com/?response_id=2e49844379c13b25c806839a9a0ed78e&amp;urlHash=Dxjf", "https://ars2.equest.com/?response_id=2e49844379c13b25c806839a9a0ed78e&amp;urlHash=Dxjf")</f>
        <v/>
      </c>
      <c r="G34" t="inlineStr">
        <is>
          <t>New York, NY</t>
        </is>
      </c>
      <c r="H34" t="inlineStr"/>
      <c r="I34"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**About The Team**
 Are you a curious problem solver who asks great questions and loves collaborating across disciplines? At T. Rowe Price, Data Scientists build the analytics and AI that power better investment decisions. Position is available in our New York City office or at our brand\-new AI Data Science squad at our new Baltimore, MD Harbor Point location. Both locations offer the opportunity to collaborate with top talent, drive innovation, and make a real impact in asset management. If you’re a hands‑on leader who cares about people as much as technology, we’d love to talk.
**Role Summary**
 This is a hands‑on, end‑to‑end lead role—from discovery to production. As a team leader, you will think creatively and scale modern AI/Data Science practices on Databricks, set team standards, and drive collaborative delivery. T. Rowe Labs is focused on building the firm’s next‑generation data and AI platform, aiming to seamlessly deliver on‑demand ML‑powered insights across our firm.
**Responsibilities**
* Contribute to the full data \&amp; model lifecycle: problem framing, EDA, feature engineering, modeling, evaluation, deployment, and monitoring.
* Develop production solutions in Python (pandas, PySpark) on Databricks (Delta Lake, Unity Catalog, MLflow, Workflows/Jobs); apply CI/CD and reproducible experiments.
* Employ automated testing for code, data, and models (unit tests, data validation, drift/bias checks); ensure repeatable pipelines.
* Identify and address data/model technical debt; improve schemas, data contracts, and performance/cost.
* Deliver well‑defined work items; clarify requirements through thoughtful questions and proposals.
* Mentor data scientists and engineers; lead code/design reviews and foster a collaborative culture.
* Own the quality, maintainability, security, governance, and total cost of ownership of delivered solutions.
* Help shape elements of the data/ML platform strategy and drive execution within your domain.
* Balance strategic and pragmatic concerns; proactively surface risks and resolve issues.
**Required**
**Qualifications**
* BS/MS in a quantitative field (CS, Statistics, Applied Math, Engineering, Economics) or equivalent; 5\+ years in data science/ML.
* Experience with automated pipelines, testing for data/models, and model lifecycle management (registry, versioning, monitoring).
* Solid understanding of cloud‑native architectures (AWS).
* Excellent communication and collaboration skills; adept at asking incisive questions and aligning diverse stakeholders.
**Preferred**
* Experience with AI/GenAI (LLMs, RAG, prompt design/evaluation).
* Strong Python and Spark expertise; hands‑on Databricks experience (Delta Lake, Unity Catalog, MLflow, Jobs/Workflows).
* Time‑series/NLP experience; BI/analytics tooling (Databricks SQL, Tableau/Power BI, dbt).
* A solid understanding of financial markets and instruments.
* Commitment to quality via unit/integration tests, data validation, documentation, and code review.
***Applicants for employment in the US must have work authorization that does not now or in the future require sponsorship of a visa for employment authorization in the United States (e.g., H1\-B visa, F\-1 visa (OPT), TN visa or any other non\-immigrant work status***
 .
**FINRA Requirements**
 FINRA licenses are not required and will not be supported for this role.
**Work Flexibility**
 This role is eligible for hybrid work, with up to three days per week from home.
**Base Salary Ranges**
 Please review the job posting for the location of this specific opportunity.
 $121,000\.00 \- $206,000\.00 for the location of: Maryland, Colorado, Washington and remote workers
 $133,000\.00 \- $227,000\.00 for the location of: Washington, D.C.
 $151,000\.00 \- $258,000\.00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35">
      <c r="A35" t="inlineStr">
        <is>
          <t>li-4328353419</t>
        </is>
      </c>
      <c r="B35" t="inlineStr">
        <is>
          <t>Staff Data Scientist, Safety Metrics</t>
        </is>
      </c>
      <c r="C35" t="inlineStr">
        <is>
          <t>Waymo</t>
        </is>
      </c>
      <c r="D35" t="inlineStr">
        <is>
          <t>linkedin</t>
        </is>
      </c>
      <c r="E35">
        <f>HYPERLINK("https://www.linkedin.com/jobs/view/4328353419", "https://www.linkedin.com/jobs/view/4328353419")</f>
        <v/>
      </c>
      <c r="F35">
        <f>HYPERLINK("https://careers.withwaymo.com/jobs?gh_jid=7458013&amp;gh_src=e2a2625d1us&amp;urlHash=Hw73", "https://careers.withwaymo.com/jobs?gh_jid=7458013&amp;gh_src=e2a2625d1us&amp;urlHash=Hw73")</f>
        <v/>
      </c>
      <c r="G35" t="inlineStr">
        <is>
          <t>San Francisco, CA</t>
        </is>
      </c>
      <c r="H35" t="inlineStr"/>
      <c r="I3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Planner Evaluation team works on one of the key challenges in autonomous driving: measuring and improving the quality of the software that drives the car. We are looking for experienced data\-minded software engineers and data scientists to help us improve how we characterize and evaluate changes to the Onboard software stack (Planner, Perception, etc).
 The primary responsibility of this role is to simplify, validate, own, and organize the most ubiquitous safety metrics at Waymo. This role will engage deeply with a wide span of stakeholders to understand core use cases of these safety metrics, and through deep understanding of the data, form expert opinion and recommendations on the most appropriate solutions and their interpretations. They will validate and evolve metric quality to satisfy the ever\-expanding use cases (new platforms, new territories) of Waymo's product. If you are passionate about autonomous vehicles and how to use rich, complex data to drive decision\-making, this is the role for you!
 In this hybrid role, you will report to a Data Science Manager.
**You Will**
* Design, implement, validate and launch driving behavior metrics
* Use simulations and real world examples to build datasets for model training and metric validation
* Design A/B experiments to evaluate two versions of software
* Collect, align, and advise stakeholder needs, providing expert opinion on how best to run rigorous, statistical evaluation.
**You Have**
* PhD in Statistics, Math, Physics, or another quantitative area (e.g., Computer Science, Robotics)
* 7\+ years of industry experience
* Strong communication/leadership to address a high surface area across different organizations and products
* Excellent data skills that produce efficient, data\-reasoned choices for simplifying metrics and validating their quality
* Proficiency in coding (across C\+\+, Python, SQL) that prevents them from being bottlenecked by Waymo's metric infrastructures
* Ability to take ambiguous business requirements and propose a technical solution
**We Prefer**
* Experience with A/B experiment infrastructure
* Experience building and validating metrics to measure quality in complex systems
* Exposure to ad\-hoc data analysis tools for rapid modeling and prototyping
* Experience coding in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36">
      <c r="A36" t="inlineStr">
        <is>
          <t>li-4366779001</t>
        </is>
      </c>
      <c r="B36" t="inlineStr">
        <is>
          <t>Data Scientist</t>
        </is>
      </c>
      <c r="C36" t="inlineStr">
        <is>
          <t>BioSpace</t>
        </is>
      </c>
      <c r="D36" t="inlineStr">
        <is>
          <t>linkedin</t>
        </is>
      </c>
      <c r="E36">
        <f>HYPERLINK("https://www.linkedin.com/jobs/view/4366779001", "https://www.linkedin.com/jobs/view/4366779001")</f>
        <v/>
      </c>
      <c r="F36">
        <f>HYPERLINK("https://jobs.biospace.com/job/3028018/?TrackID=433984&amp;utm_source=Partner_JS&amp;utm_medium=Aggregator_Paid&amp;utm_campaign=LinkedIn-Slots&amp;urlHash=Y5pl", "https://jobs.biospace.com/job/3028018/?TrackID=433984&amp;utm_source=Partner_JS&amp;utm_medium=Aggregator_Paid&amp;utm_campaign=LinkedIn-Slots&amp;urlHash=Y5pl")</f>
        <v/>
      </c>
      <c r="G36" t="inlineStr">
        <is>
          <t>North Chicago, IL</t>
        </is>
      </c>
      <c r="H36" t="inlineStr"/>
      <c r="I36"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 For assigned projects, works with the cross\-functional team to enable fit\-for\-purpose analytics solutions.
* Works with team to ensure analytical work product is consistent across projects where appropriate and that user experience is optimized and follows the design principles and standards established by the team
* Leverages proven statistical methodologies and those methodologies established as standard by the team; in addition to leveraging proven statistical methodologies and standards established by the team, experiments and recommends additional techniques to solve business problems
* Enables data\-driven insights to support of assigned projects
* If assigned, participates in functional innovation and process improvement initiatives;
* Ensures adherence to federal regulations and applicable local regulations, Good Clinical Practices (GCPs), ICH Guidelines, AbbVie Standard Operating Procedures (SOPs), and to functional quality standards.
* Identify business needs and support the creation of standard KPIs, reports, and statistical analyses
**Qualifications**
* Bachelors degree statistics, analytics, bioinformatics, data science or equivalent field. Masters degree preferred
* Must have 2\-3 years of Data science and analytics\-related experience
* Complete or Full / Career proficiency in R, Python or other statistical packages. Intermediate\-level knowledge of statistical and data mining techniques
* Intermediate proficiency with visualization tools like Spotfire, Tableau or equivalent
* Experience with Machine Learning and other advanced analytics techniques preferred
* Demonstrated effective communication skills. Demonstrated ability to communicate analytical and technical concepts in laymans terms
* Demonstrated problem\-solving and analytical skills
* Demonstrated history of successful execution in a fast\-paced environment and in managing multiple priorities effectively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timeofthis posting based on the job grade for this position.Individualcompensation paid within this range will depend on many factors including geographic location,andwemay ultimatelypay more or less than the posted range. This range may be modified in thefuture.
* We offer a comprehensive package of benefits including paid time off (vacation, holidays, sick),medical/dental/visioninsurance and 401(k) to eligibleemployees.
* This job is eligible to participate in our short\-term incentiveprograms.
 Note: No amount of payis considered to bewages or compensation until such amount is earned, vested, anddeterminable.The amount and availability of anybonus,commission, incentive, benefits, or any other form ofcompensation and benefitsthat are allocable to a particular employee remains in the Company's soleandabsolutediscretion unless and until paid andmay be modified 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37">
      <c r="A37" t="inlineStr">
        <is>
          <t>li-4356450785</t>
        </is>
      </c>
      <c r="B37" t="inlineStr">
        <is>
          <t>Staff / Senior Applied Scientist — Operations Research</t>
        </is>
      </c>
      <c r="C37" t="inlineStr">
        <is>
          <t>TraceLink</t>
        </is>
      </c>
      <c r="D37" t="inlineStr">
        <is>
          <t>linkedin</t>
        </is>
      </c>
      <c r="E37">
        <f>HYPERLINK("https://www.linkedin.com/jobs/view/4356450785", "https://www.linkedin.com/jobs/view/4356450785")</f>
        <v/>
      </c>
      <c r="F37">
        <f>HYPERLINK("https://www.tracelink.com/about/culture-and-careers/jobs?gh_jid=5034388007&amp;urlHash=TZFc", "https://www.tracelink.com/about/culture-and-careers/jobs?gh_jid=5034388007&amp;urlHash=TZFc")</f>
        <v/>
      </c>
      <c r="G37" t="inlineStr">
        <is>
          <t>Wilmington, MA</t>
        </is>
      </c>
      <c r="H37" t="inlineStr"/>
      <c r="I37" t="inlineStr">
        <is>
          <t>**Company overview:**
 TraceLink’s software solutions and Opus Platform help the pharmaceutical industry digitize their supply chain and enable greater compliance, visibility, and decision making. It reduces disruption to the supply of medicines to patients who need them, anywhere in the world.
 Founded in 2009 with the simple mission of protecting patients, today Tracelink has 8 offices, over 800 employees and more than 1300 customers in over 60 countries around the world. Our expanding product suite continues to protect patients and now also enhances multi\-enterprise collaboration through innovative new applications such as MINT.
 Tracelink is recognized as an industry leader by Gartner and IDC, and for having a great company culture by Comparably.
**Staff / Senior Applied Scientist — AI/GenAI \&amp; ML Systems (Operations Research)**
**Overview**
 We are hiring a
 **Staff or Senior Applied Scientist** 
 to build and deploy advanced
 **AI/GenAI and ML systems** 
 grounded in
 **applied mathematics and Operations Research (OR)** 
 . This role is ideal for someone who can take ambiguous, high\-impact operational problems, turn them into clear mathematical/algorithmic formulations, and lead implementation end\-to\-end—
 **including writing production\-quality code** 
 .
 You’ll work at the intersection of
 **optimization, inference science, NLP, and reinforcement learning** 
 , with a strong emphasis on practical delivery and measurable business outcomes.
 **Supply chain optimization experience is a plus.**
**Key Responsibilities**
* Problem formulation: Translate business challenges into mathematical and computational models.
* Applied research: Evaluate and adapt existing approaches (OR models, AI/ML, GenAI/LLM methods).
* Algorithm development: Design and implement new algorithms when existing solutions fall short.
* Hands\-on execution: Build prototypes, run experiments, and lead production implementation (you code).
* Technical leadership: Drive solution architecture, performance evaluation, and operational readiness.
* Collaboration: Partner with product, engineering, and domain teams to deliver scalable solutions.
**Required Expertise**
* Strong applied mathematics background with depth in Operational Research, including one or more of:
+ Linear / Mixed\-Integer Optimization (LP/MIP)
+ Constraint Programming
+ Network / Graph Optimization
+ Stochastic / Robust Optimization
+ Simulation, heuristics, or metaheuristics
* Research or applied experience in at least one of:
+ Inference science (e.g., causal inference, Bayesian methods, uncertainty modeling)
+ NLP (e.g., retrieval, embeddings, information extraction, LLM systems)
+ Reinforcement Learning (e.g., bandits, sequential decision\-making, offline RL)
* Proven ability to implement algorithms and deliver real systems end\-to\-end.
* Strong coding skills in Python and familiarity with relevant scientific/ML tooling.
**Preferred Qualifications**
* Experience in supply chain optimization (planning, inventory, logistics, fulfillment, scheduling).
* Experience building GenAI/LLM\-enabled decision systems (e.g., RAG, tool\-augmented agents, evaluation frameworks).
* Background shipping applied science solutions into production environments.
**Typical Profile**
* PhD (preferred) or MS in Applied Math, Operations Research, Industrial Engineering, Computer Science, Statistics, or equivalent industry experience.
* Demonstrated ability to combine scientific rigor with practical execution and delivery.
**What Makes This Role Unique**
* High\-impact, real\-world optimization and decision problems.
* Freedom to apply the best approach: OR, ML, RL, GenAI, or hybrid methods.
* Senior technical ownership with a strong hands\-on build\-and\-ship expectation.
 TraceLink is committed to providing competitive compensation and benefits to all employees. This is the estimated base salary range for this role and should serve only as a guide. Final compensation offered may vary based on a variety of factors including but not limited to experience level, fit for the role, skills, domain knowledge, internal equity, budget, and location.
 US Pay Range
 $175,289\.18—$215,588\.58 USD
*Please see the Tracelink Privacy Policy for more information on how Tracelink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Candidate\-Privacy@tracelink.com.*</t>
        </is>
      </c>
    </row>
    <row r="38">
      <c r="A38" t="inlineStr">
        <is>
          <t>li-4366909921</t>
        </is>
      </c>
      <c r="B38" t="inlineStr">
        <is>
          <t>Data Scientist - Polygraph Required</t>
        </is>
      </c>
      <c r="C38" t="inlineStr">
        <is>
          <t>BTI360</t>
        </is>
      </c>
      <c r="D38" t="inlineStr">
        <is>
          <t>linkedin</t>
        </is>
      </c>
      <c r="E38">
        <f>HYPERLINK("https://www.linkedin.com/jobs/view/4366909921", "https://www.linkedin.com/jobs/view/4366909921")</f>
        <v/>
      </c>
      <c r="F38" t="inlineStr"/>
      <c r="G38" t="inlineStr">
        <is>
          <t>Chantilly, VA</t>
        </is>
      </c>
      <c r="H38" t="inlineStr"/>
      <c r="I38" t="inlineStr">
        <is>
          <t>**About The Team**
 Here at BTI360, we’ve built a culture that’s passionate about developing software engineers. Software doesn't build itself. People do.  In fact, teams of people do.  That's why our primary focus is on developing better craftsmen, better teammates, and better technical leaders.  By putting people first, we're not just giving our teammates more opportunities to grow, we're also raising the bar of the software we ship. BTI360 previously has been voted 10 years in a row as a TOP Place to Work by the Washington Business Journal.
 BTI360 is seeking a
 **Data Scientist** 
 who is passionate about transforming raw data into meaningful insights that drive strategic decision‑making. In this role, you’ll work closely with our engineers and mission teams to tackle complex business problems using machine learning and emerging AI technologies.
 You’ll thrive here if you are naturally curious, driven to ask the right questions, and energized by turning complexity into clarity. Our data scientists don’t just build models, they influence decisions, shape strategy, and help our customers navigate high‑impact mission challenges.
**What You Will Do In This Role**
 As a Data Scientist at BTI360, you will:
* Lead end\-to\-end machine learning projects from problem definition to production, leveraging pre\-trained models and LLMs for rapid prototyping, then using data\-driven evaluation to determine when to invest in custom solutions such as fine\-tuned models or purpose\-built small language models.
* Design and conduct rigorous model evaluations using industry\-standard methodologies, including developing custom evaluation frameworks for clustering, classification, embeddings, and entity resolution systems.
* Translate business requirements into quantitative problems and communicate technical findings to both technical and non\-technical stakeholders through reports, presentations, and direct customer engagement.
* Drive technical decision\-making for model selection, including evaluating embeddings models, LLMs, and other ML systems against business requirements and performance benchmarks.
* Optimize existing systems by identifying data quality issues, implementing performance improvements, and developing novel approaches that deliver measurable improvements in key metrics.
* Stay current with ML advances and introduce new techniques and frameworks to the team, including participating in or presenting at industry conferences
* Apply statistical methods to validate findings and support data‑driven decisions.
* Develop reports and whitepapers that evaluate solution alternatives based on impact, cost, technical feasibility, and alignment with strategic goals.
* Senior candidates will also need to: Collaborate across teams to align on strategy, provide data science expertise, and contribute to proposals and strategic initiatives.
* Senior candidates will also need to: Mentor junior data scientists by providing technical guidance, defining project direction, and sharing best practices in model development and evaluation.
**You may thrive in this role if you have the following skills:**
* Active TS/SCI with Polygraph
* 3\+ years of experience in data science or machine learning roles with demonstrated impact on production systems.
* Deep expertise in NLP and modern ML techniques including embeddings, clustering, classification, and working with LLMs.
* NLP experience including feature engineering and modeling for text data.
* Knowledge of ML evaluation metrics appropriate for various use cases.
* Proven track record of model evaluation using appropriate metrics and methodologies for different problem types (precision/recall, silhouette scores, benchmarks, etc.).
* Strong scripting skills with experience in AI/ML frameworks (scikit\-learn, PyTorch/TensorFlow, transformers) and data manipulation libraries, including proficiency with Jupyter notebooks for exploratory analysis and experimentation.
* Basic software engineering practices such as git, CI/CD, code reviews, documentation, and ability to access and leverage remote APIs.
* Familiarity with cloud platforms (AWS, Azure, GCP).
* Excellent communication skills with experience translating technical metrics into business value and presenting findings to leadership and customers.
* Ability to work independently
**You may excel in this role if you have the following skills:**
* Strong Python programming skills
* Experience integrating ML models into production systems.
* Experience customizing or fine‑tuning LLMs (LoRA, distillation, etc.).
* Experience with large or multimodal datasets.
* Proficiency in SQL and Elasticsearch/Elastic Stack for building evaluation datasets and querying production data systems.
* Experience leading technical initiatives
**BTI360 Benefits For Full\-time Teammates**
* Fully paid healthcare premiums
* Competitive salaries and performance bonuses
* Career development and in\-house training
* Continuing Education: $5,250\.00 annually towards education
* Up to 5 weeks PTO plus 2 weeks of federal holidays
* 401K dollar for dollar matching up to 6% annually \- vested immediately on day 1
* Giving Back: Serving communities locally and across the globe
* Social Events (happy hours, golf tournament, BTI360 Family Festival and more)
**Commitment to Fairness and Inclusion**
 At BTI360, we believe that unlocking the potential of others is not just a mission—it's the heart of our culture. We are committed to fostering an inclusive environment where every individual can grow each day, lead with humility, and do the right thing. Our core values guide us in developing software that makes a difference, primarily serving national security customers in the Washington, DC metropolitan area.
 We are an Equal Opportunity Employer. We do not discriminate against any employee or applicant based on race, color, religion, gender, sexual orientation, gender identity, national origin, age, disability, veteran status, or any other legally protected characteristics. We celebrate fairness and are dedicated to creating an environment of mutual respect and inclusion where everyone can bring their true selves to work.
 Join us in a workplace where your contributions are valued, your growth is encouraged, and your potential is unlocked. Together, we develop great software fast and deliver exceptional solutions for our customers.</t>
        </is>
      </c>
    </row>
    <row r="39">
      <c r="A39" t="inlineStr">
        <is>
          <t>li-4366514385</t>
        </is>
      </c>
      <c r="B39" t="inlineStr">
        <is>
          <t>Senior Data Scientist</t>
        </is>
      </c>
      <c r="C39" t="inlineStr">
        <is>
          <t>NV5</t>
        </is>
      </c>
      <c r="D39" t="inlineStr">
        <is>
          <t>linkedin</t>
        </is>
      </c>
      <c r="E39">
        <f>HYPERLINK("https://www.linkedin.com/jobs/view/4366514385", "https://www.linkedin.com/jobs/view/4366514385")</f>
        <v/>
      </c>
      <c r="F39" t="inlineStr"/>
      <c r="G39" t="inlineStr">
        <is>
          <t>Doral, FL</t>
        </is>
      </c>
      <c r="H39" t="inlineStr"/>
      <c r="I39" t="inlineStr">
        <is>
          <t>NV5 Geospatial is actively recruiting a
 **Senior Data Scientist** 
 . Strong capabilities in developing advanced machine learning models and optimizing analytic workflows for predictive and prescriptive intelligence are required. The Senior Data Scientist will be based on\-site at US Army Garrison Miami/US Southern Command.
 **US citizenship, along with the ability to successfully pass a basic background check for access to US military bases, is required for employment. The successful candidate will have an active TS/SCI.**
**Work Setting:**
* Onsite \- US Army Garrison – Miami / SOUTHCOM HQ
* Potential travel up to 5\-15% of the time
 NV5 is a global technology solutions and consulting services company with a workforce of over 4,500 professionals in more than 100 offices worldwide. NV5’s continued growth has been spurred through strategic investments in firms with unique capabilities to help current and future customers solve the world’s toughest problems. The NV5 family brings together talent across a wide range of markets and fields, including Professional Engineers, Professional Land Surveyors, Architects, Photogrammetrists, GIS Professionals, Software Developers, IT, Project Management Professionals, and more.
 At NV5 Geospatial , we are a collaboration of intelligent, innovative thinkers who care for each other, our communities, and the environment. We value both heart and head, the diversity of our people, and their experiences because that is how we continue to grow as a leader in our industry and expand our individual and collective potential.
**Responsibilities**
* Design and implement advanced ML models and statistical methods to optimize forecasting, risk assessment, and decision\-making processes.
* Conduct data provenance tracking, ensuring documentation of sources, transformations, and lineage for compliance with governance policies.
* Implement sprint\-based Agile methodologies, ensuring rapid development cycles, backlog grooming, and alignment with mission requirements.
* Provide Rough Order of Magnitude estimates before each analytic project detailing hours, compute costs, storage consumption, and infrastructure requirements.
* Conduct quarterly reviews to track cost efficiency, assess system performance, and optimize analytic workflows.
**Qualifications**
**Minimum Requirements:**
* Masters’s degree in Data Science, Machine Learning, Statistics, or nine (9\) years of equivalent experience leading AI/ML model development and deployment.
* Demonstrated experience building and validating AI/ML models using Python, TensorFlow, PyTorch, or Scikit\-learn, integrating models into production environments, and optimizing performance for real\-time analytics.
* Demonstrated experience with Databricks, Apache Spark, or similar distributed data processing frameworks.
* Demonstrated experience with geospatial datasets and integration AI/ML solutions into mission\-critical applications.
* Demonstrated proficiency in deep learning, supervised and unsupervised learning techniques, data wrangling, and feature engineering.
* Demonstrated experience with data provenance tracking, model explainability, and bias mitigation in AI/ML applications.
* Demonstrated capability to translate operational challenges into analytic solutions, ensuring integration of structured, unstructured, and geospatial data.
* Ability to manage and prioritize complex project tasks.
**Preferred:**
* Google Professional Machine Learning Engineer, Microsoft Certified Azure Data Scientist Associate, or TensorFlow Developer Certification.
* Portuguese or Spanish language skills.
* Experience with government IT programs and environments.
**Clearance Requirement:**
* Active TS/SCI
 Please be aware that some of our positions may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NV5 offers a competitive compensation and benefits package including medical, dental, life insurance, FTO,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t>
        </is>
      </c>
    </row>
    <row r="40">
      <c r="A40" t="inlineStr">
        <is>
          <t>li-4366793322</t>
        </is>
      </c>
      <c r="B40" t="inlineStr">
        <is>
          <t>Sr Exploitation Data Scientist</t>
        </is>
      </c>
      <c r="C40" t="inlineStr">
        <is>
          <t>aqua IT</t>
        </is>
      </c>
      <c r="D40" t="inlineStr">
        <is>
          <t>linkedin</t>
        </is>
      </c>
      <c r="E40">
        <f>HYPERLINK("https://www.linkedin.com/jobs/view/4366793322", "https://www.linkedin.com/jobs/view/4366793322")</f>
        <v/>
      </c>
      <c r="F40" t="inlineStr"/>
      <c r="G40" t="inlineStr">
        <is>
          <t>St Louis, MO</t>
        </is>
      </c>
      <c r="H40" t="inlineStr"/>
      <c r="I40" t="inlineStr">
        <is>
          <t>**Overview:** 
 We are seeking a highly skilled Senior Data Scientist to support mission\-critical intelligence operations. The ideal candidate brings deep analytic expertise, advanced data science capabilities, and demonstrated experience supporting national security objectives across GEOINT, multi\-INT, and enterprise\-level analytic environments. This position requires the ability to innovate, modernize analytical tradecraft, and drive the integration of advanced methodologies into customer mission sets.
**Duties:** 
* Work with large structured / unstructured data in a modeling and analytical environment to define and create streamline processes in the evaluation of unique datasets and solve challenging intelligence issues
* Lead and participate in the design of solutions and refinement of pre\-existing processes
* Work with Customer Stakeholders, Program Managers, and Product Owners to translate road map features into components/tasks, estimate timelines, identify resources, suggest solutions, and recognize possible risks
* Use exploratory data analysis techniques to identify meaningful relationships, patterns, or trends from complex data
* Combine applied mathematics, programming skills, analytical techniques, and data to provide impactful insights for decision makers
* Research and implement optimization models, strategies, and methods to inform data management activities and analysis
* Apply big data analytic tools to large, diverse sets of data to deliver impactful insights and assessments
* Conduct peer reviews to improve quality of workflows, procedures, and methodologies
* Help build high\-performing teams; mentor team members providing development opportunities to increase their technical skills and knowledge
**Required Skills** 
* Active TS/SCI Clearance is required Bachelor’s degree in mathematics, science, or a related technical field; or 7\+ years of relevant experience in lieu of a degree.
* Expertise in advanced analytic methodologies and proven ability to implement them to increase customer satisfaction and mission effectiveness.
* Proven Intelligence Community experience working with integrated teams and applying documented analytic methodologies to answer complex intelligence questions.
* Experience in data mining, database manipulation, and maintaining structured analytic datasets.
* Demonstrated proficiency using analytic tools to modernize workflows and enhance analytic rigor.
* Experience with Python/R scientific computing libraries (NumPy, Pandas, SciPy, scikit\-learn, tidyverse).
* Experience applying machine learning or statistical modeling techniques (e.g., regression, clustering, classification, time\-series analysis) to mission datasets.
* Proficiency in data preprocessing, feature engineering, and preparing structured/unstructured datasets for advanced analysis.
* Ability to evaluate model performance, conduct error analysis, and effectively communicate model results to both technical and non\-technical audiences.
* Experience operationalizing analytic models into repeatable pipelines supporting intelligence production at scale.
* Understanding of modern data science best practices, including model governance, reproducibility, transparency, and lifecycle management.
* GEOINT / Multi\-INT Core Tradecraft Support GEOINT analysis using imagery, spatio\-temporal datasets, and multi\-source intelligence to uncover relationships, trends, and mission\-relevant events.
* Conduct multi\-INT research to augment imagery analysis and provide mission\-specific context.
* Demonstrated ability to lead technical and analytical teams in solving complex intelligence problems.
* Experience developing new geospatial tradecraft, methods, and technologies from an operations research perspective.
* Ability to identify system enhancements, capability gaps, new technologies, and business case opportunities that strengthen mission delivery.</t>
        </is>
      </c>
    </row>
    <row r="41">
      <c r="A41" t="inlineStr">
        <is>
          <t>li-4366532079</t>
        </is>
      </c>
      <c r="B41" t="inlineStr">
        <is>
          <t>Data Scientist ML &amp; Operational Analytics</t>
        </is>
      </c>
      <c r="C41" t="inlineStr">
        <is>
          <t>Jobs via Dice</t>
        </is>
      </c>
      <c r="D41" t="inlineStr">
        <is>
          <t>linkedin</t>
        </is>
      </c>
      <c r="E41">
        <f>HYPERLINK("https://www.linkedin.com/jobs/view/4366532079", "https://www.linkedin.com/jobs/view/4366532079")</f>
        <v/>
      </c>
      <c r="F41">
        <f>HYPERLINK("https://click.appcast.io/t/l5XoOtun6mu6s3VXLeLXUZQTQTYYct6BbZSGp678Ls8=&amp;urlHash=tS65", "https://click.appcast.io/t/l5XoOtun6mu6s3VXLeLXUZQTQTYYct6BbZSGp678Ls8=&amp;urlHash=tS65")</f>
        <v/>
      </c>
      <c r="G41" t="inlineStr">
        <is>
          <t>Washington, DC</t>
        </is>
      </c>
      <c r="H41" t="inlineStr"/>
      <c r="I41" t="inlineStr">
        <is>
          <t>Dice is the leading career destination for tech experts at every stage of their careers. Our client, Cognowiz, is seeking the following. Apply via Dice today!
**Job Title:** 
 Data Scientist ML \&amp; Operational Analytics
**Job Location:** 
 Washington D.C. (Onsite 3 days a week) \- Preferring a local resource
**Job Description:**
**Key Responsibilities:**
* Build and deploy ML models (regression, classification, time\-series) for operational use cases.
* Perform data preparation, feature engineering, and ensure data quality.
**Required Qualifications:**
* MS in Computer Science, Statistics, Mathematics, Engineering, Physics, or related quantitative field.
* 5\+ years of experience in data science with operational analytics.
* Proficiency in Python, R, SQL, and ML libraries.
* Strong statistical foundation (probability, inference, regression, experimental design).
**Preferred Qualification:**
* PhD in Computer Science, Statistics, Mathematics, Engineering, Physics or related quantitative.
* Electric Utility or Similar Industry Experience.
* Experience with Azure Machine Learning for model development and deployment.
* Experience with optimization techniques (linear programming, mixed\-integer optimization).</t>
        </is>
      </c>
    </row>
    <row r="42">
      <c r="A42" t="inlineStr">
        <is>
          <t>li-4358550864</t>
        </is>
      </c>
      <c r="B42" t="inlineStr">
        <is>
          <t>Data Scientist</t>
        </is>
      </c>
      <c r="C42" t="inlineStr">
        <is>
          <t>Kavaliro</t>
        </is>
      </c>
      <c r="D42" t="inlineStr">
        <is>
          <t>linkedin</t>
        </is>
      </c>
      <c r="E42">
        <f>HYPERLINK("https://www.linkedin.com/jobs/view/4358550864", "https://www.linkedin.com/jobs/view/4358550864")</f>
        <v/>
      </c>
      <c r="F42">
        <f>HYPERLINK("http://jobs.kavaliro.com/Data-Scientist-Jobs-in-Chantilly-VA/12442756&amp;urlHash=Akk0", "http://jobs.kavaliro.com/Data-Scientist-Jobs-in-Chantilly-VA/12442756&amp;urlHash=Akk0")</f>
        <v/>
      </c>
      <c r="G42" t="inlineStr">
        <is>
          <t>Chantilly, VA</t>
        </is>
      </c>
      <c r="H42" t="inlineStr"/>
      <c r="I42" t="inlineStr">
        <is>
          <t>**Job Description**
 Kavaliro is seeking a Data Scientist to support a client in Virginia.
 **REQUIRED SKILLS AND DEMONSTRATED EXPERIENCE**
 The Contractor shall have the following required skills, certifications, and demonstrated experience:
* Demonstrated experience in two or more of the following disciplines: business analytics, statistics, data verification and validation, and data visualization.
* Demonstrated experience applying qualitative and quantitative data analysis methods to business or intelligence problems.
* Demonstrated experience using Tableau, Power BI, or similar interactive data visualization software.
* Demonstrated experience transforming, manipulating, and combining data using Python, including libraries used for data analysis and modeling.
* Demonstrated experience using SQL and Excel.
* Demonstrated experience conveying technical concepts to non\-technical audiences verbally and through written analytic reports.
* Demonstrated experience creating data visualization mockups, prototypes, documenting work processes, and demonstrating products to technical and non\-technical audiences.
* Demonstrated experience interpreting data models and working with diverse data sources and structures.
* Demonstrated experience translating customer requirements into project or system specifications.
* Demonstrated experience as a self\-starter with the ability to decompose ambiguous problems into actionable plans.
* Demonstrated exposure to machine learning concepts, including Large Language Models (LLMs) and Convolutional Neural Networks (CNNs).
**Highly Desired Skills And Demonstrated Experience**
 Skills and experience that are highly desired but not required include:
* Demonstrated experience with data derived from technical missions, taskings, collection, processing, analysis, or dissemination.
* Demonstrated experience working with Sponsor business or mission data, Sponsor applications, or Sponsor database structures.
* Demonstrated experience with Sponsor data handling procedures.
* Demonstrated experience using GitHub or similar version control systems.
* Demonstrated experience using Python or R for advanced analytics or modeling.
* Experience developing or deploying analytics or ML solutions involving LLMs, CNNs, or applied AI use cases.
* Experience with Android development and/or Raspberry Pi (RaspPI) systems is a significant plus, particularly for prototyping, edge computing, or sensor\-based data applications.
**EDUCATION**
* Bachelor’s Degree in Business Analytics, Statistics, Data Analytics, Computer Science, or Information Systems OR
* Four (4\) years of relevant data analysis experience supporting the IC or military may be substituted in lieu of a degree.
**Location:**
* Chantilly, VA
* This position is onsite and there is no remote availability.
**Clearance Requirement:**
* Candidates must have an active TS/SCI security clearance with a Full Scope Polygraph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
 Job Requirements
 On\-Site</t>
        </is>
      </c>
    </row>
    <row r="43">
      <c r="A43" t="inlineStr">
        <is>
          <t>li-4356610782</t>
        </is>
      </c>
      <c r="B43" t="inlineStr">
        <is>
          <t>Staff/Senior Applied Scientist, AI/GenAI &amp; ML Systems</t>
        </is>
      </c>
      <c r="C43" t="inlineStr">
        <is>
          <t>TraceLink</t>
        </is>
      </c>
      <c r="D43" t="inlineStr">
        <is>
          <t>linkedin</t>
        </is>
      </c>
      <c r="E43">
        <f>HYPERLINK("https://www.linkedin.com/jobs/view/4356610782", "https://www.linkedin.com/jobs/view/4356610782")</f>
        <v/>
      </c>
      <c r="F43">
        <f>HYPERLINK("https://www.tracelink.com/about/culture-and-careers/jobs?gh_jid=5034390007&amp;urlHash=-AcJ", "https://www.tracelink.com/about/culture-and-careers/jobs?gh_jid=5034390007&amp;urlHash=-AcJ")</f>
        <v/>
      </c>
      <c r="G43" t="inlineStr">
        <is>
          <t>Wilmington, MA</t>
        </is>
      </c>
      <c r="H43" t="inlineStr"/>
      <c r="I43" t="inlineStr">
        <is>
          <t>**Company overview:**
 TraceLink’s software solutions and Opus Platform help the pharmaceutical industry digitize their supply chain and enable greater compliance, visibility, and decision making. It reduces disruption to the supply of medicines to patients who need them, anywhere in the world.
 Founded in 2009 with the simple mission of protecting patients, today Tracelink has 8 offices, over 800 employees and more than 1300 customers in over 60 countries around the world. Our expanding product suite continues to protect patients and now also enhances multi\-enterprise collaboration through innovative new applications such as MINT.
 Tracelink is recognized as an industry leader by Gartner and IDC, and for having a great company culture by Comparably.
 Staff / Senior Applied Scientist, GenAI \&amp; ML Systems
**Location:** 
 Boston, MA (US)
**About The Role**
 We are hiring a
 **Staff / Senior Applied Scientist** 
 to lead the design and deployment of
 **production\-grade GenAI and ML systems** 
 with a strong emphasis on being
 **hands\-on** 
 . You will personally build, iterate, and ship systems focused on
 **LLM/SLM optimization for agentic, multi\-agent architectures** 
 in cloud environments.
 This role is ideal for someone with deep expertise in one or more areas of LLM/SLM optimization for agent\-based systems, and hands\-on experience in designing, implementing, and operating
 **large\-scale multi\-agent systems in the cloud** 
 .
**Key Responsibilities**
* Hands\-on ownership of building and shipping multi\-agent systems (planner/executor, tool\-using agents, supervisor patterns, routing, role\-based agents) from prototype to production.
* Write production\-quality code for agent orchestration, tool integration, memory/state design, and context management.
* Lead context engineering strategies for multi\-agent coordination: prompt design, state persistence, agent handoffs, grounding, constraints, and safety controls.
* Hands\-on fine\-tune and deploy SLM models for production usage: dataset creation, training workflows, evaluation, and inference serving.
* Build Advanced RAG pipelines end\-to\-end, including semantic search, embeddings, hybrid retrieval, and cross\-encoder reranking.
* Implement evaluation frameworks for multi\-agent systems covering quality, latency, cost, robustness, and failure mode detection.
* Collaborate with platform and product engineering to ensure solutions are cloud\-native, secure, observable, and scalable (monitoring, logging, CI/CD).
* Optimize for cost and latency via model routing, caching, compression strategies, and inference efficiency improvements.
* Mentor peers through code reviews, architecture sessions, and hands\-on technical leadership.
**Required Knowledge \&amp; Experience**
* Context engineering for complex multi\-agent systems (prompt orchestration, tool calling, memory/state design, routing, constraint handling)
* Fine\-tuning of SLMs and delivering them to production (training strategies, validation, deployment, monitoring, rollback readiness)
* Experience with Advanced RAG, semantic search, embeddings, and cross\-encoders (retrieval tuning, chunking strategies, query rewriting/planning, reranking)
* Ability to translate ambiguous requirements into concrete architectures, metrics, and deliverables
* Hands\-on inference optimization experience: quantization, distillation, batching, caching, model routing, speculative decoding
* Experience building retrieval systems at scale using vector DBs and search stacks
* Comfort working across the full lifecycle: research → prototype → A/B test → production hardening
**Preferred Qualifications**
* Familiarity with enterprise constraints: privacy, security, data governance, permissions, auditability
* Experience designing and running GenAI observability: traces, prompt/versioning, tool call logging, feedback loops
* Strong ability to implement production\-quality systems in Python (and/or adjacent backend languages)
* Proven experience deploying GenAI/ML systems in cloud environments (AWS/Azure/GCP)
* Experience with scalable inference and service operations: containers, APIs, observability, reliability practices
* MS/PhD in CS/ML/NLP/Stats (or equivalent applied experience building production systems)
 TraceLink is committed to providing competitive compensation and benefits to all employees. This is the estimated base salary range for this role and should serve only as a guide. Final compensation offered may vary based on a variety of factors including but not limited to experience level, fit for the role, skills, domain knowledge, internal equity, budget, and location.
 US Pay Range
 $151,999\.74—$189,263\.73 USD
*Please see the Tracelink Privacy Policy for more information on how Tracelink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Candidate\-Privacy@tracelink.com.*</t>
        </is>
      </c>
    </row>
    <row r="44">
      <c r="A44" t="inlineStr">
        <is>
          <t>li-4366912064</t>
        </is>
      </c>
      <c r="B44" t="inlineStr">
        <is>
          <t>Data Scientist</t>
        </is>
      </c>
      <c r="C44" t="inlineStr">
        <is>
          <t>Varonis</t>
        </is>
      </c>
      <c r="D44" t="inlineStr">
        <is>
          <t>linkedin</t>
        </is>
      </c>
      <c r="E44">
        <f>HYPERLINK("https://www.linkedin.com/jobs/view/4366912064", "https://www.linkedin.com/jobs/view/4366912064")</f>
        <v/>
      </c>
      <c r="F44">
        <f>HYPERLINK("https://app.jobvite.com/CompanyJobs/Careers.aspx?k=Apply&amp;j=oNppzfwU&amp;s=LinkedInLimited&amp;urlHash=DSXh", "https://app.jobvite.com/CompanyJobs/Careers.aspx?k=Apply&amp;j=oNppzfwU&amp;s=LinkedInLimited&amp;urlHash=DSXh")</f>
        <v/>
      </c>
      <c r="G44" t="inlineStr"/>
      <c r="H44" t="inlineStr"/>
      <c r="I44" t="inlineStr">
        <is>
          <t>**Title: Data Scientist**
**Job Description:**
 We are seeking a highly skilled and motivated Data scientist to join our talented team. As a Data scientist, you will play a crucial role in developing and optimizing our ML, LLM, and Agentic AI abilities.
 You will work closely with our architects, data engineers, data scientists, and security researchers to design, train and evaluate our machine learning models as well as our state\-of\-the\-art LLM based features.
**Responsibilities:**
* Design, develop, and evaluate agentic AI systems capable of autonomous or semi\-autonomous reasoning, planning, and action in cybersecurity use cases.
* Analyze large, complex datasets to identify patterns and trends that could indicate potential security threats.
* Collaborate closely with cybersecurity researchers, threat analysts, and architects to translate real\-world attack scenarios into AI\-driven detection, investigation, and response capabilities.
* Design and develop innovative prompts and instruction sets to enhance the conversational capabilities of our language models.
* Develop and optimize ML\- and LLM\-powered security workflows, including multi\-step reasoning, tool use, memory, and feedback loops.
* Stay current with advances in cybersecurity, adversarial ML, agentic AI architectures, and applied LLM research, and contribute to internal best practices.
* Partner with software and data engineers to deploy AI agents and ML models into production\-grade, secure, and scalable systems.
**Requirements:**
* Bachelor’s degree in computer science, Engineering, or a related field. A master's or Ph.D. is a plus.
* Strong foundation in machine learning and deep learning, including supervised, unsupervised, and anomaly\-detection techniques.
* Extensive experience applying data science, machine learning, and agentic AI systems to cybersecurity domains, including threat detection and response.
* Proven ability to deliver reliable, high\-quality AI systems in fast\-paced, evolving environments.
* Proficiency in Python. Experience with PySpark, Databricks, or large\-scale data processing frameworks is a plus.
* Experience working with LLMs (open\-source and commercial) in production or research settings, including model selection, evaluation, and safe deployment.
* Familiarity with vector databases, embeddings, and retrieval\-augmented generation (RAG) for security or knowledge\-intensive workflows.
* Understanding of LLM and AI security considerations, such as adversarial inputs, model exploitation, data privacy, and governance.
* Experience with cloud\-based ML platforms and modern MLOps practices is a plus.
* Strong analytical and problem\-solving skills, with the ability to reason under uncertainty and adversarial conditions.
* Excellent communication and collaboration skills, with the ability to work effectively across security, engineering, and research teams.
*We invite you to check out our Instagram Page to gain further insight into the Varonis culture!*
*@VaronisLife*
*Varonis is an equal\-opportunity employer. We evaluate qualified applicants without regard to race, color, religion, sex, national origin, disability, veteran status, and other legally protected characteristics*</t>
        </is>
      </c>
    </row>
    <row r="45">
      <c r="A45" t="inlineStr">
        <is>
          <t>li-4366770602</t>
        </is>
      </c>
      <c r="B45" t="inlineStr">
        <is>
          <t>Principal Data Scientist</t>
        </is>
      </c>
      <c r="C45" t="inlineStr">
        <is>
          <t>Oracle</t>
        </is>
      </c>
      <c r="D45" t="inlineStr">
        <is>
          <t>linkedin</t>
        </is>
      </c>
      <c r="E45">
        <f>HYPERLINK("https://www.linkedin.com/jobs/view/4366770602", "https://www.linkedin.com/jobs/view/4366770602")</f>
        <v/>
      </c>
      <c r="F45" t="inlineStr"/>
      <c r="G45" t="inlineStr">
        <is>
          <t>Austin, TX</t>
        </is>
      </c>
      <c r="H45" t="inlineStr"/>
      <c r="I45" t="inlineStr">
        <is>
          <t>**Job Description**
 As a Principal Data Scientist, you will play a key role in designing, building, and maintaining the data infrastructure that powers statistical analyses and machine learning initiatives for the Network Reliability Engineering organization. You will work closely with data scientists, engineers, and other stakeholders to develop and deploy scalable, efficient, and reliable ETL data pipelines that drive business value. You will also lead initiatives to improve, deliver, and enable reporting and insights.
**Responsibilities**
* Design, build, and maintain large\-scale ETL data pipelines to support statistical analyses and machine learning model training, testing, and deployment
* Collaborate with data scientists and other stakeholders to understand data needs and develop effective solutions
* Create comprehensive data strategies to enable reporting, analytics, and machine learning
* Conduct research to evaluate data and answer strategic business questions
* Generate actionable insights and enable reporting through data transformation, statistical analyses, and machine learning methods
* Fine\-tune and optimize algorithms and models to ensure scalability, reliability, and high performance
* Develop and maintain data architectures that support data warehousing, data lakes, and data governance
* Work with cross\-functional teams to integrate data pipelines
* Ensure data quality, integrity, and security across all data pipelines and systems
* Develop and maintain metrics and monitoring to ensure data pipeline performance and reliability
* Champion software engineering and data science principles
* Provide guidance and mentorship to junior data scientists, contributing to team knowledge and best practices
* Stay up\-to\-date with the latest developments in machine learning, statistics, and data science, applying new techniques to improve processes and products
**Qualifications \&amp; Skills**
* BS (or equivalent experience) in Data Science, Computer Science, Engineering, or a related quantitative or technical field
* 8\+ years of data science or software engineering experience
* Expertise in data pipeline tools such as Apache Spark, Apache Beam, or Apache Flink
* Experience with data warehousing and data lake technologies such as Oracle Object Storage, Apache Hadoop, Apache Hive, or Amazon Redshift
* Strong programming skills in languages such as Python, Java, or Scala
* Solid understanding of data structures and algorithms for designing and implementing efficient, scalable data processing systems
* Experience with containerization technologies such as Docker and Kubernetes
* Experience analyzing data, generating insights, and telling stories with data
* Strong understanding of data governance, data quality, and data security principles
* Excellent communication and collaboration skills
**Preferred Qualifications**
* Experience with machine learning frameworks such as TensorFlow, PyTorch, or Scikit\-learn
* Experience with cloud\-based data platforms such as OCI, AWS, GCP, or Azure
* Experience with data visualization tools such as Oracle Analytics Cloud, Tableau, Power BI, or D3\.js
* Experience with agile development methodologies and version control systems such as Git or Bitbucket
**Responsibilities**
 \#oci\-net\-grady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6">
      <c r="A46" t="inlineStr">
        <is>
          <t>li-4366795455</t>
        </is>
      </c>
      <c r="B46" t="inlineStr">
        <is>
          <t>Senior Data Scientist</t>
        </is>
      </c>
      <c r="C46" t="inlineStr">
        <is>
          <t>MediaAlpha</t>
        </is>
      </c>
      <c r="D46" t="inlineStr">
        <is>
          <t>linkedin</t>
        </is>
      </c>
      <c r="E46">
        <f>HYPERLINK("https://www.linkedin.com/jobs/view/4366795455", "https://www.linkedin.com/jobs/view/4366795455")</f>
        <v/>
      </c>
      <c r="F46" t="inlineStr"/>
      <c r="G46" t="inlineStr">
        <is>
          <t>Los Angeles, CA</t>
        </is>
      </c>
      <c r="H46" t="inlineStr"/>
      <c r="I46" t="inlineStr">
        <is>
          <t>MediaAlpha is a customer acquisition solutions provider powered by technology and data science. The company provides industry\-leading solutions designed to reach consumers shopping within high\-consideration categories such as property and casualty insurance, health insurance, life insurance, and more.
**Hybrid Schedule:** 
 In\-office Tuesdays/Wednesdays
 We are seeking a dynamic and experienced Data Scientist to join our Data Science team. This role will support multiple business units by delivering top\-tier analytical insights aligned with our strategic goals. As an individual contributor, you will drive the development and implementation of analytical components within our technology platform. You will collaborate closely with our engineering team to design and integrate sophisticated algorithms and features and streamline reporting for key performance indicators (KPIs) critical to our strategic initiatives.
**Responsibilities** 
* Provide analytical expertise to cross\-functional projects, addressing new challenges and uncovering opportunities.
* Optimize revenue and profitability by improving algorithms and deploying machine learning models to production.
* Master the MediaAlpha platform and collaborate with engineering to enhance our platform’s analytical capabilities.
**Requirements** 
* 8\+ years of work experience in a Data Analyst/Scientist or related role
* Proven experience leading cross\-functional projects and working cross collaboratively with tech/engineering teams
* Demonstrated success deploying impactful code (e.g., predictive models, date pipelines, dashboards, automated reports) to production environments, ensuring scalability, performance, and reliability
* Expertise in applying statistical techniques to real\-world business problems (e.g. designing tests/experiments and evaluating results)
* Experience in creating executive\-level presentations
* Proven track record of training and mentoring analysts
* Advanced in Python and SQL
* Exceptional analytical skills and ability to synthesize large and disparate data sets
* Capacity to think critically and creatively, uncover problems, and propose solutions
* Excellent written and verbal communication skills
* Self\-starter who takes initiative on all projects and strives to build and improve upon existing processes
* Bachelor's degree required, preferably in a quantitative discipline (e.g., economics, business, finance, math, engineering, statistics) or equivalent experience
**Preferred Qualifications** 
* Experience with search, display, performance, and/or digital marketing
* Experience with R Shiny and Shiny Server
* Experience with Airflow
**Compensation \&amp; Benefits** 
 We are excited to offer a competitive base pay range of $116,000 to $216,000 per year for this position based on experience and qualifications. But that's not all \- as a valued member of our team, you will also have access to an array of top\-notch benefits, including:
* An annual discretionary bonus program and participation in our Restricted Stock Unit program
* 100% Employer\-paid health, dental, and vision insurance for you, your dependents, and spouse or registered domestic partner
* 100% Employer paid long term disability, and life insurance
* 401(k) retirement plan with matching contributions to help you plan for your future
* Open Paid Time Off policy with a birthday day off and 11 holidays
* Professional development reimbursement
* Cell Phone, Wellness, and Internet expense reimbursement, along with a subscription to the Calm App
* 100% fully paid parental leave for team members up to 22 weeks for the primary caregiver and 12 weeks for the secondary caregiver
* Dog\-friendly offices (LA and AZ) along with a $300 pet adoption reimbursement
**Diversity, Equity, and Inclusion** 
 MediaAlpha is committed to fostering, cultivating, and maintaining a culture of diversity, equity, and inclusion. Our philosophy and actions are built on the premise that as an employer and citizens of our communities, we can create opportunities for lasting change. 
**Fair Chance** 
 MediaAlpha will consider qualified applicants, including those with criminal histories, in a manner consistent with state and local "Fair Chance" laws. We are also committed to providing reasonable accommodations for qualified applicants with disabilities and disabled veterans in our application process. If you need assistance or an accommodation due to a disability, please contact us at peopleops@mediaalpha.com or (213\) 316\-6256\.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2026-01-28T21:09:53Z</dcterms:created>
  <dcterms:modified xsi:type="dcterms:W3CDTF">2026-01-28T21:09:53Z</dcterms:modified>
</cp:coreProperties>
</file>